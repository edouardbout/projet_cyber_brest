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ate1904="1" showInkAnnotation="0" updateLinks="never" autoCompressPictures="0"/>
  <mc:AlternateContent xmlns:mc="http://schemas.openxmlformats.org/markup-compatibility/2006">
    <mc:Choice Requires="x15">
      <x15ac:absPath xmlns:x15ac="http://schemas.microsoft.com/office/spreadsheetml/2010/11/ac" url="C:\Users\odile.demazy\Desktop\"/>
    </mc:Choice>
  </mc:AlternateContent>
  <xr:revisionPtr revIDLastSave="0" documentId="8_{38E9AC72-8C87-4C07-91D0-18E90EB03120}" xr6:coauthVersionLast="36" xr6:coauthVersionMax="36" xr10:uidLastSave="{00000000-0000-0000-0000-000000000000}"/>
  <bookViews>
    <workbookView showHorizontalScroll="0" showVerticalScroll="0" showSheetTabs="0" xWindow="0" yWindow="0" windowWidth="28800" windowHeight="12900" tabRatio="501" xr2:uid="{00000000-000D-0000-FFFF-FFFF00000000}"/>
  </bookViews>
  <sheets>
    <sheet name="1 - Page de garde" sheetId="8" r:id="rId1"/>
    <sheet name="2 - Tarif normalisé n°10 Lot 5" sheetId="4" r:id="rId2"/>
    <sheet name="3 - Accessoires et logiciels" sheetId="9" r:id="rId3"/>
    <sheet name="4 - Services" sheetId="10" r:id="rId4"/>
    <sheet name="5 - Location" sheetId="14" r:id="rId5"/>
    <sheet name="6 - Services DROM-COM" sheetId="18" r:id="rId6"/>
    <sheet name="Récapitulatif remises" sheetId="3" r:id="rId7"/>
  </sheets>
  <externalReferences>
    <externalReference r:id="rId8"/>
    <externalReference r:id="rId9"/>
  </externalReferences>
  <definedNames>
    <definedName name="_xlnm._FilterDatabase" localSheetId="1" hidden="1">'2 - Tarif normalisé n°10 Lot 5'!$A$4:$AU$444</definedName>
    <definedName name="_xlnm._FilterDatabase" localSheetId="2" hidden="1">'3 - Accessoires et logiciels'!$A$3:$X$774</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4">#REF!</definedName>
    <definedName name="Cat_exco_adeth">#REF!</definedName>
    <definedName name="Cat_exco_adsect" localSheetId="1">#REF!</definedName>
    <definedName name="Cat_exco_adsect" localSheetId="4">#REF!</definedName>
    <definedName name="Cat_exco_adsect">#REF!</definedName>
    <definedName name="Cat_exco_advideo" localSheetId="1">#REF!</definedName>
    <definedName name="Cat_exco_advideo" localSheetId="4">#REF!</definedName>
    <definedName name="Cat_exco_advideo">#REF!</definedName>
    <definedName name="Cat_exco_airport" localSheetId="1">#REF!</definedName>
    <definedName name="Cat_exco_airport" localSheetId="4">#REF!</definedName>
    <definedName name="Cat_exco_airport">#REF!</definedName>
    <definedName name="Cat_exco_ass" localSheetId="1">#REF!</definedName>
    <definedName name="Cat_exco_ass" localSheetId="4">#REF!</definedName>
    <definedName name="Cat_exco_ass">#REF!</definedName>
    <definedName name="cat_exco_audio" localSheetId="4">#REF!</definedName>
    <definedName name="cat_exco_audio">#REF!</definedName>
    <definedName name="Cat_exco_batt" localSheetId="1">#REF!</definedName>
    <definedName name="cat_exco_batt" localSheetId="4">#REF!</definedName>
    <definedName name="cat_exco_batt">#REF!</definedName>
    <definedName name="Cat_exco_bretford" localSheetId="1">#REF!</definedName>
    <definedName name="Cat_exco_bretford" localSheetId="4">#REF!</definedName>
    <definedName name="Cat_exco_bretford">#REF!</definedName>
    <definedName name="Cat_exco_cable" localSheetId="1">#REF!</definedName>
    <definedName name="Cat_exco_cable" localSheetId="4">#REF!</definedName>
    <definedName name="Cat_exco_cable">#REF!</definedName>
    <definedName name="Cat_exco_clav" localSheetId="1">#REF!</definedName>
    <definedName name="Cat_exco_clav" localSheetId="4">#REF!</definedName>
    <definedName name="Cat_exco_clav">#REF!</definedName>
    <definedName name="Cat_exco_dd" localSheetId="1">#REF!</definedName>
    <definedName name="Cat_exco_dd" localSheetId="4">#REF!</definedName>
    <definedName name="Cat_exco_dd">#REF!</definedName>
    <definedName name="Cat_exco_ergokally" localSheetId="1">#REF!</definedName>
    <definedName name="Cat_exco_ergokally" localSheetId="4">#REF!</definedName>
    <definedName name="Cat_exco_ergokally">#REF!</definedName>
    <definedName name="Cat_exco_film" localSheetId="1">#REF!</definedName>
    <definedName name="cat_exco_film" localSheetId="4">#REF!</definedName>
    <definedName name="cat_exco_film">#REF!</definedName>
    <definedName name="Cat_exco_iglaze" localSheetId="1">#REF!</definedName>
    <definedName name="cat_exco_iglaze" localSheetId="4">#REF!</definedName>
    <definedName name="cat_exco_iglaze">#REF!</definedName>
    <definedName name="cat_exco_jamf" localSheetId="4">#REF!</definedName>
    <definedName name="cat_exco_jamf">#REF!</definedName>
    <definedName name="Cat_exco_log" localSheetId="1">#REF!</definedName>
    <definedName name="Cat_exco_log" localSheetId="4">#REF!</definedName>
    <definedName name="Cat_exco_log">#REF!</definedName>
    <definedName name="Cat_exco_memsub" localSheetId="1">#REF!</definedName>
    <definedName name="Cat_exco_memsub" localSheetId="4">#REF!</definedName>
    <definedName name="Cat_exco_memsub">#REF!</definedName>
    <definedName name="cat_exco_memusb" localSheetId="4">#REF!</definedName>
    <definedName name="cat_exco_memusb">#REF!</definedName>
    <definedName name="Cat_exco_moni" localSheetId="1">#REF!</definedName>
    <definedName name="Cat_exco_moni" localSheetId="4">#REF!</definedName>
    <definedName name="Cat_exco_moni">#REF!</definedName>
    <definedName name="Cat_exco_ondu" localSheetId="1">#REF!</definedName>
    <definedName name="cat_exco_ondu" localSheetId="4">#REF!</definedName>
    <definedName name="cat_exco_ondu">#REF!</definedName>
    <definedName name="Cat_exco_pciexp" localSheetId="1">#REF!</definedName>
    <definedName name="Cat_exco_pciexp" localSheetId="4">#REF!</definedName>
    <definedName name="Cat_exco_pciexp">#REF!</definedName>
    <definedName name="Cat_exco_sauv" localSheetId="1">#REF!</definedName>
    <definedName name="Cat_exco_sauv" localSheetId="4">#REF!</definedName>
    <definedName name="Cat_exco_sauv">#REF!</definedName>
    <definedName name="Cat_exco_secu" localSheetId="1">#REF!</definedName>
    <definedName name="Cat_exco_secu" localSheetId="4">#REF!</definedName>
    <definedName name="Cat_exco_secu">#REF!</definedName>
    <definedName name="Cat_exco_serv" localSheetId="1">#REF!</definedName>
    <definedName name="Cat_exco_serv" localSheetId="4">#REF!</definedName>
    <definedName name="Cat_exco_serv">#REF!</definedName>
    <definedName name="Cat_exco_souris" localSheetId="1">#REF!</definedName>
    <definedName name="Cat_exco_souris" localSheetId="4">#REF!</definedName>
    <definedName name="Cat_exco_souris">#REF!</definedName>
    <definedName name="Cat1_acc" localSheetId="1">#REF!</definedName>
    <definedName name="cat1_acc_comm" localSheetId="4">#REF!</definedName>
    <definedName name="cat1_acc_comm">#REF!</definedName>
    <definedName name="cat1_acc_mb12" localSheetId="4">#REF!</definedName>
    <definedName name="cat1_acc_mb12">#REF!</definedName>
    <definedName name="cat1_acc_mba13" localSheetId="4">#REF!</definedName>
    <definedName name="cat1_acc_mba13">#REF!</definedName>
    <definedName name="cat1_conf1" localSheetId="4">#REF!</definedName>
    <definedName name="cat1_conf1">#REF!</definedName>
    <definedName name="Cat1_conf1_mba11" localSheetId="1">#REF!</definedName>
    <definedName name="cat1_conf2" localSheetId="4">#REF!</definedName>
    <definedName name="cat1_conf2">#REF!</definedName>
    <definedName name="Cat1_conf2_mba13" localSheetId="1">#REF!</definedName>
    <definedName name="cat1_conf3" localSheetId="4">#REF!</definedName>
    <definedName name="cat1_conf3">#REF!</definedName>
    <definedName name="cat1_conf4" localSheetId="4">#REF!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4">#REF!</definedName>
    <definedName name="cat2_acc_comm">#REF!</definedName>
    <definedName name="cat2_acc_mbpr" localSheetId="4">#REF!</definedName>
    <definedName name="cat2_acc_mbpr">#REF!</definedName>
    <definedName name="cat2_acc_mbptb" localSheetId="4">#REF!</definedName>
    <definedName name="cat2_acc_mbptb">#REF!</definedName>
    <definedName name="cat2_conf1" localSheetId="4">#REF!</definedName>
    <definedName name="cat2_conf1">#REF!</definedName>
    <definedName name="cat2_conf2" localSheetId="4">#REF!</definedName>
    <definedName name="cat2_conf2">#REF!</definedName>
    <definedName name="Cat2_conf2_mbp13" localSheetId="1">#REF!</definedName>
    <definedName name="Cat2_conf2_mbp15" localSheetId="1">#REF!</definedName>
    <definedName name="cat2_conf3" localSheetId="4">#REF!</definedName>
    <definedName name="cat2_conf3">#REF!</definedName>
    <definedName name="Cat2_conf3_mbpr13" localSheetId="1">#REF!</definedName>
    <definedName name="cat2_conf4" localSheetId="4">#REF!</definedName>
    <definedName name="cat2_conf4">#REF!</definedName>
    <definedName name="cat2_conf5" localSheetId="4">#REF!</definedName>
    <definedName name="cat2_conf5">#REF!</definedName>
    <definedName name="cat2_conf6" localSheetId="4">#REF!</definedName>
    <definedName name="cat2_conf6">#REF!</definedName>
    <definedName name="cat2_conf7" localSheetId="4">#REF!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4">#REF!</definedName>
    <definedName name="cat3_acc">#REF!</definedName>
    <definedName name="cat3_conf1" localSheetId="4">#REF!</definedName>
    <definedName name="cat3_conf1">#REF!</definedName>
    <definedName name="Cat3_conf1_mbpret15" localSheetId="1">#REF!</definedName>
    <definedName name="cat3_conf2" localSheetId="4">#REF!</definedName>
    <definedName name="cat3_conf2">#REF!</definedName>
    <definedName name="cat3_conf3" localSheetId="4">#REF!</definedName>
    <definedName name="cat3_conf3">#REF!</definedName>
    <definedName name="Cat3_me664" localSheetId="1">#REF!</definedName>
    <definedName name="Cat3_me665" localSheetId="1">#REF!</definedName>
    <definedName name="Cat4_acc" localSheetId="1">#REF!</definedName>
    <definedName name="cat4_acc" localSheetId="4">#REF!</definedName>
    <definedName name="cat4_acc">#REF!</definedName>
    <definedName name="cat4_conf1" localSheetId="4">#REF!</definedName>
    <definedName name="cat4_conf1">#REF!</definedName>
    <definedName name="Cat4_conf1_mm" localSheetId="1">#REF!</definedName>
    <definedName name="cat4_conf2" localSheetId="4">#REF!</definedName>
    <definedName name="cat4_conf2">#REF!</definedName>
    <definedName name="cat4_conf3" localSheetId="4">#REF!</definedName>
    <definedName name="cat4_conf3">#REF!</definedName>
    <definedName name="cat4_conf4" localSheetId="4">#REF!</definedName>
    <definedName name="cat4_conf4">#REF!</definedName>
    <definedName name="cat4_conf5" localSheetId="4">#REF!</definedName>
    <definedName name="cat4_conf5">#REF!</definedName>
    <definedName name="cat4_conf6" localSheetId="4">#REF!</definedName>
    <definedName name="cat4_conf6">#REF!</definedName>
    <definedName name="Cat4_md387" localSheetId="1">#REF!</definedName>
    <definedName name="Cat4_md388" localSheetId="1">#REF!</definedName>
    <definedName name="Cat5_acc" localSheetId="1">#REF!</definedName>
    <definedName name="cat5_acc" localSheetId="4">#REF!</definedName>
    <definedName name="cat5_acc">#REF!</definedName>
    <definedName name="cat5_conf1" localSheetId="4">#REF!</definedName>
    <definedName name="cat5_conf1">#REF!</definedName>
    <definedName name="Cat5_conf1_imac" localSheetId="1">#REF!</definedName>
    <definedName name="cat5_conf2" localSheetId="4">#REF!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4">#REF!</definedName>
    <definedName name="cat6_acc_com">#REF!</definedName>
    <definedName name="cat6_acc_dd" localSheetId="4">#REF!</definedName>
    <definedName name="cat6_acc_dd">#REF!</definedName>
    <definedName name="cat6_acc_gestion" localSheetId="4">#REF!</definedName>
    <definedName name="cat6_acc_gestion">#REF!</definedName>
    <definedName name="cat6_acc_ip9" localSheetId="4">#REF!</definedName>
    <definedName name="cat6_acc_ip9">#REF!</definedName>
    <definedName name="cat6_acc_ipa" localSheetId="4">#REF!</definedName>
    <definedName name="cat6_acc_ipa">#REF!</definedName>
    <definedName name="cat6_acc_ipa2" localSheetId="4">#REF!</definedName>
    <definedName name="cat6_acc_ipa2">#REF!</definedName>
    <definedName name="cat6_acc_ipm" localSheetId="4">#REF!</definedName>
    <definedName name="cat6_acc_ipm">#REF!</definedName>
    <definedName name="cat6_acc_ipm4" localSheetId="4">#REF!</definedName>
    <definedName name="cat6_acc_ipm4">#REF!</definedName>
    <definedName name="cat6_acc_ipp12" localSheetId="4">#REF!</definedName>
    <definedName name="cat6_acc_ipp12">#REF!</definedName>
    <definedName name="cat6_acc_ipp9" localSheetId="4">#REF!</definedName>
    <definedName name="cat6_acc_ipp9">#REF!</definedName>
    <definedName name="cat6_acc_light" localSheetId="4">#REF!</definedName>
    <definedName name="cat6_acc_light">#REF!</definedName>
    <definedName name="cat6_conf1" localSheetId="4">#REF!</definedName>
    <definedName name="cat6_conf1">#REF!</definedName>
    <definedName name="Cat6_conf1_mp" localSheetId="1">#REF!</definedName>
    <definedName name="cat6_conf2" localSheetId="4">#REF!</definedName>
    <definedName name="cat6_conf2">#REF!</definedName>
    <definedName name="cat6_conf3" localSheetId="4">#REF!</definedName>
    <definedName name="cat6_conf3">#REF!</definedName>
    <definedName name="cat6_conf5" localSheetId="4">#REF!</definedName>
    <definedName name="cat6_conf5">#REF!</definedName>
    <definedName name="cat6_conf6" localSheetId="4">#REF!</definedName>
    <definedName name="cat6_conf6">#REF!</definedName>
    <definedName name="cat6_conf7" localSheetId="4">#REF!</definedName>
    <definedName name="cat6_conf7">#REF!</definedName>
    <definedName name="cat6_conf8" localSheetId="4">#REF!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EROGOTRON">'3 - Accessoires et logiciels'!#REF!</definedName>
    <definedName name="im24_5pl">'2 - Tarif normalisé n°10 Lot 5'!$I$258</definedName>
    <definedName name="im27_5pl">'2 - Tarif normalisé n°10 Lot 5'!#REF!</definedName>
    <definedName name="ip_5pl">'2 - Tarif normalisé n°10 Lot 5'!$I$388</definedName>
    <definedName name="ipa_5pl">'2 - Tarif normalisé n°10 Lot 5'!$I$408</definedName>
    <definedName name="ipm_5pl">'2 - Tarif normalisé n°10 Lot 5'!$I$378</definedName>
    <definedName name="mba_5pl">'2 - Tarif normalisé n°10 Lot 5'!$I$6</definedName>
    <definedName name="mba13_5pl">'2 - Tarif normalisé n°10 Lot 5'!$G$14</definedName>
    <definedName name="mbp13_5pl">'2 - Tarif normalisé n°10 Lot 5'!$G$123</definedName>
    <definedName name="mbp14_5pl">'2 - Tarif normalisé n°10 Lot 5'!$G$123</definedName>
    <definedName name="mbp16_5pl">'2 - Tarif normalisé n°10 Lot 5'!#REF!</definedName>
    <definedName name="mm_5pl">'2 - Tarif normalisé n°10 Lot 5'!$I$227</definedName>
    <definedName name="mp_5pl">'2 - Tarif normalisé n°10 Lot 5'!$I$337</definedName>
    <definedName name="ms_5pl">'2 - Tarif normalisé n°10 Lot 5'!$AB$303</definedName>
    <definedName name="PA_GAR_IM" localSheetId="1">#REF!</definedName>
    <definedName name="PA_GAR_IM" localSheetId="4">#REF!</definedName>
    <definedName name="PA_GAR_IM">#REF!</definedName>
    <definedName name="PA_GAR_IP" localSheetId="1">#REF!</definedName>
    <definedName name="PA_GAR_IP" localSheetId="4">#REF!</definedName>
    <definedName name="PA_GAR_IP">#REF!</definedName>
    <definedName name="PA_GAR_MB" localSheetId="1">#REF!</definedName>
    <definedName name="PA_GAR_MB" localSheetId="4">#REF!</definedName>
    <definedName name="PA_GAR_MB">#REF!</definedName>
    <definedName name="PA_GAR_MBP" localSheetId="1">#REF!</definedName>
    <definedName name="PA_GAR_MBP" localSheetId="4">#REF!</definedName>
    <definedName name="PA_GAR_MBP">#REF!</definedName>
    <definedName name="PA_GAR_MM" localSheetId="1">#REF!</definedName>
    <definedName name="PA_GAR_MM" localSheetId="4">#REF!</definedName>
    <definedName name="PA_GAR_MM">#REF!</definedName>
    <definedName name="PA_GAR_MP" localSheetId="1">#REF!</definedName>
    <definedName name="PA_GAR_MP" localSheetId="4">#REF!</definedName>
    <definedName name="PA_GAR_MP">#REF!</definedName>
    <definedName name="pa_im21_5pl">'2 - Tarif normalisé n°10 Lot 5'!#REF!</definedName>
    <definedName name="pa_im24_5pl">'2 - Tarif normalisé n°10 Lot 5'!#REF!</definedName>
    <definedName name="pa_im27_5pl">'2 - Tarif normalisé n°10 Lot 5'!#REF!</definedName>
    <definedName name="pa_ip_5pl">'2 - Tarif normalisé n°10 Lot 5'!#REF!</definedName>
    <definedName name="pa_ipm_5pl">'2 - Tarif normalisé n°10 Lot 5'!#REF!</definedName>
    <definedName name="pa_mba13_5pl">'2 - Tarif normalisé n°10 Lot 5'!#REF!</definedName>
    <definedName name="pa_mbp13_5pl">'2 - Tarif normalisé n°10 Lot 5'!#REF!</definedName>
    <definedName name="pa_mbp14_5pl">'2 - Tarif normalisé n°10 Lot 5'!#REF!</definedName>
    <definedName name="pa_mbp16_5pl">'2 - Tarif normalisé n°10 Lot 5'!#REF!</definedName>
    <definedName name="pa_mm_5pl">'2 - Tarif normalisé n°10 Lot 5'!#REF!</definedName>
    <definedName name="pa_mp_5pl">'2 - Tarif normalisé n°10 Lot 5'!#REF!</definedName>
    <definedName name="pa_ms_5pl">'2 - Tarif normalisé n°10 Lot 5'!#REF!</definedName>
    <definedName name="Page_54" localSheetId="1">#REF!</definedName>
    <definedName name="Page_54" localSheetId="4">#REF!</definedName>
    <definedName name="Page_54">#REF!</definedName>
    <definedName name="pp_cat1_conf1" localSheetId="4">#REF!</definedName>
    <definedName name="pp_cat1_conf1">#REF!</definedName>
    <definedName name="pp_cat1_conf2" localSheetId="4">#REF!</definedName>
    <definedName name="pp_cat1_conf2">#REF!</definedName>
    <definedName name="pp_cat1_conf3" localSheetId="4">#REF!</definedName>
    <definedName name="pp_cat1_conf3">#REF!</definedName>
    <definedName name="pp_cat1_conf4" localSheetId="4">#REF!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4">#REF!</definedName>
    <definedName name="pp_cat2_conf1">#REF!</definedName>
    <definedName name="pp_cat2_conf2" localSheetId="4">#REF!</definedName>
    <definedName name="pp_cat2_conf2">#REF!</definedName>
    <definedName name="pp_cat2_conf3" localSheetId="4">#REF!</definedName>
    <definedName name="pp_cat2_conf3">#REF!</definedName>
    <definedName name="pp_cat2_conf4" localSheetId="4">#REF!</definedName>
    <definedName name="pp_cat2_conf4">#REF!</definedName>
    <definedName name="pp_cat2_conf5" localSheetId="4">#REF!</definedName>
    <definedName name="pp_cat2_conf5">#REF!</definedName>
    <definedName name="pp_cat2_conf6" localSheetId="4">#REF!</definedName>
    <definedName name="pp_cat2_conf6">#REF!</definedName>
    <definedName name="pp_cat2_conf7" localSheetId="4">#REF!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4">#REF!</definedName>
    <definedName name="pp_cat3_conf1">#REF!</definedName>
    <definedName name="pp_cat3_conf2" localSheetId="4">#REF!</definedName>
    <definedName name="pp_cat3_conf2">#REF!</definedName>
    <definedName name="pp_cat3_conf3" localSheetId="4">#REF!</definedName>
    <definedName name="pp_cat3_conf3">#REF!</definedName>
    <definedName name="pp_cat3_me293" localSheetId="1">#REF!</definedName>
    <definedName name="pp_cat3_me294" localSheetId="1">#REF!</definedName>
    <definedName name="pp_cat4_conf1" localSheetId="4">#REF!</definedName>
    <definedName name="pp_cat4_conf1">#REF!</definedName>
    <definedName name="pp_cat4_conf2" localSheetId="4">#REF!</definedName>
    <definedName name="pp_cat4_conf2">#REF!</definedName>
    <definedName name="pp_cat4_conf3" localSheetId="4">#REF!</definedName>
    <definedName name="pp_cat4_conf3">#REF!</definedName>
    <definedName name="pp_cat4_conf4" localSheetId="4">#REF!</definedName>
    <definedName name="pp_cat4_conf4">#REF!</definedName>
    <definedName name="pp_cat4_conf5" localSheetId="4">#REF!</definedName>
    <definedName name="pp_cat4_conf5">#REF!</definedName>
    <definedName name="pp_cat4_conf6" localSheetId="4">#REF!</definedName>
    <definedName name="pp_cat4_conf6">#REF!</definedName>
    <definedName name="pp_cat4_md387" localSheetId="1">#REF!</definedName>
    <definedName name="pp_cat4_md388" localSheetId="1">#REF!</definedName>
    <definedName name="pp_cat5_conf1" localSheetId="4">#REF!</definedName>
    <definedName name="pp_cat5_conf1">#REF!</definedName>
    <definedName name="pp_cat5_conf2" localSheetId="4">#REF!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4">#REF!</definedName>
    <definedName name="pp_cat6_conf1">#REF!</definedName>
    <definedName name="pp_cat6_conf2" localSheetId="4">#REF!</definedName>
    <definedName name="pp_cat6_conf2">#REF!</definedName>
    <definedName name="pp_cat6_conf3" localSheetId="4">#REF!</definedName>
    <definedName name="pp_cat6_conf3">#REF!</definedName>
    <definedName name="pp_cat6_conf4" localSheetId="4">#REF!</definedName>
    <definedName name="pp_cat6_conf4">#REF!</definedName>
    <definedName name="pp_cat6_conf5" localSheetId="4">#REF!</definedName>
    <definedName name="pp_cat6_conf5">#REF!</definedName>
    <definedName name="pp_cat6_conf6" localSheetId="4">#REF!</definedName>
    <definedName name="pp_cat6_conf6">#REF!</definedName>
    <definedName name="pp_cat6_conf7" localSheetId="4">#REF!</definedName>
    <definedName name="pp_cat6_conf7">#REF!</definedName>
    <definedName name="pp_cat6_conf8" localSheetId="4">#REF!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4">#REF!</definedName>
    <definedName name="pp_gar_cat1_conf1">#REF!</definedName>
    <definedName name="pp_gar_cat1_conf2" localSheetId="4">#REF!</definedName>
    <definedName name="pp_gar_cat1_conf2">#REF!</definedName>
    <definedName name="pp_gar_cat2_conf1" localSheetId="4">#REF!</definedName>
    <definedName name="pp_gar_cat2_conf1">#REF!</definedName>
    <definedName name="pp_gar_cat2_conf2" localSheetId="4">#REF!</definedName>
    <definedName name="pp_gar_cat2_conf2">#REF!</definedName>
    <definedName name="pp_gar_cat3_conf1" localSheetId="4">#REF!</definedName>
    <definedName name="pp_gar_cat3_conf1">#REF!</definedName>
    <definedName name="pp_gar_cat4_conf1" localSheetId="4">#REF!</definedName>
    <definedName name="pp_gar_cat4_conf1">#REF!</definedName>
    <definedName name="pp_gar_cat4_im27" localSheetId="4">#REF!</definedName>
    <definedName name="pp_gar_cat4_im27">#REF!</definedName>
    <definedName name="pp_gar_cat5_conf1" localSheetId="4">#REF!</definedName>
    <definedName name="pp_gar_cat5_conf1">#REF!</definedName>
    <definedName name="pp_gar_cat6_conf1" localSheetId="4">#REF!</definedName>
    <definedName name="pp_gar_cat6_conf1">#REF!</definedName>
    <definedName name="pp_gar_cat6_conf2" localSheetId="4">#REF!</definedName>
    <definedName name="pp_gar_cat6_conf2">#REF!</definedName>
    <definedName name="pp_gar_cat6_ip123pl" localSheetId="4">#REF!</definedName>
    <definedName name="pp_gar_cat6_ip123pl">#REF!</definedName>
    <definedName name="PP_GAR_IM" localSheetId="1">#REF!</definedName>
    <definedName name="PP_GAR_IM" localSheetId="4">#REF!</definedName>
    <definedName name="PP_GAR_IM">#REF!</definedName>
    <definedName name="PP_GAR_IP" localSheetId="1">#REF!</definedName>
    <definedName name="PP_GAR_IP" localSheetId="4">#REF!</definedName>
    <definedName name="PP_GAR_IP">#REF!</definedName>
    <definedName name="PP_GAR_MB" localSheetId="1">#REF!</definedName>
    <definedName name="PP_GAR_MB" localSheetId="4">#REF!</definedName>
    <definedName name="PP_GAR_MB">#REF!</definedName>
    <definedName name="PP_GAR_MBP" localSheetId="1">#REF!</definedName>
    <definedName name="PP_GAR_MBP" localSheetId="4">#REF!</definedName>
    <definedName name="PP_GAR_MBP">#REF!</definedName>
    <definedName name="PP_GAR_MM" localSheetId="1">#REF!</definedName>
    <definedName name="PP_GAR_MM" localSheetId="4">#REF!</definedName>
    <definedName name="PP_GAR_MM">#REF!</definedName>
    <definedName name="PP_GAR_MP" localSheetId="1">#REF!</definedName>
    <definedName name="PP_GAR_MP" localSheetId="4">#REF!</definedName>
    <definedName name="PP_GAR_MP">#REF!</definedName>
    <definedName name="pr_cat1_conf2" localSheetId="4">#REF!</definedName>
    <definedName name="pr_cat1_conf2">#REF!</definedName>
    <definedName name="pr_cat1_conf3" localSheetId="4">#REF!</definedName>
    <definedName name="pr_cat1_conf3">#REF!</definedName>
    <definedName name="pr_cat1_conf4" localSheetId="4">#REF!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4">#REF!</definedName>
    <definedName name="pr_cat2_conf1">#REF!</definedName>
    <definedName name="pr_cat2_conf2" localSheetId="4">#REF!</definedName>
    <definedName name="pr_cat2_conf2">#REF!</definedName>
    <definedName name="pr_cat2_conf3" localSheetId="4">#REF!</definedName>
    <definedName name="pr_cat2_conf3">#REF!</definedName>
    <definedName name="pr_cat2_conf4" localSheetId="4">#REF!</definedName>
    <definedName name="pr_cat2_conf4">#REF!</definedName>
    <definedName name="pr_cat2_conf5" localSheetId="4">#REF!</definedName>
    <definedName name="pr_cat2_conf5">#REF!</definedName>
    <definedName name="pr_cat2_conf6" localSheetId="4">#REF!</definedName>
    <definedName name="pr_cat2_conf6">#REF!</definedName>
    <definedName name="pr_cat2_conf7" localSheetId="4">#REF!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4">#REF!</definedName>
    <definedName name="pr_cat3_conf1">#REF!</definedName>
    <definedName name="pr_cat3_conf2" localSheetId="4">#REF!</definedName>
    <definedName name="pr_cat3_conf2">#REF!</definedName>
    <definedName name="pr_cat3_conf3" localSheetId="4">#REF!</definedName>
    <definedName name="pr_cat3_conf3">#REF!</definedName>
    <definedName name="pr_cat3_me294" localSheetId="1">#REF!</definedName>
    <definedName name="pr_cat3_me664" localSheetId="1">#REF!</definedName>
    <definedName name="pr_cat3_me665" localSheetId="1">#REF!</definedName>
    <definedName name="pr_cat4_conf1" localSheetId="4">#REF!</definedName>
    <definedName name="pr_cat4_conf1">#REF!</definedName>
    <definedName name="pr_cat4_conf2" localSheetId="4">#REF!</definedName>
    <definedName name="pr_cat4_conf2">#REF!</definedName>
    <definedName name="pr_cat4_conf3" localSheetId="4">#REF!</definedName>
    <definedName name="pr_cat4_conf3">#REF!</definedName>
    <definedName name="pr_cat4_conf4" localSheetId="4">#REF!</definedName>
    <definedName name="pr_cat4_conf4">#REF!</definedName>
    <definedName name="pr_cat4_conf5" localSheetId="4">#REF!</definedName>
    <definedName name="pr_cat4_conf5">#REF!</definedName>
    <definedName name="pr_cat4_conf6" localSheetId="4">#REF!</definedName>
    <definedName name="pr_cat4_conf6">#REF!</definedName>
    <definedName name="pr_cat4_md387" localSheetId="1">#REF!</definedName>
    <definedName name="pr_cat4_md388" localSheetId="1">#REF!</definedName>
    <definedName name="pr_cat5_conf1" localSheetId="4">#REF!</definedName>
    <definedName name="pr_cat5_conf1">#REF!</definedName>
    <definedName name="pr_cat5_conf2" localSheetId="4">#REF!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4">#REF!</definedName>
    <definedName name="pr_cat6_conf1">#REF!</definedName>
    <definedName name="pr_cat6_conf2" localSheetId="4">#REF!</definedName>
    <definedName name="pr_cat6_conf2">#REF!</definedName>
    <definedName name="pr_cat6_conf3" localSheetId="4">#REF!</definedName>
    <definedName name="pr_cat6_conf3">#REF!</definedName>
    <definedName name="pr_cat6_conf4" localSheetId="4">#REF!</definedName>
    <definedName name="pr_cat6_conf4">#REF!</definedName>
    <definedName name="pr_cat6_conf5" localSheetId="4">#REF!</definedName>
    <definedName name="pr_cat6_conf5">#REF!</definedName>
    <definedName name="pr_cat6_conf6" localSheetId="4">#REF!</definedName>
    <definedName name="pr_cat6_conf6">#REF!</definedName>
    <definedName name="pr_cat6_conf7" localSheetId="4">#REF!</definedName>
    <definedName name="pr_cat6_conf7">#REF!</definedName>
    <definedName name="pr_cat6_conf8" localSheetId="4">#REF!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4">#REF!</definedName>
    <definedName name="pr_cat8conf1">#REF!</definedName>
    <definedName name="pr_cat8conf5" localSheetId="4">#REF!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4">#REF!</definedName>
    <definedName name="Prix_remisé___HT">#REF!</definedName>
    <definedName name="ra_acc_ipad">#REF!</definedName>
    <definedName name="ra_acc_ipad_nd7" localSheetId="4">#REF!</definedName>
    <definedName name="ra_acc_ipad_nd7">#REF!</definedName>
    <definedName name="ra_acc_mac">#REF!</definedName>
    <definedName name="ra_acc_mac_nd7" localSheetId="4">#REF!</definedName>
    <definedName name="ra_acc_mac_nd7">#REF!</definedName>
    <definedName name="ra_acc_nodac">#REF!</definedName>
    <definedName name="ra_acc_nodac_nd7" localSheetId="4">#REF!</definedName>
    <definedName name="ra_acc_nodac_nd7">#REF!</definedName>
    <definedName name="ra_ace">#REF!</definedName>
    <definedName name="ra_app">#REF!</definedName>
    <definedName name="ra_app_nd7" localSheetId="4">#REF!</definedName>
    <definedName name="ra_app_nd7">#REF!</definedName>
    <definedName name="ra_appplus">#REF!</definedName>
    <definedName name="ra_atv_eg">#REF!</definedName>
    <definedName name="ra_atv_eg_nd7" localSheetId="4">#REF!</definedName>
    <definedName name="ra_atv_eg_nd7">#REF!</definedName>
    <definedName name="ra_atv_hg">#REF!</definedName>
    <definedName name="ra_atv_hg_nd7" localSheetId="4">#REF!</definedName>
    <definedName name="ra_atv_hg_nd7">#REF!</definedName>
    <definedName name="ra_im21_eg">#REF!</definedName>
    <definedName name="ra_im21_eg_nd7" localSheetId="4">#REF!</definedName>
    <definedName name="ra_im21_eg_nd7">#REF!</definedName>
    <definedName name="ra_im21_hg">#REF!</definedName>
    <definedName name="ra_im21_hg_nd7" localSheetId="4">#REF!</definedName>
    <definedName name="ra_im21_hg_nd7">#REF!</definedName>
    <definedName name="ra_im27">#REF!</definedName>
    <definedName name="ra_im27_hg">#REF!</definedName>
    <definedName name="ra_im27_hg_nd7" localSheetId="4">#REF!</definedName>
    <definedName name="ra_im27_hg_nd7">#REF!</definedName>
    <definedName name="ra_im27_nd7" localSheetId="4">#REF!</definedName>
    <definedName name="ra_im27_nd7">#REF!</definedName>
    <definedName name="ra_imp">#REF!</definedName>
    <definedName name="ra_imp_nd7" localSheetId="4">#REF!</definedName>
    <definedName name="ra_imp_nd7">#REF!</definedName>
    <definedName name="ra_ip_eg">#REF!</definedName>
    <definedName name="ra_ip_hg">#REF!</definedName>
    <definedName name="ra_ip9_eg_nd7" localSheetId="4">#REF!</definedName>
    <definedName name="ra_ip9_eg_nd7">#REF!</definedName>
    <definedName name="ra_ip9_hg_nd7" localSheetId="4">#REF!</definedName>
    <definedName name="ra_ip9_hg_nd7">#REF!</definedName>
    <definedName name="ra_ipa10">#REF!</definedName>
    <definedName name="ra_ipm_eg">#REF!</definedName>
    <definedName name="ra_ipm_eg_nd7" localSheetId="4">#REF!</definedName>
    <definedName name="ra_ipm_eg_nd7">#REF!</definedName>
    <definedName name="ra_ipm_hg">#REF!</definedName>
    <definedName name="ra_ipm_hg_nd7" localSheetId="4">#REF!</definedName>
    <definedName name="ra_ipm_hg_nd7">#REF!</definedName>
    <definedName name="ra_ipp10">#REF!</definedName>
    <definedName name="ra_ipp10_nd7" localSheetId="4">#REF!</definedName>
    <definedName name="ra_ipp10_nd7">#REF!</definedName>
    <definedName name="ra_ipp11">#REF!</definedName>
    <definedName name="ra_ipp11_nd7" localSheetId="4">#REF!</definedName>
    <definedName name="ra_ipp11_nd7">#REF!</definedName>
    <definedName name="ra_ipp12">#REF!</definedName>
    <definedName name="ra_ipp12_nd7" localSheetId="4">#REF!</definedName>
    <definedName name="ra_ipp12_nd7">#REF!</definedName>
    <definedName name="ra_mb_eg">#REF!</definedName>
    <definedName name="ra_mb_hg">#REF!</definedName>
    <definedName name="ra_mba_eg">#REF!</definedName>
    <definedName name="ra_mba_hg">#REF!</definedName>
    <definedName name="ra_mba_hg_nd7" localSheetId="4">#REF!</definedName>
    <definedName name="ra_mba_hg_nd7">#REF!</definedName>
    <definedName name="ra_mba_mg">#REF!</definedName>
    <definedName name="ra_mba_mg_nd7" localSheetId="4">#REF!</definedName>
    <definedName name="ra_mba_mg_nd7">#REF!</definedName>
    <definedName name="ra_mbp13_eg">#REF!</definedName>
    <definedName name="ra_mbp13_eg_nd7" localSheetId="4">#REF!</definedName>
    <definedName name="ra_mbp13_eg_nd7">#REF!</definedName>
    <definedName name="ra_mbp13_hg">#REF!</definedName>
    <definedName name="ra_mbp13_hg_nd7" localSheetId="4">#REF!</definedName>
    <definedName name="ra_mbp13_hg_nd7">#REF!</definedName>
    <definedName name="ra_mbp13tbeg">#REF!</definedName>
    <definedName name="ra_mbp13tbeg_nd7" localSheetId="4">#REF!</definedName>
    <definedName name="ra_mbp13tbeg_nd7">#REF!</definedName>
    <definedName name="ra_mbp13tbhg">#REF!</definedName>
    <definedName name="ra_mbp13tbhg_nd7" localSheetId="4">#REF!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4">#REF!</definedName>
    <definedName name="ra_mbp16t_hg_nd7" localSheetId="4">#REF!</definedName>
    <definedName name="ra_mm_eg">#REF!</definedName>
    <definedName name="ra_mm_eg_nd7" localSheetId="4">#REF!</definedName>
    <definedName name="ra_mm_eg_nd7">#REF!</definedName>
    <definedName name="ra_mm_hg">#REF!</definedName>
    <definedName name="ra_mm_hg_nd7" localSheetId="4">#REF!</definedName>
    <definedName name="ra_mm_hg_nd7">#REF!</definedName>
    <definedName name="ra_mm_mg">#REF!</definedName>
    <definedName name="ra_moniteur">#REF!</definedName>
    <definedName name="ra_moniteur_nd7" localSheetId="4">#REF!</definedName>
    <definedName name="ra_moniteur_nd7">#REF!</definedName>
    <definedName name="ra_mp_eg">#REF!</definedName>
    <definedName name="ra_mp_eg_nd7" localSheetId="4">#REF!</definedName>
    <definedName name="ra_mp_eg_nd7">#REF!</definedName>
    <definedName name="ra_mp_hg">#REF!</definedName>
    <definedName name="ra_mp_hg_nd7" localSheetId="4">#REF!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4">#REF!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remises'!$A$70</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4">#REF!</definedName>
    <definedName name="som_cat1_conf1">#REF!</definedName>
    <definedName name="som_cat1_conf2" localSheetId="4">#REF!</definedName>
    <definedName name="som_cat1_conf2">#REF!</definedName>
    <definedName name="som_cat2_conf1" localSheetId="4">#REF!</definedName>
    <definedName name="som_cat2_conf1">#REF!</definedName>
    <definedName name="som_cat2_conf1_evo1" localSheetId="4">#REF!</definedName>
    <definedName name="som_cat2_conf1_evo1">#REF!</definedName>
    <definedName name="som_cat2_conf1_evo2" localSheetId="4">#REF!</definedName>
    <definedName name="som_cat2_conf1_evo2">#REF!</definedName>
    <definedName name="som_cat2_conf2" localSheetId="4">#REF!</definedName>
    <definedName name="som_cat2_conf2">#REF!</definedName>
    <definedName name="som_cat2_conf2_evo1" localSheetId="4">#REF!</definedName>
    <definedName name="som_cat2_conf2_evo1">#REF!</definedName>
    <definedName name="som_cat3_conf1" localSheetId="4">#REF!</definedName>
    <definedName name="som_cat3_conf1">#REF!</definedName>
    <definedName name="som_cat4_conf1" localSheetId="4">#REF!</definedName>
    <definedName name="som_cat4_conf1">#REF!</definedName>
    <definedName name="som_cat4_conf1_evo1" localSheetId="4">#REF!</definedName>
    <definedName name="som_cat4_conf1_evo1">#REF!</definedName>
    <definedName name="som_cat4_conf1_evo2" localSheetId="4">#REF!</definedName>
    <definedName name="som_cat4_conf1_evo2">#REF!</definedName>
    <definedName name="som_cat4_conf1_evo3" localSheetId="4">#REF!</definedName>
    <definedName name="som_cat4_conf1_evo3">#REF!</definedName>
    <definedName name="som_cat4_conf1_evo4" localSheetId="4">#REF!</definedName>
    <definedName name="som_cat4_conf1_evo4">#REF!</definedName>
    <definedName name="som_cat5_conf1" localSheetId="4">#REF!</definedName>
    <definedName name="som_cat5_conf1">#REF!</definedName>
    <definedName name="som_cat5_conf2" localSheetId="4">#REF!</definedName>
    <definedName name="som_cat5_conf2">#REF!</definedName>
    <definedName name="som_cat6_conf1" localSheetId="4">#REF!</definedName>
    <definedName name="som_cat6_conf1">#REF!</definedName>
    <definedName name="som_cat6_conf1_evo1" localSheetId="4">#REF!</definedName>
    <definedName name="som_cat6_conf1_evo1">#REF!</definedName>
    <definedName name="som_cat6_conf2" localSheetId="4">#REF!</definedName>
    <definedName name="som_cat6_conf2">#REF!</definedName>
    <definedName name="som_cat6_conf2_evo1" localSheetId="4">#REF!</definedName>
    <definedName name="som_cat6_conf2_evo1">#REF!</definedName>
    <definedName name="som_cat6_conf2_evo2" localSheetId="4">#REF!</definedName>
    <definedName name="som_cat6_conf2_evo2">#REF!</definedName>
    <definedName name="som_exco" localSheetId="4">#REF!</definedName>
    <definedName name="som_exco">#REF!</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8" i="9" l="1"/>
  <c r="G8" i="9" s="1"/>
  <c r="K20" i="14" l="1"/>
  <c r="J20" i="14"/>
  <c r="I20" i="14"/>
  <c r="H20" i="14"/>
  <c r="G20" i="14"/>
  <c r="F20" i="14"/>
  <c r="E20" i="14"/>
  <c r="D20" i="14"/>
  <c r="K15" i="14" l="1"/>
  <c r="J15" i="14"/>
  <c r="I15" i="14"/>
  <c r="H15" i="14"/>
  <c r="G15" i="14"/>
  <c r="F15" i="14"/>
  <c r="E15" i="14"/>
  <c r="D15" i="14"/>
  <c r="F164" i="4" l="1"/>
  <c r="G164" i="4" s="1"/>
  <c r="F163" i="4"/>
  <c r="G163" i="4" s="1"/>
  <c r="F162" i="4"/>
  <c r="G162" i="4" s="1"/>
  <c r="S209" i="4" l="1"/>
  <c r="R209" i="4"/>
  <c r="Q209" i="4"/>
  <c r="P209" i="4"/>
  <c r="G209" i="4"/>
  <c r="S207" i="4"/>
  <c r="R207" i="4"/>
  <c r="Q207" i="4"/>
  <c r="P207" i="4"/>
  <c r="G207" i="4"/>
  <c r="S208" i="4"/>
  <c r="R208" i="4"/>
  <c r="Q208" i="4"/>
  <c r="P208" i="4"/>
  <c r="G208" i="4"/>
  <c r="S206" i="4"/>
  <c r="R206" i="4"/>
  <c r="Q206" i="4"/>
  <c r="P206" i="4"/>
  <c r="F206" i="4"/>
  <c r="G206" i="4" s="1"/>
  <c r="S205" i="4"/>
  <c r="R205" i="4"/>
  <c r="Q205" i="4"/>
  <c r="P205" i="4"/>
  <c r="F205" i="4"/>
  <c r="G205" i="4" s="1"/>
  <c r="S204" i="4"/>
  <c r="R204" i="4"/>
  <c r="Q204" i="4"/>
  <c r="P204" i="4"/>
  <c r="F204" i="4"/>
  <c r="G204" i="4" s="1"/>
  <c r="S203" i="4"/>
  <c r="R203" i="4"/>
  <c r="Q203" i="4"/>
  <c r="P203" i="4"/>
  <c r="F203" i="4"/>
  <c r="G203" i="4" s="1"/>
  <c r="S202" i="4"/>
  <c r="R202" i="4"/>
  <c r="Q202" i="4"/>
  <c r="P202" i="4"/>
  <c r="F202" i="4"/>
  <c r="G202" i="4" s="1"/>
  <c r="S201" i="4"/>
  <c r="R201" i="4"/>
  <c r="Q201" i="4"/>
  <c r="P201" i="4"/>
  <c r="F201" i="4"/>
  <c r="G201" i="4" s="1"/>
  <c r="S200" i="4"/>
  <c r="R200" i="4"/>
  <c r="Q200" i="4"/>
  <c r="P200" i="4"/>
  <c r="F200" i="4"/>
  <c r="G200" i="4" s="1"/>
  <c r="F199" i="4"/>
  <c r="G199" i="4" s="1"/>
  <c r="J199" i="4" s="1"/>
  <c r="S167" i="4"/>
  <c r="R167" i="4"/>
  <c r="Q167" i="4"/>
  <c r="P167" i="4"/>
  <c r="G167" i="4"/>
  <c r="S165" i="4"/>
  <c r="R165" i="4"/>
  <c r="Q165" i="4"/>
  <c r="P165" i="4"/>
  <c r="G165" i="4"/>
  <c r="S166" i="4"/>
  <c r="R166" i="4"/>
  <c r="Q166" i="4"/>
  <c r="P166" i="4"/>
  <c r="G166" i="4"/>
  <c r="F134" i="9"/>
  <c r="G134" i="9" s="1"/>
  <c r="S199" i="4" l="1"/>
  <c r="Q199" i="4"/>
  <c r="P199" i="4"/>
  <c r="R199" i="4"/>
  <c r="F19" i="9"/>
  <c r="G19" i="9" s="1"/>
  <c r="F658" i="9" l="1"/>
  <c r="G658" i="9" s="1"/>
  <c r="F645" i="9"/>
  <c r="G645" i="9" s="1"/>
  <c r="F633" i="9"/>
  <c r="G633" i="9" s="1"/>
  <c r="F621" i="9"/>
  <c r="G621" i="9" s="1"/>
  <c r="F609" i="9"/>
  <c r="G609" i="9" s="1"/>
  <c r="F157" i="4"/>
  <c r="G157" i="4" s="1"/>
  <c r="J157" i="4" s="1"/>
  <c r="F161" i="4"/>
  <c r="G161" i="4" s="1"/>
  <c r="S160" i="4"/>
  <c r="R160" i="4"/>
  <c r="Q160" i="4"/>
  <c r="P160" i="4"/>
  <c r="F160" i="4"/>
  <c r="G160" i="4" s="1"/>
  <c r="S159" i="4"/>
  <c r="R159" i="4"/>
  <c r="Q159" i="4"/>
  <c r="P159" i="4"/>
  <c r="F159" i="4"/>
  <c r="G159" i="4" s="1"/>
  <c r="S158" i="4"/>
  <c r="R158" i="4"/>
  <c r="Q158" i="4"/>
  <c r="P158" i="4"/>
  <c r="F158" i="4"/>
  <c r="G158" i="4" s="1"/>
  <c r="F276" i="4"/>
  <c r="G276" i="4" s="1"/>
  <c r="G123" i="4"/>
  <c r="I113" i="4" s="1"/>
  <c r="S260" i="4"/>
  <c r="R260" i="4"/>
  <c r="Q260" i="4"/>
  <c r="P260" i="4"/>
  <c r="F260" i="4"/>
  <c r="G260" i="4" s="1"/>
  <c r="S157" i="4" l="1"/>
  <c r="R157" i="4"/>
  <c r="P157" i="4"/>
  <c r="Q157" i="4"/>
  <c r="F119" i="4"/>
  <c r="G119" i="4" s="1"/>
  <c r="F409" i="9" l="1"/>
  <c r="G409" i="9" s="1"/>
  <c r="F408" i="9"/>
  <c r="G408" i="9" s="1"/>
  <c r="F419" i="9"/>
  <c r="G419" i="9" s="1"/>
  <c r="F150" i="9" l="1"/>
  <c r="G150" i="9" s="1"/>
  <c r="F259" i="9" l="1"/>
  <c r="G259" i="9" s="1"/>
  <c r="F209" i="9" l="1"/>
  <c r="G209" i="9" s="1"/>
  <c r="F208" i="9"/>
  <c r="G208" i="9" s="1"/>
  <c r="F243" i="9"/>
  <c r="G243" i="9" s="1"/>
  <c r="F244" i="9"/>
  <c r="G244" i="9" s="1"/>
  <c r="F245" i="9"/>
  <c r="G245" i="9" s="1"/>
  <c r="F242" i="9"/>
  <c r="F329" i="9" l="1"/>
  <c r="G329" i="9" s="1"/>
  <c r="F563" i="9"/>
  <c r="G563" i="9" s="1"/>
  <c r="F557" i="9"/>
  <c r="G557" i="9" s="1"/>
  <c r="F330" i="9" l="1"/>
  <c r="G437" i="9" l="1"/>
  <c r="G441" i="9"/>
  <c r="G439" i="9"/>
  <c r="G330" i="9" l="1"/>
  <c r="F353" i="9" l="1"/>
  <c r="G353" i="9" s="1"/>
  <c r="F379" i="9" l="1"/>
  <c r="G379" i="9" s="1"/>
  <c r="F378" i="9"/>
  <c r="G378" i="9" s="1"/>
  <c r="F362" i="9"/>
  <c r="G362" i="9" s="1"/>
  <c r="F305" i="9" l="1"/>
  <c r="G305" i="9" s="1"/>
  <c r="F304" i="9"/>
  <c r="G304" i="9" s="1"/>
  <c r="F303" i="9"/>
  <c r="G303" i="9" s="1"/>
  <c r="F66" i="9"/>
  <c r="G66" i="9" s="1"/>
  <c r="F65" i="9"/>
  <c r="G65" i="9" s="1"/>
  <c r="F64" i="9"/>
  <c r="G64" i="9" s="1"/>
  <c r="G102" i="9" l="1"/>
  <c r="G103" i="9"/>
  <c r="G90" i="9"/>
  <c r="G91" i="9"/>
  <c r="G89" i="9"/>
  <c r="G93" i="9"/>
  <c r="G94" i="9"/>
  <c r="G95" i="9"/>
  <c r="G97" i="9" l="1"/>
  <c r="G98" i="9"/>
  <c r="G99" i="9"/>
  <c r="G392" i="4"/>
  <c r="F200" i="9"/>
  <c r="G200" i="9" s="1"/>
  <c r="F307" i="4"/>
  <c r="G307" i="4" s="1"/>
  <c r="F316" i="4"/>
  <c r="G316" i="4" s="1"/>
  <c r="F317" i="4"/>
  <c r="G317" i="4" s="1"/>
  <c r="F186" i="4"/>
  <c r="G186" i="4" s="1"/>
  <c r="P186" i="4"/>
  <c r="Q186" i="4"/>
  <c r="R186" i="4"/>
  <c r="S186" i="4"/>
  <c r="P187" i="4"/>
  <c r="Q187" i="4"/>
  <c r="R187" i="4"/>
  <c r="S187" i="4"/>
  <c r="P190" i="4"/>
  <c r="Q190" i="4"/>
  <c r="R190" i="4"/>
  <c r="S190" i="4"/>
  <c r="P188" i="4"/>
  <c r="Q188" i="4"/>
  <c r="R188" i="4"/>
  <c r="S188" i="4"/>
  <c r="P189" i="4"/>
  <c r="Q189" i="4"/>
  <c r="R189" i="4"/>
  <c r="S189" i="4"/>
  <c r="F141" i="4"/>
  <c r="G141" i="4" s="1"/>
  <c r="P141" i="4"/>
  <c r="Q141" i="4"/>
  <c r="R141" i="4"/>
  <c r="S141" i="4"/>
  <c r="F142" i="4"/>
  <c r="G142" i="4" s="1"/>
  <c r="P142" i="4"/>
  <c r="Q142" i="4"/>
  <c r="R142" i="4"/>
  <c r="S142" i="4"/>
  <c r="F143" i="4"/>
  <c r="G143" i="4" s="1"/>
  <c r="P143" i="4"/>
  <c r="Q143" i="4"/>
  <c r="R143" i="4"/>
  <c r="S143" i="4"/>
  <c r="R144" i="4"/>
  <c r="S144" i="4"/>
  <c r="R145" i="4"/>
  <c r="S145" i="4"/>
  <c r="R146" i="4"/>
  <c r="S146" i="4"/>
  <c r="S83" i="4"/>
  <c r="R83" i="4"/>
  <c r="Q83" i="4"/>
  <c r="P83" i="4"/>
  <c r="S82" i="4"/>
  <c r="R82" i="4"/>
  <c r="Q82" i="4"/>
  <c r="P82" i="4"/>
  <c r="F476" i="9" l="1"/>
  <c r="F477" i="9"/>
  <c r="F478" i="9"/>
  <c r="F584" i="9" l="1"/>
  <c r="G584" i="9" s="1"/>
  <c r="F583" i="9"/>
  <c r="G583" i="9" s="1"/>
  <c r="F581" i="9"/>
  <c r="G581" i="9" s="1"/>
  <c r="F429" i="9"/>
  <c r="G429" i="9" s="1"/>
  <c r="F428" i="9"/>
  <c r="G428" i="9" s="1"/>
  <c r="F580" i="9"/>
  <c r="G580" i="9" s="1"/>
  <c r="F579" i="9"/>
  <c r="G579" i="9" s="1"/>
  <c r="F578" i="9"/>
  <c r="G578" i="9" s="1"/>
  <c r="F577" i="9"/>
  <c r="G577" i="9" s="1"/>
  <c r="D10" i="14" l="1"/>
  <c r="S85" i="4" l="1"/>
  <c r="R85" i="4"/>
  <c r="Q85" i="4"/>
  <c r="P85" i="4"/>
  <c r="S84" i="4"/>
  <c r="R84" i="4"/>
  <c r="Q84" i="4"/>
  <c r="P84" i="4"/>
  <c r="S58" i="4"/>
  <c r="R58" i="4"/>
  <c r="Q58" i="4"/>
  <c r="P58" i="4"/>
  <c r="S57" i="4"/>
  <c r="R57" i="4"/>
  <c r="Q57" i="4"/>
  <c r="P57" i="4"/>
  <c r="S56" i="4"/>
  <c r="R56" i="4"/>
  <c r="Q56" i="4"/>
  <c r="P56" i="4"/>
  <c r="S55" i="4"/>
  <c r="R55" i="4"/>
  <c r="Q55" i="4"/>
  <c r="P55" i="4"/>
  <c r="F360" i="9"/>
  <c r="G360" i="9" s="1"/>
  <c r="F361" i="9"/>
  <c r="G361" i="9" s="1"/>
  <c r="F363" i="9"/>
  <c r="G363" i="9" s="1"/>
  <c r="F364" i="9"/>
  <c r="G364" i="9" s="1"/>
  <c r="F365" i="9"/>
  <c r="G365" i="9" s="1"/>
  <c r="F366" i="9"/>
  <c r="G366" i="9" s="1"/>
  <c r="F471" i="9"/>
  <c r="G471" i="9" s="1"/>
  <c r="F384" i="9"/>
  <c r="G360" i="4" l="1"/>
  <c r="F352" i="4"/>
  <c r="G352" i="4" s="1"/>
  <c r="S351" i="4"/>
  <c r="R351" i="4"/>
  <c r="Q351" i="4"/>
  <c r="P351" i="4"/>
  <c r="F351" i="4"/>
  <c r="G351" i="4" s="1"/>
  <c r="S339" i="4"/>
  <c r="R339" i="4"/>
  <c r="Q339" i="4"/>
  <c r="P339" i="4"/>
  <c r="F339" i="4"/>
  <c r="G339" i="4" s="1"/>
  <c r="S338" i="4"/>
  <c r="R338" i="4"/>
  <c r="Q338" i="4"/>
  <c r="P338" i="4"/>
  <c r="F338" i="4"/>
  <c r="G338" i="4" s="1"/>
  <c r="S348" i="4"/>
  <c r="R348" i="4"/>
  <c r="Q348" i="4"/>
  <c r="P348" i="4"/>
  <c r="G348" i="4"/>
  <c r="S319" i="4" l="1"/>
  <c r="R319" i="4"/>
  <c r="Q319" i="4"/>
  <c r="P319" i="4"/>
  <c r="F319" i="4"/>
  <c r="G319" i="4" s="1"/>
  <c r="F305" i="4" l="1"/>
  <c r="G305" i="4" s="1"/>
  <c r="F69" i="4"/>
  <c r="G69" i="4" s="1"/>
  <c r="F68" i="4"/>
  <c r="G68" i="4" s="1"/>
  <c r="F67" i="4"/>
  <c r="G67" i="4" s="1"/>
  <c r="F66" i="4"/>
  <c r="G66" i="4" s="1"/>
  <c r="F65" i="4"/>
  <c r="G65" i="4" s="1"/>
  <c r="F64" i="4"/>
  <c r="G64" i="4" s="1"/>
  <c r="F63" i="4"/>
  <c r="F62" i="4"/>
  <c r="F61" i="4"/>
  <c r="S81" i="4"/>
  <c r="R81" i="4"/>
  <c r="Q81" i="4"/>
  <c r="P81" i="4"/>
  <c r="S80" i="4"/>
  <c r="R80" i="4"/>
  <c r="Q80" i="4"/>
  <c r="P80" i="4"/>
  <c r="S79" i="4"/>
  <c r="R79" i="4"/>
  <c r="Q79" i="4"/>
  <c r="P79" i="4"/>
  <c r="S78" i="4"/>
  <c r="R78" i="4"/>
  <c r="Q78" i="4"/>
  <c r="P78" i="4"/>
  <c r="S77" i="4"/>
  <c r="R77" i="4"/>
  <c r="Q77" i="4"/>
  <c r="P77" i="4"/>
  <c r="S76" i="4"/>
  <c r="R76" i="4"/>
  <c r="Q76" i="4"/>
  <c r="P76" i="4"/>
  <c r="S75" i="4"/>
  <c r="R75" i="4"/>
  <c r="Q75" i="4"/>
  <c r="P75" i="4"/>
  <c r="S74" i="4"/>
  <c r="R74" i="4"/>
  <c r="Q74" i="4"/>
  <c r="P74" i="4"/>
  <c r="S73" i="4"/>
  <c r="R73" i="4"/>
  <c r="Q73" i="4"/>
  <c r="P73" i="4"/>
  <c r="S72" i="4"/>
  <c r="R72" i="4"/>
  <c r="Q72" i="4"/>
  <c r="P72" i="4"/>
  <c r="S71" i="4"/>
  <c r="R71" i="4"/>
  <c r="Q71" i="4"/>
  <c r="P71" i="4"/>
  <c r="S70" i="4"/>
  <c r="R70" i="4"/>
  <c r="Q70" i="4"/>
  <c r="P70" i="4"/>
  <c r="F70" i="4"/>
  <c r="G70" i="4" s="1"/>
  <c r="F60" i="4"/>
  <c r="G60" i="4" s="1"/>
  <c r="G62" i="4" l="1"/>
  <c r="G63" i="4"/>
  <c r="G61" i="4"/>
  <c r="F405" i="9" l="1"/>
  <c r="G405" i="9" s="1"/>
  <c r="F404" i="9"/>
  <c r="G404" i="9" s="1"/>
  <c r="F403" i="9"/>
  <c r="G403" i="9" s="1"/>
  <c r="F169" i="9"/>
  <c r="G169" i="9" s="1"/>
  <c r="F168" i="9"/>
  <c r="G168" i="9" s="1"/>
  <c r="G478" i="9"/>
  <c r="G477" i="9"/>
  <c r="F144" i="9"/>
  <c r="G144" i="9" s="1"/>
  <c r="F143" i="9"/>
  <c r="G143" i="9" s="1"/>
  <c r="F146" i="9"/>
  <c r="G146" i="9" s="1"/>
  <c r="F141" i="9"/>
  <c r="G141" i="9" s="1"/>
  <c r="F142" i="9"/>
  <c r="G142" i="9" s="1"/>
  <c r="F140" i="9"/>
  <c r="G140" i="9" s="1"/>
  <c r="F139" i="9"/>
  <c r="G139" i="9" s="1"/>
  <c r="F174" i="9"/>
  <c r="G174" i="9" s="1"/>
  <c r="F175" i="9"/>
  <c r="G175" i="9" s="1"/>
  <c r="F173" i="9"/>
  <c r="G173" i="9" s="1"/>
  <c r="F172" i="9"/>
  <c r="G172" i="9" s="1"/>
  <c r="F131" i="9"/>
  <c r="G131" i="9" s="1"/>
  <c r="F132" i="9"/>
  <c r="G132" i="9" s="1"/>
  <c r="F130" i="9"/>
  <c r="G130" i="9" s="1"/>
  <c r="F129" i="9"/>
  <c r="G129" i="9" s="1"/>
  <c r="F128" i="9"/>
  <c r="G128" i="9" s="1"/>
  <c r="F127" i="9"/>
  <c r="G127" i="9" s="1"/>
  <c r="F126" i="9"/>
  <c r="G126" i="9" s="1"/>
  <c r="F125" i="9"/>
  <c r="G125" i="9" s="1"/>
  <c r="F124" i="9"/>
  <c r="G124" i="9" s="1"/>
  <c r="F50" i="9"/>
  <c r="G50" i="9" s="1"/>
  <c r="F668" i="9" l="1"/>
  <c r="G668" i="9" s="1"/>
  <c r="F655" i="9"/>
  <c r="G655" i="9" s="1"/>
  <c r="F642" i="9"/>
  <c r="G642" i="9" s="1"/>
  <c r="F630" i="9"/>
  <c r="G630" i="9" s="1"/>
  <c r="F618" i="9"/>
  <c r="G618" i="9" s="1"/>
  <c r="F316" i="9"/>
  <c r="G316" i="9" s="1"/>
  <c r="F327" i="9"/>
  <c r="G327" i="9" s="1"/>
  <c r="F322" i="9"/>
  <c r="F326" i="9"/>
  <c r="G326" i="9" s="1"/>
  <c r="F325" i="9"/>
  <c r="G325" i="9" s="1"/>
  <c r="F176" i="9"/>
  <c r="G176" i="9" s="1"/>
  <c r="F315" i="9"/>
  <c r="G315" i="9" s="1"/>
  <c r="F314" i="9"/>
  <c r="G314" i="9" s="1"/>
  <c r="F313" i="9"/>
  <c r="G313" i="9" s="1"/>
  <c r="F312" i="9"/>
  <c r="G312" i="9" s="1"/>
  <c r="F288" i="9"/>
  <c r="G288" i="9" s="1"/>
  <c r="F287" i="9"/>
  <c r="G287" i="9" s="1"/>
  <c r="F286" i="9"/>
  <c r="G286" i="9" s="1"/>
  <c r="F285" i="9"/>
  <c r="G285" i="9" s="1"/>
  <c r="F205" i="9"/>
  <c r="G205" i="9" s="1"/>
  <c r="F204" i="9"/>
  <c r="G204" i="9" s="1"/>
  <c r="F203" i="9"/>
  <c r="G203" i="9" s="1"/>
  <c r="F202" i="9"/>
  <c r="G202" i="9" s="1"/>
  <c r="F53" i="9"/>
  <c r="G53" i="9" s="1"/>
  <c r="F425" i="9"/>
  <c r="G425" i="9" s="1"/>
  <c r="F424" i="9"/>
  <c r="G424" i="9" s="1"/>
  <c r="F426" i="9"/>
  <c r="G426" i="9" s="1"/>
  <c r="F427" i="9"/>
  <c r="G427" i="9" s="1"/>
  <c r="F52" i="9"/>
  <c r="F26" i="9"/>
  <c r="G26" i="9" s="1"/>
  <c r="F513" i="9"/>
  <c r="G513" i="9" s="1"/>
  <c r="F23" i="9"/>
  <c r="G23" i="9" s="1"/>
  <c r="G604" i="9"/>
  <c r="G605" i="9"/>
  <c r="F185" i="9"/>
  <c r="G185" i="9" s="1"/>
  <c r="G42" i="10"/>
  <c r="F101" i="9"/>
  <c r="G101" i="9" s="1"/>
  <c r="F87" i="9"/>
  <c r="G87" i="9" s="1"/>
  <c r="F86" i="9"/>
  <c r="G86" i="9" s="1"/>
  <c r="F85" i="9"/>
  <c r="G85" i="9" s="1"/>
  <c r="F421" i="4" l="1"/>
  <c r="F422" i="4"/>
  <c r="F423" i="4"/>
  <c r="F424" i="4"/>
  <c r="F425" i="4"/>
  <c r="G33" i="10" l="1"/>
  <c r="G32" i="10"/>
  <c r="G31" i="10"/>
  <c r="G29" i="10"/>
  <c r="G27" i="10"/>
  <c r="G26" i="10"/>
  <c r="G24" i="10"/>
  <c r="G22" i="10"/>
  <c r="G20" i="10"/>
  <c r="G18" i="10"/>
  <c r="G17" i="10"/>
  <c r="F393" i="9"/>
  <c r="G393" i="9" s="1"/>
  <c r="F414" i="9"/>
  <c r="G414" i="9" s="1"/>
  <c r="F423" i="9"/>
  <c r="G423" i="9" s="1"/>
  <c r="F390" i="9"/>
  <c r="G390" i="9" s="1"/>
  <c r="G9" i="10"/>
  <c r="S229" i="4" l="1"/>
  <c r="R229" i="4"/>
  <c r="Q229" i="4"/>
  <c r="P229" i="4"/>
  <c r="F229" i="4"/>
  <c r="G229" i="4" s="1"/>
  <c r="G196" i="4" l="1"/>
  <c r="G198" i="4"/>
  <c r="G197" i="4"/>
  <c r="F194" i="4" l="1"/>
  <c r="G194" i="4" s="1"/>
  <c r="F193" i="4"/>
  <c r="G193" i="4" s="1"/>
  <c r="F192" i="4"/>
  <c r="G192" i="4" s="1"/>
  <c r="F185" i="4"/>
  <c r="S198" i="4"/>
  <c r="R198" i="4"/>
  <c r="Q198" i="4"/>
  <c r="P198" i="4"/>
  <c r="G185" i="4" l="1"/>
  <c r="J185" i="4" s="1"/>
  <c r="G154" i="4" l="1"/>
  <c r="G156" i="4"/>
  <c r="G155" i="4"/>
  <c r="S156" i="4"/>
  <c r="R156" i="4"/>
  <c r="Q156" i="4"/>
  <c r="P156" i="4"/>
  <c r="S154" i="4"/>
  <c r="R154" i="4"/>
  <c r="Q154" i="4"/>
  <c r="P154" i="4"/>
  <c r="S155" i="4"/>
  <c r="R155" i="4"/>
  <c r="Q155" i="4"/>
  <c r="P155" i="4"/>
  <c r="S153" i="4"/>
  <c r="R153" i="4"/>
  <c r="Q153" i="4"/>
  <c r="P153" i="4"/>
  <c r="F153" i="4"/>
  <c r="G153" i="4" s="1"/>
  <c r="S151" i="4"/>
  <c r="R151" i="4"/>
  <c r="Q151" i="4"/>
  <c r="P151" i="4"/>
  <c r="F151" i="4"/>
  <c r="G151" i="4" s="1"/>
  <c r="S150" i="4"/>
  <c r="R150" i="4"/>
  <c r="Q150" i="4"/>
  <c r="P150" i="4"/>
  <c r="F150" i="4"/>
  <c r="G150" i="4" s="1"/>
  <c r="S149" i="4"/>
  <c r="R149" i="4"/>
  <c r="Q149" i="4"/>
  <c r="P149" i="4"/>
  <c r="F149" i="4"/>
  <c r="G149" i="4" s="1"/>
  <c r="F140" i="4"/>
  <c r="G140" i="4" s="1"/>
  <c r="J140" i="4" s="1"/>
  <c r="R140" i="4" l="1"/>
  <c r="S140" i="4"/>
  <c r="P140" i="4"/>
  <c r="Q140" i="4"/>
  <c r="F574" i="9" l="1"/>
  <c r="G574" i="9" s="1"/>
  <c r="F573" i="9"/>
  <c r="G573" i="9" s="1"/>
  <c r="F382" i="9"/>
  <c r="G382" i="9" s="1"/>
  <c r="F566" i="9"/>
  <c r="G566" i="9" s="1"/>
  <c r="F565" i="9"/>
  <c r="G565" i="9" s="1"/>
  <c r="F572" i="9"/>
  <c r="G572" i="9" s="1"/>
  <c r="F571" i="9"/>
  <c r="G571" i="9" s="1"/>
  <c r="F570" i="9"/>
  <c r="G570" i="9" s="1"/>
  <c r="F569" i="9"/>
  <c r="G569" i="9" s="1"/>
  <c r="F568" i="9"/>
  <c r="G568" i="9" s="1"/>
  <c r="F567" i="9"/>
  <c r="G567" i="9" s="1"/>
  <c r="F562" i="9"/>
  <c r="G562" i="9" s="1"/>
  <c r="F561" i="9"/>
  <c r="G561" i="9" s="1"/>
  <c r="F560" i="9"/>
  <c r="G560" i="9" s="1"/>
  <c r="F559" i="9"/>
  <c r="G559" i="9" s="1"/>
  <c r="F162" i="9" l="1"/>
  <c r="F167" i="9"/>
  <c r="G167" i="9" s="1"/>
  <c r="F511" i="9" l="1"/>
  <c r="G511" i="9" s="1"/>
  <c r="F510" i="9"/>
  <c r="G510" i="9" s="1"/>
  <c r="F509" i="9"/>
  <c r="G509" i="9" s="1"/>
  <c r="F508" i="9"/>
  <c r="G508" i="9" s="1"/>
  <c r="F298" i="9"/>
  <c r="G298" i="9" s="1"/>
  <c r="F555" i="9"/>
  <c r="G555" i="9" s="1"/>
  <c r="F554" i="9"/>
  <c r="G554" i="9" s="1"/>
  <c r="F516" i="9" l="1"/>
  <c r="F517" i="9"/>
  <c r="F523" i="9"/>
  <c r="F147" i="9"/>
  <c r="F266" i="9" l="1"/>
  <c r="G147" i="9"/>
  <c r="F546" i="9"/>
  <c r="G546" i="9" s="1"/>
  <c r="F545" i="9"/>
  <c r="G545" i="9" s="1"/>
  <c r="F269" i="9"/>
  <c r="G269" i="9" s="1"/>
  <c r="F270" i="9"/>
  <c r="G270" i="9" s="1"/>
  <c r="F497" i="9" l="1"/>
  <c r="G497" i="9" s="1"/>
  <c r="F496" i="9"/>
  <c r="G496" i="9" s="1"/>
  <c r="F495" i="9"/>
  <c r="G495" i="9" s="1"/>
  <c r="F492" i="9"/>
  <c r="G492" i="9" s="1"/>
  <c r="F494" i="9"/>
  <c r="G494" i="9" s="1"/>
  <c r="F493" i="9"/>
  <c r="G493" i="9" s="1"/>
  <c r="F268" i="9"/>
  <c r="G268" i="9" s="1"/>
  <c r="F267" i="9"/>
  <c r="G267" i="9" s="1"/>
  <c r="G266" i="9"/>
  <c r="F221" i="9"/>
  <c r="G221" i="9" s="1"/>
  <c r="F220" i="9"/>
  <c r="G220" i="9" s="1"/>
  <c r="F219" i="9"/>
  <c r="G219" i="9" s="1"/>
  <c r="F218" i="9"/>
  <c r="G218" i="9" s="1"/>
  <c r="F224" i="9"/>
  <c r="G224" i="9" s="1"/>
  <c r="F223" i="9"/>
  <c r="G223" i="9" s="1"/>
  <c r="F222" i="9"/>
  <c r="G222" i="9" s="1"/>
  <c r="F275" i="9"/>
  <c r="G275" i="9" s="1"/>
  <c r="F240" i="9"/>
  <c r="G240" i="9" s="1"/>
  <c r="F239" i="9"/>
  <c r="G239" i="9" s="1"/>
  <c r="F230" i="9"/>
  <c r="G230" i="9" s="1"/>
  <c r="F229" i="9"/>
  <c r="G229" i="9" s="1"/>
  <c r="F228" i="9"/>
  <c r="G228" i="9" s="1"/>
  <c r="F227" i="9"/>
  <c r="G227" i="9" s="1"/>
  <c r="F226" i="9"/>
  <c r="F292" i="9"/>
  <c r="G292" i="9" s="1"/>
  <c r="F194" i="9"/>
  <c r="G194" i="9" s="1"/>
  <c r="F193" i="9"/>
  <c r="G193" i="9" s="1"/>
  <c r="F192" i="9"/>
  <c r="G192" i="9" s="1"/>
  <c r="F191" i="9"/>
  <c r="G191" i="9" s="1"/>
  <c r="F196" i="9"/>
  <c r="G196" i="9" s="1"/>
  <c r="F225" i="9"/>
  <c r="F273" i="9" l="1"/>
  <c r="F272" i="9"/>
  <c r="F271" i="9"/>
  <c r="F321" i="9"/>
  <c r="F320" i="9"/>
  <c r="F293" i="9"/>
  <c r="F323"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73" i="10"/>
  <c r="F518" i="9"/>
  <c r="G518" i="9" s="1"/>
  <c r="F542" i="9"/>
  <c r="G542" i="9" s="1"/>
  <c r="F540" i="9"/>
  <c r="G540" i="9" s="1"/>
  <c r="F538" i="9"/>
  <c r="G538" i="9" s="1"/>
  <c r="F541" i="9"/>
  <c r="G541" i="9" s="1"/>
  <c r="F537" i="9"/>
  <c r="G537" i="9" s="1"/>
  <c r="F535" i="9"/>
  <c r="G535" i="9" s="1"/>
  <c r="F536" i="9"/>
  <c r="G536" i="9" s="1"/>
  <c r="F534" i="9"/>
  <c r="G534" i="9" s="1"/>
  <c r="F533" i="9"/>
  <c r="G533" i="9" s="1"/>
  <c r="F532" i="9"/>
  <c r="G532" i="9" s="1"/>
  <c r="F531" i="9"/>
  <c r="G531" i="9" s="1"/>
  <c r="F530" i="9"/>
  <c r="G530" i="9" s="1"/>
  <c r="F373" i="9" l="1"/>
  <c r="G373" i="9" s="1"/>
  <c r="F380" i="9"/>
  <c r="G380" i="9" s="1"/>
  <c r="F381" i="9"/>
  <c r="G381" i="9" s="1"/>
  <c r="F377" i="9"/>
  <c r="G377" i="9" s="1"/>
  <c r="F376" i="9"/>
  <c r="G376" i="9" s="1"/>
  <c r="F40" i="9"/>
  <c r="G40" i="9" s="1"/>
  <c r="F39" i="9"/>
  <c r="G39" i="9" s="1"/>
  <c r="F38" i="9"/>
  <c r="G38" i="9" s="1"/>
  <c r="F43" i="9"/>
  <c r="G43" i="9" s="1"/>
  <c r="F42" i="9"/>
  <c r="G42" i="9" s="1"/>
  <c r="F41" i="9"/>
  <c r="G41" i="9" s="1"/>
  <c r="F34" i="9"/>
  <c r="G34" i="9" s="1"/>
  <c r="P7" i="4" l="1"/>
  <c r="Q7" i="4"/>
  <c r="R7" i="4"/>
  <c r="S7" i="4"/>
  <c r="P8" i="4"/>
  <c r="Q8" i="4"/>
  <c r="R8" i="4"/>
  <c r="S8" i="4"/>
  <c r="P9" i="4"/>
  <c r="Q9" i="4"/>
  <c r="R9" i="4"/>
  <c r="S9" i="4"/>
  <c r="P10" i="4"/>
  <c r="Q10" i="4"/>
  <c r="R10" i="4"/>
  <c r="S10" i="4"/>
  <c r="P11" i="4"/>
  <c r="Q11" i="4"/>
  <c r="R11" i="4"/>
  <c r="S11" i="4"/>
  <c r="P12" i="4"/>
  <c r="Q12" i="4"/>
  <c r="R12" i="4"/>
  <c r="S12" i="4"/>
  <c r="P13" i="4"/>
  <c r="Q13" i="4"/>
  <c r="R13" i="4"/>
  <c r="S13" i="4"/>
  <c r="P14" i="4"/>
  <c r="Q14" i="4"/>
  <c r="R14" i="4"/>
  <c r="S14" i="4"/>
  <c r="P15" i="4"/>
  <c r="Q15" i="4"/>
  <c r="R15" i="4"/>
  <c r="S15" i="4"/>
  <c r="P16" i="4"/>
  <c r="Q16" i="4"/>
  <c r="R16" i="4"/>
  <c r="S16" i="4"/>
  <c r="P17" i="4"/>
  <c r="Q17" i="4"/>
  <c r="R17" i="4"/>
  <c r="S17" i="4"/>
  <c r="P18" i="4"/>
  <c r="Q18" i="4"/>
  <c r="R18" i="4"/>
  <c r="S18" i="4"/>
  <c r="P19" i="4"/>
  <c r="Q19" i="4"/>
  <c r="R19" i="4"/>
  <c r="S19" i="4"/>
  <c r="P20" i="4"/>
  <c r="Q20" i="4"/>
  <c r="R20" i="4"/>
  <c r="S20" i="4"/>
  <c r="P21" i="4"/>
  <c r="Q21" i="4"/>
  <c r="R21" i="4"/>
  <c r="S21" i="4"/>
  <c r="P22" i="4"/>
  <c r="Q22" i="4"/>
  <c r="R22" i="4"/>
  <c r="S22" i="4"/>
  <c r="P23" i="4"/>
  <c r="Q23" i="4"/>
  <c r="R23" i="4"/>
  <c r="S23" i="4"/>
  <c r="P24" i="4"/>
  <c r="Q24" i="4"/>
  <c r="R24" i="4"/>
  <c r="S24" i="4"/>
  <c r="P25" i="4"/>
  <c r="Q25" i="4"/>
  <c r="R25" i="4"/>
  <c r="S25" i="4"/>
  <c r="P26" i="4"/>
  <c r="Q26" i="4"/>
  <c r="R26" i="4"/>
  <c r="S26" i="4"/>
  <c r="P27" i="4"/>
  <c r="Q27" i="4"/>
  <c r="R27" i="4"/>
  <c r="S27" i="4"/>
  <c r="P28" i="4"/>
  <c r="Q28" i="4"/>
  <c r="R28" i="4"/>
  <c r="S28" i="4"/>
  <c r="P29" i="4"/>
  <c r="Q29" i="4"/>
  <c r="R29" i="4"/>
  <c r="S29" i="4"/>
  <c r="P32" i="4"/>
  <c r="Q32" i="4"/>
  <c r="R32" i="4"/>
  <c r="S32" i="4"/>
  <c r="P33" i="4"/>
  <c r="Q33" i="4"/>
  <c r="R33" i="4"/>
  <c r="S33" i="4"/>
  <c r="P34" i="4"/>
  <c r="Q34" i="4"/>
  <c r="R34" i="4"/>
  <c r="S34" i="4"/>
  <c r="P35" i="4"/>
  <c r="Q35" i="4"/>
  <c r="R35" i="4"/>
  <c r="S35" i="4"/>
  <c r="P36" i="4"/>
  <c r="Q36" i="4"/>
  <c r="R36" i="4"/>
  <c r="S36" i="4"/>
  <c r="P37" i="4"/>
  <c r="Q37" i="4"/>
  <c r="R37" i="4"/>
  <c r="S37" i="4"/>
  <c r="P38" i="4"/>
  <c r="Q38" i="4"/>
  <c r="R38" i="4"/>
  <c r="S38" i="4"/>
  <c r="P39" i="4"/>
  <c r="Q39" i="4"/>
  <c r="R39" i="4"/>
  <c r="S39" i="4"/>
  <c r="P40" i="4"/>
  <c r="Q40" i="4"/>
  <c r="R40" i="4"/>
  <c r="S40" i="4"/>
  <c r="P41" i="4"/>
  <c r="Q41" i="4"/>
  <c r="R41" i="4"/>
  <c r="S41" i="4"/>
  <c r="P42" i="4"/>
  <c r="Q42" i="4"/>
  <c r="R42" i="4"/>
  <c r="S42" i="4"/>
  <c r="P43" i="4"/>
  <c r="Q43" i="4"/>
  <c r="R43" i="4"/>
  <c r="S43" i="4"/>
  <c r="P44" i="4"/>
  <c r="Q44" i="4"/>
  <c r="R44" i="4"/>
  <c r="S44" i="4"/>
  <c r="P45" i="4"/>
  <c r="Q45" i="4"/>
  <c r="R45" i="4"/>
  <c r="S45" i="4"/>
  <c r="P46" i="4"/>
  <c r="Q46" i="4"/>
  <c r="R46" i="4"/>
  <c r="S46" i="4"/>
  <c r="P47" i="4"/>
  <c r="Q47" i="4"/>
  <c r="R47" i="4"/>
  <c r="S47" i="4"/>
  <c r="P48" i="4"/>
  <c r="Q48" i="4"/>
  <c r="R48" i="4"/>
  <c r="S48" i="4"/>
  <c r="P49" i="4"/>
  <c r="Q49" i="4"/>
  <c r="R49" i="4"/>
  <c r="S49" i="4"/>
  <c r="P50" i="4"/>
  <c r="Q50" i="4"/>
  <c r="R50" i="4"/>
  <c r="S50" i="4"/>
  <c r="P51" i="4"/>
  <c r="Q51" i="4"/>
  <c r="R51" i="4"/>
  <c r="S51" i="4"/>
  <c r="P52" i="4"/>
  <c r="Q52" i="4"/>
  <c r="R52" i="4"/>
  <c r="S52" i="4"/>
  <c r="P53" i="4"/>
  <c r="Q53" i="4"/>
  <c r="R53" i="4"/>
  <c r="S53" i="4"/>
  <c r="P54" i="4"/>
  <c r="Q54" i="4"/>
  <c r="R54" i="4"/>
  <c r="S54" i="4"/>
  <c r="P123" i="4"/>
  <c r="Q123" i="4"/>
  <c r="R123" i="4"/>
  <c r="S123" i="4"/>
  <c r="P114" i="4"/>
  <c r="Q114" i="4"/>
  <c r="R114" i="4"/>
  <c r="S114" i="4"/>
  <c r="P115" i="4"/>
  <c r="Q115" i="4"/>
  <c r="R115" i="4"/>
  <c r="S115" i="4"/>
  <c r="P117" i="4"/>
  <c r="Q117" i="4"/>
  <c r="R117" i="4"/>
  <c r="S117" i="4"/>
  <c r="P118" i="4"/>
  <c r="Q118" i="4"/>
  <c r="R118" i="4"/>
  <c r="S118" i="4"/>
  <c r="P121" i="4"/>
  <c r="Q121" i="4"/>
  <c r="R121" i="4"/>
  <c r="S121" i="4"/>
  <c r="P120" i="4"/>
  <c r="Q120" i="4"/>
  <c r="R120" i="4"/>
  <c r="S120" i="4"/>
  <c r="P122" i="4"/>
  <c r="Q122" i="4"/>
  <c r="R122" i="4"/>
  <c r="S122" i="4"/>
  <c r="P124" i="4"/>
  <c r="Q124" i="4"/>
  <c r="R124" i="4"/>
  <c r="S124" i="4"/>
  <c r="P125" i="4"/>
  <c r="Q125" i="4"/>
  <c r="R125" i="4"/>
  <c r="S125" i="4"/>
  <c r="P126" i="4"/>
  <c r="Q126" i="4"/>
  <c r="R126" i="4"/>
  <c r="S126" i="4"/>
  <c r="P127" i="4"/>
  <c r="Q127" i="4"/>
  <c r="R127" i="4"/>
  <c r="S127" i="4"/>
  <c r="P128" i="4"/>
  <c r="Q128" i="4"/>
  <c r="R128" i="4"/>
  <c r="S128" i="4"/>
  <c r="P129" i="4"/>
  <c r="Q129" i="4"/>
  <c r="R129" i="4"/>
  <c r="S129" i="4"/>
  <c r="P130" i="4"/>
  <c r="Q130" i="4"/>
  <c r="R130" i="4"/>
  <c r="S130" i="4"/>
  <c r="P131" i="4"/>
  <c r="Q131" i="4"/>
  <c r="R131" i="4"/>
  <c r="S131" i="4"/>
  <c r="P132" i="4"/>
  <c r="Q132" i="4"/>
  <c r="R132" i="4"/>
  <c r="S132" i="4"/>
  <c r="P133" i="4"/>
  <c r="Q133" i="4"/>
  <c r="R133" i="4"/>
  <c r="S133" i="4"/>
  <c r="P134" i="4"/>
  <c r="Q134" i="4"/>
  <c r="R134" i="4"/>
  <c r="S134" i="4"/>
  <c r="P135" i="4"/>
  <c r="Q135" i="4"/>
  <c r="R135" i="4"/>
  <c r="S135" i="4"/>
  <c r="P136" i="4"/>
  <c r="Q136" i="4"/>
  <c r="R136" i="4"/>
  <c r="S136" i="4"/>
  <c r="P137" i="4"/>
  <c r="Q137" i="4"/>
  <c r="R137" i="4"/>
  <c r="S137" i="4"/>
  <c r="P138" i="4"/>
  <c r="Q138" i="4"/>
  <c r="R138" i="4"/>
  <c r="S138" i="4"/>
  <c r="P168" i="4"/>
  <c r="Q168" i="4"/>
  <c r="R168" i="4"/>
  <c r="S168" i="4"/>
  <c r="P169" i="4"/>
  <c r="Q169" i="4"/>
  <c r="R169" i="4"/>
  <c r="S169" i="4"/>
  <c r="P170" i="4"/>
  <c r="Q170" i="4"/>
  <c r="R170" i="4"/>
  <c r="S170" i="4"/>
  <c r="P171" i="4"/>
  <c r="Q171" i="4"/>
  <c r="R171" i="4"/>
  <c r="S171" i="4"/>
  <c r="P172" i="4"/>
  <c r="Q172" i="4"/>
  <c r="R172" i="4"/>
  <c r="S172" i="4"/>
  <c r="P173" i="4"/>
  <c r="Q173" i="4"/>
  <c r="R173" i="4"/>
  <c r="S173" i="4"/>
  <c r="P174" i="4"/>
  <c r="Q174" i="4"/>
  <c r="R174" i="4"/>
  <c r="S174" i="4"/>
  <c r="P175" i="4"/>
  <c r="Q175" i="4"/>
  <c r="R175" i="4"/>
  <c r="S175" i="4"/>
  <c r="P176" i="4"/>
  <c r="Q176" i="4"/>
  <c r="R176" i="4"/>
  <c r="S176" i="4"/>
  <c r="P177" i="4"/>
  <c r="Q177" i="4"/>
  <c r="R177" i="4"/>
  <c r="S177" i="4"/>
  <c r="P178" i="4"/>
  <c r="Q178" i="4"/>
  <c r="R178" i="4"/>
  <c r="S178" i="4"/>
  <c r="P179" i="4"/>
  <c r="Q179" i="4"/>
  <c r="R179" i="4"/>
  <c r="S179" i="4"/>
  <c r="P180" i="4"/>
  <c r="Q180" i="4"/>
  <c r="R180" i="4"/>
  <c r="S180" i="4"/>
  <c r="P181" i="4"/>
  <c r="Q181" i="4"/>
  <c r="R181" i="4"/>
  <c r="S181" i="4"/>
  <c r="P182" i="4"/>
  <c r="Q182" i="4"/>
  <c r="R182" i="4"/>
  <c r="S182" i="4"/>
  <c r="P183" i="4"/>
  <c r="Q183" i="4"/>
  <c r="R183" i="4"/>
  <c r="S183" i="4"/>
  <c r="P192" i="4"/>
  <c r="Q192" i="4"/>
  <c r="R192" i="4"/>
  <c r="S192" i="4"/>
  <c r="P193" i="4"/>
  <c r="Q193" i="4"/>
  <c r="R193" i="4"/>
  <c r="S193" i="4"/>
  <c r="P194" i="4"/>
  <c r="Q194" i="4"/>
  <c r="R194" i="4"/>
  <c r="S194" i="4"/>
  <c r="P197" i="4"/>
  <c r="Q197" i="4"/>
  <c r="R197" i="4"/>
  <c r="S197" i="4"/>
  <c r="P196" i="4"/>
  <c r="Q196" i="4"/>
  <c r="R196" i="4"/>
  <c r="S196" i="4"/>
  <c r="P210" i="4"/>
  <c r="Q210" i="4"/>
  <c r="R210" i="4"/>
  <c r="S210" i="4"/>
  <c r="P211" i="4"/>
  <c r="Q211" i="4"/>
  <c r="R211" i="4"/>
  <c r="S211" i="4"/>
  <c r="P212" i="4"/>
  <c r="Q212" i="4"/>
  <c r="R212" i="4"/>
  <c r="S212" i="4"/>
  <c r="P213" i="4"/>
  <c r="Q213" i="4"/>
  <c r="R213" i="4"/>
  <c r="S213" i="4"/>
  <c r="P214" i="4"/>
  <c r="Q214" i="4"/>
  <c r="R214" i="4"/>
  <c r="S214" i="4"/>
  <c r="P215" i="4"/>
  <c r="Q215" i="4"/>
  <c r="R215" i="4"/>
  <c r="S215" i="4"/>
  <c r="P216" i="4"/>
  <c r="Q216" i="4"/>
  <c r="R216" i="4"/>
  <c r="S216" i="4"/>
  <c r="P217" i="4"/>
  <c r="Q217" i="4"/>
  <c r="R217" i="4"/>
  <c r="S217" i="4"/>
  <c r="P218" i="4"/>
  <c r="Q218" i="4"/>
  <c r="R218" i="4"/>
  <c r="S218" i="4"/>
  <c r="P219" i="4"/>
  <c r="Q219" i="4"/>
  <c r="R219" i="4"/>
  <c r="S219" i="4"/>
  <c r="P220" i="4"/>
  <c r="Q220" i="4"/>
  <c r="R220" i="4"/>
  <c r="S220" i="4"/>
  <c r="P221" i="4"/>
  <c r="Q221" i="4"/>
  <c r="R221" i="4"/>
  <c r="S221" i="4"/>
  <c r="P222" i="4"/>
  <c r="Q222" i="4"/>
  <c r="R222" i="4"/>
  <c r="S222" i="4"/>
  <c r="P223" i="4"/>
  <c r="Q223" i="4"/>
  <c r="R223" i="4"/>
  <c r="S223" i="4"/>
  <c r="P224" i="4"/>
  <c r="Q224" i="4"/>
  <c r="R224" i="4"/>
  <c r="S224" i="4"/>
  <c r="P225" i="4"/>
  <c r="Q225" i="4"/>
  <c r="R225" i="4"/>
  <c r="S225" i="4"/>
  <c r="P228" i="4"/>
  <c r="Q228" i="4"/>
  <c r="R228" i="4"/>
  <c r="S228" i="4"/>
  <c r="P230" i="4"/>
  <c r="Q230" i="4"/>
  <c r="R230" i="4"/>
  <c r="S230" i="4"/>
  <c r="P231" i="4"/>
  <c r="Q231" i="4"/>
  <c r="R231" i="4"/>
  <c r="S231" i="4"/>
  <c r="P232" i="4"/>
  <c r="Q232" i="4"/>
  <c r="R232" i="4"/>
  <c r="S232" i="4"/>
  <c r="P233" i="4"/>
  <c r="Q233" i="4"/>
  <c r="R233" i="4"/>
  <c r="S233" i="4"/>
  <c r="P242" i="4"/>
  <c r="Q242" i="4"/>
  <c r="R242" i="4"/>
  <c r="S242" i="4"/>
  <c r="P243" i="4"/>
  <c r="Q243" i="4"/>
  <c r="R243" i="4"/>
  <c r="S243" i="4"/>
  <c r="P244" i="4"/>
  <c r="Q244" i="4"/>
  <c r="R244" i="4"/>
  <c r="S244" i="4"/>
  <c r="P245" i="4"/>
  <c r="Q245" i="4"/>
  <c r="R245" i="4"/>
  <c r="S245" i="4"/>
  <c r="P246" i="4"/>
  <c r="Q246" i="4"/>
  <c r="R246" i="4"/>
  <c r="S246" i="4"/>
  <c r="P247" i="4"/>
  <c r="Q247" i="4"/>
  <c r="R247" i="4"/>
  <c r="S247" i="4"/>
  <c r="P248" i="4"/>
  <c r="Q248" i="4"/>
  <c r="R248" i="4"/>
  <c r="S248" i="4"/>
  <c r="P249" i="4"/>
  <c r="Q249" i="4"/>
  <c r="R249" i="4"/>
  <c r="S249" i="4"/>
  <c r="P250" i="4"/>
  <c r="Q250" i="4"/>
  <c r="R250" i="4"/>
  <c r="S250" i="4"/>
  <c r="P251" i="4"/>
  <c r="Q251" i="4"/>
  <c r="R251" i="4"/>
  <c r="S251" i="4"/>
  <c r="P252" i="4"/>
  <c r="Q252" i="4"/>
  <c r="R252" i="4"/>
  <c r="S252" i="4"/>
  <c r="P253" i="4"/>
  <c r="Q253" i="4"/>
  <c r="R253" i="4"/>
  <c r="S253" i="4"/>
  <c r="P254" i="4"/>
  <c r="Q254" i="4"/>
  <c r="R254" i="4"/>
  <c r="S254" i="4"/>
  <c r="P255" i="4"/>
  <c r="Q255" i="4"/>
  <c r="R255" i="4"/>
  <c r="S255" i="4"/>
  <c r="P256" i="4"/>
  <c r="Q256" i="4"/>
  <c r="R256" i="4"/>
  <c r="S256" i="4"/>
  <c r="P235" i="4"/>
  <c r="Q235" i="4"/>
  <c r="R235" i="4"/>
  <c r="S235" i="4"/>
  <c r="P236" i="4"/>
  <c r="Q236" i="4"/>
  <c r="R236" i="4"/>
  <c r="S236" i="4"/>
  <c r="P237" i="4"/>
  <c r="Q237" i="4"/>
  <c r="R237" i="4"/>
  <c r="S237" i="4"/>
  <c r="P238" i="4"/>
  <c r="Q238" i="4"/>
  <c r="R238" i="4"/>
  <c r="S238" i="4"/>
  <c r="P239" i="4"/>
  <c r="Q239" i="4"/>
  <c r="R239" i="4"/>
  <c r="S239" i="4"/>
  <c r="P240" i="4"/>
  <c r="Q240" i="4"/>
  <c r="R240" i="4"/>
  <c r="S240" i="4"/>
  <c r="P241" i="4"/>
  <c r="Q241" i="4"/>
  <c r="R241" i="4"/>
  <c r="S241" i="4"/>
  <c r="P259" i="4"/>
  <c r="Q259" i="4"/>
  <c r="R259" i="4"/>
  <c r="S259" i="4"/>
  <c r="P261" i="4"/>
  <c r="Q261" i="4"/>
  <c r="R261" i="4"/>
  <c r="S261" i="4"/>
  <c r="P262" i="4"/>
  <c r="Q262" i="4"/>
  <c r="R262" i="4"/>
  <c r="S262" i="4"/>
  <c r="P263" i="4"/>
  <c r="Q263" i="4"/>
  <c r="R263" i="4"/>
  <c r="S263" i="4"/>
  <c r="P264" i="4"/>
  <c r="Q264" i="4"/>
  <c r="R264" i="4"/>
  <c r="S264" i="4"/>
  <c r="P265" i="4"/>
  <c r="Q265" i="4"/>
  <c r="R265" i="4"/>
  <c r="S265" i="4"/>
  <c r="P267" i="4"/>
  <c r="Q267" i="4"/>
  <c r="R267" i="4"/>
  <c r="S267" i="4"/>
  <c r="P266" i="4"/>
  <c r="Q266" i="4"/>
  <c r="R266" i="4"/>
  <c r="S266" i="4"/>
  <c r="P268" i="4"/>
  <c r="Q268" i="4"/>
  <c r="R268" i="4"/>
  <c r="S268" i="4"/>
  <c r="P270" i="4"/>
  <c r="Q270" i="4"/>
  <c r="R270" i="4"/>
  <c r="S270" i="4"/>
  <c r="P269" i="4"/>
  <c r="Q269" i="4"/>
  <c r="R269" i="4"/>
  <c r="S269" i="4"/>
  <c r="P271" i="4"/>
  <c r="Q271" i="4"/>
  <c r="R271" i="4"/>
  <c r="S271" i="4"/>
  <c r="P273" i="4"/>
  <c r="Q273" i="4"/>
  <c r="R273" i="4"/>
  <c r="S273" i="4"/>
  <c r="P272" i="4"/>
  <c r="Q272" i="4"/>
  <c r="R272" i="4"/>
  <c r="S272" i="4"/>
  <c r="P275" i="4"/>
  <c r="Q275" i="4"/>
  <c r="R275" i="4"/>
  <c r="S275" i="4"/>
  <c r="P277" i="4"/>
  <c r="Q277" i="4"/>
  <c r="R277" i="4"/>
  <c r="S277" i="4"/>
  <c r="P278" i="4"/>
  <c r="Q278" i="4"/>
  <c r="R278" i="4"/>
  <c r="S278" i="4"/>
  <c r="P279" i="4"/>
  <c r="Q279" i="4"/>
  <c r="R279" i="4"/>
  <c r="S279" i="4"/>
  <c r="P280" i="4"/>
  <c r="Q280" i="4"/>
  <c r="R280" i="4"/>
  <c r="S280" i="4"/>
  <c r="P281" i="4"/>
  <c r="Q281" i="4"/>
  <c r="R281" i="4"/>
  <c r="S281" i="4"/>
  <c r="P283" i="4"/>
  <c r="Q283" i="4"/>
  <c r="R283" i="4"/>
  <c r="S283" i="4"/>
  <c r="P282" i="4"/>
  <c r="Q282" i="4"/>
  <c r="R282" i="4"/>
  <c r="S282" i="4"/>
  <c r="P284" i="4"/>
  <c r="Q284" i="4"/>
  <c r="R284" i="4"/>
  <c r="S284" i="4"/>
  <c r="P286" i="4"/>
  <c r="Q286" i="4"/>
  <c r="R286" i="4"/>
  <c r="S286" i="4"/>
  <c r="P285" i="4"/>
  <c r="Q285" i="4"/>
  <c r="R285" i="4"/>
  <c r="S285" i="4"/>
  <c r="P287" i="4"/>
  <c r="Q287" i="4"/>
  <c r="R287" i="4"/>
  <c r="S287" i="4"/>
  <c r="P288" i="4"/>
  <c r="Q288" i="4"/>
  <c r="R288" i="4"/>
  <c r="S288" i="4"/>
  <c r="P289" i="4"/>
  <c r="Q289" i="4"/>
  <c r="R289" i="4"/>
  <c r="S289" i="4"/>
  <c r="P290" i="4"/>
  <c r="Q290" i="4"/>
  <c r="R290" i="4"/>
  <c r="S290" i="4"/>
  <c r="P291" i="4"/>
  <c r="Q291" i="4"/>
  <c r="R291" i="4"/>
  <c r="S291" i="4"/>
  <c r="P292" i="4"/>
  <c r="Q292" i="4"/>
  <c r="R292" i="4"/>
  <c r="S292" i="4"/>
  <c r="P293" i="4"/>
  <c r="Q293" i="4"/>
  <c r="R293" i="4"/>
  <c r="S293" i="4"/>
  <c r="P294" i="4"/>
  <c r="Q294" i="4"/>
  <c r="R294" i="4"/>
  <c r="S294" i="4"/>
  <c r="P295" i="4"/>
  <c r="Q295" i="4"/>
  <c r="R295" i="4"/>
  <c r="S295" i="4"/>
  <c r="P296" i="4"/>
  <c r="Q296" i="4"/>
  <c r="R296" i="4"/>
  <c r="S296" i="4"/>
  <c r="P297" i="4"/>
  <c r="Q297" i="4"/>
  <c r="R297" i="4"/>
  <c r="S297" i="4"/>
  <c r="P298" i="4"/>
  <c r="Q298" i="4"/>
  <c r="R298" i="4"/>
  <c r="S298" i="4"/>
  <c r="P299" i="4"/>
  <c r="Q299" i="4"/>
  <c r="R299" i="4"/>
  <c r="S299" i="4"/>
  <c r="P300" i="4"/>
  <c r="Q300" i="4"/>
  <c r="R300" i="4"/>
  <c r="S300" i="4"/>
  <c r="P301" i="4"/>
  <c r="Q301" i="4"/>
  <c r="R301" i="4"/>
  <c r="S301" i="4"/>
  <c r="P340" i="4"/>
  <c r="Q340" i="4"/>
  <c r="R340" i="4"/>
  <c r="S340" i="4"/>
  <c r="P341" i="4"/>
  <c r="Q341" i="4"/>
  <c r="R341" i="4"/>
  <c r="S341" i="4"/>
  <c r="P342" i="4"/>
  <c r="Q342" i="4"/>
  <c r="R342" i="4"/>
  <c r="S342" i="4"/>
  <c r="P343" i="4"/>
  <c r="Q343" i="4"/>
  <c r="R343" i="4"/>
  <c r="S343" i="4"/>
  <c r="P344" i="4"/>
  <c r="Q344" i="4"/>
  <c r="R344" i="4"/>
  <c r="S344" i="4"/>
  <c r="P345" i="4"/>
  <c r="Q345" i="4"/>
  <c r="R345" i="4"/>
  <c r="S345" i="4"/>
  <c r="P349" i="4"/>
  <c r="Q349" i="4"/>
  <c r="R349" i="4"/>
  <c r="S349" i="4"/>
  <c r="P347" i="4"/>
  <c r="Q347" i="4"/>
  <c r="R347" i="4"/>
  <c r="S347" i="4"/>
  <c r="P346" i="4"/>
  <c r="Q346" i="4"/>
  <c r="R346" i="4"/>
  <c r="S346" i="4"/>
  <c r="P362" i="4"/>
  <c r="Q362" i="4"/>
  <c r="R362" i="4"/>
  <c r="S362" i="4"/>
  <c r="P363" i="4"/>
  <c r="Q363" i="4"/>
  <c r="R363" i="4"/>
  <c r="S363" i="4"/>
  <c r="P364" i="4"/>
  <c r="Q364" i="4"/>
  <c r="R364" i="4"/>
  <c r="S364" i="4"/>
  <c r="P365" i="4"/>
  <c r="Q365" i="4"/>
  <c r="R365" i="4"/>
  <c r="S365" i="4"/>
  <c r="P366" i="4"/>
  <c r="Q366" i="4"/>
  <c r="R366" i="4"/>
  <c r="S366" i="4"/>
  <c r="P367" i="4"/>
  <c r="Q367" i="4"/>
  <c r="R367" i="4"/>
  <c r="S367" i="4"/>
  <c r="P368" i="4"/>
  <c r="Q368" i="4"/>
  <c r="R368" i="4"/>
  <c r="S368" i="4"/>
  <c r="P369" i="4"/>
  <c r="Q369" i="4"/>
  <c r="R369" i="4"/>
  <c r="S369" i="4"/>
  <c r="P370" i="4"/>
  <c r="Q370" i="4"/>
  <c r="R370" i="4"/>
  <c r="S370" i="4"/>
  <c r="P371" i="4"/>
  <c r="Q371" i="4"/>
  <c r="R371" i="4"/>
  <c r="S371" i="4"/>
  <c r="P372" i="4"/>
  <c r="Q372" i="4"/>
  <c r="R372" i="4"/>
  <c r="S372" i="4"/>
  <c r="P373" i="4"/>
  <c r="Q373" i="4"/>
  <c r="R373" i="4"/>
  <c r="S373" i="4"/>
  <c r="P374" i="4"/>
  <c r="Q374" i="4"/>
  <c r="R374" i="4"/>
  <c r="S374" i="4"/>
  <c r="P375" i="4"/>
  <c r="Q375" i="4"/>
  <c r="R375" i="4"/>
  <c r="S375" i="4"/>
  <c r="P376" i="4"/>
  <c r="Q376" i="4"/>
  <c r="R376" i="4"/>
  <c r="S376" i="4"/>
  <c r="P353" i="4"/>
  <c r="Q353" i="4"/>
  <c r="R353" i="4"/>
  <c r="S353" i="4"/>
  <c r="P354" i="4"/>
  <c r="Q354" i="4"/>
  <c r="R354" i="4"/>
  <c r="S354" i="4"/>
  <c r="P355" i="4"/>
  <c r="Q355" i="4"/>
  <c r="R355" i="4"/>
  <c r="S355" i="4"/>
  <c r="P356" i="4"/>
  <c r="Q356" i="4"/>
  <c r="R356" i="4"/>
  <c r="S356" i="4"/>
  <c r="P357" i="4"/>
  <c r="Q357" i="4"/>
  <c r="R357" i="4"/>
  <c r="S357" i="4"/>
  <c r="P358" i="4"/>
  <c r="Q358" i="4"/>
  <c r="R358" i="4"/>
  <c r="S358" i="4"/>
  <c r="P361" i="4"/>
  <c r="Q361" i="4"/>
  <c r="R361" i="4"/>
  <c r="S361" i="4"/>
  <c r="P359" i="4"/>
  <c r="Q359" i="4"/>
  <c r="R359" i="4"/>
  <c r="S359" i="4"/>
  <c r="P304" i="4"/>
  <c r="Q304" i="4"/>
  <c r="R304" i="4"/>
  <c r="S304" i="4"/>
  <c r="P306" i="4"/>
  <c r="Q306" i="4"/>
  <c r="R306" i="4"/>
  <c r="S306" i="4"/>
  <c r="P308" i="4"/>
  <c r="Q308" i="4"/>
  <c r="R308" i="4"/>
  <c r="S308" i="4"/>
  <c r="P309" i="4"/>
  <c r="Q309" i="4"/>
  <c r="R309" i="4"/>
  <c r="S309" i="4"/>
  <c r="P310" i="4"/>
  <c r="Q310" i="4"/>
  <c r="R310" i="4"/>
  <c r="S310" i="4"/>
  <c r="P311" i="4"/>
  <c r="Q311" i="4"/>
  <c r="R311" i="4"/>
  <c r="S311" i="4"/>
  <c r="P313" i="4"/>
  <c r="Q313" i="4"/>
  <c r="R313" i="4"/>
  <c r="S313" i="4"/>
  <c r="P314" i="4"/>
  <c r="Q314" i="4"/>
  <c r="R314" i="4"/>
  <c r="S314" i="4"/>
  <c r="P315" i="4"/>
  <c r="Q315" i="4"/>
  <c r="R315" i="4"/>
  <c r="S315" i="4"/>
  <c r="P318" i="4"/>
  <c r="Q318" i="4"/>
  <c r="R318" i="4"/>
  <c r="S318" i="4"/>
  <c r="P320" i="4"/>
  <c r="Q320" i="4"/>
  <c r="R320" i="4"/>
  <c r="S320" i="4"/>
  <c r="P321" i="4"/>
  <c r="Q321" i="4"/>
  <c r="R321" i="4"/>
  <c r="S321" i="4"/>
  <c r="P322" i="4"/>
  <c r="Q322" i="4"/>
  <c r="R322" i="4"/>
  <c r="S322" i="4"/>
  <c r="P323" i="4"/>
  <c r="Q323" i="4"/>
  <c r="R323" i="4"/>
  <c r="S323" i="4"/>
  <c r="P324" i="4"/>
  <c r="Q324" i="4"/>
  <c r="R324" i="4"/>
  <c r="S324" i="4"/>
  <c r="P325" i="4"/>
  <c r="Q325" i="4"/>
  <c r="R325" i="4"/>
  <c r="S325" i="4"/>
  <c r="P326" i="4"/>
  <c r="Q326" i="4"/>
  <c r="R326" i="4"/>
  <c r="S326" i="4"/>
  <c r="P327" i="4"/>
  <c r="Q327" i="4"/>
  <c r="R327" i="4"/>
  <c r="S327" i="4"/>
  <c r="P328" i="4"/>
  <c r="Q328" i="4"/>
  <c r="R328" i="4"/>
  <c r="S328" i="4"/>
  <c r="P329" i="4"/>
  <c r="Q329" i="4"/>
  <c r="R329" i="4"/>
  <c r="S329" i="4"/>
  <c r="P330" i="4"/>
  <c r="Q330" i="4"/>
  <c r="R330" i="4"/>
  <c r="S330" i="4"/>
  <c r="P331" i="4"/>
  <c r="Q331" i="4"/>
  <c r="R331" i="4"/>
  <c r="S331" i="4"/>
  <c r="P332" i="4"/>
  <c r="Q332" i="4"/>
  <c r="R332" i="4"/>
  <c r="S332" i="4"/>
  <c r="P333" i="4"/>
  <c r="Q333" i="4"/>
  <c r="R333" i="4"/>
  <c r="S333" i="4"/>
  <c r="P334" i="4"/>
  <c r="Q334" i="4"/>
  <c r="R334" i="4"/>
  <c r="S334" i="4"/>
  <c r="P335" i="4"/>
  <c r="Q335" i="4"/>
  <c r="R335" i="4"/>
  <c r="S335" i="4"/>
  <c r="P382" i="4"/>
  <c r="Q382" i="4"/>
  <c r="R382" i="4"/>
  <c r="S382" i="4"/>
  <c r="P383" i="4"/>
  <c r="Q383" i="4"/>
  <c r="R383" i="4"/>
  <c r="S383" i="4"/>
  <c r="P384" i="4"/>
  <c r="Q384" i="4"/>
  <c r="R384" i="4"/>
  <c r="S384" i="4"/>
  <c r="P385" i="4"/>
  <c r="Q385" i="4"/>
  <c r="R385" i="4"/>
  <c r="S385" i="4"/>
  <c r="P386" i="4"/>
  <c r="Q386" i="4"/>
  <c r="R386" i="4"/>
  <c r="S386" i="4"/>
  <c r="P392" i="4"/>
  <c r="Q392" i="4"/>
  <c r="R392" i="4"/>
  <c r="S392" i="4"/>
  <c r="P393" i="4"/>
  <c r="Q393" i="4"/>
  <c r="R393" i="4"/>
  <c r="S393" i="4"/>
  <c r="P394" i="4"/>
  <c r="Q394" i="4"/>
  <c r="R394" i="4"/>
  <c r="S394" i="4"/>
  <c r="P395" i="4"/>
  <c r="Q395" i="4"/>
  <c r="R395" i="4"/>
  <c r="S395" i="4"/>
  <c r="P396" i="4"/>
  <c r="Q396" i="4"/>
  <c r="R396" i="4"/>
  <c r="S396" i="4"/>
  <c r="P402" i="4"/>
  <c r="Q402" i="4"/>
  <c r="R402" i="4"/>
  <c r="S402" i="4"/>
  <c r="P403" i="4"/>
  <c r="Q403" i="4"/>
  <c r="R403" i="4"/>
  <c r="S403" i="4"/>
  <c r="P404" i="4"/>
  <c r="Q404" i="4"/>
  <c r="R404" i="4"/>
  <c r="S404" i="4"/>
  <c r="P405" i="4"/>
  <c r="Q405" i="4"/>
  <c r="R405" i="4"/>
  <c r="S405" i="4"/>
  <c r="P406" i="4"/>
  <c r="Q406" i="4"/>
  <c r="R406" i="4"/>
  <c r="S406" i="4"/>
  <c r="P412" i="4"/>
  <c r="Q412" i="4"/>
  <c r="R412" i="4"/>
  <c r="S412" i="4"/>
  <c r="P413" i="4"/>
  <c r="Q413" i="4"/>
  <c r="R413" i="4"/>
  <c r="S413" i="4"/>
  <c r="P414" i="4"/>
  <c r="Q414" i="4"/>
  <c r="R414" i="4"/>
  <c r="S414" i="4"/>
  <c r="P415" i="4"/>
  <c r="Q415" i="4"/>
  <c r="R415" i="4"/>
  <c r="S415" i="4"/>
  <c r="P416" i="4"/>
  <c r="Q416" i="4"/>
  <c r="R416" i="4"/>
  <c r="S416" i="4"/>
  <c r="P426" i="4"/>
  <c r="Q426" i="4"/>
  <c r="R426" i="4"/>
  <c r="S426" i="4"/>
  <c r="P427" i="4"/>
  <c r="Q427" i="4"/>
  <c r="R427" i="4"/>
  <c r="S427" i="4"/>
  <c r="P428" i="4"/>
  <c r="Q428" i="4"/>
  <c r="R428" i="4"/>
  <c r="S428" i="4"/>
  <c r="P429" i="4"/>
  <c r="Q429" i="4"/>
  <c r="R429" i="4"/>
  <c r="S429" i="4"/>
  <c r="P430" i="4"/>
  <c r="Q430" i="4"/>
  <c r="R430" i="4"/>
  <c r="S430" i="4"/>
  <c r="D65" i="14"/>
  <c r="E65" i="14"/>
  <c r="F65" i="14"/>
  <c r="G65" i="14"/>
  <c r="H65" i="14"/>
  <c r="I65" i="14"/>
  <c r="J65" i="14"/>
  <c r="K65" i="14"/>
  <c r="D60" i="14"/>
  <c r="E60" i="14"/>
  <c r="F60" i="14"/>
  <c r="G60" i="14"/>
  <c r="H60" i="14"/>
  <c r="I60" i="14"/>
  <c r="J60" i="14"/>
  <c r="K60" i="14"/>
  <c r="D55" i="14"/>
  <c r="E55" i="14"/>
  <c r="F55" i="14"/>
  <c r="G55" i="14"/>
  <c r="H55" i="14"/>
  <c r="I55" i="14"/>
  <c r="J55" i="14"/>
  <c r="K55" i="14"/>
  <c r="D50" i="14"/>
  <c r="E50" i="14"/>
  <c r="F50" i="14"/>
  <c r="G50" i="14"/>
  <c r="H50" i="14"/>
  <c r="I50" i="14"/>
  <c r="J50" i="14"/>
  <c r="K50" i="14"/>
  <c r="D45" i="14"/>
  <c r="E45" i="14"/>
  <c r="F45" i="14"/>
  <c r="G45" i="14"/>
  <c r="H45" i="14"/>
  <c r="I45" i="14"/>
  <c r="J45" i="14"/>
  <c r="K45" i="14"/>
  <c r="D40" i="14"/>
  <c r="E40" i="14"/>
  <c r="F40" i="14"/>
  <c r="G40" i="14"/>
  <c r="H40" i="14"/>
  <c r="I40" i="14"/>
  <c r="J40" i="14"/>
  <c r="K40" i="14"/>
  <c r="D35" i="14"/>
  <c r="E35" i="14"/>
  <c r="F35" i="14"/>
  <c r="G35" i="14"/>
  <c r="H35" i="14"/>
  <c r="I35" i="14"/>
  <c r="J35" i="14"/>
  <c r="K35" i="14"/>
  <c r="D30" i="14"/>
  <c r="E30" i="14"/>
  <c r="F30" i="14"/>
  <c r="G30" i="14"/>
  <c r="H30" i="14"/>
  <c r="I30" i="14"/>
  <c r="J30" i="14"/>
  <c r="K30" i="14"/>
  <c r="D25" i="14"/>
  <c r="E25" i="14"/>
  <c r="F25" i="14"/>
  <c r="G25" i="14"/>
  <c r="H25" i="14"/>
  <c r="I25" i="14"/>
  <c r="J25" i="14"/>
  <c r="K25" i="14"/>
  <c r="E10" i="14"/>
  <c r="F10" i="14"/>
  <c r="G10" i="14"/>
  <c r="H10" i="14"/>
  <c r="I10" i="14"/>
  <c r="J10" i="14"/>
  <c r="K10" i="14"/>
  <c r="G321" i="9" l="1"/>
  <c r="G322" i="9"/>
  <c r="F197" i="9"/>
  <c r="G197" i="9" s="1"/>
  <c r="F198" i="9"/>
  <c r="G198" i="9" s="1"/>
  <c r="F328" i="9" l="1"/>
  <c r="G328" i="9" s="1"/>
  <c r="F278" i="9"/>
  <c r="F153" i="9"/>
  <c r="F301" i="9"/>
  <c r="G301" i="9" s="1"/>
  <c r="F302" i="9"/>
  <c r="G302" i="9" s="1"/>
  <c r="F300" i="9"/>
  <c r="G300" i="9" s="1"/>
  <c r="F299" i="9"/>
  <c r="G299" i="9" s="1"/>
  <c r="F156" i="9"/>
  <c r="G156" i="9" s="1"/>
  <c r="F575" i="9"/>
  <c r="F374" i="9"/>
  <c r="F375" i="9"/>
  <c r="F505" i="9"/>
  <c r="G137" i="9" l="1"/>
  <c r="F5" i="9" l="1"/>
  <c r="G5" i="9" s="1"/>
  <c r="F6" i="9"/>
  <c r="G6" i="9" s="1"/>
  <c r="F7" i="9"/>
  <c r="G7" i="9" s="1"/>
  <c r="F9" i="9"/>
  <c r="G9" i="9" s="1"/>
  <c r="F12" i="9"/>
  <c r="G12" i="9" s="1"/>
  <c r="F15" i="9"/>
  <c r="G15" i="9" s="1"/>
  <c r="F13" i="9"/>
  <c r="G13" i="9" s="1"/>
  <c r="F14" i="9"/>
  <c r="G14" i="9" s="1"/>
  <c r="F10" i="9"/>
  <c r="G10" i="9" s="1"/>
  <c r="F11" i="9"/>
  <c r="G11" i="9" s="1"/>
  <c r="F16" i="9"/>
  <c r="G16" i="9" s="1"/>
  <c r="F17" i="9"/>
  <c r="G17" i="9" s="1"/>
  <c r="F18" i="9"/>
  <c r="G18" i="9" s="1"/>
  <c r="F25" i="9"/>
  <c r="G25" i="9" s="1"/>
  <c r="F84" i="9"/>
  <c r="G84" i="9" s="1"/>
  <c r="F96" i="9"/>
  <c r="G96" i="9" s="1"/>
  <c r="F88" i="9"/>
  <c r="G88" i="9" s="1"/>
  <c r="F92" i="9"/>
  <c r="G92" i="9" s="1"/>
  <c r="F100" i="9"/>
  <c r="G100" i="9" s="1"/>
  <c r="F105" i="9"/>
  <c r="G105" i="9" s="1"/>
  <c r="F210" i="9"/>
  <c r="G210" i="9" s="1"/>
  <c r="F211" i="9"/>
  <c r="G211" i="9" s="1"/>
  <c r="F108" i="9"/>
  <c r="G108" i="9" s="1"/>
  <c r="F109" i="9"/>
  <c r="G109" i="9" s="1"/>
  <c r="F110" i="9"/>
  <c r="G110" i="9" s="1"/>
  <c r="F111" i="9"/>
  <c r="G111" i="9" s="1"/>
  <c r="F112" i="9"/>
  <c r="G112" i="9" s="1"/>
  <c r="F113" i="9"/>
  <c r="G113" i="9" s="1"/>
  <c r="F114" i="9"/>
  <c r="G114" i="9" s="1"/>
  <c r="F115" i="9"/>
  <c r="G115" i="9" s="1"/>
  <c r="F116" i="9"/>
  <c r="G116" i="9" s="1"/>
  <c r="F117" i="9"/>
  <c r="G117" i="9" s="1"/>
  <c r="F118" i="9"/>
  <c r="G118" i="9" s="1"/>
  <c r="F119" i="9"/>
  <c r="G119" i="9" s="1"/>
  <c r="F120" i="9"/>
  <c r="G120" i="9" s="1"/>
  <c r="F121" i="9"/>
  <c r="G121" i="9" s="1"/>
  <c r="F122" i="9"/>
  <c r="G122" i="9" s="1"/>
  <c r="F123" i="9"/>
  <c r="G123" i="9" s="1"/>
  <c r="F138" i="9"/>
  <c r="G138" i="9" s="1"/>
  <c r="F145" i="9"/>
  <c r="G145" i="9" s="1"/>
  <c r="F148" i="9"/>
  <c r="G148" i="9" s="1"/>
  <c r="F104" i="9"/>
  <c r="G104" i="9" s="1"/>
  <c r="F106" i="9"/>
  <c r="G106" i="9" s="1"/>
  <c r="F107" i="9"/>
  <c r="G107" i="9" s="1"/>
  <c r="F133" i="9"/>
  <c r="G133" i="9" s="1"/>
  <c r="F135" i="9"/>
  <c r="G135" i="9" s="1"/>
  <c r="F136" i="9"/>
  <c r="G136" i="9" s="1"/>
  <c r="F233" i="9"/>
  <c r="G233" i="9" s="1"/>
  <c r="F234" i="9"/>
  <c r="G234" i="9" s="1"/>
  <c r="F255" i="9"/>
  <c r="G255" i="9" s="1"/>
  <c r="F256" i="9"/>
  <c r="G256" i="9" s="1"/>
  <c r="F257" i="9"/>
  <c r="G257" i="9" s="1"/>
  <c r="F258" i="9"/>
  <c r="G258" i="9" s="1"/>
  <c r="F213" i="9"/>
  <c r="G213" i="9" s="1"/>
  <c r="F212" i="9"/>
  <c r="G212" i="9" s="1"/>
  <c r="F214" i="9"/>
  <c r="G214" i="9" s="1"/>
  <c r="F215" i="9"/>
  <c r="G215" i="9" s="1"/>
  <c r="F216" i="9"/>
  <c r="G216" i="9" s="1"/>
  <c r="F248" i="9"/>
  <c r="G248" i="9" s="1"/>
  <c r="F249" i="9"/>
  <c r="G249" i="9" s="1"/>
  <c r="F254" i="9"/>
  <c r="G254" i="9" s="1"/>
  <c r="F235" i="9"/>
  <c r="G235" i="9" s="1"/>
  <c r="F247" i="9"/>
  <c r="G247" i="9" s="1"/>
  <c r="F262" i="9"/>
  <c r="G262" i="9" s="1"/>
  <c r="F260" i="9"/>
  <c r="G260" i="9" s="1"/>
  <c r="F250" i="9"/>
  <c r="G250" i="9" s="1"/>
  <c r="F179" i="9"/>
  <c r="G179" i="9" s="1"/>
  <c r="F180" i="9"/>
  <c r="G180" i="9" s="1"/>
  <c r="F181" i="9"/>
  <c r="G181" i="9" s="1"/>
  <c r="F182" i="9"/>
  <c r="G182" i="9" s="1"/>
  <c r="F183" i="9"/>
  <c r="G183" i="9" s="1"/>
  <c r="F238" i="9"/>
  <c r="G238" i="9" s="1"/>
  <c r="F207" i="9"/>
  <c r="G207" i="9" s="1"/>
  <c r="F241" i="9"/>
  <c r="G241" i="9" s="1"/>
  <c r="F195" i="9"/>
  <c r="G195" i="9" s="1"/>
  <c r="F290" i="9"/>
  <c r="G290" i="9" s="1"/>
  <c r="F291" i="9"/>
  <c r="G291" i="9" s="1"/>
  <c r="G293" i="9"/>
  <c r="G323" i="9"/>
  <c r="F332" i="9"/>
  <c r="G332" i="9" s="1"/>
  <c r="F333" i="9"/>
  <c r="G333" i="9" s="1"/>
  <c r="F334" i="9"/>
  <c r="G334" i="9" s="1"/>
  <c r="F335" i="9"/>
  <c r="G335" i="9" s="1"/>
  <c r="F336" i="9"/>
  <c r="G336" i="9" s="1"/>
  <c r="F337" i="9"/>
  <c r="G337" i="9" s="1"/>
  <c r="F338" i="9"/>
  <c r="G338" i="9" s="1"/>
  <c r="F339" i="9"/>
  <c r="G339" i="9" s="1"/>
  <c r="F340" i="9"/>
  <c r="G340" i="9" s="1"/>
  <c r="F341" i="9"/>
  <c r="G341" i="9" s="1"/>
  <c r="F344" i="9"/>
  <c r="G344" i="9" s="1"/>
  <c r="F345" i="9"/>
  <c r="G345" i="9" s="1"/>
  <c r="F352" i="9"/>
  <c r="G352" i="9" s="1"/>
  <c r="F354" i="9"/>
  <c r="G354" i="9" s="1"/>
  <c r="F347" i="9"/>
  <c r="G347" i="9" s="1"/>
  <c r="F349" i="9"/>
  <c r="G349" i="9" s="1"/>
  <c r="F350" i="9"/>
  <c r="G350" i="9" s="1"/>
  <c r="F355" i="9"/>
  <c r="G355" i="9" s="1"/>
  <c r="F346" i="9"/>
  <c r="G346" i="9" s="1"/>
  <c r="F356" i="9"/>
  <c r="G356" i="9" s="1"/>
  <c r="F357" i="9"/>
  <c r="G357" i="9" s="1"/>
  <c r="F358" i="9"/>
  <c r="G358" i="9" s="1"/>
  <c r="F359" i="9"/>
  <c r="G359" i="9" s="1"/>
  <c r="F586" i="9"/>
  <c r="G586" i="9" s="1"/>
  <c r="F587" i="9"/>
  <c r="G587" i="9" s="1"/>
  <c r="F588" i="9"/>
  <c r="G588" i="9" s="1"/>
  <c r="G434" i="9"/>
  <c r="G431" i="9"/>
  <c r="G433" i="9"/>
  <c r="G432" i="9"/>
  <c r="G435" i="9"/>
  <c r="G436" i="9"/>
  <c r="F187" i="9"/>
  <c r="G187" i="9" s="1"/>
  <c r="F186" i="9"/>
  <c r="G186" i="9" s="1"/>
  <c r="F188" i="9"/>
  <c r="G188" i="9" s="1"/>
  <c r="F189" i="9"/>
  <c r="G189" i="9" s="1"/>
  <c r="F190" i="9"/>
  <c r="G190" i="9" s="1"/>
  <c r="F184" i="9"/>
  <c r="G184" i="9" s="1"/>
  <c r="F237" i="9"/>
  <c r="G237" i="9" s="1"/>
  <c r="F236" i="9"/>
  <c r="G236" i="9" s="1"/>
  <c r="F178" i="9"/>
  <c r="G178" i="9" s="1"/>
  <c r="F261" i="9"/>
  <c r="G261" i="9" s="1"/>
  <c r="F251" i="9"/>
  <c r="G251" i="9" s="1"/>
  <c r="F252" i="9"/>
  <c r="G252" i="9" s="1"/>
  <c r="F263" i="9"/>
  <c r="G263" i="9" s="1"/>
  <c r="G242" i="9"/>
  <c r="F264" i="9"/>
  <c r="G264" i="9" s="1"/>
  <c r="F265" i="9"/>
  <c r="G265" i="9" s="1"/>
  <c r="F591" i="9"/>
  <c r="G591" i="9" s="1"/>
  <c r="F592" i="9"/>
  <c r="G592" i="9" s="1"/>
  <c r="F593" i="9"/>
  <c r="G593" i="9" s="1"/>
  <c r="F595" i="9"/>
  <c r="G595" i="9" s="1"/>
  <c r="F596" i="9"/>
  <c r="G596" i="9" s="1"/>
  <c r="F597" i="9"/>
  <c r="G597" i="9" s="1"/>
  <c r="F599" i="9"/>
  <c r="G599" i="9" s="1"/>
  <c r="F600" i="9"/>
  <c r="G600" i="9" s="1"/>
  <c r="F149" i="9"/>
  <c r="G149" i="9" s="1"/>
  <c r="F485" i="9"/>
  <c r="G485" i="9" s="1"/>
  <c r="F486" i="9"/>
  <c r="G486" i="9" s="1"/>
  <c r="F487" i="9"/>
  <c r="G487" i="9" s="1"/>
  <c r="F488" i="9"/>
  <c r="G488" i="9" s="1"/>
  <c r="G271" i="9"/>
  <c r="G272" i="9"/>
  <c r="G273" i="9"/>
  <c r="F274" i="9"/>
  <c r="G274" i="9" s="1"/>
  <c r="G225" i="9"/>
  <c r="G226" i="9"/>
  <c r="F318" i="9"/>
  <c r="G318" i="9" s="1"/>
  <c r="F319" i="9"/>
  <c r="G319" i="9" s="1"/>
  <c r="G320" i="9"/>
  <c r="F28" i="9"/>
  <c r="G28" i="9" s="1"/>
  <c r="F29" i="9"/>
  <c r="G29" i="9" s="1"/>
  <c r="F30" i="9"/>
  <c r="G30" i="9" s="1"/>
  <c r="F31" i="9"/>
  <c r="G31" i="9" s="1"/>
  <c r="F35" i="9"/>
  <c r="G35" i="9" s="1"/>
  <c r="F36" i="9"/>
  <c r="G36" i="9" s="1"/>
  <c r="F37" i="9"/>
  <c r="G37" i="9" s="1"/>
  <c r="F32" i="9"/>
  <c r="G32" i="9" s="1"/>
  <c r="F33" i="9"/>
  <c r="G33" i="9" s="1"/>
  <c r="F151" i="9"/>
  <c r="G151" i="9" s="1"/>
  <c r="F152" i="9"/>
  <c r="G152" i="9" s="1"/>
  <c r="F367" i="9"/>
  <c r="G367" i="9" s="1"/>
  <c r="F368" i="9"/>
  <c r="G368" i="9" s="1"/>
  <c r="F369" i="9"/>
  <c r="G369" i="9" s="1"/>
  <c r="F370" i="9"/>
  <c r="G370" i="9" s="1"/>
  <c r="F371" i="9"/>
  <c r="G371" i="9" s="1"/>
  <c r="F372" i="9"/>
  <c r="G372" i="9" s="1"/>
  <c r="F475" i="9"/>
  <c r="G475" i="9" s="1"/>
  <c r="G476" i="9"/>
  <c r="F499" i="9"/>
  <c r="G499" i="9" s="1"/>
  <c r="F500" i="9"/>
  <c r="G500" i="9" s="1"/>
  <c r="F501" i="9"/>
  <c r="G501" i="9" s="1"/>
  <c r="F502" i="9"/>
  <c r="G502" i="9" s="1"/>
  <c r="F469" i="9"/>
  <c r="G469" i="9" s="1"/>
  <c r="F470" i="9"/>
  <c r="G470" i="9" s="1"/>
  <c r="F472" i="9"/>
  <c r="G472" i="9" s="1"/>
  <c r="F473" i="9"/>
  <c r="G473" i="9" s="1"/>
  <c r="F474" i="9"/>
  <c r="G474" i="9" s="1"/>
  <c r="F166" i="9"/>
  <c r="G166" i="9" s="1"/>
  <c r="F294" i="9"/>
  <c r="G294" i="9" s="1"/>
  <c r="F324" i="9"/>
  <c r="G324" i="9" s="1"/>
  <c r="F276" i="9"/>
  <c r="G276" i="9" s="1"/>
  <c r="F503" i="9"/>
  <c r="G503" i="9" s="1"/>
  <c r="F504" i="9"/>
  <c r="G504" i="9" s="1"/>
  <c r="F54" i="9"/>
  <c r="G54" i="9" s="1"/>
  <c r="F55" i="9"/>
  <c r="G55" i="9" s="1"/>
  <c r="F56" i="9"/>
  <c r="G56" i="9" s="1"/>
  <c r="F57" i="9"/>
  <c r="G57" i="9" s="1"/>
  <c r="F58" i="9"/>
  <c r="G58" i="9" s="1"/>
  <c r="F59" i="9"/>
  <c r="G59" i="9" s="1"/>
  <c r="F69" i="9"/>
  <c r="G69" i="9" s="1"/>
  <c r="F70" i="9"/>
  <c r="G70" i="9" s="1"/>
  <c r="F71" i="9"/>
  <c r="G71" i="9" s="1"/>
  <c r="F72" i="9"/>
  <c r="G72" i="9" s="1"/>
  <c r="F73" i="9"/>
  <c r="G73" i="9" s="1"/>
  <c r="F74" i="9"/>
  <c r="G74" i="9" s="1"/>
  <c r="F44" i="9"/>
  <c r="G44" i="9" s="1"/>
  <c r="F45" i="9"/>
  <c r="G45" i="9" s="1"/>
  <c r="F46" i="9"/>
  <c r="G46" i="9" s="1"/>
  <c r="F67" i="9"/>
  <c r="G67" i="9" s="1"/>
  <c r="F68" i="9"/>
  <c r="G68" i="9" s="1"/>
  <c r="F47" i="9"/>
  <c r="G47" i="9" s="1"/>
  <c r="F48" i="9"/>
  <c r="G48" i="9" s="1"/>
  <c r="F49" i="9"/>
  <c r="G49" i="9" s="1"/>
  <c r="F51" i="9"/>
  <c r="G51" i="9" s="1"/>
  <c r="G52" i="9"/>
  <c r="F60" i="9"/>
  <c r="G60" i="9" s="1"/>
  <c r="F61" i="9"/>
  <c r="G61" i="9" s="1"/>
  <c r="F62" i="9"/>
  <c r="G62" i="9" s="1"/>
  <c r="F63" i="9"/>
  <c r="G63" i="9" s="1"/>
  <c r="F75" i="9"/>
  <c r="G75" i="9" s="1"/>
  <c r="F76" i="9"/>
  <c r="G76" i="9" s="1"/>
  <c r="F77" i="9"/>
  <c r="G77" i="9" s="1"/>
  <c r="F78" i="9"/>
  <c r="G78" i="9" s="1"/>
  <c r="F79" i="9"/>
  <c r="G79" i="9" s="1"/>
  <c r="F80" i="9"/>
  <c r="G80" i="9" s="1"/>
  <c r="F81" i="9"/>
  <c r="G81" i="9" s="1"/>
  <c r="F82" i="9"/>
  <c r="G82" i="9" s="1"/>
  <c r="F164" i="9"/>
  <c r="G164" i="9" s="1"/>
  <c r="F165" i="9"/>
  <c r="G165" i="9" s="1"/>
  <c r="F479" i="9"/>
  <c r="G479" i="9" s="1"/>
  <c r="F480" i="9"/>
  <c r="G480" i="9" s="1"/>
  <c r="F482" i="9"/>
  <c r="G482" i="9" s="1"/>
  <c r="F483" i="9"/>
  <c r="G483" i="9" s="1"/>
  <c r="G505" i="9"/>
  <c r="F506" i="9"/>
  <c r="G506" i="9" s="1"/>
  <c r="F507" i="9"/>
  <c r="G507" i="9" s="1"/>
  <c r="F512" i="9"/>
  <c r="G512" i="9" s="1"/>
  <c r="F514" i="9"/>
  <c r="G514" i="9" s="1"/>
  <c r="F515" i="9"/>
  <c r="G515" i="9" s="1"/>
  <c r="G516" i="9"/>
  <c r="G517" i="9"/>
  <c r="F539" i="9"/>
  <c r="G539" i="9" s="1"/>
  <c r="F519" i="9"/>
  <c r="G519" i="9" s="1"/>
  <c r="F520" i="9"/>
  <c r="G520" i="9" s="1"/>
  <c r="F521" i="9"/>
  <c r="G521" i="9" s="1"/>
  <c r="F522" i="9"/>
  <c r="G522" i="9" s="1"/>
  <c r="G523" i="9"/>
  <c r="F524" i="9"/>
  <c r="G524" i="9" s="1"/>
  <c r="F525" i="9"/>
  <c r="G525" i="9" s="1"/>
  <c r="F526" i="9"/>
  <c r="G526" i="9" s="1"/>
  <c r="F527" i="9"/>
  <c r="G527" i="9" s="1"/>
  <c r="F528" i="9"/>
  <c r="G528" i="9" s="1"/>
  <c r="F529" i="9"/>
  <c r="G529" i="9" s="1"/>
  <c r="G384" i="9"/>
  <c r="F387" i="9"/>
  <c r="G387" i="9" s="1"/>
  <c r="F388" i="9"/>
  <c r="G388" i="9" s="1"/>
  <c r="F389" i="9"/>
  <c r="G389" i="9" s="1"/>
  <c r="F391" i="9"/>
  <c r="G391" i="9" s="1"/>
  <c r="F392" i="9"/>
  <c r="G392" i="9" s="1"/>
  <c r="F394" i="9"/>
  <c r="G394" i="9" s="1"/>
  <c r="F395" i="9"/>
  <c r="G395" i="9" s="1"/>
  <c r="G374" i="9"/>
  <c r="G375" i="9"/>
  <c r="F489" i="9"/>
  <c r="G489" i="9" s="1"/>
  <c r="F490" i="9"/>
  <c r="G490" i="9" s="1"/>
  <c r="F550" i="9"/>
  <c r="G550" i="9" s="1"/>
  <c r="F551" i="9"/>
  <c r="G551" i="9" s="1"/>
  <c r="F552" i="9"/>
  <c r="G552" i="9" s="1"/>
  <c r="F231" i="9"/>
  <c r="G231" i="9" s="1"/>
  <c r="F199" i="9"/>
  <c r="G199" i="9" s="1"/>
  <c r="F201" i="9"/>
  <c r="G201" i="9" s="1"/>
  <c r="F396" i="9"/>
  <c r="G396" i="9" s="1"/>
  <c r="F397" i="9"/>
  <c r="G397" i="9" s="1"/>
  <c r="F398" i="9"/>
  <c r="G398" i="9" s="1"/>
  <c r="F399" i="9"/>
  <c r="G399" i="9" s="1"/>
  <c r="F400" i="9"/>
  <c r="G400" i="9" s="1"/>
  <c r="F401" i="9"/>
  <c r="G401" i="9" s="1"/>
  <c r="F402" i="9"/>
  <c r="G402" i="9" s="1"/>
  <c r="G153" i="9"/>
  <c r="G278" i="9"/>
  <c r="F154" i="9"/>
  <c r="G154" i="9" s="1"/>
  <c r="F155" i="9"/>
  <c r="G155" i="9" s="1"/>
  <c r="F170" i="9"/>
  <c r="G170" i="9" s="1"/>
  <c r="F171" i="9"/>
  <c r="G171" i="9" s="1"/>
  <c r="F157" i="9"/>
  <c r="G157" i="9" s="1"/>
  <c r="F158" i="9"/>
  <c r="G158" i="9" s="1"/>
  <c r="F159" i="9"/>
  <c r="G159" i="9" s="1"/>
  <c r="F160" i="9"/>
  <c r="G160" i="9" s="1"/>
  <c r="F279" i="9"/>
  <c r="G279" i="9" s="1"/>
  <c r="F280" i="9"/>
  <c r="G280" i="9" s="1"/>
  <c r="F281" i="9"/>
  <c r="G281" i="9" s="1"/>
  <c r="G282" i="9"/>
  <c r="F283" i="9"/>
  <c r="G283" i="9" s="1"/>
  <c r="F284" i="9"/>
  <c r="G284" i="9" s="1"/>
  <c r="F296" i="9"/>
  <c r="G296" i="9" s="1"/>
  <c r="F297" i="9"/>
  <c r="G297" i="9" s="1"/>
  <c r="F306" i="9"/>
  <c r="G306" i="9" s="1"/>
  <c r="F543" i="9"/>
  <c r="G543" i="9" s="1"/>
  <c r="F544" i="9"/>
  <c r="G544" i="9" s="1"/>
  <c r="F307" i="9"/>
  <c r="G307" i="9" s="1"/>
  <c r="F309" i="9"/>
  <c r="G309" i="9" s="1"/>
  <c r="F308" i="9"/>
  <c r="G308" i="9" s="1"/>
  <c r="F547" i="9"/>
  <c r="G547" i="9" s="1"/>
  <c r="F548" i="9"/>
  <c r="G548" i="9" s="1"/>
  <c r="F406" i="9"/>
  <c r="G406" i="9" s="1"/>
  <c r="F407" i="9"/>
  <c r="G407" i="9" s="1"/>
  <c r="F410" i="9"/>
  <c r="G410" i="9" s="1"/>
  <c r="F411" i="9"/>
  <c r="G411" i="9" s="1"/>
  <c r="F412" i="9"/>
  <c r="G412" i="9" s="1"/>
  <c r="F413" i="9"/>
  <c r="G413" i="9" s="1"/>
  <c r="G575" i="9"/>
  <c r="F576" i="9"/>
  <c r="G576" i="9" s="1"/>
  <c r="F163" i="9"/>
  <c r="G163" i="9" s="1"/>
  <c r="F416" i="9"/>
  <c r="G416" i="9" s="1"/>
  <c r="F417" i="9"/>
  <c r="G417" i="9" s="1"/>
  <c r="F418" i="9"/>
  <c r="G418" i="9" s="1"/>
  <c r="F415" i="9"/>
  <c r="G415" i="9" s="1"/>
  <c r="F420" i="9"/>
  <c r="G420" i="9" s="1"/>
  <c r="F421" i="9"/>
  <c r="G421" i="9" s="1"/>
  <c r="F310" i="9"/>
  <c r="G310" i="9" s="1"/>
  <c r="F311" i="9"/>
  <c r="G311" i="9" s="1"/>
  <c r="G162" i="9"/>
  <c r="F277" i="9"/>
  <c r="G277" i="9" s="1"/>
  <c r="F161" i="9"/>
  <c r="G161" i="9" s="1"/>
  <c r="F607" i="9"/>
  <c r="G607" i="9" s="1"/>
  <c r="F608" i="9"/>
  <c r="G608" i="9" s="1"/>
  <c r="F610" i="9"/>
  <c r="G610" i="9" s="1"/>
  <c r="F611" i="9"/>
  <c r="G611" i="9" s="1"/>
  <c r="F612" i="9"/>
  <c r="G612" i="9" s="1"/>
  <c r="F613" i="9"/>
  <c r="G613" i="9" s="1"/>
  <c r="F614" i="9"/>
  <c r="G614" i="9" s="1"/>
  <c r="F615" i="9"/>
  <c r="G615" i="9" s="1"/>
  <c r="F616" i="9"/>
  <c r="G616" i="9" s="1"/>
  <c r="F617" i="9"/>
  <c r="G617" i="9" s="1"/>
  <c r="F619" i="9"/>
  <c r="G619" i="9" s="1"/>
  <c r="F620" i="9"/>
  <c r="G620" i="9" s="1"/>
  <c r="F622" i="9"/>
  <c r="G622" i="9" s="1"/>
  <c r="F623" i="9"/>
  <c r="G623" i="9" s="1"/>
  <c r="F624" i="9"/>
  <c r="G624" i="9" s="1"/>
  <c r="F625" i="9"/>
  <c r="G625" i="9" s="1"/>
  <c r="F626" i="9"/>
  <c r="G626" i="9" s="1"/>
  <c r="F627" i="9"/>
  <c r="G627" i="9" s="1"/>
  <c r="F628" i="9"/>
  <c r="G628" i="9" s="1"/>
  <c r="F629" i="9"/>
  <c r="G629" i="9" s="1"/>
  <c r="F631" i="9"/>
  <c r="G631" i="9" s="1"/>
  <c r="F632" i="9"/>
  <c r="G632" i="9" s="1"/>
  <c r="F634" i="9"/>
  <c r="G634" i="9" s="1"/>
  <c r="F635" i="9"/>
  <c r="G635" i="9" s="1"/>
  <c r="F636" i="9"/>
  <c r="G636" i="9" s="1"/>
  <c r="F637" i="9"/>
  <c r="G637" i="9" s="1"/>
  <c r="F638" i="9"/>
  <c r="G638" i="9" s="1"/>
  <c r="F639" i="9"/>
  <c r="G639" i="9" s="1"/>
  <c r="F640" i="9"/>
  <c r="G640" i="9" s="1"/>
  <c r="F641" i="9"/>
  <c r="G641" i="9" s="1"/>
  <c r="F643" i="9"/>
  <c r="G643" i="9" s="1"/>
  <c r="F644" i="9"/>
  <c r="G644" i="9" s="1"/>
  <c r="F646" i="9"/>
  <c r="G646" i="9" s="1"/>
  <c r="F647" i="9"/>
  <c r="G647" i="9" s="1"/>
  <c r="F648" i="9"/>
  <c r="G648" i="9" s="1"/>
  <c r="F649" i="9"/>
  <c r="G649" i="9" s="1"/>
  <c r="F650" i="9"/>
  <c r="G650" i="9" s="1"/>
  <c r="F651" i="9"/>
  <c r="G651" i="9" s="1"/>
  <c r="F652" i="9"/>
  <c r="G652" i="9" s="1"/>
  <c r="F653" i="9"/>
  <c r="G653" i="9" s="1"/>
  <c r="F654" i="9"/>
  <c r="G654" i="9" s="1"/>
  <c r="F656" i="9"/>
  <c r="G656" i="9" s="1"/>
  <c r="F657" i="9"/>
  <c r="G657" i="9" s="1"/>
  <c r="F659" i="9"/>
  <c r="G659" i="9" s="1"/>
  <c r="F660" i="9"/>
  <c r="G660" i="9" s="1"/>
  <c r="F661" i="9"/>
  <c r="G661" i="9" s="1"/>
  <c r="F662" i="9"/>
  <c r="G662" i="9" s="1"/>
  <c r="F663" i="9"/>
  <c r="G663" i="9" s="1"/>
  <c r="F664" i="9"/>
  <c r="G664" i="9" s="1"/>
  <c r="F665" i="9"/>
  <c r="G665" i="9" s="1"/>
  <c r="F666" i="9"/>
  <c r="G666" i="9" s="1"/>
  <c r="F667" i="9"/>
  <c r="G667" i="9" s="1"/>
  <c r="F669" i="9"/>
  <c r="G669" i="9" s="1"/>
  <c r="G670" i="9"/>
  <c r="F671" i="9"/>
  <c r="G671" i="9" s="1"/>
  <c r="F672" i="9"/>
  <c r="G672" i="9" s="1"/>
  <c r="F673" i="9"/>
  <c r="G673" i="9" s="1"/>
  <c r="F674" i="9"/>
  <c r="G674" i="9" s="1"/>
  <c r="F675" i="9"/>
  <c r="G675" i="9" s="1"/>
  <c r="F676" i="9"/>
  <c r="G676" i="9" s="1"/>
  <c r="F677" i="9"/>
  <c r="G677" i="9" s="1"/>
  <c r="G678" i="9"/>
  <c r="F679" i="9"/>
  <c r="G679" i="9" s="1"/>
  <c r="F680" i="9"/>
  <c r="G680" i="9" s="1"/>
  <c r="F681" i="9"/>
  <c r="G681" i="9" s="1"/>
  <c r="F682" i="9"/>
  <c r="G682" i="9" s="1"/>
  <c r="F683" i="9"/>
  <c r="G683" i="9" s="1"/>
  <c r="F684" i="9"/>
  <c r="G684" i="9" s="1"/>
  <c r="F685" i="9"/>
  <c r="G685" i="9" s="1"/>
  <c r="G686" i="9"/>
  <c r="F687" i="9"/>
  <c r="G687" i="9" s="1"/>
  <c r="F688" i="9"/>
  <c r="G688" i="9" s="1"/>
  <c r="F689" i="9"/>
  <c r="G689" i="9" s="1"/>
  <c r="F690" i="9"/>
  <c r="G690" i="9" s="1"/>
  <c r="F691" i="9"/>
  <c r="G691" i="9" s="1"/>
  <c r="F692" i="9"/>
  <c r="G692" i="9" s="1"/>
  <c r="F693" i="9"/>
  <c r="G693" i="9" s="1"/>
  <c r="F694" i="9"/>
  <c r="G694" i="9" s="1"/>
  <c r="F695" i="9"/>
  <c r="G695" i="9" s="1"/>
  <c r="F696" i="9"/>
  <c r="G696" i="9" s="1"/>
  <c r="F697" i="9"/>
  <c r="G697" i="9" s="1"/>
  <c r="F698" i="9"/>
  <c r="G698" i="9" s="1"/>
  <c r="F699" i="9"/>
  <c r="G699" i="9" s="1"/>
  <c r="F700" i="9"/>
  <c r="G700" i="9" s="1"/>
  <c r="F701" i="9"/>
  <c r="G701" i="9" s="1"/>
  <c r="F702" i="9"/>
  <c r="G702" i="9" s="1"/>
  <c r="G703" i="9"/>
  <c r="F704" i="9"/>
  <c r="G704" i="9" s="1"/>
  <c r="F705" i="9"/>
  <c r="G705" i="9" s="1"/>
  <c r="F706" i="9"/>
  <c r="G706" i="9" s="1"/>
  <c r="F707" i="9"/>
  <c r="G707" i="9" s="1"/>
  <c r="F708" i="9"/>
  <c r="G708" i="9" s="1"/>
  <c r="F709" i="9"/>
  <c r="G709" i="9" s="1"/>
  <c r="F710" i="9"/>
  <c r="G710" i="9" s="1"/>
  <c r="F711" i="9"/>
  <c r="G711" i="9" s="1"/>
  <c r="F712" i="9"/>
  <c r="G712" i="9" s="1"/>
  <c r="F713" i="9"/>
  <c r="G713" i="9" s="1"/>
  <c r="F714" i="9"/>
  <c r="G714" i="9" s="1"/>
  <c r="F715" i="9"/>
  <c r="G715" i="9" s="1"/>
  <c r="F716" i="9"/>
  <c r="G716" i="9" s="1"/>
  <c r="F717" i="9"/>
  <c r="G717" i="9" s="1"/>
  <c r="F718" i="9"/>
  <c r="G718" i="9" s="1"/>
  <c r="F719" i="9"/>
  <c r="G719" i="9" s="1"/>
  <c r="F720" i="9"/>
  <c r="G720" i="9" s="1"/>
  <c r="F721" i="9"/>
  <c r="G721" i="9" s="1"/>
  <c r="F722" i="9"/>
  <c r="G722" i="9" s="1"/>
  <c r="F602" i="9"/>
  <c r="G602" i="9" s="1"/>
  <c r="F603" i="9"/>
  <c r="G603" i="9" s="1"/>
  <c r="F723" i="9"/>
  <c r="G723" i="9" s="1"/>
  <c r="F724" i="9"/>
  <c r="G724" i="9" s="1"/>
  <c r="F725" i="9"/>
  <c r="G725" i="9" s="1"/>
  <c r="F726" i="9"/>
  <c r="G726" i="9" s="1"/>
  <c r="F727" i="9"/>
  <c r="G727" i="9" s="1"/>
  <c r="F728" i="9"/>
  <c r="G728" i="9" s="1"/>
  <c r="F729" i="9"/>
  <c r="G729" i="9" s="1"/>
  <c r="F730" i="9"/>
  <c r="G730" i="9" s="1"/>
  <c r="F731" i="9"/>
  <c r="G731" i="9" s="1"/>
  <c r="F732" i="9"/>
  <c r="G732" i="9" s="1"/>
  <c r="F733" i="9"/>
  <c r="G733" i="9" s="1"/>
  <c r="F734" i="9"/>
  <c r="G734" i="9" s="1"/>
  <c r="F735" i="9"/>
  <c r="G735" i="9" s="1"/>
  <c r="F736" i="9"/>
  <c r="G736" i="9" s="1"/>
  <c r="F737" i="9"/>
  <c r="G737" i="9" s="1"/>
  <c r="F738" i="9"/>
  <c r="G738" i="9" s="1"/>
  <c r="F739" i="9"/>
  <c r="G739" i="9" s="1"/>
  <c r="F740" i="9"/>
  <c r="G740" i="9" s="1"/>
  <c r="F741" i="9"/>
  <c r="G741" i="9" s="1"/>
  <c r="F742" i="9"/>
  <c r="G742" i="9" s="1"/>
  <c r="F743" i="9"/>
  <c r="G743" i="9" s="1"/>
  <c r="F744" i="9"/>
  <c r="G744" i="9" s="1"/>
  <c r="F745" i="9"/>
  <c r="G745" i="9" s="1"/>
  <c r="F746" i="9"/>
  <c r="G746" i="9" s="1"/>
  <c r="F747" i="9"/>
  <c r="G747" i="9" s="1"/>
  <c r="F748" i="9"/>
  <c r="G748" i="9" s="1"/>
  <c r="F749" i="9"/>
  <c r="G749" i="9" s="1"/>
  <c r="F750" i="9"/>
  <c r="G750" i="9" s="1"/>
  <c r="F751" i="9"/>
  <c r="G751" i="9" s="1"/>
  <c r="F752" i="9"/>
  <c r="G752" i="9" s="1"/>
  <c r="F753" i="9"/>
  <c r="G753" i="9" s="1"/>
  <c r="G438" i="9"/>
  <c r="G440" i="9"/>
  <c r="G442" i="9"/>
  <c r="G443" i="9"/>
  <c r="G444" i="9"/>
  <c r="G445" i="9"/>
  <c r="G446" i="9"/>
  <c r="F447" i="9"/>
  <c r="G447" i="9" s="1"/>
  <c r="F448" i="9"/>
  <c r="G448" i="9" s="1"/>
  <c r="F449" i="9"/>
  <c r="G449" i="9" s="1"/>
  <c r="F450" i="9"/>
  <c r="G450" i="9" s="1"/>
  <c r="F451" i="9"/>
  <c r="G451" i="9" s="1"/>
  <c r="F452" i="9"/>
  <c r="G452" i="9" s="1"/>
  <c r="F453" i="9"/>
  <c r="G453" i="9" s="1"/>
  <c r="F454" i="9"/>
  <c r="G454" i="9" s="1"/>
  <c r="F455" i="9"/>
  <c r="G455" i="9" s="1"/>
  <c r="F456" i="9"/>
  <c r="G456" i="9" s="1"/>
  <c r="F457" i="9"/>
  <c r="G457" i="9" s="1"/>
  <c r="F458" i="9"/>
  <c r="G458" i="9" s="1"/>
  <c r="G459" i="9"/>
  <c r="G460" i="9"/>
  <c r="G461" i="9"/>
  <c r="G462" i="9"/>
  <c r="F463" i="9"/>
  <c r="G463" i="9" s="1"/>
  <c r="F464" i="9"/>
  <c r="G464" i="9" s="1"/>
  <c r="F465" i="9"/>
  <c r="G465" i="9" s="1"/>
  <c r="F466" i="9"/>
  <c r="G466" i="9" s="1"/>
  <c r="F467" i="9"/>
  <c r="G467" i="9" s="1"/>
  <c r="G402" i="4" l="1"/>
  <c r="F401" i="4"/>
  <c r="F400" i="4"/>
  <c r="G400" i="4" s="1"/>
  <c r="J400" i="4" s="1"/>
  <c r="F399" i="4"/>
  <c r="G399" i="4" s="1"/>
  <c r="J399" i="4" s="1"/>
  <c r="F398" i="4"/>
  <c r="G398" i="4" s="1"/>
  <c r="J398" i="4" s="1"/>
  <c r="P399" i="4" l="1"/>
  <c r="Q399" i="4"/>
  <c r="R399" i="4"/>
  <c r="S399" i="4"/>
  <c r="P398" i="4"/>
  <c r="Q398" i="4"/>
  <c r="R398" i="4"/>
  <c r="S398" i="4"/>
  <c r="P400" i="4"/>
  <c r="Q400" i="4"/>
  <c r="R400" i="4"/>
  <c r="S400" i="4"/>
  <c r="G401" i="4"/>
  <c r="J401" i="4" s="1"/>
  <c r="P401" i="4" l="1"/>
  <c r="Q401" i="4"/>
  <c r="R401" i="4"/>
  <c r="S401" i="4"/>
  <c r="I379" i="4" l="1" a="1"/>
  <c r="I379" i="4" s="1"/>
  <c r="S457" i="4" l="1"/>
  <c r="F439" i="4"/>
  <c r="G439" i="4" s="1"/>
  <c r="J439" i="4" s="1"/>
  <c r="F438" i="4"/>
  <c r="G438" i="4" s="1"/>
  <c r="J438" i="4" s="1"/>
  <c r="F437" i="4"/>
  <c r="G437" i="4" s="1"/>
  <c r="J437" i="4" s="1"/>
  <c r="F436" i="4"/>
  <c r="G436" i="4" s="1"/>
  <c r="J436" i="4" s="1"/>
  <c r="F435" i="4"/>
  <c r="G435" i="4" s="1"/>
  <c r="J435" i="4" s="1"/>
  <c r="F434" i="4"/>
  <c r="G434" i="4" s="1"/>
  <c r="J434" i="4" s="1"/>
  <c r="F433" i="4"/>
  <c r="G433" i="4" s="1"/>
  <c r="J433" i="4" s="1"/>
  <c r="R444" i="4"/>
  <c r="Q444" i="4"/>
  <c r="P444" i="4"/>
  <c r="S444" i="4"/>
  <c r="R443" i="4"/>
  <c r="Q443" i="4"/>
  <c r="P443" i="4"/>
  <c r="S443" i="4"/>
  <c r="R442" i="4"/>
  <c r="Q442" i="4"/>
  <c r="P442" i="4"/>
  <c r="S442" i="4"/>
  <c r="R441" i="4"/>
  <c r="Q441" i="4"/>
  <c r="P441" i="4"/>
  <c r="S441" i="4"/>
  <c r="R440" i="4"/>
  <c r="Q440" i="4"/>
  <c r="P440" i="4"/>
  <c r="F440" i="4"/>
  <c r="G440" i="4" s="1"/>
  <c r="F432" i="4"/>
  <c r="G432" i="4" s="1"/>
  <c r="J432" i="4" s="1"/>
  <c r="G425" i="4"/>
  <c r="J425" i="4" s="1"/>
  <c r="G424" i="4"/>
  <c r="J424" i="4" s="1"/>
  <c r="G423" i="4"/>
  <c r="J423" i="4" s="1"/>
  <c r="G422" i="4"/>
  <c r="J422" i="4" s="1"/>
  <c r="G421" i="4"/>
  <c r="J421" i="4" s="1"/>
  <c r="F420" i="4"/>
  <c r="G420" i="4" s="1"/>
  <c r="J420" i="4" s="1"/>
  <c r="F419" i="4"/>
  <c r="G419" i="4" s="1"/>
  <c r="J419" i="4" s="1"/>
  <c r="F426" i="4"/>
  <c r="G426" i="4" s="1"/>
  <c r="F418" i="4"/>
  <c r="G418" i="4" s="1"/>
  <c r="J418" i="4" s="1"/>
  <c r="F411" i="4"/>
  <c r="G411" i="4" s="1"/>
  <c r="F410" i="4"/>
  <c r="G410" i="4" s="1"/>
  <c r="F409" i="4"/>
  <c r="G409" i="4" s="1"/>
  <c r="G412" i="4"/>
  <c r="F408" i="4"/>
  <c r="G408" i="4" s="1"/>
  <c r="F391" i="4"/>
  <c r="G391" i="4" s="1"/>
  <c r="F390" i="4"/>
  <c r="G390" i="4" s="1"/>
  <c r="F389" i="4"/>
  <c r="G389" i="4" s="1"/>
  <c r="F388" i="4"/>
  <c r="G388" i="4" s="1"/>
  <c r="I381" i="4"/>
  <c r="F381" i="4"/>
  <c r="G381" i="4" s="1"/>
  <c r="I380" i="4"/>
  <c r="F380" i="4"/>
  <c r="G380" i="4" s="1"/>
  <c r="F379" i="4"/>
  <c r="G379" i="4" s="1"/>
  <c r="G382" i="4"/>
  <c r="F378" i="4"/>
  <c r="G378" i="4" s="1"/>
  <c r="J378" i="4" s="1"/>
  <c r="F320" i="4"/>
  <c r="G320" i="4" s="1"/>
  <c r="F318" i="4"/>
  <c r="G318" i="4" s="1"/>
  <c r="F315" i="4"/>
  <c r="G315" i="4" s="1"/>
  <c r="F314" i="4"/>
  <c r="G314" i="4" s="1"/>
  <c r="F313" i="4"/>
  <c r="G313" i="4" s="1"/>
  <c r="F312" i="4"/>
  <c r="G312" i="4" s="1"/>
  <c r="F311" i="4"/>
  <c r="G311" i="4" s="1"/>
  <c r="F310" i="4"/>
  <c r="G310" i="4" s="1"/>
  <c r="F309" i="4"/>
  <c r="G309" i="4" s="1"/>
  <c r="F308" i="4"/>
  <c r="G308" i="4" s="1"/>
  <c r="F306" i="4"/>
  <c r="G306" i="4" s="1"/>
  <c r="F304" i="4"/>
  <c r="G304" i="4" s="1"/>
  <c r="F321" i="4"/>
  <c r="G321" i="4" s="1"/>
  <c r="F303" i="4"/>
  <c r="G303" i="4" s="1"/>
  <c r="G359" i="4"/>
  <c r="G361" i="4"/>
  <c r="F358" i="4"/>
  <c r="G358" i="4" s="1"/>
  <c r="F357" i="4"/>
  <c r="G357" i="4" s="1"/>
  <c r="F356" i="4"/>
  <c r="G356" i="4" s="1"/>
  <c r="F355" i="4"/>
  <c r="G355" i="4" s="1"/>
  <c r="F354" i="4"/>
  <c r="G354" i="4" s="1"/>
  <c r="F353" i="4"/>
  <c r="G353" i="4" s="1"/>
  <c r="F350" i="4"/>
  <c r="G350" i="4" s="1"/>
  <c r="F346" i="4"/>
  <c r="G346" i="4" s="1"/>
  <c r="G347" i="4"/>
  <c r="G349" i="4"/>
  <c r="F345" i="4"/>
  <c r="G345" i="4" s="1"/>
  <c r="F344" i="4"/>
  <c r="G344" i="4" s="1"/>
  <c r="F343" i="4"/>
  <c r="G343" i="4" s="1"/>
  <c r="F342" i="4"/>
  <c r="G342" i="4" s="1"/>
  <c r="F341" i="4"/>
  <c r="G341" i="4" s="1"/>
  <c r="F340" i="4"/>
  <c r="G340" i="4" s="1"/>
  <c r="G362" i="4"/>
  <c r="F337" i="4"/>
  <c r="G337" i="4" s="1"/>
  <c r="F285" i="4"/>
  <c r="G285" i="4" s="1"/>
  <c r="F286" i="4"/>
  <c r="G286" i="4" s="1"/>
  <c r="F284" i="4"/>
  <c r="G284" i="4" s="1"/>
  <c r="G282" i="4"/>
  <c r="G283" i="4"/>
  <c r="F281" i="4"/>
  <c r="G281" i="4" s="1"/>
  <c r="F280" i="4"/>
  <c r="G280" i="4" s="1"/>
  <c r="F279" i="4"/>
  <c r="G279" i="4" s="1"/>
  <c r="F278" i="4"/>
  <c r="G278" i="4" s="1"/>
  <c r="F277" i="4"/>
  <c r="G277" i="4" s="1"/>
  <c r="F275" i="4"/>
  <c r="G275" i="4" s="1"/>
  <c r="F274" i="4"/>
  <c r="G274" i="4" s="1"/>
  <c r="J274" i="4" s="1"/>
  <c r="F272" i="4"/>
  <c r="G272" i="4" s="1"/>
  <c r="F273" i="4"/>
  <c r="G273" i="4" s="1"/>
  <c r="F271" i="4"/>
  <c r="G271" i="4" s="1"/>
  <c r="F269" i="4"/>
  <c r="G269" i="4" s="1"/>
  <c r="F270" i="4"/>
  <c r="G270" i="4" s="1"/>
  <c r="F268" i="4"/>
  <c r="G268" i="4" s="1"/>
  <c r="G266" i="4"/>
  <c r="G267" i="4"/>
  <c r="F265" i="4"/>
  <c r="G265" i="4" s="1"/>
  <c r="F264" i="4"/>
  <c r="G264" i="4" s="1"/>
  <c r="F263" i="4"/>
  <c r="G263" i="4" s="1"/>
  <c r="F262" i="4"/>
  <c r="G262" i="4" s="1"/>
  <c r="F261" i="4"/>
  <c r="G261" i="4" s="1"/>
  <c r="F259" i="4"/>
  <c r="G259" i="4" s="1"/>
  <c r="F287" i="4"/>
  <c r="G287" i="4" s="1"/>
  <c r="F258" i="4"/>
  <c r="G258" i="4" s="1"/>
  <c r="F241" i="4"/>
  <c r="G241" i="4" s="1"/>
  <c r="F240" i="4"/>
  <c r="G240" i="4" s="1"/>
  <c r="F239" i="4"/>
  <c r="G239" i="4" s="1"/>
  <c r="F238" i="4"/>
  <c r="G238" i="4" s="1"/>
  <c r="F237" i="4"/>
  <c r="G237" i="4" s="1"/>
  <c r="F236" i="4"/>
  <c r="G236" i="4" s="1"/>
  <c r="F235" i="4"/>
  <c r="G235" i="4" s="1"/>
  <c r="I234" i="4"/>
  <c r="F234" i="4"/>
  <c r="G234" i="4" s="1"/>
  <c r="F233" i="4"/>
  <c r="G233" i="4" s="1"/>
  <c r="F232" i="4"/>
  <c r="G232" i="4" s="1"/>
  <c r="F231" i="4"/>
  <c r="G231" i="4" s="1"/>
  <c r="F230" i="4"/>
  <c r="G230" i="4" s="1"/>
  <c r="F228" i="4"/>
  <c r="G228" i="4" s="1"/>
  <c r="G242" i="4"/>
  <c r="G227" i="4"/>
  <c r="G210" i="4"/>
  <c r="G168" i="4"/>
  <c r="F118" i="4"/>
  <c r="G118" i="4" s="1"/>
  <c r="F117" i="4"/>
  <c r="G117" i="4" s="1"/>
  <c r="F115" i="4"/>
  <c r="G115" i="4" s="1"/>
  <c r="F114" i="4"/>
  <c r="G114" i="4" s="1"/>
  <c r="F113" i="4"/>
  <c r="G113" i="4" s="1"/>
  <c r="F42" i="4"/>
  <c r="G42" i="4" s="1"/>
  <c r="F41" i="4"/>
  <c r="G41" i="4" s="1"/>
  <c r="F40" i="4"/>
  <c r="G40" i="4" s="1"/>
  <c r="F39" i="4"/>
  <c r="G39" i="4" s="1"/>
  <c r="F38" i="4"/>
  <c r="G38" i="4" s="1"/>
  <c r="F37" i="4"/>
  <c r="G37" i="4" s="1"/>
  <c r="F36" i="4"/>
  <c r="G36" i="4" s="1"/>
  <c r="F35" i="4"/>
  <c r="G35" i="4" s="1"/>
  <c r="F34" i="4"/>
  <c r="G34" i="4" s="1"/>
  <c r="F33" i="4"/>
  <c r="G33" i="4" s="1"/>
  <c r="F32" i="4"/>
  <c r="G32" i="4" s="1"/>
  <c r="F31" i="4"/>
  <c r="G31" i="4" s="1"/>
  <c r="F43" i="4"/>
  <c r="G43" i="4" s="1"/>
  <c r="F10" i="4"/>
  <c r="G10" i="4" s="1"/>
  <c r="F9" i="4"/>
  <c r="G9" i="4" s="1"/>
  <c r="F8" i="4"/>
  <c r="G8" i="4" s="1"/>
  <c r="F7" i="4"/>
  <c r="G7" i="4" s="1"/>
  <c r="F14" i="4"/>
  <c r="G14" i="4" s="1"/>
  <c r="F6" i="4"/>
  <c r="G6" i="4" s="1"/>
  <c r="J60" i="4" l="1"/>
  <c r="P418" i="4"/>
  <c r="Q418" i="4"/>
  <c r="R418" i="4"/>
  <c r="S418" i="4"/>
  <c r="P433" i="4"/>
  <c r="Q433" i="4"/>
  <c r="R433" i="4"/>
  <c r="S433" i="4"/>
  <c r="P435" i="4"/>
  <c r="Q435" i="4"/>
  <c r="R435" i="4"/>
  <c r="S435" i="4"/>
  <c r="P437" i="4"/>
  <c r="Q437" i="4"/>
  <c r="R437" i="4"/>
  <c r="S437" i="4"/>
  <c r="P439" i="4"/>
  <c r="Q439" i="4"/>
  <c r="R439" i="4"/>
  <c r="S439" i="4"/>
  <c r="P420" i="4"/>
  <c r="Q420" i="4"/>
  <c r="R420" i="4"/>
  <c r="S420" i="4"/>
  <c r="P422" i="4"/>
  <c r="Q422" i="4"/>
  <c r="R422" i="4"/>
  <c r="S422" i="4"/>
  <c r="P424" i="4"/>
  <c r="Q424" i="4"/>
  <c r="R424" i="4"/>
  <c r="S424" i="4"/>
  <c r="P432" i="4"/>
  <c r="R432" i="4"/>
  <c r="Q432" i="4"/>
  <c r="S432" i="4"/>
  <c r="P185" i="4"/>
  <c r="Q185" i="4"/>
  <c r="R185" i="4"/>
  <c r="S185" i="4"/>
  <c r="P434" i="4"/>
  <c r="Q434" i="4"/>
  <c r="R434" i="4"/>
  <c r="S434" i="4"/>
  <c r="P436" i="4"/>
  <c r="Q436" i="4"/>
  <c r="R436" i="4"/>
  <c r="S436" i="4"/>
  <c r="P438" i="4"/>
  <c r="R438" i="4"/>
  <c r="Q438" i="4"/>
  <c r="S438" i="4"/>
  <c r="P378" i="4"/>
  <c r="R378" i="4"/>
  <c r="Q378" i="4"/>
  <c r="S378" i="4"/>
  <c r="P419" i="4"/>
  <c r="R419" i="4"/>
  <c r="Q419" i="4"/>
  <c r="S419" i="4"/>
  <c r="P421" i="4"/>
  <c r="Q421" i="4"/>
  <c r="R421" i="4"/>
  <c r="S421" i="4"/>
  <c r="P423" i="4"/>
  <c r="Q423" i="4"/>
  <c r="R423" i="4"/>
  <c r="S423" i="4"/>
  <c r="P425" i="4"/>
  <c r="Q425" i="4"/>
  <c r="R425" i="4"/>
  <c r="S425" i="4"/>
  <c r="I411" i="4"/>
  <c r="J411" i="4" s="1"/>
  <c r="J6" i="4"/>
  <c r="I409" i="4"/>
  <c r="J409" i="4" s="1"/>
  <c r="I410" i="4"/>
  <c r="J410" i="4" s="1"/>
  <c r="J390" i="4"/>
  <c r="J391" i="4"/>
  <c r="J408" i="4"/>
  <c r="J389" i="4"/>
  <c r="J381" i="4"/>
  <c r="J31" i="4"/>
  <c r="J113" i="4"/>
  <c r="J303" i="4"/>
  <c r="J337" i="4"/>
  <c r="J350" i="4"/>
  <c r="J227" i="4"/>
  <c r="J234" i="4"/>
  <c r="J380" i="4"/>
  <c r="J258" i="4"/>
  <c r="J379" i="4"/>
  <c r="J388" i="4"/>
  <c r="J312" i="4"/>
  <c r="S60" i="4" l="1"/>
  <c r="R60" i="4"/>
  <c r="Q60" i="4"/>
  <c r="P60" i="4"/>
  <c r="P388" i="4"/>
  <c r="Q388" i="4"/>
  <c r="R388" i="4"/>
  <c r="S388" i="4"/>
  <c r="P379" i="4"/>
  <c r="Q379" i="4"/>
  <c r="R379" i="4"/>
  <c r="S379" i="4"/>
  <c r="P337" i="4"/>
  <c r="Q337" i="4"/>
  <c r="R337" i="4"/>
  <c r="S337" i="4"/>
  <c r="P31" i="4"/>
  <c r="Q31" i="4"/>
  <c r="R31" i="4"/>
  <c r="S31" i="4"/>
  <c r="P381" i="4"/>
  <c r="R381" i="4"/>
  <c r="Q381" i="4"/>
  <c r="S381" i="4"/>
  <c r="P408" i="4"/>
  <c r="Q408" i="4"/>
  <c r="R408" i="4"/>
  <c r="S408" i="4"/>
  <c r="P411" i="4"/>
  <c r="Q411" i="4"/>
  <c r="R411" i="4"/>
  <c r="S411" i="4"/>
  <c r="P258" i="4"/>
  <c r="S258" i="4"/>
  <c r="Q258" i="4"/>
  <c r="R258" i="4"/>
  <c r="P234" i="4"/>
  <c r="S234" i="4"/>
  <c r="Q234" i="4"/>
  <c r="R234" i="4"/>
  <c r="P303" i="4"/>
  <c r="R303" i="4"/>
  <c r="Q303" i="4"/>
  <c r="S303" i="4"/>
  <c r="P391" i="4"/>
  <c r="Q391" i="4"/>
  <c r="R391" i="4"/>
  <c r="S391" i="4"/>
  <c r="P410" i="4"/>
  <c r="Q410" i="4"/>
  <c r="R410" i="4"/>
  <c r="S410" i="4"/>
  <c r="P312" i="4"/>
  <c r="Q312" i="4"/>
  <c r="R312" i="4"/>
  <c r="S312" i="4"/>
  <c r="P227" i="4"/>
  <c r="Q227" i="4"/>
  <c r="S227" i="4"/>
  <c r="R227" i="4"/>
  <c r="P113" i="4"/>
  <c r="Q113" i="4"/>
  <c r="R113" i="4"/>
  <c r="S113" i="4"/>
  <c r="P389" i="4"/>
  <c r="Q389" i="4"/>
  <c r="R389" i="4"/>
  <c r="S389" i="4"/>
  <c r="P409" i="4"/>
  <c r="R409" i="4"/>
  <c r="Q409" i="4"/>
  <c r="S409" i="4"/>
  <c r="P274" i="4"/>
  <c r="Q274" i="4"/>
  <c r="S274" i="4"/>
  <c r="R274" i="4"/>
  <c r="P380" i="4"/>
  <c r="Q380" i="4"/>
  <c r="R380" i="4"/>
  <c r="S380" i="4"/>
  <c r="P350" i="4"/>
  <c r="R350" i="4"/>
  <c r="S350" i="4"/>
  <c r="Q350" i="4"/>
  <c r="P390" i="4"/>
  <c r="Q390" i="4"/>
  <c r="R390" i="4"/>
  <c r="S390" i="4"/>
  <c r="P6" i="4"/>
  <c r="Q6" i="4"/>
  <c r="R6" i="4"/>
  <c r="S6" i="4"/>
  <c r="G44" i="10" l="1"/>
  <c r="F84" i="10" l="1"/>
  <c r="G84" i="10" s="1"/>
  <c r="F83" i="10"/>
  <c r="G83" i="10" s="1"/>
  <c r="F82" i="10"/>
  <c r="G82" i="10" s="1"/>
  <c r="F81" i="10"/>
  <c r="G81" i="10" s="1"/>
  <c r="F80" i="10"/>
  <c r="G80" i="10" s="1"/>
  <c r="F79" i="10"/>
  <c r="G79" i="10" s="1"/>
  <c r="F78" i="10"/>
  <c r="G78" i="10" s="1"/>
  <c r="F77" i="10"/>
  <c r="G77" i="10" s="1"/>
  <c r="F76" i="10"/>
  <c r="G76" i="10" s="1"/>
  <c r="F75" i="10"/>
  <c r="G75" i="10" s="1"/>
  <c r="F74" i="10"/>
  <c r="G74" i="10" s="1"/>
  <c r="G73" i="10"/>
  <c r="G71" i="10" l="1"/>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3" i="10"/>
  <c r="G30" i="10"/>
  <c r="G28" i="10"/>
  <c r="G25" i="10"/>
  <c r="G23" i="10"/>
  <c r="G21" i="10"/>
  <c r="G19" i="10"/>
  <c r="G15" i="10"/>
  <c r="G14" i="10"/>
  <c r="G13" i="10"/>
  <c r="G12" i="10"/>
  <c r="G11" i="10"/>
  <c r="G10" i="10"/>
  <c r="B65" i="3"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<sst xmlns="http://schemas.openxmlformats.org/spreadsheetml/2006/main" count="17050" uniqueCount="2986">
  <si>
    <t>TARIF N°10 - LOT5 - MATINFO5</t>
  </si>
  <si>
    <t>DATE DE SOUMISSION</t>
  </si>
  <si>
    <t>VERSION</t>
  </si>
  <si>
    <t>AJOUT</t>
  </si>
  <si>
    <t>Le 08/11/2023</t>
  </si>
  <si>
    <t>Tarif n°10</t>
  </si>
  <si>
    <t>Ajout des nouvelles références de MacBook Pro 14" M3, M3 Pro et M3 Max</t>
  </si>
  <si>
    <t>Ajout des nouvelles références de Macbook Pro 16" M3 Pro et M3 Max</t>
  </si>
  <si>
    <t>Ajout des nouvelles références d'iMac 24" M3</t>
  </si>
  <si>
    <t>Ajout de nouveaux accessoires et remplacement des références obsolètes</t>
  </si>
  <si>
    <t>Optimisation de la désignation de plusieurs références d'accessoires</t>
  </si>
  <si>
    <t xml:space="preserve">Retrait des références obsolètes de MacBook Pro 13" M2, 14" et 16" M2 Pro et M2 Max </t>
  </si>
  <si>
    <t>Le 08/08/2023</t>
  </si>
  <si>
    <t>Tarif n°9</t>
  </si>
  <si>
    <t>Mise en cohérence des configurations CTO MacBook Pro 14", 16" et Mac Studio</t>
  </si>
  <si>
    <t>Le 13/06/2023</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</si>
  <si>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</si>
  <si>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</si>
  <si>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</si>
  <si>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</si>
  <si>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</si>
  <si>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</si>
  <si>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</si>
  <si>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</si>
  <si>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</si>
  <si>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</si>
  <si>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</si>
  <si>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</si>
  <si>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</si>
  <si>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</si>
  <si>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</si>
  <si>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</si>
  <si>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</si>
  <si>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</si>
  <si>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</si>
  <si>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</si>
  <si>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rPr>
        <sz val="16"/>
        <color theme="1"/>
        <rFont val="Calibri"/>
        <family val="2"/>
        <scheme val="minor"/>
      </rPr>
      <t>18/10/2022 : Keynote Apple nouveaux modèles iPad :</t>
    </r>
    <r>
      <rPr>
        <sz val="16"/>
        <color rgb="FF2CAB42"/>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</si>
  <si>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</si>
  <si>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</si>
  <si>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</si>
  <si>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</si>
  <si>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</si>
  <si>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</si>
  <si>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</si>
  <si>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</si>
  <si>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</si>
  <si>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</si>
  <si>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</si>
  <si>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</si>
  <si>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</si>
  <si>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</si>
  <si>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</si>
  <si>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</si>
  <si>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</si>
  <si>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</si>
  <si>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</si>
  <si>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</si>
  <si>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</si>
  <si>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</si>
  <si>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</si>
  <si>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</si>
  <si>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</si>
  <si>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</si>
  <si>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</si>
  <si>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</si>
  <si>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</si>
  <si>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</si>
  <si>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</si>
  <si>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</si>
  <si>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</si>
  <si>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</si>
  <si>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</si>
  <si>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</si>
  <si>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</si>
  <si>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</si>
  <si>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</si>
  <si>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</si>
  <si>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</si>
  <si>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</si>
  <si>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</si>
  <si>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</si>
  <si>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</si>
  <si>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</si>
  <si>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</si>
  <si>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</si>
  <si>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</si>
  <si>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</si>
  <si>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</si>
  <si>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</si>
  <si>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</si>
  <si>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</si>
  <si>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Coeff locatif 36 mois</t>
  </si>
  <si>
    <t>Coeff locatif 48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</si>
  <si>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</si>
  <si>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</si>
  <si>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r>
      <t xml:space="preserve">Catégories - Configurations </t>
    </r>
    <r>
      <rPr>
        <sz val="16"/>
        <color rgb="FF0432FF"/>
        <rFont val="Calibri (Corps)"/>
      </rPr>
      <t>Statistiques Matinfo 5</t>
    </r>
  </si>
  <si>
    <t>Nomenclatures CPV</t>
  </si>
  <si>
    <t>Code NACRES</t>
  </si>
  <si>
    <t>durée de location</t>
  </si>
  <si>
    <t xml:space="preserve">TARIF N°9 VALIDE AU 18/08/2023						</t>
  </si>
  <si>
    <t>Réf. article fournisseur</t>
  </si>
  <si>
    <t xml:space="preserve">Libellé de l'article </t>
    <phoneticPr fontId="3"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</si>
  <si>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</si>
  <si>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</si>
  <si>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</si>
  <si>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</si>
  <si>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</si>
  <si>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</si>
  <si>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</si>
  <si>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</si>
  <si>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</si>
  <si>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</si>
  <si>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t>MacBook Air 13" M1 - Fin 2020</t>
  </si>
  <si>
    <t>Références en coloris respectivement : argent, gris sidéral, or - Clavier disponible dans les langues : français, anglais IE, anglais US, anglais UK, allemand, espagnol, italien, suisse</t>
  </si>
  <si>
    <t>MacBook Air 13" M1 - fin 2020</t>
  </si>
  <si>
    <t>Références en coloris respectivement : argent, gris sidéral, or - Clavier disponible dans les langues : allemand, espagnol, italien, suisse</t>
  </si>
  <si>
    <t>MGN93FN/A - MGN63FN/A - MGND3FN/A</t>
  </si>
  <si>
    <t>MacBook Air 13,2" M1 CPU 8 cœurs GPU 7 cœurs / 8 Go / 256 Go SSD / 2xThunderbolt USB 4 / Wi‑Fi 6 802.11ax / Bluetooth 5.0</t>
  </si>
  <si>
    <t>APPLE</t>
  </si>
  <si>
    <t>MI5-MBA-13-5-PLUS</t>
  </si>
  <si>
    <t>-</t>
  </si>
  <si>
    <t>Catégorie 1 - Portables legers - Configuration 1</t>
  </si>
  <si>
    <t xml:space="preserve">30213100-6 </t>
  </si>
  <si>
    <t>IA12</t>
  </si>
  <si>
    <t>CTO-MGN93-16GB</t>
  </si>
  <si>
    <t>Passage à 16 Go de mémoire unifiée pour MacBook Air MGN93FN/A</t>
  </si>
  <si>
    <t/>
  </si>
  <si>
    <t>CTO-MGN93-SSD512</t>
  </si>
  <si>
    <t>Passage à 512 Go de stockage SSD pour MacBook Air MGN93FN/A</t>
  </si>
  <si>
    <t>CTO-MGN93-SSD1To</t>
  </si>
  <si>
    <t>Passage à 1 To de stockage SSD pour MacBook Air MGN93FN/A</t>
  </si>
  <si>
    <t>CTO-MGN93-SSD2To</t>
  </si>
  <si>
    <t>Passage à 2 To de stockage SSD pour MacBook Air MGN93FN/A</t>
  </si>
  <si>
    <t>CTO-MGN93-QUS</t>
  </si>
  <si>
    <t>Passage à un clavier rétro-éclairé anglais américain &amp; guide utilisateur anglais pour MacBook Air MGN93FN/A</t>
  </si>
  <si>
    <t>CTO-MGN93-QBR</t>
  </si>
  <si>
    <t>Passage à un clavier rétro-éclairé anglais Britannique &amp; guide utilisateur anglais pour MacBook Air MGN93FN/A</t>
  </si>
  <si>
    <t>CTO-MGN93-QIE</t>
  </si>
  <si>
    <t>Passage à un clavier rétro-éclairé anglais International &amp; guide utilisateur anglais pour MacBook Air MGN93FN/A</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</si>
  <si>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</si>
  <si>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</si>
  <si>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</si>
  <si>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</si>
  <si>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</si>
  <si>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</si>
  <si>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</si>
  <si>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</si>
  <si>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</si>
  <si>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</si>
  <si>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</si>
  <si>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</si>
  <si>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</si>
  <si>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</si>
  <si>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</si>
  <si>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</si>
  <si>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</si>
  <si>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</si>
  <si>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</si>
  <si>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</si>
  <si>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</si>
  <si>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</si>
  <si>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</si>
  <si>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</si>
  <si>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</si>
  <si>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</si>
  <si>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</si>
  <si>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</si>
  <si>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</si>
  <si>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</si>
  <si>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</si>
  <si>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</si>
  <si>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</si>
  <si>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</si>
  <si>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</si>
  <si>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MacBook Air 13" M2 - Mi 2022</t>
  </si>
  <si>
    <t>Références en coloris respectivement : argent, gris sidéral, lumière stellaire, minuit - Clavier disponible dans les langues : français, anglais IE, anglais US, anglais UK, allemand, espagnol, italien, suisse</t>
  </si>
  <si>
    <t>MacBook Air 13" M2 - mi 2022</t>
  </si>
  <si>
    <t>Références en coloris respectivement : argent, gris sidéral, lumière stellaire, minuit - Clavier disponible dans les langues : allemand, espagnol, italien, suisse</t>
  </si>
  <si>
    <t>MLXY3FN/A - MLXW3FN/A - MLY13FN/A - MLY33FN/A</t>
  </si>
  <si>
    <t>MacBook Air 13,6" M2 CPU 8 cœurs GPU 8 cœurs / 8 Go / 256 Go SSD / 2xThunderbolt USB 4 / Wi‑Fi 6 802.11ax / MagSafe 3</t>
  </si>
  <si>
    <t>Catégorie 1 - Portables legers - Configuration 2</t>
  </si>
  <si>
    <t>CTO-MLXY3-M2GPU10</t>
  </si>
  <si>
    <t>Passage à un M2 avec CPU 8 cœurs GPU 10 cœurs pour MacBook Air MLXY3FN/A</t>
  </si>
  <si>
    <t>CTO-MLXY3-16GB</t>
  </si>
  <si>
    <t>Passage à 16 Go de mémoire unifiée pour MacBook Air MLXY3FN/A</t>
  </si>
  <si>
    <t>CTO-MLXY3-24GB</t>
  </si>
  <si>
    <t>Passage à 24 Go de mémoire unifiée pour MacBook Air MLXY3FN/A</t>
  </si>
  <si>
    <t>CTO-MLXY3-SSD512</t>
  </si>
  <si>
    <t>Passage à 512 Go de stockage SSD pour MacBook Air MLXY3FN/A</t>
  </si>
  <si>
    <t>CTO-MLXY3-SSD1To</t>
  </si>
  <si>
    <t>Passage à 1 To de stockage SSD pour MacBook Air MLXY3FN/A</t>
  </si>
  <si>
    <t>CTO-MLXY3-SSD2To</t>
  </si>
  <si>
    <t>Passage à 2 To de stockage SSD pour MacBook Air MLXY3FN/A</t>
  </si>
  <si>
    <t>CTO-MLXY3-35W</t>
  </si>
  <si>
    <t>Passage à un adaptateur secteur double port USB-C 35 W pour MacBook Air MLXY3FN/A</t>
  </si>
  <si>
    <t>CTO-MLXY3-67W</t>
  </si>
  <si>
    <t>Passage à un adaptateur secteur USB-C 70 W pour MacBook Air MLXY3FN/A</t>
  </si>
  <si>
    <t>CTO-MLXY3-QUS</t>
  </si>
  <si>
    <t>Passage à un clavier rétro-éclairé américain &amp; guide utilisateur anglais pour MacBook Air MLXY3FN/A</t>
  </si>
  <si>
    <t>CTO-MLXY3-QIE</t>
  </si>
  <si>
    <t>Passage à un clavier rétro-éclairé anglais international &amp; guide utilisateur anglais pour MacBook Air MLXY3FN/A</t>
  </si>
  <si>
    <t>CTO-MLXY3-QBR</t>
  </si>
  <si>
    <t>Passage à un clavier rétro-éclairé anglais britannique pour MacBook Air MLXY3FN/A</t>
  </si>
  <si>
    <t>MacBook Air 15" M2 - Mi 2023</t>
  </si>
  <si>
    <t>MacBook Air 15" M2 - mi 2023</t>
  </si>
  <si>
    <t>MQKR3FN/A - MQKP3FN/A - MQKU3FN/A - MQKW3FN/A</t>
  </si>
  <si>
    <t>MacBook Air 15,3" M2 CPU 8 cœurs GPU 10 cœurs / 8 Go / 256 Go SSD / 2xThunderbolt USB 4 / Wi‑Fi 6 802.11ax / MagSafe 3</t>
  </si>
  <si>
    <t>MI5-MBA-15-5-PLUS</t>
  </si>
  <si>
    <t>Catégorie 1 - Portables legers - Configuration 3</t>
  </si>
  <si>
    <t>CTO-MQKR3-16GB</t>
  </si>
  <si>
    <t>Passage à 16 Go de mémoire unifiée pour MacBook Air</t>
  </si>
  <si>
    <t>CTO-MQKR3-24GB</t>
  </si>
  <si>
    <t>Passage à 24 Go de mémoire unifiée pour MacBook Air</t>
  </si>
  <si>
    <t>CTO-MQKR3-SSD512</t>
  </si>
  <si>
    <t>Passage à 512 Go de stockage SSD pour MacBook Air</t>
  </si>
  <si>
    <t>CTO-MQKR3-SSD1To</t>
  </si>
  <si>
    <t>Passage à 1 To Go de stockage SSD pour MacBook Air</t>
  </si>
  <si>
    <t>CTO-MQKR3-SSD2To</t>
  </si>
  <si>
    <t>Passage à 2 To de stockage SSD pour MacBook Air</t>
  </si>
  <si>
    <t>CTO-MQKR3-70W</t>
  </si>
  <si>
    <t>Passage à un adaptateur secteur USB-C 70 W pour MacBook Air</t>
  </si>
  <si>
    <t>CTO-MQKR3-QUS</t>
  </si>
  <si>
    <t>Passage à un clavier rétro-éclairé anglais américain pour MacBook Air</t>
  </si>
  <si>
    <t>CTO-MQKR3-QIE</t>
  </si>
  <si>
    <t>Passage à un clavier rétro-éclairé anglais international pour MacBook Air</t>
  </si>
  <si>
    <t>CTO-MQKR3-QBR</t>
  </si>
  <si>
    <t>Passage à un clavier rétro-éclairé anglais britannique pour MacBook Air</t>
  </si>
  <si>
    <t>MI5-MBA-15-6-PLUS</t>
  </si>
  <si>
    <t>MI5-MBA-15-7-PLUS</t>
  </si>
  <si>
    <t>MI5-MBA-15-8-PLUS</t>
  </si>
  <si>
    <t>MI5-MBA-15-5-PRO</t>
  </si>
  <si>
    <t>MI5-MBA-15-6-PRO</t>
  </si>
  <si>
    <t>MI5-MBA-15-7-PRO</t>
  </si>
  <si>
    <t>MI5-MBA-15-8-PRO</t>
  </si>
  <si>
    <t>MI5-MBA-15-5-PLATINE</t>
  </si>
  <si>
    <t>MI5-MBA-15-6-PLATINE</t>
  </si>
  <si>
    <t>MI5-MBA-15-7-PLATINE</t>
  </si>
  <si>
    <t>MI5-MBA-15-8-PLATINE</t>
  </si>
  <si>
    <t>MI5-MBA-15-5-PLUS-INTER</t>
  </si>
  <si>
    <t>MI5-MBA-15-5-PRO-INTER</t>
  </si>
  <si>
    <t>MI5-MBA-15-5-E-CARE</t>
  </si>
  <si>
    <t>MI5-MBA-15-5-E-KYOD</t>
  </si>
  <si>
    <t>MacBook Pro 13" M2 - mi 2022</t>
  </si>
  <si>
    <t>Références en coloris respectivement : argent, gris sidéral - Clavier disponible dans les langues : allemand, espagnol, italien, suisse</t>
  </si>
  <si>
    <t>MNEH3FN/A - MNEP3FN/A</t>
  </si>
  <si>
    <t>MacBook Pro 13" Touch Bar M2 CPU 8 cœurs GPU 10 cœurs / 8 Go / 256 Go SSD / 2x Thunderbolt 4</t>
  </si>
  <si>
    <t>MI5-MBP-13-5-PLUS</t>
  </si>
  <si>
    <t>Catégorie 2 - Portables standards - Configuration 1</t>
  </si>
  <si>
    <t>IA11</t>
  </si>
  <si>
    <t>CTO-MNEH3-16GB</t>
  </si>
  <si>
    <t>Passage à 16 Go de mémoire unifiée pour MacBook Pro MNEH3FN/A</t>
  </si>
  <si>
    <t>CTO-MNEH3-24GB</t>
  </si>
  <si>
    <t>Passage à 24 Go de mémoire unifiée pour MacBook Pro MNEH3FN/A</t>
  </si>
  <si>
    <t>CTO-MNEH3-SSD512</t>
  </si>
  <si>
    <t>Passage à 512 Go de stockage SSD pour MacBook Pro MNEH3FN/A</t>
  </si>
  <si>
    <t>CTO-MNEH3-SSD1To</t>
  </si>
  <si>
    <t>Passage à 1 To de stockage SSD pour MacBook Pro MNEH3FN/A</t>
  </si>
  <si>
    <t>CTO-MNEH3-SSD2To</t>
  </si>
  <si>
    <t>Passage à 2 To de stockage SSD pour MacBook Pro MNEH3FN/A</t>
  </si>
  <si>
    <t>CTO-MNEH3-QIE</t>
  </si>
  <si>
    <t>Passage à un clavier anglais international &amp; guide utilisateur anglais pour MacBook Pro MNEH3FN/A</t>
  </si>
  <si>
    <t>CTO-MNEH3-QUS</t>
  </si>
  <si>
    <t>Passage à un clavier américain &amp; guide utilisateur anglais pour MacBook Pro MNEH3FN/A</t>
  </si>
  <si>
    <t>CTO-MNEH3-QBR</t>
  </si>
  <si>
    <t>Passage à un clavier rétro-éclairé anglais britannique pour MacBook Pro MNEH3FN/A</t>
  </si>
  <si>
    <t>Garantie 5 ans formule Plus pour MacBook Pro 13" (intervention à J+1 - réparation à J+3 ou MacBook Pro 13" de prêt)</t>
  </si>
  <si>
    <t>MI5-MBP-13-6-PLUS</t>
  </si>
  <si>
    <t>Passage à une garantie 6 ans formule Plus pour MacBook Pro 13" (intervention à J+1 - réparation à J+3 ou MacBook Pro de prêt)</t>
  </si>
  <si>
    <t>MI5-MBP-13-7-PLUS</t>
  </si>
  <si>
    <t>Passage à une garantie 7 ans formule Plus pour MacBook Pro 13" (intervention à J+1 - réparation à J+3 ou MacBook Pro de prêt)</t>
  </si>
  <si>
    <t>MI5-MBP-13-8-PLUS</t>
  </si>
  <si>
    <t>Passage à une garantie 8 ans formule Plus pour MacBook Pro 13" (intervention à J+1 - réparation à J+3 ou MacBook Pro de prêt)</t>
  </si>
  <si>
    <t>MI5-MBP-13-5-PRO</t>
  </si>
  <si>
    <t>Passage à une garantie 5 ans formule Pro+ pour MacBook Pro 13" (diagnostic à H+4 - remplacement à J+1)</t>
  </si>
  <si>
    <t>MI5-MBP-13-6-PRO</t>
  </si>
  <si>
    <t>Passage à une garantie 6 ans formule Pro+ pour MacBook Pro 13" (diagnostic à H+4 - remplacement à J+1)</t>
  </si>
  <si>
    <t>MI5-MBP-13-7-PRO</t>
  </si>
  <si>
    <t>Passage à une garantie 7 ans formule Pro+ pour MacBook Pro (diagnostic à H+4 - remplacement à J+1)</t>
  </si>
  <si>
    <t>MI5-MBP-13-8-PRO</t>
  </si>
  <si>
    <t>Passage à une garantie 8 ans formule Pro+ pour MacBook Pro (diagnostic à H+4 - remplacement à J+1)</t>
  </si>
  <si>
    <t>MI5-MBP-13-5-PLATINE</t>
  </si>
  <si>
    <t>Passage à une garantie 5 ans formule Platine pour MacBook Pro (réparation sur site de J+1 à J+3 maximum)</t>
  </si>
  <si>
    <t>MI5-MBP-13-6-PLATINE</t>
  </si>
  <si>
    <t>Passage à une garantie 6 ans formule Platine pour MacBook Pro (réparation sur site de J+1 à J+3 maximum)</t>
  </si>
  <si>
    <t>MI5-MBP-13-7-PLATINE</t>
  </si>
  <si>
    <t>Passage à une garantie 7 ans formule Platine pour MacBook Pro (réparation sur site de J+1 à J+3 maximum)</t>
  </si>
  <si>
    <t>MI5-MBP-13-8-PLATINE</t>
  </si>
  <si>
    <t>Passage à une garantie 8 ans formule Platine pour MacBook Pro (réparation sur site de J+1 à J+3 maximum)</t>
  </si>
  <si>
    <t>MI5-MBP-13-5-PLUS-INTER</t>
  </si>
  <si>
    <t>Garantie 5 ans formule Plus internationale pour MacBook Pro 13" (France : intervention à J+1 - réparation à J+3 ou MacBook Air de prêt pour la France Métropolitaine - retour atelier pour l'étranger) (remplace la garantie 5 ans formule Plus)</t>
  </si>
  <si>
    <t>MI5-MBP-13-5-PRO-INTER</t>
  </si>
  <si>
    <t>Garantie 5 ans formule Pro internationale pour MacBook Pro 13" (diagnostic à H+4 - remplacement à J+1 - retour atelier à l'étranger) (remplace la garantie 5 ans formule Plus)</t>
  </si>
  <si>
    <t>MI5-MBP-13-5-E-CARE</t>
  </si>
  <si>
    <t>Service de substitution forfaité d'une durée de 5 ans pour MacBook Pro 13"</t>
  </si>
  <si>
    <t>MI5-MBP-13-5-E-KYOD</t>
  </si>
  <si>
    <t>Service de conservation du disque dur pour une durée de 5 ans pour MacBook Pro (Keep your own drive)</t>
  </si>
  <si>
    <t>MacBook Pro 14" M3 - Fin 2023</t>
  </si>
  <si>
    <t>Références en coloris respectivement : argent, gris sidéral - Clavier disponible dans les langues : français, anglais IE, anglais US, anglais UK, allemand, espagnol, italien, suisse</t>
  </si>
  <si>
    <t>MR7J3FN/A - MTL73FN/A</t>
  </si>
  <si>
    <t>MacBook Pro 14,2" M3 CPU 8 cœurs GPU 10 cœurs -  8 Go de mémoire unifiée - 512 Go de SSD - 2x Thunderbolt/USB4 - HDMI - Lecteur carte SDXC - MagSafe 3</t>
  </si>
  <si>
    <t>MI5-MBP-14-5-PLUS</t>
  </si>
  <si>
    <t>CTO-MR7J3-16GB - CTO-MTL73-16GB</t>
  </si>
  <si>
    <t>Passage à 16 Go de mémoire unifiée pour MacBook Pro 14" M3</t>
  </si>
  <si>
    <t>CTO-MR7J3-24GB - CTO-MTL73-24GB</t>
  </si>
  <si>
    <t>Passage à 24 Go de mémoire unifiée pour MacBook Pro 14" M3</t>
  </si>
  <si>
    <t>CTO-MR7J3-SSD1To - CTO-MTL73-SSD1To</t>
  </si>
  <si>
    <t>Passage à 1 To de stockage SSD pour MacBook Pro 14" M3</t>
  </si>
  <si>
    <t>CTO-MR7J3-SSD2To - CTO-MTL73-SSD2To</t>
  </si>
  <si>
    <t>Passage à 2 To de stockage SSD pour MacBook Pro 14" M3</t>
  </si>
  <si>
    <t>CTO-MR7J3-96W - CTO-MTL73-96W</t>
  </si>
  <si>
    <t>Passage à un adaptateur secteur USB-C 96 W pour MacBook Pro 14" M3</t>
  </si>
  <si>
    <t>CTO-MR7J3-QIE - CTO-MTL73-QIE</t>
  </si>
  <si>
    <t>Passage à un clavier anglais international pour MacBook Pro 14" M3</t>
  </si>
  <si>
    <t>CTO-MR7J3-QUS - CTO-MTL73-QUS</t>
  </si>
  <si>
    <t>Passage à un clavier anglais américain pour MacBook Pro 14" M3</t>
  </si>
  <si>
    <t>CTO-MR7J3-QBR - CTO-MTL73-QBR</t>
  </si>
  <si>
    <t>Passage à un clavier anglais britannique pour MacBook Pro 14" M3</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</si>
  <si>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</si>
  <si>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</si>
  <si>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</si>
  <si>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</si>
  <si>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</si>
  <si>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</si>
  <si>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</si>
  <si>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</si>
  <si>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</si>
  <si>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</si>
  <si>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</si>
  <si>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</si>
  <si>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</si>
  <si>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</si>
  <si>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</si>
  <si>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</si>
  <si>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</si>
  <si>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</si>
  <si>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</si>
  <si>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</si>
  <si>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</si>
  <si>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</si>
  <si>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</si>
  <si>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</si>
  <si>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</si>
  <si>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</si>
  <si>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</si>
  <si>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</si>
  <si>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</si>
  <si>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</si>
  <si>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</si>
  <si>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MacBook Pro 14" M3 Pro et M3 Max - Fin 2023</t>
  </si>
  <si>
    <t>Références respectivement en coloris : argent, noir sidéral - Clavier disponible dans les langues : français, anglais IE, anglais US, anglais UK, allemand, espagnol, italien, suisse</t>
  </si>
  <si>
    <t>MacBook Pro 14" M2 Pro et M2 Max - début 2023</t>
  </si>
  <si>
    <t>Références respectivement en coloris : argent, gris sidéral - Clavier disponible dans les langues : allemand, espagnol, italien, suisse</t>
  </si>
  <si>
    <t>MRX63FN/A - MRX33FN/A</t>
  </si>
  <si>
    <t>MacBook Pro 14,2" M3 Pro CPU 11 cœurs GPU 14 cœurs - 18 Go de mémoire unifiée - 512 Go de SSD - 3x Thunderbolt 4 - HDMI - Lecteur carte SDXC - MagSafe 3</t>
  </si>
  <si>
    <t>Catégorie 2 - Portables standards - Configuration 2</t>
  </si>
  <si>
    <t>MPHH3FN/A - MPHE3FN/A</t>
  </si>
  <si>
    <t>MacBook Pro 14" M2 Pro CPU 10 cœurs GPU 16 cœurs / 16 Go / 512 Go SSD / 3x Thunderbolt 4 / HDMI / lecteur carte SDXC / port MagSafe 3</t>
  </si>
  <si>
    <t>Catégorie 2 - Portables standards - Configuration 3</t>
  </si>
  <si>
    <t>CTO-MRX63-M3PROCPU11GPU14-36 - CTO-MRX33-M3PROCPU11GPU14-36</t>
  </si>
  <si>
    <t xml:space="preserve">Passage à puce Apple M3 Pro avec CPU 11 cœurs GPU 14 cœurs + 36 Go de mémoire unifiée </t>
  </si>
  <si>
    <t>CTO-MPHH3-GPU16-32</t>
  </si>
  <si>
    <t xml:space="preserve">Puce Apple M2 Pro avec CPU 10 coeurs, GPU 16 coeur + 32 Go de mémoire unifiée </t>
  </si>
  <si>
    <t>CTO-MRX63-M3PROCPU12GPU18-18 - CTO-MRX33-M3PROCPU12GPU18-18</t>
  </si>
  <si>
    <t xml:space="preserve">Passage à puce Apple M3 Pro avec CPU 12 cœurs GPU 18 cœurs + 18 Go de mémoire unifiée </t>
  </si>
  <si>
    <t>CTO-MPHH3-GPU19-16</t>
  </si>
  <si>
    <t xml:space="preserve">Puce Apple M2 Pro avec CPU 12 coeurs, GPU 19 coeurs + 16 Go de mémoire unifiée </t>
  </si>
  <si>
    <t>CTO-MRX63-M3PROCPU12GPU18-36 - CTO-MRX33-M3PROCPU12GPU18-36</t>
  </si>
  <si>
    <t xml:space="preserve">Passage à puce Apple M3 Pro avec CPU 12 cœurs GPU 18 cœurs + 36 Go de mémoire unifiée </t>
  </si>
  <si>
    <t>CTO-MPHH3-GPU19-32</t>
  </si>
  <si>
    <t xml:space="preserve">Puce Apple M2 Pro avec CPU 12 coeurs, GPU 19 coeurs + 32 Go de mémoire unifiée </t>
  </si>
  <si>
    <t>CTO-MPHH3-GPU30-32</t>
  </si>
  <si>
    <t xml:space="preserve">Puce Apple M2 Max avec CPU 12 coeurs, GPU 30 coeurs + 32 Go de mémoire unifiée </t>
  </si>
  <si>
    <t>CTO-MPHH3-GPU30-64</t>
  </si>
  <si>
    <t xml:space="preserve">Puce Apple M2 Max avec CPU 12 coeurs, GPU 30 coeurs + 64 Go de mémoire unifiée </t>
  </si>
  <si>
    <t>CTO-MPHH3-GPU38-32</t>
  </si>
  <si>
    <t xml:space="preserve">Puce Apple M2 Max avec CPU 12 coeurs, GPU 38 coeurs + 32 Go de mémoire unifiée </t>
  </si>
  <si>
    <t>CTO-MPHH3-GPU38-64</t>
  </si>
  <si>
    <t xml:space="preserve">Puce Apple M2 Max avec CPU 12 coeurs, GPU 38 coeurs + 64 Go de mémoire unifiée </t>
  </si>
  <si>
    <t>CTO-MPHH3-GPU38-96</t>
  </si>
  <si>
    <t xml:space="preserve">Puce Apple M2 Max avec CPU 12 coeurs, GPU 38 coeurs + 96 Go de mémoire unifiée </t>
  </si>
  <si>
    <t>CTO-MRX63-SSD1To - CTO-MRX33-SSD1To</t>
  </si>
  <si>
    <t>Passage à 1 To de stockage SSD pour MacBook Pro 14"</t>
  </si>
  <si>
    <t>CTO-MPHH3-SSD1To</t>
  </si>
  <si>
    <t>Passage à 1 To de stockage SSD pour MacBook Pro 14" MPHH3FN/A</t>
  </si>
  <si>
    <t>CTO-MRX63-SSD2To - CTO-MRX33-SSD2To</t>
  </si>
  <si>
    <t>Passage à 2 To de stockage SSD pour MacBook Pro 14"</t>
  </si>
  <si>
    <t>CTO-MPHH3-SSD2To</t>
  </si>
  <si>
    <t>Passage à 2 To de stockage SSD pour MacBook Pro 14" MPHH3FN/A</t>
  </si>
  <si>
    <t>CTO-MRX63-SSD4To - CTO-MRX33-SSD4To</t>
  </si>
  <si>
    <t>Passage à 4 To de stockage SSD pour MacBook Pro 14"</t>
  </si>
  <si>
    <t>CTO-MPHH3-SSD4To</t>
  </si>
  <si>
    <t>Passage à 4 To de stockage SSD pour MacBook Pro 14" MPHH3FN/A</t>
  </si>
  <si>
    <t>CTO-MPHH3-SSD8To</t>
  </si>
  <si>
    <t>Passage à 8 To de stockage SSD pour MacBook Pro 14" MPHH3FN/A</t>
  </si>
  <si>
    <t>CTO-MRX63-96W - CTO-MRX33-96W</t>
  </si>
  <si>
    <t>Passage à un adaptateur secteur USB‑C 96 W pour MacBook Pro 14" uniquement pour M3 Pro CPU 11 cœurs</t>
  </si>
  <si>
    <t>CTO-MPHH3-96W</t>
  </si>
  <si>
    <t>Passage à un adaptateur secteur USB‑C 96 W  pour MacBook Pro 14" (uniquement avec M2 Pro 10 cœurs) MPHH3FN/A</t>
  </si>
  <si>
    <t>CTO-MRX63-QIE - CTO-MRX33-QIE</t>
  </si>
  <si>
    <t>Passage à un clavier anglais international pour MacBook Pro 14"</t>
  </si>
  <si>
    <t>CTO-MPHH3-QIE</t>
  </si>
  <si>
    <t>Passage à un clavier anglais international &amp; guide utilisateur anglais pour MacBook Pro 14" MPHH3FN/A</t>
  </si>
  <si>
    <t>CTO-MRX63-QUS - CTO-MRX33-QUS</t>
  </si>
  <si>
    <t>Passage à un clavier anglais américain pour MacBook Pro 14"</t>
  </si>
  <si>
    <t>CTO-MPHH3-QUS</t>
  </si>
  <si>
    <t>Passage à un clavier anglais américain &amp; guide utilisateur anglais pour MacBook Pro 14" MPHH3FN/A</t>
  </si>
  <si>
    <t>CTO-MRX63-QBR - CTO-MRX33-QBR</t>
  </si>
  <si>
    <t>Passage à un clavier anglais britannique pour MacBook Pro 14"</t>
  </si>
  <si>
    <t>CTO-MPHH3-QBR</t>
  </si>
  <si>
    <t>Passage à un clavier anglais britannique pour MacBook Pro 14" MPHH3FN/A</t>
  </si>
  <si>
    <t>MRX83FN/A - MRX53FN/A</t>
  </si>
  <si>
    <t>MacBook Pro 14,2" M3 Max CPU 14 cœurs GPU 30 cœurs - 36 Go de mémoire unifiée - 1 To de SSD - 3x Thunderbolt 4 - HDMI - Lecteur carte SDXC - MagSafe 3</t>
  </si>
  <si>
    <t>CTO-MRX83-M3MAXCPU14GPU30-96 - CTO-MRX53-M3MAXCPU14GPU30-96</t>
  </si>
  <si>
    <t xml:space="preserve">Passage à Puce Apple M3 Max avec CPU 14 cœurs GPU 30 cœurs + 96 Go de mémoire unifiée </t>
  </si>
  <si>
    <t>CTO-MRX83-M3MAXCPU16GPU40-48 - CTO-MRX53-M3MAXCPU16GPU40-48</t>
  </si>
  <si>
    <t xml:space="preserve">Passage à Puce Apple M3 Max avec CPU 16 cœurs GPU 40 cœurs + 48 Go de mémoire unifiée </t>
  </si>
  <si>
    <t>CTO-MRX83-M3MAXCPU16GPU40-64 - CTO-MRX53-M3MAXCPU16GPU40-64</t>
  </si>
  <si>
    <t xml:space="preserve">Passage à Puce Apple M3 Max avec CPU 16 cœurs GPU 40 cœurs + 64 Go de mémoire unifiée </t>
  </si>
  <si>
    <t>CTO-MRX83-M3MAXCPU16GPU40-128 - CTO-MRX53-M3MAXCPU16GPU40-128</t>
  </si>
  <si>
    <t xml:space="preserve">Passage à Puce Apple M3 Max avec CPU 16 cœurs GPU 40 cœurs + 128 Go de mémoire unifiée </t>
  </si>
  <si>
    <t>CTO-MRX83-SSD2To - CTO-MRX53-SSD2To</t>
  </si>
  <si>
    <t>CTO-MRX83-SSD4To - CTO-MRX53-SSD4To</t>
  </si>
  <si>
    <t>CTO-MRX83-SSD8To - CTO-MRX53-SSD8To</t>
  </si>
  <si>
    <t>Passage à 8 To de stockage SSD pour MacBook Pro 14"</t>
  </si>
  <si>
    <t>CTO-MRX83-QIE - CTO-MRX53-QIE</t>
  </si>
  <si>
    <t>CTO-MRX83-QUS - CTO-MRX53-QUS</t>
  </si>
  <si>
    <t>CTO-MRX83-QBR - CTO-MRX53-QBR</t>
  </si>
  <si>
    <t>MacBook Pro 16" M3 Pro et M3 Max - Début 2023</t>
  </si>
  <si>
    <t>MacBook Pro 16" M2 Pro et M2 Max - début 2023</t>
  </si>
  <si>
    <t>MRW43FN/A - MRW13FN/A</t>
  </si>
  <si>
    <t>MacBook Pro 16,2" M3 Pro CPU 12 cœurs GPU 18 cœurs - 18 Go de mémoire unifiée - 512 Go de SSD - 3x Thunderbolt 4 - HDMI - Lecteur carte SDXC - MagSafe 3</t>
  </si>
  <si>
    <t>MI5-MBP-16-5-PLUS</t>
  </si>
  <si>
    <t>Catégorie 2 - Portables standards - Configuration 4</t>
  </si>
  <si>
    <t>30200000-1</t>
  </si>
  <si>
    <t>MNWC3FN/A - MNW83FN/A</t>
  </si>
  <si>
    <t>MacBook Pro 16" M2 Pro CPU 12 cœurs GPU 19 cœurs / 16 Go / 512 Go SSD / 3x Thunderbolt 4 / HDMI / lecteur carte SDXC / port MagSafe 3</t>
  </si>
  <si>
    <t>Catégorie 2 - Portables standards - Configuration 6</t>
  </si>
  <si>
    <t xml:space="preserve">Passage à Puce Apple M3 Pro avec CPU 12 cœurs GPU 18 cœurs + 36 Go de mémoire unifiée </t>
  </si>
  <si>
    <t>CTO-MNW83-GPU19-32</t>
  </si>
  <si>
    <t>CTO-MNW83-GPU38-64</t>
  </si>
  <si>
    <t>CTO-MNW83-GPU30-32</t>
  </si>
  <si>
    <t>CTO-MNW83-GPU30-64</t>
  </si>
  <si>
    <t>CTO-MNW83-GPU38-96</t>
  </si>
  <si>
    <t>CTO-MNW83-GPU38-32</t>
  </si>
  <si>
    <t>CTO-MRW43-SSD1To - CTO-MRW13-SSD1To</t>
  </si>
  <si>
    <t>Passage à 1 To de stockage SSD pour MacBook Pro 16"</t>
  </si>
  <si>
    <t>CTO-MNWC3-SSD1To</t>
  </si>
  <si>
    <t>Passage à 1 To de stockage SSD pour MacBook Pro 16" MNWC3FN/A</t>
  </si>
  <si>
    <t>CTO-MRW43-SSD2To - CTO-MRW13-SSD2To</t>
  </si>
  <si>
    <t>Passage à 2 To de stockage SSD pour MacBook Pro 16"</t>
  </si>
  <si>
    <t>CTO-MNWC3-SSD2To</t>
  </si>
  <si>
    <t>Passage à 2 To de stockage SSD pour MacBook Pro 16" MNWC3FN/A</t>
  </si>
  <si>
    <t>CTO-MRW43-SSD4To - CTO-MRW13-SSD4To</t>
  </si>
  <si>
    <t>Passage à 4 To de stockage SSD pour MacBook Pro 16"</t>
  </si>
  <si>
    <t>CTO-MNWC3-SSD4To</t>
  </si>
  <si>
    <t>Passage à 4 To de stockage SSD pour MacBook Pro 16" MNWC3FN/A</t>
  </si>
  <si>
    <t>CTO-MNWC3-SSD8To</t>
  </si>
  <si>
    <t>Passage à 8 To de stockage SSD pour MacBook Pro 16" MNWC3FN/A</t>
  </si>
  <si>
    <t>CTO-MRW43-QIE - CTO-MRW13-QIE</t>
  </si>
  <si>
    <t>Passage à un clavier anglais international pour MacBook Pro 16"</t>
  </si>
  <si>
    <t>CTO-MNWC3-QUK</t>
  </si>
  <si>
    <t>Passage à un clavier anglais international &amp; guide utilisateur anglais pour MacBook Pro 16" MNWC3FN/A</t>
  </si>
  <si>
    <t>CTO-MRW43-QUS - CTO-MRW13-QUS</t>
  </si>
  <si>
    <t>Passage à un clavier anglais américain pour MacBook Pro 16"</t>
  </si>
  <si>
    <t>CTO-MNWC3-QUS</t>
  </si>
  <si>
    <t>Passage à un clavier américain &amp; guide utilisateur anglais pour MacBook Pro 16" MNWC3FN/A</t>
  </si>
  <si>
    <t>CTO-MRW43-QBR - CTO-MRW13-QBR</t>
  </si>
  <si>
    <t>Passage à un clavier anglais britannique pour MacBook Pro 16"</t>
  </si>
  <si>
    <t>CTO-MNWC3-QIE</t>
  </si>
  <si>
    <t>Passage à un clavier rétro-éclairé anglais britannique pour MacBook Pro 16" MNWC3FN/A</t>
  </si>
  <si>
    <t>MRW73FN/A - MRW33FN/A</t>
  </si>
  <si>
    <t>MacBook Pro 16,2" M3 Max CPU 14 cœurs GPU 30 cœurs - 36 Go de mémoire unifiée - 1 To de SSD - 3x Thunderbolt 4 - HDMI - Lecteur carte SDXC - MagSafe 3</t>
  </si>
  <si>
    <t>Catégorie 2 - Portables standards - Configuration 5</t>
  </si>
  <si>
    <t>CTO-MRW73-M3MAXCPU14GPU30-96 - CTO-MRW33-M3MAXCPU14GPU30-96</t>
  </si>
  <si>
    <t xml:space="preserve">Puce Apple M3 Max avec CPU 14 coeurs, GPU 30 coeurs + 96 Go de mémoire unifiée </t>
  </si>
  <si>
    <t>CTO-MRW73-M3MAXCPU16GPU40-48 - CTO-MRW33-M3MAXCPU16GPU40-48</t>
  </si>
  <si>
    <t xml:space="preserve">Puce Apple M3 Max avec CPU 16 coeurs, GPU 40 coeurs + 48 Go de mémoire unifiée </t>
  </si>
  <si>
    <t>CTO-MRW73-M3MAXCPU16GPU40-64 - CTO-MRW33-M3MAXCPU16GPU40-64</t>
  </si>
  <si>
    <t xml:space="preserve">Puce Apple M3 Max avec CPU 16 coeurs, GPU 40 coeurs + 64 Go de mémoire unifiée </t>
  </si>
  <si>
    <t>CTO-MRW73-M3MAXCPU16GPU40-128 - CTO-MRW33-M3MAXCPU16GPU40-128</t>
  </si>
  <si>
    <t xml:space="preserve">Puce Apple M3 Max avec CPU 16 coeurs, GPU 40 coeurs + 128 Go de mémoire unifiée </t>
  </si>
  <si>
    <t>CTO-MRW73-SSD2To - CTO-MRW33-SSD2To</t>
  </si>
  <si>
    <t>CTO-MRW73-SSD4To - CTO-MRW33-SSD4To</t>
  </si>
  <si>
    <t>CTO-MRW73-SSD8To - CTO-MRW33-SSD8To</t>
  </si>
  <si>
    <t>Passage à 8 To de stockage SSD pour MacBook Pro 16"</t>
  </si>
  <si>
    <t>CTO-MRW73-QIE - CTO-MRW33-QIE</t>
  </si>
  <si>
    <t>CTO-MRW73-QUS - CTO-MRW33-QUS</t>
  </si>
  <si>
    <t>CTO-MRW73-QBR - CTO-MRW33-QBR</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</si>
  <si>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</si>
  <si>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</si>
  <si>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</si>
  <si>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</si>
  <si>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</si>
  <si>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</si>
  <si>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</si>
  <si>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</si>
  <si>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</si>
  <si>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</si>
  <si>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</si>
  <si>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</si>
  <si>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</si>
  <si>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</si>
  <si>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</si>
  <si>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</si>
  <si>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</si>
  <si>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</si>
  <si>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</si>
  <si>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</si>
  <si>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</si>
  <si>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</si>
  <si>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</si>
  <si>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</si>
  <si>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</si>
  <si>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</si>
  <si>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</si>
  <si>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</si>
  <si>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</si>
  <si>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</si>
  <si>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</si>
  <si>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</si>
  <si>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Mac mini M2 et M2 Pro - Début 2023</t>
  </si>
  <si>
    <t>Mac mini M2 et M2 Pro - début 2023</t>
  </si>
  <si>
    <t>MMFJ3FN/A</t>
  </si>
  <si>
    <t>Mac mini M2 CPU 8 cœurs GPU 10 cœurs / 8 Go / 256 Go / 2x Thunderbolt USB 4 / Wi‑Fi 6E 802.11ax / 1Gb Eth / Bluetooth 5.3</t>
  </si>
  <si>
    <t>MI5-MM-5-PLUS</t>
  </si>
  <si>
    <t>Catégorie 3 - Fixes à faible encombrement - Configuration 1</t>
  </si>
  <si>
    <t>30214000-2</t>
  </si>
  <si>
    <t>IA01</t>
  </si>
  <si>
    <t>CTO-MMFJ3-16GB</t>
  </si>
  <si>
    <t>Passage à 16 Go de mémoire unifiée pour Mac mini M2 MMFJ3FN/A</t>
  </si>
  <si>
    <t>CTO-MMFJ3-24GB</t>
  </si>
  <si>
    <t>Passage à 24 Go de mémoire unifiée pour Mac mini M2 MMFJ3FN/A</t>
  </si>
  <si>
    <t>CTO-MMFJ3-SSD512</t>
  </si>
  <si>
    <t>Passage à 512 Go de stockage SSD pour Mac mini M2 MMFJ3FN/A</t>
  </si>
  <si>
    <t>CTO-MMFJ3-SSD1To</t>
  </si>
  <si>
    <t>Passage à 1 To de stockage SSD pour Mac mini M2 MMFJ3FN/A</t>
  </si>
  <si>
    <t>CTO-MMFJ3-SSD2To</t>
  </si>
  <si>
    <t>Passage à 2 To de stockage SSD pour Mac mini M2 MMFJ3FN/A</t>
  </si>
  <si>
    <t>CTO-MMFJ3-ETH</t>
  </si>
  <si>
    <t>Passage à 10 Gigabit Ethernet pour Mac mini M2 MMFJ3FN/A</t>
  </si>
  <si>
    <t>MNH73FN/A</t>
  </si>
  <si>
    <t>Mac mini M2 Pro CPU 10 cœurs GPU 16 cœurs / 16 Go / 512 Go / 4x Thunderbolt USB 4 / Wi‑Fi 6E 802.11ax / Gb Eth / Bluetooth 5.3</t>
  </si>
  <si>
    <t>MI5-MM-5PL</t>
  </si>
  <si>
    <t>Catégorie 3 - Fixes à faible encombrement - Configuration 3</t>
  </si>
  <si>
    <t>CTO-MNH73-GPU19</t>
  </si>
  <si>
    <t>Passage à un M2 Pro avec CPU 12 cœurs, GPU 19 cœurs pour Mac mini M2 Pro MNH73FN/A</t>
  </si>
  <si>
    <t>CTO-MNH73-32GB</t>
  </si>
  <si>
    <t>Passage à 32 Go de mémoire unifiée pour Mac mini M2 Pro MNH73FN/A</t>
  </si>
  <si>
    <t>CTO-MNH73-SSD1To</t>
  </si>
  <si>
    <t>Passage à 1 To de stockage SSD pour Mac mini M2 Pro MNH73FN/A</t>
  </si>
  <si>
    <t>CTO-MNH73-SSD2To</t>
  </si>
  <si>
    <t>Passage à 2 To de stockage SSD pour Mac mini M2 Pro MNH73FN/A</t>
  </si>
  <si>
    <t>CTO-MNH73-SSD4To</t>
  </si>
  <si>
    <t>Passage à 4 To de stockage SSD pour Mac mini M2 Pro MNH73FN/A</t>
  </si>
  <si>
    <t>CTO-MNH73-SSD8To</t>
  </si>
  <si>
    <t>Passage à 8 To de stockage SSD pour Mac mini M2 Pro MNH73FN/A</t>
  </si>
  <si>
    <t>CTO-MNH73-ETH</t>
  </si>
  <si>
    <t>Passage à 10 Gigabit Ethernet pour Mac mini M2 Pro MNH73FN/A</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</si>
  <si>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</si>
  <si>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</si>
  <si>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</si>
  <si>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</si>
  <si>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</si>
  <si>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</si>
  <si>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</si>
  <si>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</si>
  <si>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</si>
  <si>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</si>
  <si>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</si>
  <si>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</si>
  <si>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</si>
  <si>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</si>
  <si>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</si>
  <si>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</si>
  <si>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</si>
  <si>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</si>
  <si>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</si>
  <si>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</si>
  <si>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</si>
  <si>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</si>
  <si>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</si>
  <si>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</si>
  <si>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</si>
  <si>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</si>
  <si>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</si>
  <si>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</si>
  <si>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</si>
  <si>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</si>
  <si>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iMac 24" M3 - Fin 2023</t>
  </si>
  <si>
    <t>Références respectivement en coloris : argent, bleu, rose, vert, mauve, jaune et orange</t>
  </si>
  <si>
    <t>iMac 24" M2 - mi 2021</t>
  </si>
  <si>
    <t>MQR93FN/A - MQRC3FN/A - MQRD3FN/A - MQRA3FN/A</t>
  </si>
  <si>
    <t>iMac 24" M3 CPU 8 cœurs GPU 8 cœurs - 8 Go de mémoire unifiée - 256 Go de SSD - Écran Retina 4,5K - 2xThunderbolt/USB 4</t>
  </si>
  <si>
    <t>MI5-IMAC-24-5-PLUS</t>
  </si>
  <si>
    <t>Catégorie 4 - Fixes bureautiques - Configuration 1</t>
  </si>
  <si>
    <t>MGTF3FN/A - MJV93FN/A - MJV83FN/A - MJVA3FN/A</t>
  </si>
  <si>
    <t>iMac 24" Retina 4,5K Apple M1 CPU 8 cœurs et GPU 7 cœurs / 8 Go de mémoire unifiée / SSD 256 Go / 2xThunderbolt/USB 4 / Wi‑Fi 6 802.11ax / Bluetooth 5.0</t>
  </si>
  <si>
    <t>CTO-MQR93-16GB - CTO-MQRC3-16GB - CTO-MQRD3-16GB - CTO-MQRA3-16GB</t>
  </si>
  <si>
    <t>Passage à 16 Go de mémoire unifiée pour iMac 24" M3</t>
  </si>
  <si>
    <t xml:space="preserve">CTO-MGTF3-16GB </t>
  </si>
  <si>
    <t>Passage à 16 Go de mémoire unifiée pour iMac 24'' Retina 4,5K MGTF3FN/A</t>
  </si>
  <si>
    <t>CTO-MQR93-24GB - CTO-MQRC3-24GB - CTO-MQRD3-24GB  - CTO-MQRA3-24GB</t>
  </si>
  <si>
    <t>Passage à  24 Go de mémoire unifiée pour iMac 24" M3</t>
  </si>
  <si>
    <t>CTO-MQR93-SSD512 - CTO-MQRC3-SSD512 - CTO-MQRD3-SSD512 - CTO-MQRA3-SSD512</t>
  </si>
  <si>
    <t>Passage à 512 Go de stockage SSD pour iMac 24" M3</t>
  </si>
  <si>
    <t xml:space="preserve">CTO-MGTF3-SSD512 </t>
  </si>
  <si>
    <t>Passage à 512 Go de stockage SSD pour iMac 24'' Retina 4,5K MGTF3FN/A</t>
  </si>
  <si>
    <t>CTO-MQR93-SSD1To - CTO-MQRC3-SSD1To - CTO-MQRD3-SSD1To - CTO-MQRA3-SSD1To</t>
  </si>
  <si>
    <t>Passage à 1 To de stockage SSD pour iMac 24" M3</t>
  </si>
  <si>
    <t>CTO-MGTF3-SSD1To</t>
  </si>
  <si>
    <t>Passage à 1 To de stockage SSD pour iMac 24'' Retina 4,5K MGTF3FN/A</t>
  </si>
  <si>
    <t>CTO-MQR93-ETH - CTO-MQRC3-ETH - CTO-MQRD3-ETH - CTO-MQRA3-ETH</t>
  </si>
  <si>
    <t>Passage à Gigabit Ethernet pour iMac 24" M3</t>
  </si>
  <si>
    <t xml:space="preserve">CTO-MGTF3-ETH </t>
  </si>
  <si>
    <t>Passage à Gigabit Ethernet pour iMac 24'' Retina 4,5K MGTF3FN/A</t>
  </si>
  <si>
    <t>CTO-MQR93-MTP - CTO-MQRC3-MTP - CTO-MQRD3-MTP - CTO-MQRA3-MTP</t>
  </si>
  <si>
    <t>Passage à un Magic Trackpad pour iMac 24" M3</t>
  </si>
  <si>
    <t xml:space="preserve">CTO-MGTF3-MTP2 </t>
  </si>
  <si>
    <t>Passage à un Magic Trackpad 2 (Force Touch sans fil Bluetooth rechargeable Lightning) pour iMac 24'' Retina 4,5K MGTF3FN/A</t>
  </si>
  <si>
    <t>CTO-MQR93-MMTP - CTO-MQRC3-MMTP - CTO-MQRD3-MMTP - CTO-MQRA3-MMTP</t>
  </si>
  <si>
    <t>Passage à une souris Magic Mouse et un Magic Trackpad pour iMac 24" M3</t>
  </si>
  <si>
    <t xml:space="preserve">CTO-MGTF3-MMTP2 </t>
  </si>
  <si>
    <t>Passage à une souris Magic Mouse 2 et un Magic Trackpad 2 (Force Touch sans fil Bluetooth rechargeable Lightning) pour iMac 24'' Retina 4,5K MGTF3FN/A</t>
  </si>
  <si>
    <t>CTO-MQR93-MKE-QIE - CTO-MQRC3-MKE-QIE - CTO-MQRD3-MKE-QIE - CTO-MQRA3-MKE-QIE</t>
  </si>
  <si>
    <t>Passage à un Magic Keyboard - Anglais international pour iMac 24" M3</t>
  </si>
  <si>
    <t>CTO-MGTF3-MKE-QIE</t>
  </si>
  <si>
    <t>Passage à un Magic Keyboard anglais international 78 touches sans fil Bluetooth rechargeable (sans pavé numérique) pour iMac 24'' Retina 4,5K MGTF3FN/A</t>
  </si>
  <si>
    <t>CTO-MQR93-MKE-QUS - CTO-MQRC3-MKE-QUS - CTO-MQRD3-MKE-QUS - CTO-MQRA3-MKE-QUS</t>
  </si>
  <si>
    <t>Passage à un Magic Keyboard - Américain pour iMac 24" M3</t>
  </si>
  <si>
    <t>CTO-MGTF3-MKE-QUS</t>
  </si>
  <si>
    <t>Passage à un Magic Keyboard américain 78 touches sans fil Bluetooth rechargeable (sans pavé numérique) pour iMac 24'' Retina 4,5K MGTF3FN/A</t>
  </si>
  <si>
    <t>CTO-MQR93-MKETI-FR - CTO-MQRC3-MKETI-FR - CTO-MQRD3-MKETI-FR - CTO-MQRA3-MKETI-FR</t>
  </si>
  <si>
    <t>Passage à un Magic Keyboard avec Touch ID - Français pour iMac 24" M3</t>
  </si>
  <si>
    <t>CTO-MGTF3-MKETI-FR</t>
  </si>
  <si>
    <t>Passage à un Magic Keyboard français avec Touch ID 78 touches sans fil Bluetooth rechargeable (sans pavé numérique) pour iMac 24'' Retina 4,5K MGTF3FN/A</t>
  </si>
  <si>
    <t>CTO-MQR93-MKETI-IE - CTO-MQRC3-MKETI-IE - CTO-MQRD3-MKETI-IE - CTO-MQRA3-MKETI-IE</t>
  </si>
  <si>
    <t>Passage à un Magic Keyboard avec Touch ID - Anglais international pour iMac 24" M3</t>
  </si>
  <si>
    <t>CTO-MGTF3-MKETI-IE</t>
  </si>
  <si>
    <t>Passage à un Magic Keyboard anglais international avec Touch ID 78 touches sans fil Bluetooth rechargeable (sans pavé numérique) pour iMac 24'' Retina 4,5K MGTF3FN/A</t>
  </si>
  <si>
    <t>CTO-MQR93-MKETI-US - CTO-MQRC3-MKETI-US - CTO-MQRD3-MKETI-US - CTO-MQRA3-MKETI-US</t>
  </si>
  <si>
    <t>Passage à un Magic Keyboard avec Touch ID - Américain pour iMac 24" M3</t>
  </si>
  <si>
    <t>CTO-MGTF3-MKETI-US</t>
  </si>
  <si>
    <t>Passage à un Magic Keyboard américain avec Touch ID 78 touches sans fil Bluetooth rechargeable (sans pavé numérique) pour iMac 24'' Retina 4,5K MGTF3FN/A</t>
  </si>
  <si>
    <t>CTO-MQR93-MKETIPV-FR - CTO-MQRC3-MKETIPV-FR - CTO-MQRD3-MKETIPV-FR - CTO-MQRA3-MKETIPV-FR</t>
  </si>
  <si>
    <t>Passage à un Magic Keyboard avec Touch ID et pavé numérique - Français pour iMac 24" M3</t>
  </si>
  <si>
    <t>CTO-MGTF3-MKETIPV-FR</t>
  </si>
  <si>
    <t>Passage à un Magic Keyboard français avec Touch ID 109 touches sans fil Bluetooth rechargeable avec pavé numérique pour iMac 24'' Retina 4,5K MGTF3FN/A</t>
  </si>
  <si>
    <t>CTO-MQR93-MKETIPV-IE - CTO-MQRC3-MKETIPV-IE - CTO-MQRD3-MKETIPV-IE - CTO-MQRA3-MKETIPV-IE</t>
  </si>
  <si>
    <t>Passage à un Magic Keyboard avec Touch ID et pavé numérique - Anglais international pour iMac 24" M3</t>
  </si>
  <si>
    <t>CTO-MGTF3-MKETIPV-IE</t>
  </si>
  <si>
    <t>Passage à un Magic Keyboard anglais international avec Touch ID 109 touches sans fil Bluetooth rechargeable avec pavé numérique pour iMac 24'' Retina 4,5K MGTF3FN/A</t>
  </si>
  <si>
    <t>CTO-MQR93-MKETIPV-US - CTO-MQRC3-MKETIPV-US - CTO-MQRD3-MKETIPV-US - CTO-MQRA3-MKETIPV-US</t>
  </si>
  <si>
    <t>Passage à un Magic Keyboard avec Touch ID et pavé numérique - Américain pour iMac 24" M3</t>
  </si>
  <si>
    <t>CTO-MGTF3-MKETIPV-US</t>
  </si>
  <si>
    <t>Passage à un Magic Keyboard américain avec Touch ID 109 touches sans fil Bluetooth rechargeable avec pavé numérique pour iMac 24'' Retina 4,5K MGTF3FN/A</t>
  </si>
  <si>
    <t>MQRJ3FN/A - MQRQ3FN/A - MQRT3FN/A - MQRN3FN/A - Z19P - Z19F - Z19R</t>
  </si>
  <si>
    <t>iMac 24" M3 CPU 8 cœurs GPU 10 cœurs - 8 Go de mémoire unifiée - 256 Go de SSD - Écran Retina 4,5K - 2xThunderbolt/USB 4 - 2xUSB-C 3.1 Gen 2 - Gigabit Ethernet</t>
  </si>
  <si>
    <t>Catégorie 4 - Fixes bureautiques - Configuration 2</t>
  </si>
  <si>
    <t>MGPC3FN/A - MGPK3FN/A - MGPH3FN/A - MGPM3FN/A - Z130 - Z12S - Z132</t>
  </si>
  <si>
    <t>iMac 24" Retina 4,5K Apple M1 CPU 8 cœurs et GPU 8 cœurs / 8 Go de mémoire unifiée / SSD 256 Go / 2xThunderbolt/USB 4 / 2xUSB 3 / Wi‑Fi 6 802.11ax  / Bluetooth 5.0  / GbIt Ethernet</t>
  </si>
  <si>
    <t>CTO-MQRJ3-16GB - CTO-MQRQ3-16GB - CTO-MQRT3-16GB - CTO-MQRN3-16GB - CTO-Z19P-16GB - CTO-Z19F-16GB - CTO-Z19R-16GB</t>
  </si>
  <si>
    <t>CTO-MGPC3-16GB</t>
  </si>
  <si>
    <t>Passage à 16 Go de mémoire unifiée pour iMac 24'' Retina 4,5K MGPC3FN/A</t>
  </si>
  <si>
    <t>CTO-MQRJ3-24GB - CTO-MQRQ3-24GB - CTO-MQRT3-24GB - CTO-MQRN3-24GB - CTO-Z19P-24GB - CTO-Z19F-24GB - CTO-Z19R-24GB</t>
  </si>
  <si>
    <t>CTO-MQRJ3-SSD512 - CTO-MQRQ3-SSD512 - CTO-MQRT3-SSD512 - CTO-MQRN3-SSD512 - CTO-Z19P-SSD512 - CTO-Z19F-SSD512 - CTO-Z19R-SSD512</t>
  </si>
  <si>
    <t>CTO-MGPC3-SSD512</t>
  </si>
  <si>
    <t>Passage à 512 Go de stockage SSD pour iMac 24'' Retina 4,5K MGPC3FN/A</t>
  </si>
  <si>
    <t>CTO-MQRJ3-SSD1To - CTO-MQRQ3-SSD1To - CTO-MQRT3-SSD1To - CTO-MQRN3-SSD1To - CTO-Z19P-SSD1To - CTO-Z19F-SSD1To - CTO-Z19R-SSD1To</t>
  </si>
  <si>
    <t>CTO-MGPC3-SSD1To</t>
  </si>
  <si>
    <t>Passage à 1 To de stockage SSD pour iMac 24'' Retina 4,5K MGPC3FN/A</t>
  </si>
  <si>
    <t>CTO-MQRJ3-SSD2To - CTO-MQRQ3-SSD2To - CTO-MQRT3-SSD2To - CTO-MQRN3-SSD2To - CTO-Z19P-SSD2To - CTO-Z19F-SSD2To - CTO-Z19R-SSD2To</t>
  </si>
  <si>
    <t>Passage à 2 To de stockage SSD pour iMac 24" M3</t>
  </si>
  <si>
    <t>CTO-MGPC3-SSD2To</t>
  </si>
  <si>
    <t>Passage à 2 To de stockage SSD pour iMac 24'' Retina 4,5K MGPC3FN/A</t>
  </si>
  <si>
    <t>CTO-MQRJ3-MTP - CTO-MQRQ3-MTP - CTO-MQRT3-MTP - CTO-MQRN3-MTP - CTO-Z19P-MTP  - CTO-Z19F-MTP - CTO-Z19R-MTP</t>
  </si>
  <si>
    <t xml:space="preserve">CTO-MGPC3-MTP2 </t>
  </si>
  <si>
    <t>Passage à un Magic Trackpad 2 (Force Touch sans fil Bluetooth rechargeable Lightning) pour iMac 24'' Retina 4,5K MGPC3FN/A</t>
  </si>
  <si>
    <t>CTO-MQRJ3-MMTP - CTO-MQRQ3-MMTP - CTO-MQRT3-MMTP - CTO-MQRN3-MMTP - CTO-Z19P-MMTP - CTO-Z19F-MMTP - CTO-Z19R-MMTP</t>
  </si>
  <si>
    <t xml:space="preserve">CTO-MGPC3-MMTP2 </t>
  </si>
  <si>
    <t>Passage à une souris Magic Mouse 2 et un Magic Trackpad 2 (Force Touch sans fil Bluetooth rechargeable Lightning) pour iMac 24'' Retina 4,5K MGPC3FN/A</t>
  </si>
  <si>
    <t>CTO-MQRJ3-MKETI-IE - CTO-MQRQ3-MKETI-IE - CTO-MQRT3-MKETI-IE - CTO-MQRN3-MKETI-IE - CTO-Z19P-MKETI-IE - CTO-Z19F-MKETI-IE - CTO-Z19R-MKETI-IE</t>
  </si>
  <si>
    <t>CTO-MGPC3-MKETI-IE</t>
  </si>
  <si>
    <t>Passage à un Magic Keyboard anglais international avec Touch ID 78 touches sans fil Bluetooth rechargeable (sans pavé numérique) pour iMac 24'' Retina 4,5K MGPC3FN/A</t>
  </si>
  <si>
    <t>CTO-MQRJ3-MKETI-US - CTO-MQRQ3-MKETI-US - CTO-MQRT3-MKETI-US - CTO-MQRN3-MKETI-US - CTO-Z19P-MKETI-US - CTO-Z19F-MKETI-US - CTO-Z19R-MKETI-US</t>
  </si>
  <si>
    <t>CTO-MGPC3-MKETI-US</t>
  </si>
  <si>
    <t>Passage à un Magic Keyboard américain avec Touch ID 78 touches sans fil Bluetooth rechargeable (sans pavé numérique) pour iMac 24'' Retina 4,5K MGPC3FN/A</t>
  </si>
  <si>
    <t>CTO-MQRJ3-MKETIPV-FR - CTO-MQRQ3-MKETIPV-FR - CTO-MQRT3-MKETIPV-FR - CTO-MQRN3-MKETIPV-FR - CTO-Z19P-MKETIPV-FR - CTO-Z19F-MKETIPV-FR - CTO-Z19R-MKETIPV-FR</t>
  </si>
  <si>
    <t>CTO-MGPC3-MKETIPV-FR</t>
  </si>
  <si>
    <t>Passage à un Magic Keyboard français avec Touch ID 109 touches sans fil Bluetooth rechargeable avec pavé numérique pour iMac 24'' Retina 4,5K MGPC3FN/A</t>
  </si>
  <si>
    <t>CTO-MQRJ3-MKETIPV-IE - CTO-MQRQ3-MKETIPV-IE - CTO-MQRT3-MKETIPV-IE - CTO-MQRN3-MKETIPV-IE - CTO-Z19P-MKETIPV-IE - CTO-Z19F-MKETIPV-IE - CTO-Z19R-MKETIPV-IE</t>
  </si>
  <si>
    <t>CTO-MGPC3-MKETIPV-IE</t>
  </si>
  <si>
    <t>Passage à un Magic Keyboard anglais international avec Touch ID 109 touches sans fil Bluetooth rechargeable avec pavé numérique pour iMac 24'' Retina 4,5K MGPC3FN/A</t>
  </si>
  <si>
    <t>CTO-MQRJ3-MKETIPV-US - CTO-MQRQ3-MKETIPV-US - CTO-MQRT3-MKETIPV-US - CTO-MQRN3-MKETIPV-US - CTO-Z19P-MKETIPV-US - CTO-Z19F-MKETIPV-US - CTO-Z19R-MKETIPV-US</t>
  </si>
  <si>
    <t>CTO-MGPC3-MKETIPV-US</t>
  </si>
  <si>
    <t>Passage à un Magic Keyboard américain avec Touch ID 109 touches sans fil Bluetooth rechargeable avec pavé numérique pour iMac 24'' Retina 4,5K MGPC3FN/A</t>
  </si>
  <si>
    <t>Garantie 5 ans formule Plus pour iMac 24" (intervention à J+1 - réparation à J+3 ou iMac 24" de prêt)</t>
  </si>
  <si>
    <t>Garantie 5 ans formule Plus pour iMac 21 &amp; 24" (intervention à J+1 - réparation à J+3 ou iMac 21 ou 24" de prêt)</t>
  </si>
  <si>
    <t>MI5-IMAC-24-6-PLUS</t>
  </si>
  <si>
    <t>Passage à une garantie 6 ans formule Plus pour iMac 24" (intervention à J+1 - réparation à J+3 ou iMac 24" de prêt)</t>
  </si>
  <si>
    <t>Passage à une garantie 6 ans formule Plus pour iMac 24" (intervention à J+1 - réparation à J+3 ou iMac 21,5" de prêt)</t>
  </si>
  <si>
    <t>MI5-IMAC-24-7-PLUS</t>
  </si>
  <si>
    <t>Passage à une garantie 7 ans formule Plus pour iMac 24" (intervention à J+1 - réparation à J+3 ou iMac 24" de prêt)</t>
  </si>
  <si>
    <t>Passage à une garantie 7 ans formule Plus pour iMac 24" (intervention à J+1 - réparation à J+3 ou iMac 21,5" de prêt)</t>
  </si>
  <si>
    <t>MI5-IMAC-24-8-PLUS</t>
  </si>
  <si>
    <t>Passage à une garantie 8 ans formule Plus pour iMac 24" (intervention à J+1 - réparation à J+3 ou iMac 24" de prêt)</t>
  </si>
  <si>
    <t>Passage à une garantie 8 ans formule Plus pour iMac 24" (intervention à J+1 - réparation à J+3 ou iMac 21,5"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</si>
  <si>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</si>
  <si>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</si>
  <si>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</si>
  <si>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</si>
  <si>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</si>
  <si>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</si>
  <si>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</si>
  <si>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</si>
  <si>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</si>
  <si>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</si>
  <si>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</si>
  <si>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</si>
  <si>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</si>
  <si>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</si>
  <si>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</si>
  <si>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</si>
  <si>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</si>
  <si>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24" de prêt pour la France Métropolitaine - retour atelier pour l'étranger)(remplace la garantie 5 ans formule Plus)</t>
  </si>
  <si>
    <t>Garantie 5 ans formule Plus internationale pour iMac 24" (France : intervention à J+1 - réparation à J+3 ou iMac 21,5" ou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</si>
  <si>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</si>
  <si>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</si>
  <si>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</si>
  <si>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</si>
  <si>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</si>
  <si>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Mac Studio M2 Ultra et M2 Max - mi 2023</t>
  </si>
  <si>
    <t>MQH73FN/A</t>
  </si>
  <si>
    <t>Mac Studio / M2 Max CPU 12 cœurs GPU 30 cœurs / 32 Go / 512 Go SSD / 4x Thunderbolt 4 / 2x USB-C / 2x USB-A / 10 Gigabit Ethernet / HDMI / lecteur carte SDXC</t>
  </si>
  <si>
    <t>MI5-MS-5-PLUS</t>
  </si>
  <si>
    <t>Catégorie 5 - Fixes performants - Configuration 3</t>
  </si>
  <si>
    <t>CTO-MQH73-GPU30-64</t>
  </si>
  <si>
    <t>Puce Apple M2 Max avec CPU 12 cœurs, GPU 30 cœurs + 64 Go de mémoire unifiée</t>
  </si>
  <si>
    <t>CTO-MQH73-GPU38-32</t>
  </si>
  <si>
    <t>Puce Apple M2 Max avec CPU 12 cœurs, GPU 38 cœurs + 32 Go de mémoire unifiée</t>
  </si>
  <si>
    <t>CTO-MQH73-GPU38-64</t>
  </si>
  <si>
    <t>Puce Apple M2 Max avec CPU 12 cœurs, GPU 38 cœurs + 64 Go de mémoire unifiée</t>
  </si>
  <si>
    <t>CTO-MQH73-GPU38-96</t>
  </si>
  <si>
    <t>Puce Apple M2 Max avec CPU 12 cœurs, GPU 38 cœurs + 96 Go de mémoire unifiée</t>
  </si>
  <si>
    <t>CTO-MQH73-SSD1To</t>
  </si>
  <si>
    <t>Passage à 1 To de stockage SSD pour Mac Studio</t>
  </si>
  <si>
    <t>CTO-MQH73-SSD2To</t>
  </si>
  <si>
    <t>Passage à 2 To de stockage SSD pour Mac Studio</t>
  </si>
  <si>
    <t>CTO-MQH73-SSD4To</t>
  </si>
  <si>
    <t>Passage à 4 To de stockage SSD pour Mac Studio</t>
  </si>
  <si>
    <t>CTO-MQH73-SSD8To</t>
  </si>
  <si>
    <t>Passage à 8 To de stockage SSD pour Mac Studio</t>
  </si>
  <si>
    <t>MQH63FN/A</t>
  </si>
  <si>
    <t>Mac Studio / M2 Ultra CPU 24 cœurs GPU 60 cœurs / 64 Go / 1 To SSD / 6x Thunderbolt 4 / 2x USB-A / 10 Gigabit Ethernet / HDMI / lecteur carte SDXC</t>
  </si>
  <si>
    <t>Catégorie 5 - Fixes performants - Configuration 4</t>
  </si>
  <si>
    <t>CTO-MQH63-GPU60-128</t>
  </si>
  <si>
    <t>Puce Apple M2 Ultra avec CPU 24 cœurs, GPU 60 cœurs + 128 Go de mémoire unifiée</t>
  </si>
  <si>
    <t>CTO-MQH63-GPU60-192</t>
  </si>
  <si>
    <t>Puce Apple M2 Ultra avec CPU 24 cœurs, GPU 60 cœurs + 192 Go de mémoire unifiée</t>
  </si>
  <si>
    <t>CTO-MQH63-GPU76-64</t>
  </si>
  <si>
    <t>Puce Apple M2 Ultra avec CPU 24 cœurs, GPU 76 cœurs + 64 Go de mémoire unifiée</t>
  </si>
  <si>
    <t>CTO-MQH63-GPU76-128</t>
  </si>
  <si>
    <t>Puce Apple M2 Ultra avec CPU 24 cœurs, GPU 76 cœurs + 128 Go de mémoire unifiée</t>
  </si>
  <si>
    <t>CTO-MQH63-GPU76-192</t>
  </si>
  <si>
    <t>Puce Apple M2 Ultra avec CPU 24 cœurs, GPU 76 cœurs + 192 Go de mémoire unifiée</t>
  </si>
  <si>
    <t>CTO-MQH63-SSD2To</t>
  </si>
  <si>
    <t>CTO-MQH63-SSD4To</t>
  </si>
  <si>
    <t>CTO-MQH63-SSD8To</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</si>
  <si>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</si>
  <si>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</si>
  <si>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</si>
  <si>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</si>
  <si>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</si>
  <si>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</si>
  <si>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</si>
  <si>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</si>
  <si>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</si>
  <si>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</si>
  <si>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</si>
  <si>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</si>
  <si>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</si>
  <si>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</si>
  <si>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</si>
  <si>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</si>
  <si>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</si>
  <si>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</si>
  <si>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</si>
  <si>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</si>
  <si>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</si>
  <si>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</si>
  <si>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</si>
  <si>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</si>
  <si>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</si>
  <si>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</si>
  <si>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</si>
  <si>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</si>
  <si>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</si>
  <si>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Mac Pro - Fin 2019</t>
  </si>
  <si>
    <t>Mac Pro - fin 2019</t>
  </si>
  <si>
    <t>Z171</t>
  </si>
  <si>
    <t>CTO Mac Pro Tour Apple M2 Ultra CPU 24 cœurs GPU 60 cœurs / 64 Go / 1 To SSD / Magic Keyboard avec Touch ID et avec pavé numérique et Magic Mouse</t>
  </si>
  <si>
    <t>MI5-MACPRO-5-PLUS</t>
  </si>
  <si>
    <t>Catégorie 5 - Fixes performants - Configuration 1</t>
  </si>
  <si>
    <t>CTO-Z171-M2ULTRA76</t>
  </si>
  <si>
    <t>Passage à un M2 Ultra avec CPU 24 cœurs GPU 76 cœurs pour Mac Pro Tour</t>
  </si>
  <si>
    <t>CTO-Z171-128GB</t>
  </si>
  <si>
    <t>Passage à 128 Go de mémoire unifiée pour Mac Pro Tour</t>
  </si>
  <si>
    <t>CTO-Z171-192GB</t>
  </si>
  <si>
    <t>Passage à 192 Go de mémoire unifiée pour Mac Pro Tour</t>
  </si>
  <si>
    <t>CTO-Z171-SSD2To</t>
  </si>
  <si>
    <t>Passage à 2 To de stockage SSD pour Mac Pro Tour</t>
  </si>
  <si>
    <t>CTO-Z171-SSD4To</t>
  </si>
  <si>
    <t>Passage à 4 To de stockage SSD pour Mac Pro Tour</t>
  </si>
  <si>
    <t>CTO-Z171-SSD8To</t>
  </si>
  <si>
    <t>Passage à 8 To de stockage SSD pour Mac Pro Tour</t>
  </si>
  <si>
    <t>CTO-Z171-MTP</t>
  </si>
  <si>
    <t>Passage à un Magic Trackpad (Force Touch sans fil Bluetooth rechargeable Lightning) pour Mac Pro Tour</t>
  </si>
  <si>
    <t>CTO-Z171-MMTP</t>
  </si>
  <si>
    <t>Passage à une souris Magic Mouse et un Magic Trackpad (Force Touch sans fil Bluetooth rechargeable Lightning)  pour Mac Pro Tour</t>
  </si>
  <si>
    <t>CTO-Z171-ROUES</t>
  </si>
  <si>
    <t>Passage à un châssis en acier inoxydable avec roulettes pour Mac Pro Tour</t>
  </si>
  <si>
    <t>CTO-Z171-QIE</t>
  </si>
  <si>
    <t>Passage à un clavier Magic Keyboard avec Touch ID et pavé numérique anglais international pour Mac Pro Tour</t>
  </si>
  <si>
    <t>CTO-Z171-QUS</t>
  </si>
  <si>
    <t>Passage à un clavier Magic Keyboard avec Touch ID et pavé numérique anglais américain our Mac Pro Tour</t>
  </si>
  <si>
    <t>CTO-Z171-QBR</t>
  </si>
  <si>
    <t>Passage à un clavier Magic Keyboard avec Touch ID et pavé numérique anglais britannique pour Mac Pro Tour</t>
  </si>
  <si>
    <t>Z172</t>
  </si>
  <si>
    <t>CTO Mac Pro Rack Apple M2 Ultra CPU 24 cœurs GPU 60 cœurs / 64 Go / 1 To SSD / Magic Keyboard avec Touch ID et avec pavé numérique et Magic Mouse</t>
  </si>
  <si>
    <t>Catégorie 5 - Fixes performants - Configuration 2</t>
  </si>
  <si>
    <t>CTO-Z172-M2ULTRA76</t>
  </si>
  <si>
    <t>Passage à un M2 Ultra avec CPU 24 cœurs GPU 76 cœurs pour Mac Pro Rack</t>
  </si>
  <si>
    <t>CTO-Z172-128GB</t>
  </si>
  <si>
    <t>Passage à 128 Go de mémoire unifiée pour Mac Pro Rack</t>
  </si>
  <si>
    <t>CTO-Z172-192GB</t>
  </si>
  <si>
    <t>Passage à 192 Go de mémoire unifiée pour Mac Pro Rack</t>
  </si>
  <si>
    <t>CTO-Z172-SSD2To</t>
  </si>
  <si>
    <t>Passage à 2 To de stockage SSD pour Mac Pro Rack</t>
  </si>
  <si>
    <t>CTO-Z172-SSD4To</t>
  </si>
  <si>
    <t>Passage à 4 To de stockage SSD pour Mac Pro Rack</t>
  </si>
  <si>
    <t>CTO-Z172-SSD8To</t>
  </si>
  <si>
    <t>Passage à 8 To de stockage SSD pour Mac Pro Rack</t>
  </si>
  <si>
    <t>CTO-Z172-MTP</t>
  </si>
  <si>
    <t>Passage à un Magic Trackpad (Force Touch sans fil Bluetooth rechargeable Lightning) pour Mac Pro Rack</t>
  </si>
  <si>
    <t>CTO-Z172-MMTP</t>
  </si>
  <si>
    <t>Passage à une souris Magic Mouse et un Magic Trackpad (Force Touch sans fil Bluetooth rechargeable Lightning)  pour Mac Pro Rack</t>
  </si>
  <si>
    <t>CTO-Z172-QIE</t>
  </si>
  <si>
    <t>Passage à un clavier Magic Keyboard avec Touch ID et pavé numérique anglais international pour Mac Pro Rack</t>
  </si>
  <si>
    <t>CTO-Z172-QUS</t>
  </si>
  <si>
    <t>Passage à un clavier Magic Keyboard avec Touch ID et pavé numérique anglais américain our Mac Pro Rack</t>
  </si>
  <si>
    <t>CTO-Z172-QBR</t>
  </si>
  <si>
    <t>Passage à un clavier Magic Keyboard avec Touch ID et pavé numérique anglais britannique pour Mac Pro Rack</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</si>
  <si>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</si>
  <si>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</si>
  <si>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</si>
  <si>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</si>
  <si>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</si>
  <si>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</si>
  <si>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</si>
  <si>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</si>
  <si>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</si>
  <si>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</si>
  <si>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</si>
  <si>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</si>
  <si>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</si>
  <si>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</si>
  <si>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</si>
  <si>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</si>
  <si>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</si>
  <si>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</si>
  <si>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</si>
  <si>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</si>
  <si>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</si>
  <si>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</si>
  <si>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</si>
  <si>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</si>
  <si>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</si>
  <si>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</si>
  <si>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</si>
  <si>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</si>
  <si>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</si>
  <si>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</si>
  <si>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iPad mini (6ème génération)</t>
  </si>
  <si>
    <t>Références respectivement en coloris : gris sidéral, lumière stellaire, rose et mauve</t>
  </si>
  <si>
    <t>MK7M3NF/A - MK7P3NF/A - MLWL3NF/A - MK7R3NF/A</t>
  </si>
  <si>
    <t>iPad mini (6e gén.) - A15 - Wi-Fi - 64 Go</t>
  </si>
  <si>
    <t>MI5-IPADMINI-5-PLUS</t>
  </si>
  <si>
    <t>Catégorie 6 - Tablettes - Configuration 1</t>
  </si>
  <si>
    <t>30213200-7</t>
  </si>
  <si>
    <t>MK7T3NF/A - MK7V3NF/A - MLWR3NF/A - MK7X3NF/A</t>
  </si>
  <si>
    <t>iPad mini (6e gén.) - A15 - Wi-Fi - 256 Go</t>
  </si>
  <si>
    <t>Catégorie 6 - Tablettes - Configuration 2</t>
  </si>
  <si>
    <t>MK893NF/A - MK8C3NF/A - MLX43NF/A - MK8E3NF/A</t>
  </si>
  <si>
    <t>iPad mini (6e gén.) - A15 - Wi-Fi &amp; Cellulaire - 64 Go</t>
  </si>
  <si>
    <t>Catégorie 6 - Tablettes - Configuration 3</t>
  </si>
  <si>
    <t>MK8F3NF/A - MK8H3NF/A - MLX93NF/A - MK8K3NF/A</t>
  </si>
  <si>
    <t>iPad mini (6e gén.) - A15 - Wi-Fi &amp; Cellulaire - 256 Go</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</si>
  <si>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</si>
  <si>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</si>
  <si>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</si>
  <si>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</si>
  <si>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</si>
  <si>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</si>
  <si>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</si>
  <si>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</si>
  <si>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</si>
  <si>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</si>
  <si>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iPad 10,2" (9ème génération)</t>
  </si>
  <si>
    <t>Références respectivement en coloris : gris sidéral et argent</t>
  </si>
  <si>
    <t>MK2K3NF/A - MK2L3NF/A</t>
  </si>
  <si>
    <t>iPad 10,2" (9e gén.) - A13 - Wi-Fi - 64 Go</t>
  </si>
  <si>
    <t>MI5-IPAD-5-PLUS</t>
  </si>
  <si>
    <t>Catégorie 6 - Tablettes - Configuration 5</t>
  </si>
  <si>
    <t>MK2N3NF/A - MK2P3NF/A</t>
  </si>
  <si>
    <t>iPad 10,2" (9e gén.) - A13 - Wi-Fi - 256 Go</t>
  </si>
  <si>
    <t>Catégorie 6 - Tablettes - Configuration 6</t>
  </si>
  <si>
    <t>MK473NF/A - MK493NF/A</t>
  </si>
  <si>
    <t>iPad 10,2" (9e gén.) - A13 - Wi-Fi &amp; Cellulaire - 64 Go</t>
  </si>
  <si>
    <t>Catégorie 6 - Tablettes - Configuration 7</t>
  </si>
  <si>
    <t>MK4E3NF/A - MK4H3NF/A</t>
  </si>
  <si>
    <t>iPad 10,2" (9e gén.) - A13 - Wi-Fi &amp; Cellulaire - 256 Go</t>
  </si>
  <si>
    <t>Catégorie 6 - Tablettes - Configuration 8</t>
  </si>
  <si>
    <t>Garantie 5 ans formule Plus pour iPad 10,2" (intervention à J+1 - réparation à J+3 ou iPad de prêt)</t>
  </si>
  <si>
    <t>MI5-IPAD-6-PLUS</t>
  </si>
  <si>
    <t>Passage à une garantie 6 ans formule Plus pour iPad 10,2"  (intervention à J+1 - réparation à J+3 ou iPad de prêt)</t>
  </si>
  <si>
    <t>MI5-IPAD-7-PLUS</t>
  </si>
  <si>
    <t>Passage à une garantie 7 ans formule Plus pour iPad 10,2"  (intervention à J+1 - réparation à J+3 ou iPad de prêt)</t>
  </si>
  <si>
    <t>MI5-IPAD-8-PLUS</t>
  </si>
  <si>
    <t>Passage à une garantie 8 ans formule Plus pour iPad 10,2"  (intervention à J+1 - réparation à J+3 ou iPad de prêt)</t>
  </si>
  <si>
    <t>MI5-IPAD-5-E-CARE</t>
  </si>
  <si>
    <t>Service de substitution forfaité d'une durée de 5 ans pour iPad 10,2"</t>
  </si>
  <si>
    <t>iPad 10,9" (10ème génération)</t>
  </si>
  <si>
    <t>Références respectivement en coloris : argent, bleu, rose et jaune</t>
  </si>
  <si>
    <t>MPQ03NF/A - MPQ13NF/A - MPQ33NF/A - MPQ23NF/A</t>
  </si>
  <si>
    <t>iPad 10,9" (10e gén.) - A14 - Wi-Fi - 64 Go</t>
  </si>
  <si>
    <t>Catégorie 6 - Tablettes - Configuration 9</t>
  </si>
  <si>
    <t>MPQ83NF/A - MPQ93NF/A - MPQC3NF/A - MPQA3NF/A</t>
  </si>
  <si>
    <t>iPad 10,9" (10e gén.) - A14 - Wi-Fi - 256 Go</t>
  </si>
  <si>
    <t>Catégorie 6 - Tablettes - Configuration 10</t>
  </si>
  <si>
    <t>MQ6J3NF/A - MQ6K3NF/A - MQ6M3NF/A - MQ6L3NF/A</t>
  </si>
  <si>
    <t>iPad 10,9" (10e gén.) - A14 - Wi-Fi &amp; Cellulaire 5G - 64 Go</t>
  </si>
  <si>
    <t>Catégorie 6 - Tablettes - Configuration 11</t>
  </si>
  <si>
    <t>MQ6T3NF/A - MQ6U3NF/A - MQ6W3NF/A - MQ6V3NF/A</t>
  </si>
  <si>
    <t>iPad 10,9" (10e gén.) - A14 - Wi-Fi &amp; Cellulaire 5G - 256 Go</t>
  </si>
  <si>
    <t>Catégorie 6 - Tablettes - Configuration 12</t>
  </si>
  <si>
    <t>iPad Air 10,9" (5ème génération)</t>
  </si>
  <si>
    <t>Références respectivement en coloris : gris sidéral, lumière stellaire, bleu, rose et mauve</t>
  </si>
  <si>
    <t>MM9C3NF/A - MM9F3NF/A - MM9E3NF/A - MM9D3NF/A - MME23NF/A</t>
  </si>
  <si>
    <t>iPad Air 10,9'' (5e gén.) - M1 - Wi-Fi - 64 Go</t>
  </si>
  <si>
    <t>MI5-IPADAIR-5-PLUS</t>
  </si>
  <si>
    <t>Catégorie 6 - Tablettes - Configuration 13</t>
  </si>
  <si>
    <t>MM9L3NF/A - MM9P3NF/A - MM9N3NF/A - MM9M3NF/A - MME63NF/A</t>
  </si>
  <si>
    <t>iPad Air 10,9'' (5e gén.) - M1 - Wi-Fi - 256 Go</t>
  </si>
  <si>
    <t>Catégorie 6 - Tablettes - Configuration 14</t>
  </si>
  <si>
    <t>MM6R3NF/A - MM6V3NF/A - MM6U3NF/A - MM6T3NF/A - MME93NF/A</t>
  </si>
  <si>
    <t>iPad Air 10,9'' (5e gén.) - M1 - Wi-Fi &amp; Cellulaire - 64 Go</t>
  </si>
  <si>
    <t>Catégorie 6 - Tablettes - Configuration 15</t>
  </si>
  <si>
    <t>MM713NF/A - MM743NF/A - MM723NF/A - MM733NF/A - MMED3NF/A</t>
  </si>
  <si>
    <t>iPad Air 10,9'' (5e gén.) - M1 - Wi-Fi &amp; Cellulaire - 256 Go</t>
  </si>
  <si>
    <t>Catégorie 6 - Tablettes - Configuration 16</t>
  </si>
  <si>
    <t>Garantie 5 ans formule Plus pour iPad Air 10,9" (intervention à J+1 - réparation à J+3 ou iPad de prêt)</t>
  </si>
  <si>
    <t>MI5-IPADAIR-6-PLUS</t>
  </si>
  <si>
    <t>Passage à une garantie 6 ans formule Plus pour iPad Air 10,9" (intervention à J+1 - réparation à J+3 ou iPad de prêt)</t>
  </si>
  <si>
    <t>MI5-IPADAIR-7-PLUS</t>
  </si>
  <si>
    <t>Passage à une garantie 7 ans formule Plus pour iPad Air 10,9"  (intervention à J+1 - réparation à J+3 ou iPad de prêt)</t>
  </si>
  <si>
    <t>MI5-IPADAIR-8-PLUS</t>
  </si>
  <si>
    <t>Passage à une garantie 8 ans formule Plus pour iPad Air 10,9" (intervention à J+1 - réparation à J+3 ou iPad de prêt)</t>
  </si>
  <si>
    <t>MI5-IPADAIR-5-E-CARE</t>
  </si>
  <si>
    <t>Service de substitution forfaité d'une durée de 5 ans pour iPad Air 10,9"</t>
  </si>
  <si>
    <t>iPad Pro 11" (4ème génération)</t>
  </si>
  <si>
    <t>MNXD3NF/A - MNXE3NF/A</t>
  </si>
  <si>
    <t>iPad Pro 11" (4e gén.) - M2 - Wi-FI - 128 Go</t>
  </si>
  <si>
    <t>MI5-IPADPRO11-5-PLUS</t>
  </si>
  <si>
    <t>Catégorie 6 - Tablettes - Configuration 17</t>
  </si>
  <si>
    <t>MNXF3NF/A - MNXG3NF/A</t>
  </si>
  <si>
    <t>iPad Pro 11" (4e gén.) - M2 - Wi-FI - 256 Go</t>
  </si>
  <si>
    <t>Catégorie 6 - Tablettes - Configuration 18</t>
  </si>
  <si>
    <t>MNXH3NF/A - MNXJ3NF/A</t>
  </si>
  <si>
    <t>iPad Pro 11" (4e gén.) - M2 - Wi-FI - 512 Go</t>
  </si>
  <si>
    <t>Catégorie 6 - Tablettes - Configuration 19</t>
  </si>
  <si>
    <t>MNXK3NF/A - MNXL3NF/A</t>
  </si>
  <si>
    <t>iPad Pro 11" (4e gén.) - M2 - Wi-FI - 1 To</t>
  </si>
  <si>
    <t>Catégorie 6 - Tablettes - Configuration 20</t>
  </si>
  <si>
    <t>MNYC3NF/A - MNYD3NF/A</t>
  </si>
  <si>
    <t>iPad Pro 11" (4e gén.) - M2 - Wi-FI &amp; Cellulaire - 128 Go</t>
  </si>
  <si>
    <t>Catégorie 6 - Tablettes - Configuration 21</t>
  </si>
  <si>
    <t>MNYE3NF/A - MNYF3NF/A</t>
  </si>
  <si>
    <t>iPad Pro 11" (4e gén.) - M2 - Wi-FI &amp; Cellulaire - 256 Go</t>
  </si>
  <si>
    <t>Catégorie 6 - Tablettes - Configuration 22</t>
  </si>
  <si>
    <t>MNYG3NF/A - MNYH3NF/A</t>
  </si>
  <si>
    <t>iPad Pro 11" (4e gén.) - M2 - Wi-FI &amp; Cellulaire - 512 Go</t>
  </si>
  <si>
    <t>Catégorie 6 - Tablettes - Configuration 23</t>
  </si>
  <si>
    <t>MNYJ3NF/A - MNYK3NF/A</t>
  </si>
  <si>
    <t>iPad Pro 11" (4e gén.) - M2 - Wi-FI &amp; Cellulaire - 1 To</t>
  </si>
  <si>
    <t>Catégorie 6 - Tablettes - Configuration 24</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</si>
  <si>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</si>
  <si>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</si>
  <si>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</si>
  <si>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</si>
  <si>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</si>
  <si>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</si>
  <si>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</si>
  <si>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</si>
  <si>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</si>
  <si>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12,9" (6ème génération)</t>
  </si>
  <si>
    <t>MNXP3NF/A - MNXQ3NF/A</t>
  </si>
  <si>
    <t>iPad Pro 12,9" (6e gén.) - M2 - Wi-Fi - 128 Go</t>
  </si>
  <si>
    <t>MI5-IPADPRO12-5-PLUS</t>
  </si>
  <si>
    <t>Catégorie 6 - Tablettes - Configuration 25</t>
  </si>
  <si>
    <t>MNXR3NF/A - MNXT3NF/A</t>
  </si>
  <si>
    <t>iPad Pro 12,9" (6e gén.) - M2 - Wi-Fi - 256 Go</t>
  </si>
  <si>
    <t>Catégorie 6 - Tablettes - Configuration 26</t>
  </si>
  <si>
    <t>MNXU3NF/A - MNXV3NF/A</t>
  </si>
  <si>
    <t>iPad Pro 12,9" (6e gén.) - M2 - Wi-Fi - 512 Go</t>
  </si>
  <si>
    <t>Catégorie 6 - Tablettes - Configuration 27</t>
  </si>
  <si>
    <t>MNXW3NF/A - MNXX3NF/A</t>
  </si>
  <si>
    <t>iPad Pro 12,9" (6e gén.) - M2 - Wi-Fi - 1 To</t>
  </si>
  <si>
    <t>Catégorie 6 - Tablettes - Configuration 28</t>
  </si>
  <si>
    <t>MP1X3NF/A - MP1Y3NF/A</t>
  </si>
  <si>
    <t>iPad Pro 12,9" (6e gén.) - M2 - Wi‑Fi &amp; Cellulaire - 128 Go</t>
  </si>
  <si>
    <t>Catégorie 6 - Tablettes - Configuration 29</t>
  </si>
  <si>
    <t>MP203NF/A - MP213NF/A</t>
  </si>
  <si>
    <t>iPad Pro 12,9" (6e gén.) - M2 - Wi‑Fi &amp; Cellulaire - 256 Go</t>
  </si>
  <si>
    <t>Catégorie 6 - Tablettes - Configuration 30</t>
  </si>
  <si>
    <t xml:space="preserve">30213200-7 </t>
  </si>
  <si>
    <t>MP223NF/A - MP233NF/A</t>
  </si>
  <si>
    <t>iPad Pro 12,9" (6e gén.) - M2 - Wi‑Fi &amp; Cellulaire - 512 Go</t>
  </si>
  <si>
    <t>Catégorie 6 - Tablettes - Configuration 31</t>
  </si>
  <si>
    <t>MP243NF/A - MP253NF/A</t>
  </si>
  <si>
    <t>iPad Pro 12,9" (6e gén.) - M2 - Wi‑Fi &amp; Cellulaire - 1 To</t>
  </si>
  <si>
    <t>Catégorie 6 - Tablettes - Configuration 32</t>
  </si>
  <si>
    <t>Garantie 5 ans formule Plus pour iPad Pro 12" (intervention à J+1 - réparation à J+3 ou iPad de prêt)</t>
  </si>
  <si>
    <t>MI5-IPADPRO12-6-PLUS</t>
  </si>
  <si>
    <t>Passage à une garantie 6 ans formule Plus pour iPad Pro 12"  (intervention à J+1 - réparation à J+3 ou iPad de prêt)</t>
  </si>
  <si>
    <t>MI5-IPADPRO12-7-PLUS</t>
  </si>
  <si>
    <t>Passage à une garantie 7 ans formule Plus pour iPad Pro 12"  (intervention à J+1 - réparation à J+3 ou iPad de prêt)</t>
  </si>
  <si>
    <t>MI5-IPADPRO12-8-PLUS</t>
  </si>
  <si>
    <t>Passage à une garantie 8 ans formule Plus pour iPad Pro 12"  (intervention à J+1 - réparation à J+3 ou iPad de prêt)</t>
  </si>
  <si>
    <t>MI5-IPADPRO12-5-E-CARE</t>
  </si>
  <si>
    <t>Service de substitution forfaité d'une durée de 5 ans pour iPad Pro 12""</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</si>
  <si>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</si>
  <si>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r>
      <t xml:space="preserve">Catégories - Configurations </t>
    </r>
    <r>
      <rPr>
        <sz val="16"/>
        <color rgb="FF0432FF"/>
        <rFont val="Calibri"/>
        <family val="2"/>
        <scheme val="minor"/>
      </rPr>
      <t>Statistiques Matinfo 5</t>
    </r>
  </si>
  <si>
    <t xml:space="preserve">Libellé de l'article </t>
  </si>
  <si>
    <t>Moniteurs</t>
  </si>
  <si>
    <t xml:space="preserve">Moniteurs standard - Moniteur station d'accueil </t>
  </si>
  <si>
    <t>XU2390HS-B1</t>
  </si>
  <si>
    <t>Iiyama moniteur ProLite LED 23" 1920 x 1080 Full HD (1080p) IPS 250 cd/m² 1000:1 4 ms HDMI, DVI-D, VGA, haut-parleurs – noir Garantie 3 ans certifié ENERGY STAR</t>
  </si>
  <si>
    <t>IIYAMA</t>
  </si>
  <si>
    <t>IA24</t>
  </si>
  <si>
    <t>XB2483HSU-B5</t>
  </si>
  <si>
    <t>Iiyama moniteur 24'' ProLite - VA LED - HDMI, DisplayPort, VGA - 16:9 - résolution de 1920x1080, 75Hz, 250 cd/m², contraste de 3 000:1, 4 ms, TCO 8 - Noir</t>
  </si>
  <si>
    <t>XUB2792HSU-B5</t>
  </si>
  <si>
    <t>Iiyama moniteur 27'' ProLite - IPS LED - HDMI, DisplayPort, VGA - 16:9 - résolution de 1920x1080, 75Hz, 250 cd/m², contraste de 1 000:1, 4 ms, TCO 8 - Noir</t>
  </si>
  <si>
    <t>XB3288UHSU-B5</t>
  </si>
  <si>
    <t>XB3288UHSU-B1</t>
  </si>
  <si>
    <t>Iiyama moniteur 32" ProLite LED - 4K - HDR (VA, 2xHDMI, 1xDisplayPort, 1 x câble USB - 16:9 résolution 4K 3840 x 2160 à 60 Hz, noir, Energystar)</t>
  </si>
  <si>
    <t>XUB3493WQSU-B5</t>
  </si>
  <si>
    <t>Iiyama moniteur 34'' ProLite - ADS-IPS - 2 x HDMI, DisplayPort - 21:9 - résolution de 3440 x 1440, 75Hz, 400 cd/m², contraste de 1 000:1, 4 ms - Noir</t>
  </si>
  <si>
    <t>242B1G/00</t>
  </si>
  <si>
    <t>Philips moniteur écologique 24'' IPS W-LED B-line - DisplayPort 1.2, HDMI 1.4, DVI-D, 16:9, résolution 1920 x 1080, 75Hz, 250 cd/m², contraste de 1000:1, 4 ms, très faible consommation - Noir</t>
  </si>
  <si>
    <t>PHILIPS</t>
  </si>
  <si>
    <t>242B1V/00</t>
  </si>
  <si>
    <t>Philips moniteur avec mode confidentiel 24'' LED B-line ( Display Port, HDMI, DVI-D (numérique, HDCP), VGA - 16:9 résolution 1920 x 1080, 5 ms, noir)</t>
  </si>
  <si>
    <t>272B7QUPBEB/00</t>
  </si>
  <si>
    <t>Philips moniteur 27'' LED Brilliance B-line (USB-C, HDMI, DisplayPort, USB, Ethernet - 16:9 résolution 2560x1440 - 5 ms - noir - TCO) sans webcam intégrée</t>
  </si>
  <si>
    <t>272B7QUBHEB/00</t>
  </si>
  <si>
    <t>Philips moniteur 27'' QHD LED Brilliance B-line (USB-C, HDMI, DisplayPort, 4x USB, Ethernet - webcam - 16:9 résolution 2560x1440, 5 ms, noir) avec webcam intégrée</t>
  </si>
  <si>
    <t>329P1H/00</t>
  </si>
  <si>
    <t>Philips moniteur 32'' 4K IPS W-LED  P-line - USB-C 3.2 90W, 2x HDMI 2.0, DisplayPort 1.4, 4x USB, Ethernet - 16:9, résolution 3840x2160, 60Hz, 350 cd/m², constraste de 1000:1, 4 ms - Webcam intégrée - Noir</t>
  </si>
  <si>
    <t>346B1C/00</t>
  </si>
  <si>
    <t>Philips moniteur 34'' Incurvé LED Brilliance B-line (HDMI, DisplayPort, USB-C avec Port RJ45, 4x USB 3,2 -  21:9 résolution 3440x1440, 5 ms, noir, réglable en hauteur)</t>
  </si>
  <si>
    <t>LF24T450FQRXEN</t>
  </si>
  <si>
    <t>Samsung F24T450FQR - T45F Series - écran LED 24" - Full HD (1080p) 1920 x 1080 @ 75 Hz 250 cd/m² 1000: 15 ms 2xHDMI,DisplayPort - noir</t>
  </si>
  <si>
    <t>SAMSUNG</t>
  </si>
  <si>
    <t>LS27A60PUUUXEN</t>
  </si>
  <si>
    <t>LS27A600UUUXEN</t>
  </si>
  <si>
    <t>Samsung S27A600UUU - S60UA Series - écran LED 27" - QHD - 2560 x 1440 @ 75 Hz 300 cd/m² 1000: 15 ms 2xHDMI,DisplayPort - noir</t>
  </si>
  <si>
    <t>LS32A60PUUUXEN</t>
  </si>
  <si>
    <t>Samsung moniteur 32" - VA - HDMI, Displayport IN, Displayport OUT, 3xUSB-A 3.0, USB-C 3.1, Ethernet - 16:9 - Résolution de 2560 x 1440 - 75 Hz - 300 cd/m² - 3000:1 - 5 ms - noir</t>
  </si>
  <si>
    <t>LS34C652VAUXEN</t>
  </si>
  <si>
    <t>VG2239SMH-2</t>
  </si>
  <si>
    <t>ViewSonic moniteur 22" LED VG2239Smh (connexion DisplayPort+VGA+HDMI - 16:9 résolution 1920x1080 - 6,5 ms - noir)</t>
  </si>
  <si>
    <t>VIEWSONIC</t>
  </si>
  <si>
    <t>VP2468a</t>
  </si>
  <si>
    <t>Viewsonic moniteur 24" (1920 x 1080) Dalle IPS LED monitor with 100% sRGB, 5ms, HDMI, DisplayPort in, DisplayPort out, USB-C, RJ45, 2 USB</t>
  </si>
  <si>
    <t>VG2755</t>
  </si>
  <si>
    <t>Viewsonic moniteur 27", (1920 x 1080) 5ms, VGA, HDMI, DisplayPort, USB type C, 3x USB, hauts-parleurs, support entièrement ergonomique avec grand angle d'inclinaison</t>
  </si>
  <si>
    <t>VP2768a</t>
  </si>
  <si>
    <t>Viewsonic moniteur 27" - IPS LED - 2xHDMI, DisplayPort IN, DisplayPort OUT, 2xUSB-A 3.0, USB-B 3.0, USB-C 3.2 - 16:9 - Résolution de 2560x1440 - 75 Hz - 350 cd/m² - Contraste de 1000:1 - 5ms - Noir</t>
  </si>
  <si>
    <t>VP2785-4K</t>
  </si>
  <si>
    <t>Viewsonic moniteur 27" - AH-IPS - 2xHDMI, Displayport, mini Display Port, 3xUSB-A 3.1, USB-B 3.1, USB-C 3.1 - 16:9 - Résolution de 3840x2160 - 60 Hz - 350 cd/m² - HDR10 - 10 bits (8bits + FRC) -  Contraste de 1000:1 - 5ms - Noir</t>
  </si>
  <si>
    <t>VP3256-4K</t>
  </si>
  <si>
    <t>Viewsonic moniteur 32"- IPS LED - 2xHDMI, DisplayPort, 2xUSB-A 3.1, USB-B 3.1, USB-C 3.1 - 16:9 - Résolution de 3840x2160 - 60 Hz - 350 cd/m² - Contraste de 1000:1 - 5ms - Noir</t>
  </si>
  <si>
    <t>VP3481a</t>
  </si>
  <si>
    <t>Viewsonic moniteur 34" incurvé - IPS LED - 2xHDMI, DisplayPort, 2xUSB-A 3.1, USB-B 3.1, USB-C 3.1 - 16:9 - Résolution de 3840x2160 - 60 Hz - 350 cd/m² - Contraste de 1000:1 - 5ms - Noir</t>
  </si>
  <si>
    <t>Stockages externes</t>
  </si>
  <si>
    <t>Clés USB - Cartes SD - Disques durs externes - SSD externes - Baies de stockage (NAS)</t>
  </si>
  <si>
    <t>SDCS2/32GB</t>
  </si>
  <si>
    <t>Cartes mémoires Kingston Canvas Select Plus 32 Go</t>
  </si>
  <si>
    <t>KINGSTON</t>
  </si>
  <si>
    <t>Accessoires</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</si>
  <si>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</si>
  <si>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</si>
  <si>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</si>
  <si>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</si>
  <si>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</si>
  <si>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</si>
  <si>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</si>
  <si>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</si>
  <si>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</si>
  <si>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</si>
  <si>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</si>
  <si>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</si>
  <si>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</si>
  <si>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</si>
  <si>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</si>
  <si>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</si>
  <si>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</si>
  <si>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</si>
  <si>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</si>
  <si>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</si>
  <si>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</si>
  <si>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</si>
  <si>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</si>
  <si>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</si>
  <si>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</si>
  <si>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</si>
  <si>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</si>
  <si>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</si>
  <si>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</si>
  <si>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</si>
  <si>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STKS500400</t>
  </si>
  <si>
    <t>LaCie Portable SSD v.2 - 500 Go - externe (portable) - USB 3.1 Gen 2 (USB-C connecteur)</t>
  </si>
  <si>
    <t>LACIE</t>
  </si>
  <si>
    <t>STKS1000400</t>
  </si>
  <si>
    <t>LaCie Portable SSD v.2 - 1To - externe (portable) - USB 3.1 Gen 2 (USB-C connecteur)</t>
  </si>
  <si>
    <t>STKS2000400</t>
  </si>
  <si>
    <t>LaCie Portable SSD v.2 - 2 To - externe (portable) - USB 3.1 Gen 2 (USB-C connecteur)</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</si>
  <si>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</si>
  <si>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</si>
  <si>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</si>
  <si>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</si>
  <si>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</si>
  <si>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</si>
  <si>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</si>
  <si>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</si>
  <si>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</si>
  <si>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</si>
  <si>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</si>
  <si>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</si>
  <si>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</si>
  <si>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</si>
  <si>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</si>
  <si>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</si>
  <si>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STFR2000800</t>
  </si>
  <si>
    <t>LaCie Rugged - Disque dur externe - 2 To - USB-C 3.1 Gen 1 - Orange</t>
  </si>
  <si>
    <t>STFR4000800</t>
  </si>
  <si>
    <t>LaCie Rugged - Disque dur externe - 4 To - USB-C 3.1 Gen 1 - Orange</t>
  </si>
  <si>
    <t>STFR5000800</t>
  </si>
  <si>
    <t>LaCie Rugged - Disque dur externe - 5 To - USB-C 3.1 Gen 1 - Orange</t>
  </si>
  <si>
    <t>STFR2000403</t>
  </si>
  <si>
    <t>LaCie Rugged Secure - Disque dur externe - 2 To - Chiffré AES 256 bits - USB-C 3.1 Gen 1 - Orange</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</si>
  <si>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</si>
  <si>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</si>
  <si>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</si>
  <si>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</si>
  <si>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</si>
  <si>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</si>
  <si>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</si>
  <si>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</si>
  <si>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</si>
  <si>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STLR2000400</t>
  </si>
  <si>
    <t>LaCie Mobile Drive V2 Secure 2 To - Disque dur externe portable - USB-C  3.1 - Gris sidéral</t>
  </si>
  <si>
    <t xml:space="preserve">STLR4000400 </t>
  </si>
  <si>
    <t>LaCie Mobile Drive V2 Secure 4 To - Disque dur externe portable - USB-C  3.1 - Gris sidéral</t>
  </si>
  <si>
    <t>STLR5000400</t>
  </si>
  <si>
    <t>LaCie Mobile Drive V2 Secure 5 To - Disque dur externe portable - USB-C  3.1 - Gris sidéral</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</si>
  <si>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</si>
  <si>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</si>
  <si>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</si>
  <si>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</si>
  <si>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</si>
  <si>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</si>
  <si>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</si>
  <si>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</si>
  <si>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</si>
  <si>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</si>
  <si>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</si>
  <si>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</si>
  <si>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</si>
  <si>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</si>
  <si>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</si>
  <si>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</si>
  <si>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SEAGATE</t>
  </si>
  <si>
    <t>STKP6000400</t>
  </si>
  <si>
    <t>Seagate Expansion Desktop STKP6000400 - Disque dur - 6 To - externe (de bureau) - USB 3.0</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</si>
  <si>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</si>
  <si>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</si>
  <si>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</si>
  <si>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</si>
  <si>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</si>
  <si>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</si>
  <si>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</si>
  <si>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</si>
  <si>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</si>
  <si>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</si>
  <si>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</si>
  <si>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</si>
  <si>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</si>
  <si>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</si>
  <si>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</si>
  <si>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</si>
  <si>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</si>
  <si>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MK2A3F/A</t>
  </si>
  <si>
    <t>Apple clavier Magic Keyboard sans pavé numérique - Bluetooth - Rechargeable Lightning - Argent - Français</t>
  </si>
  <si>
    <t>MK2A3Z/A</t>
  </si>
  <si>
    <t>Apple clavier Magic Keyboard sans pavé numérique - Bluetooth - Rechargeable Lightning - Argent - Anglais international</t>
  </si>
  <si>
    <t>MK2A3LB/A</t>
  </si>
  <si>
    <t>Apple clavier Magic Keyboard sans pavé numérique - Bluetooth - Rechargeable Lightning - Argent - Anglais US</t>
  </si>
  <si>
    <t>MK2A3B/A</t>
  </si>
  <si>
    <t>Apple clavier Magic Keyboard sans pavé numérique - Bluetooth - Rechargeable Lightning - Argent - Anglais britanique</t>
  </si>
  <si>
    <t>MK293F/A</t>
  </si>
  <si>
    <t>Apple clavier Magic Keyboard sans pavé numérique - Touch ID (Mac puce Apple) - Bluetooth - Rechargeable Lightning - Argent - Français</t>
  </si>
  <si>
    <t>MK293Z/A</t>
  </si>
  <si>
    <t xml:space="preserve">Apple clavier Magic Keyboard sans pavé numérique - Touch ID (Mac puce Apple) - Bluetooth - Rechargeable Lightning - Argent - Anglais international </t>
  </si>
  <si>
    <t>MK293LB/A</t>
  </si>
  <si>
    <t>Apple clavier Magic Keyboard sans pavé numérique - Touch ID (Mac puce Apple) - Bluetooth - Rechargeable Lightning - Argent - Anglais US</t>
  </si>
  <si>
    <t>MK293B/A</t>
  </si>
  <si>
    <t>Apple clavier Magic Keyboard sans pavé numérique - Touch ID (Mac puce Apple) - Bluetooth - Rechargeable Lightning - Argent - Anglais britanique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</si>
  <si>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</si>
  <si>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</si>
  <si>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</si>
  <si>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</si>
  <si>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</si>
  <si>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Apple clavier Magic Keyboard avec pavé numérique - Bluetooth - Rechargeable Lightning - Argent - Anglais US</t>
  </si>
  <si>
    <t>MQ052B/A</t>
  </si>
  <si>
    <t>Apple clavier Magic Keyboard avec pavé numérique - Bluetooth - Rechargeable Lightning - Argent - Anglais britanique</t>
  </si>
  <si>
    <t>MK2C3F/A</t>
  </si>
  <si>
    <t>Apple clavier Magic Keyboard avec pavé numérique - Touch ID (Mac puce Apple) - Bluetooth - Rechargeable Lightning - Argent - Français</t>
  </si>
  <si>
    <t>MK2C3Z/A</t>
  </si>
  <si>
    <t>Apple clavier Magic Keyboard avec pavé numérique - Touch ID (Mac puce Apple) - Bluetooth - Rechargeable Lightning - Argent - Anglais international</t>
  </si>
  <si>
    <t>MK2C3LB/A</t>
  </si>
  <si>
    <t>Apple clavier Magic Keyboard avec pavé numérique - Touch ID (Mac puce Apple) - Bluetooth - Rechargeable Lightning - Argent - Anglais US</t>
  </si>
  <si>
    <t>MK2C3B/A</t>
  </si>
  <si>
    <t>Apple clavier Magic Keyboard avec pavé numérique - Touch ID (Mac puce Apple) - Bluetooth - Rechargeable Lightning - Argent - Anglais britanique</t>
  </si>
  <si>
    <t>MMMR3F/A</t>
  </si>
  <si>
    <t>Apple clavier Magic Keyboard avec pavé numérique - Touch ID (Mac puce Apple) - Bluetooth - Rechargeable Lightning - Argent touches noires - français</t>
  </si>
  <si>
    <t>MMMR3Z/A</t>
  </si>
  <si>
    <t>Apple clavier Magic Keyboard avec pavé numérique - Touch ID (Mac puce Apple) - Bluetooth - Rechargeable Lightning - Argent touches noires - Anglais international</t>
  </si>
  <si>
    <t>MMMR3LB/A</t>
  </si>
  <si>
    <t>Apple clavier Magic Keyboard avec pavé numérique - Touch ID (Mac puce Apple) - Bluetooth - Rechargeable Lightning - Argent touches noires - Anglais US</t>
  </si>
  <si>
    <t>MMMR3B/A</t>
  </si>
  <si>
    <t>Apple clavier Magic Keyboard avec pavé numérique - Touch ID (Mac puce Apple) - Bluetooth - Rechargeable Lightning - Argent touches noires - Anglais britanique</t>
  </si>
  <si>
    <t>MK2E3Z/A</t>
  </si>
  <si>
    <t>Apple souris Magic mouse 2 - Bluetooth - Rechargeable Lightning - Argent et blanc</t>
  </si>
  <si>
    <t>MMMQ3Z/A</t>
  </si>
  <si>
    <t>Apple souris Magic mouse 2 - Bluetooth - Rechargeable Lightning - Argent et noir</t>
  </si>
  <si>
    <t>MK2D3Z/A</t>
  </si>
  <si>
    <t>Apple trackpad Magic Trackpad 2 (Force Touch - rechargeable - Bluetooth - Lightning) - Argent et blanc</t>
  </si>
  <si>
    <t>MMMP3Z/A</t>
  </si>
  <si>
    <t>Apple trackpad Magic Trackpad 2 (Force Touch - rechargeable - Bluetooth - Lightning) - Argent et noir</t>
  </si>
  <si>
    <t>MX3L2F/A</t>
  </si>
  <si>
    <t>Apple Smart Keyboard pour iPad (7,8 et 9e gén), iPad Air 10,5" (3e gén) et iPad Pro 10,5'' - Anthracite - AZERTY</t>
  </si>
  <si>
    <t>MX3L2LB/A</t>
  </si>
  <si>
    <t>Apple Smart Keyboard pour iPad (7,8 et 9e gén), iPad Air 10,5" (3e gén) et iPad Pro 10,5'' - Anthracite - QWERTY</t>
  </si>
  <si>
    <t>MXNK2F/A</t>
  </si>
  <si>
    <t>Apple Smart Keyboard Folio pour iPad Pro 11'' (2,3 et 4e gén) et iPad Air 10,9" (4 et 5e gén) - Anthracite - AZERTY</t>
  </si>
  <si>
    <t>MXNK2LB/A</t>
  </si>
  <si>
    <t>Apple Smart Keyboard Folio pour iPad Pro 11'' (2,3 et 4e gén) et iPad Air 10,9" (4 et 5e gén) - Anthracite - QWERTY</t>
  </si>
  <si>
    <t>MXNL2F/A</t>
  </si>
  <si>
    <t>Apple Smart Keyboard Folio pour iPad Pro 12,9'' (3, 4, 5 et 6e gén) - Anthracite - AZERTY</t>
  </si>
  <si>
    <t>MXNL2LB/A</t>
  </si>
  <si>
    <t>Apple Smart Keyboard Folio pour iPad Pro 12,9'' (3, 4, 5 et 6e gén) - Anthracite - QWERTY</t>
  </si>
  <si>
    <t>MQDP3F/A</t>
  </si>
  <si>
    <t>Apple Magic Keyboard Folio pour iPad 10,9" (10e gén) - Blanc - AZERTY</t>
  </si>
  <si>
    <t>MQDP3LB/A</t>
  </si>
  <si>
    <t xml:space="preserve">Apple Magic Keyboard Folio pour iPad 10,9" (10e gén) - Blanc - QWERTY </t>
  </si>
  <si>
    <t>MJQJ3F/A</t>
  </si>
  <si>
    <t>Apple Magic Keyboard pour iPad Pro 11'' (1,2,3 et 4e gén) et iPad Air 10,9" (4 et 5e gén.) - Blanc - AZERTY</t>
  </si>
  <si>
    <t>MXQT2F/A</t>
  </si>
  <si>
    <t>Apple Magic Keyboard pour iPad Pro 11'' (1,2,3 et 4e gén) et iPad Air 10,9" (4 et 5e gén.) - Noir - AZERTY</t>
  </si>
  <si>
    <t>MJQJ3LB/A</t>
  </si>
  <si>
    <t>Apple Magic Keyboard pour iPad Pro 11'' (1,2,3 et 4e gén) et iPad Air 10,9" (4 et 5e gén.) - Blanc - QWERTY</t>
  </si>
  <si>
    <t>MXQT2LB/A</t>
  </si>
  <si>
    <t>Apple Magic Keyboard pour iPad Pro 11'' (1,2,3 et 4e gén) et iPad Air 10,9" (4 et 5e gén.) - Noir - QWERTY</t>
  </si>
  <si>
    <t>MJQL3F/A</t>
  </si>
  <si>
    <t>Apple Magic Keyboard pour iPad Pro 12,9'' (3,4,5 et 6e gén) - Blanc - AZERTY</t>
  </si>
  <si>
    <t>MJQK3F/A</t>
  </si>
  <si>
    <t>Apple Magic Keyboard pour iPad Pro 12,9'' (3,4,5 et 6e gén) - Noir - AZERTY</t>
  </si>
  <si>
    <t>MJQL3LB/A</t>
  </si>
  <si>
    <t>Apple Magic Keyboard pour iPad Pro 12,9'' (3,4,5 et 6e gén) - Blanc - QWERTY</t>
  </si>
  <si>
    <t>MJQK3LB/A</t>
  </si>
  <si>
    <t>Apple Magic Keyboard pour iPad Pro 12,9'' (3,4,5 et 6e gén) - Noir - QWERTY</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</si>
  <si>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</si>
  <si>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</si>
  <si>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</si>
  <si>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</si>
  <si>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</si>
  <si>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</si>
  <si>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</si>
  <si>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</si>
  <si>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Logitech Combo touch - Pour iPad (10th gen) - Oxford Grey - AZERTY</t>
  </si>
  <si>
    <t>920-010298</t>
  </si>
  <si>
    <t>Logitech Combo touch - Pour iPad Air (4th &amp; 5th gen) - Oxford Grey - AZERTY</t>
  </si>
  <si>
    <t>920-010168</t>
  </si>
  <si>
    <t>Logitech Combo touch - Pour iPad Pro 11" (1st, 2nd, 3rd &amp; 4th gen) - Sable - AZERTY</t>
  </si>
  <si>
    <t>920-010144</t>
  </si>
  <si>
    <t>Logitech Combo touch - Pour iPad Pro 11" (1st, 2nd, 3rd &amp; 4th gen) - Oxford Grey - AZERTY</t>
  </si>
  <si>
    <t>920-010218</t>
  </si>
  <si>
    <t>Logitech Combo touch - Pour iPad Pro 12.9-inch (5th &amp; 6th gen) - Sable - AZERTY</t>
  </si>
  <si>
    <t>920-010210</t>
  </si>
  <si>
    <t>Logitech Combo touch - Pour iPad Pro 12.9-inch (5th &amp; 6th gen) - Oxford Grey - AZERTY</t>
  </si>
  <si>
    <t>MQLY3ZM/A</t>
  </si>
  <si>
    <t>Apple Pencil 1ère génération avec adaptateur USB-C vers ligthning femelle pour iPad (6,7,8,9 et 10e gén.), iPad mini (5e gén.), iPad Air (3e gén.), iPad Pro 9,7", 10,5" et iPad Pro 12,9 (1 et 2e gén.)</t>
  </si>
  <si>
    <t>MUWA3ZM/A</t>
  </si>
  <si>
    <t>Apple Pencil USB-C - Pour iPad Pro 12,9" (3,4,5 et 6ème gén), iPad Pro 11" (1,2,3 et 4ème gén), iPad Air (4 et 5ème gén), iPad 10,9" (10ème gén) et iPad mini (6ème gén)</t>
  </si>
  <si>
    <t>MU8F2ZM/A</t>
  </si>
  <si>
    <t>Apple Pencil 2ème génération pour iPad Pro 11"(1,2,3 et 4e gén.), iPad Pro 12,9" (3,4,5 et 6e gén.), iPad mini (6e gén.) iPad Air (4 et 5e gén.)</t>
  </si>
  <si>
    <t>MLUN2ZM/A</t>
  </si>
  <si>
    <t>Apple pointes pour Apple Pencil - Lot de 4 - Pour Apple Pencil 1ère et 2ème génération</t>
  </si>
  <si>
    <t>MQLU3ZM/A</t>
  </si>
  <si>
    <t>Apple adaptateur USB‑C vers Apple Pencil 1ère génération Lightning femelle</t>
  </si>
  <si>
    <t>920-009554</t>
  </si>
  <si>
    <t>Logitech Clavier MX Keys pour Mac – Clavier rétroéclairé - Bluetooth, 2.4 GHz – AZERTY – Français - gris</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</si>
  <si>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</si>
  <si>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</si>
  <si>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</si>
  <si>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</si>
  <si>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</si>
  <si>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</si>
  <si>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</si>
  <si>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</si>
  <si>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920-006705</t>
  </si>
  <si>
    <t>Logitech Keys to go - Clavier noir avec support blanc - AZERTY</t>
  </si>
  <si>
    <t>920-010048</t>
  </si>
  <si>
    <t>Logitech Keys to go - Clavier bleu classique avec support orange - AZERTY</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</si>
  <si>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</si>
  <si>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</si>
  <si>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</si>
  <si>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</si>
  <si>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</si>
  <si>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</si>
  <si>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</si>
  <si>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</si>
  <si>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ADP4B</t>
  </si>
  <si>
    <t>Adonit Jot Pro 4 - stylet pointe fine avec embout amortisseur de précision et capuchon magnétique - noir</t>
  </si>
  <si>
    <t>ADONIT</t>
  </si>
  <si>
    <t>ADNP2</t>
  </si>
  <si>
    <t>Adonit Note+ 2 - Stylet pour iPad - Sensibilité à la pression - Rejet du signal de la paume sur l'écran - Embout remplaçable - USB-C - Aluminium - Noir</t>
  </si>
  <si>
    <t>ADN2</t>
  </si>
  <si>
    <t>Adonit stylet Note 2 noir – aluminium – chargement USB-C - Fonctionnalité Palm Rejection native - Étanche à la poussière et à l'eau - Veille prolongée - Embout remplaçable</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</si>
  <si>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</si>
  <si>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</si>
  <si>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</si>
  <si>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</si>
  <si>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</si>
  <si>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</si>
  <si>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</si>
  <si>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</si>
  <si>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</si>
  <si>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</si>
  <si>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</si>
  <si>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</si>
  <si>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</si>
  <si>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</si>
  <si>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30200000-2</t>
  </si>
  <si>
    <t>IA25</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</si>
  <si>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</si>
  <si>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</si>
  <si>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</si>
  <si>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</si>
  <si>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</si>
  <si>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</si>
  <si>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</si>
  <si>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</si>
  <si>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IM4ZF2-BBF</t>
  </si>
  <si>
    <t>ZAGG Slim Book clavier Bluetooth avec coque iPad Mini 5</t>
  </si>
  <si>
    <t>ZAGG</t>
  </si>
  <si>
    <t>BBK01UF</t>
  </si>
  <si>
    <t>Urban Factory Onlee - clavier sans fil Bluetooth- AZERTY - noir</t>
  </si>
  <si>
    <t>URBAN FACTORY</t>
  </si>
  <si>
    <t>KBMAC</t>
  </si>
  <si>
    <t>T’nB Clavier Mac sans fil BlueTooth (batterie intégrée)</t>
  </si>
  <si>
    <t>TNB</t>
  </si>
  <si>
    <t>910-004913</t>
  </si>
  <si>
    <t>Logitech souris B330 optique sans fil</t>
  </si>
  <si>
    <t>910-004861</t>
  </si>
  <si>
    <t>Logitech Spotlight</t>
  </si>
  <si>
    <t>K72426EU</t>
  </si>
  <si>
    <t>Kensington Presenter Expert</t>
  </si>
  <si>
    <t>KENSINGTON</t>
  </si>
  <si>
    <t>WHD30UF</t>
  </si>
  <si>
    <t>Urban Factory WEBEE Pro - Webcam USB-A - FULL HD 1080p - Autofocus</t>
  </si>
  <si>
    <t>960-001459</t>
  </si>
  <si>
    <t>Logitech Brio 505 - Webcam - 1080p - USB-C - Graphite</t>
  </si>
  <si>
    <t>960-001194</t>
  </si>
  <si>
    <t>Logitech Brio Stream - Webcam - 4K - HDR - Micros à réduction active du bruit - USB-C - Câble USB-C vers USB-A - Noir</t>
  </si>
  <si>
    <t>ST-ELMPK</t>
  </si>
  <si>
    <t>Satechi tapis de souris en cuir éco - 25x19 cm - Noir</t>
  </si>
  <si>
    <t>ST-ELMPN</t>
  </si>
  <si>
    <t>Satechi tapis de souris en cuir éco - 25x19 cm -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</si>
  <si>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</si>
  <si>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</si>
  <si>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</si>
  <si>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</si>
  <si>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</si>
  <si>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</si>
  <si>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</si>
  <si>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</si>
  <si>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</si>
  <si>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</si>
  <si>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TARGUS</t>
  </si>
  <si>
    <t>TUCANO</t>
  </si>
  <si>
    <t>Adaptateurs secteurs</t>
  </si>
  <si>
    <t>Chargeurs pour Mac - iPad - Accessoires</t>
  </si>
  <si>
    <t>MGN03ZM/A</t>
  </si>
  <si>
    <t>Apple adaptateur secteur 12W USB-A</t>
  </si>
  <si>
    <t>MHJE3ZM/A</t>
  </si>
  <si>
    <t>Apple adaptateur secteur 20W USB-C</t>
  </si>
  <si>
    <t>MY1W2ZM/A</t>
  </si>
  <si>
    <t>Apple adaptateur secteur 30W USB-C</t>
  </si>
  <si>
    <t>MNWP3ZM/A</t>
  </si>
  <si>
    <t xml:space="preserve">Apple adaptateur secteur 35W double port USB-C </t>
  </si>
  <si>
    <t>MQLN3ZM/A</t>
  </si>
  <si>
    <t>Apple adaptateur secteur 70W USB-C</t>
  </si>
  <si>
    <t>MX0J2ZM/A</t>
  </si>
  <si>
    <t>Apple adaptateur secteur 96W USB-C</t>
  </si>
  <si>
    <t>MLYU3ZM/A</t>
  </si>
  <si>
    <t>Apple adaptateur secteur 140W USB-C</t>
  </si>
  <si>
    <t>MC747Z/A</t>
  </si>
  <si>
    <t xml:space="preserve">Apple adaptateur secteur 45W MagSafe </t>
  </si>
  <si>
    <t>MC461Z/A</t>
  </si>
  <si>
    <t>Apple adaptateur secteur 60W MagSafe</t>
  </si>
  <si>
    <t>MC556Z/B</t>
  </si>
  <si>
    <t>Apple adaptateur secteur 85W MagSafe</t>
  </si>
  <si>
    <t>MD592Z/A</t>
  </si>
  <si>
    <t>Apple adaptateur secteur 45W MagSafe 2</t>
  </si>
  <si>
    <t>MD565Z/A</t>
  </si>
  <si>
    <t>Apple adaptateur secteur 60W MagSafe 2</t>
  </si>
  <si>
    <t>MD506Z/A</t>
  </si>
  <si>
    <t>Apple adaptateur secteur 85W MagSafe 2</t>
  </si>
  <si>
    <t>WCH011vfWH</t>
  </si>
  <si>
    <t>Belkin - BoostCharge Pro jusqu'à 45W - GaN - 2 ports USB-C - Blanc</t>
  </si>
  <si>
    <t>BELKIN</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</si>
  <si>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</si>
  <si>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</si>
  <si>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</si>
  <si>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</si>
  <si>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</si>
  <si>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</si>
  <si>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</si>
  <si>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</si>
  <si>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WCH010vfBK</t>
  </si>
  <si>
    <t>Belkin - BoostCharge Pro jusqu'à 108W - GaN - 4 ports - 2xUSB-C et 2xUSB-A - Noir</t>
  </si>
  <si>
    <t>ST-UC100WSM-EU</t>
  </si>
  <si>
    <t>Satechi - Adaptateur secteur GaN 100W USB-C PD - Gris sidéral</t>
  </si>
  <si>
    <t>ST-UC165GM-EU</t>
  </si>
  <si>
    <t>Satechi - Adaptateur secteur GaN 165W - 2 x USB-C jusqu'à 100W et 2 x USB-C jusqu'à 60 W - Gris sidéral</t>
  </si>
  <si>
    <t>78-52723</t>
  </si>
  <si>
    <t>OtterBox Chargeur secteur fast charger 30W - 1x USB C (3A/18W) + USB A (2.4A/12W) - noir</t>
  </si>
  <si>
    <t>OTTERBOX</t>
  </si>
  <si>
    <t>78-80479</t>
  </si>
  <si>
    <t>OtterBox Pack chargeur secteur USB C 20W + Cable renforcé USB C vers USB-C - 1m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</si>
  <si>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</si>
  <si>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</si>
  <si>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</si>
  <si>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</si>
  <si>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</si>
  <si>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</si>
  <si>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</si>
  <si>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</si>
  <si>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</si>
  <si>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</si>
  <si>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</si>
  <si>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</si>
  <si>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</si>
  <si>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MQKJ3ZM/A</t>
  </si>
  <si>
    <t>Apple câble de charge tissé USB‑C 2.0 - Jusqu'à 60 W - 1 m - Blanc</t>
  </si>
  <si>
    <t>Apple câble de charge tissé USB‑C (1 m)</t>
  </si>
  <si>
    <t>MU2G3ZM/A</t>
  </si>
  <si>
    <t>Apple câble de charge tissé USB‑C 2.0 - Jusqu'à 240 W - 2 m - Blanc</t>
  </si>
  <si>
    <t>MLL82ZM/A</t>
  </si>
  <si>
    <t>Apple câble de charge USB-C  (2m)</t>
  </si>
  <si>
    <t>MU883ZM/A</t>
  </si>
  <si>
    <t>Apple câble tissé Thunderbolt 4 Pro - Thunderbolt 3, 4 et USB 4 jusqu'à 40 Gbit/s - USB 3.1 Gen 2 jusqu'à 10 Gbit/s - HBR3 - 100 W - 1 m - Noir</t>
  </si>
  <si>
    <t>MN713ZM/A</t>
  </si>
  <si>
    <t>Apple câble tissé Thunderbolt 4 Pro - Thunderbolt 3, 4 et USB 4 jusqu'à 40 Gbit/s - USB 3.1 Gen 2 jusqu'à 10 Gbit/s - HBR3 - 100 W - 1,8 m - Noir</t>
  </si>
  <si>
    <t>Apple câble Thunderbolt 4 Pro (1,8 m)</t>
  </si>
  <si>
    <t>MWP02ZM/A</t>
  </si>
  <si>
    <t>Apple câble tissé Thunderbolt 4 Pro - Thunderbolt 3, 4 et USB 4 jusqu'à 40 Gbit/s - USB 3.1 Gen 2 jusqu'à 10 Gbit/s - HBR3 - 100 W - 3 m - Noir</t>
  </si>
  <si>
    <t>Apple câble Thunderbolt 4 Pro (3 m)</t>
  </si>
  <si>
    <t>MD862ZM/A</t>
  </si>
  <si>
    <t>Apple câble Thunderbolt 2 - Thunderbolt 1 et 2 jusqu'à 20 Gbit/s - 0,5 m - Blanc</t>
  </si>
  <si>
    <t>Apple câble Thunderbolt - Thunderbolt blanc 0,5 m</t>
  </si>
  <si>
    <t>MD861ZM/A</t>
  </si>
  <si>
    <t>Apple câble Thunderbolt 2 - Thunderbolt 1 et 2 jusqu'à 20 Gbit/s - 2 m - Blanc</t>
  </si>
  <si>
    <t>Apple câble Thunderbolt - Thunderbolt blanc 2 m</t>
  </si>
  <si>
    <t>ME291ZM/A</t>
  </si>
  <si>
    <t>Apple câble USB-A 2.0 vers lightning - 0,5 m - Blanc</t>
  </si>
  <si>
    <t>Apple câble Lightning vers USB 0,5 m (pour iPad Retina, iPad mini, iPhone 5, iPod touch 5G et iPod nano 7G)</t>
  </si>
  <si>
    <t>MJ1M2ZM/A</t>
  </si>
  <si>
    <t>Apple adaptateur USB-C - USB-A 3.1 Gen 1 - Blanc</t>
  </si>
  <si>
    <t>Apple adaptateur USB-C - USB pour MacBook 12" &amp; MacBook Pro Thunderbolt 3</t>
  </si>
  <si>
    <t>MU7E2ZM/A</t>
  </si>
  <si>
    <t>Apple adaptateur USB-C vers mini-jack 3,5 mm - Blanc</t>
  </si>
  <si>
    <t>Apple adaptateur USB-C vers mini-jack 3,5 mm pour iPad Pro 2018 et MacBook, MacBook Air 2018 MacBook Pro</t>
  </si>
  <si>
    <t>MQ4H2ZM/A</t>
  </si>
  <si>
    <t>Apple câble Thunderbolt 3 (USB-C) 0,80 m</t>
  </si>
  <si>
    <t>CAB014bt2MWH</t>
  </si>
  <si>
    <t>Belkin Boost Charge - Câble de recharche USB-C 2.0 - 100 W - 2m - Blanc</t>
  </si>
  <si>
    <t>Belkin Boost Charge - Câble de recharche USB-C - 100 W - 2m - Blanc</t>
  </si>
  <si>
    <t>CAB014bt2MBK</t>
  </si>
  <si>
    <t>Belkin Boost Charge - Câble de recharche USB-C 2.0 - 100 W - 2m - Noir</t>
  </si>
  <si>
    <t>Belkin Boost Charge - Câble de recharche USB-C - 100 W - 2m - Noir</t>
  </si>
  <si>
    <t>CAB014bt3MWH</t>
  </si>
  <si>
    <t>Belkin Boost Charge - Câble de recharche USB-C 2.0 - 100 W - 3m - Blanc</t>
  </si>
  <si>
    <t>Belkin Boost Charge - Câble de recharche USB-C - 100 W - 3m - Blanc</t>
  </si>
  <si>
    <t>CAB014bt3MBK</t>
  </si>
  <si>
    <t>Belkin Boost Charge - Câble de recharche USB-C 2.0 - 100 W - 3m - Noir</t>
  </si>
  <si>
    <t>Belkin Boost Charge - Câble de recharche USB-C - 100 W - 3m - Noir</t>
  </si>
  <si>
    <t>F2CU049BT2M-BLK</t>
  </si>
  <si>
    <t>Belkin Câble USB-C 3.0 - 5Gbit/s - 4K 60Hz - 2m - Noir</t>
  </si>
  <si>
    <t>INZ001bt0.8MBK</t>
  </si>
  <si>
    <t>Belkin Câble USB-C 4.0 - 40Gbit/s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</si>
  <si>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</si>
  <si>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</si>
  <si>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</si>
  <si>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</si>
  <si>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</si>
  <si>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</si>
  <si>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HDMI0018G-5M</t>
  </si>
  <si>
    <t>Belkin câble HDMI - 4K 30 Hz - 5 m - Noir</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</si>
  <si>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</si>
  <si>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</si>
  <si>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</si>
  <si>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</si>
  <si>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</si>
  <si>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</si>
  <si>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</si>
  <si>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</si>
  <si>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</si>
  <si>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</si>
  <si>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</si>
  <si>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MXLY2ZM/A</t>
  </si>
  <si>
    <t>Apple câble Lightning vers USB-A 1m</t>
  </si>
  <si>
    <t>MD819ZM/A</t>
  </si>
  <si>
    <t>Apple câble Lightning vers USB-A 2m</t>
  </si>
  <si>
    <t>MQGH2ZM/A</t>
  </si>
  <si>
    <t>Apple câble Lightning vers USB-C 2m</t>
  </si>
  <si>
    <t>MM0A3ZM/A</t>
  </si>
  <si>
    <t>Apple câble de charge USB-C vers lightning (1m)</t>
  </si>
  <si>
    <t>MLYV3ZM/A</t>
  </si>
  <si>
    <t>Apple câble de charge USB-C vers Magsafe 3 - 2 m - Argent</t>
  </si>
  <si>
    <t>Apple câble de charge USB-C vers Magsafe 3 (2 m)</t>
  </si>
  <si>
    <t>MK122Z/A</t>
  </si>
  <si>
    <t>Apple rallonge secteur pour adaptateur secteur</t>
  </si>
  <si>
    <t>CDP2DP141MBD</t>
  </si>
  <si>
    <t>StarTech câble USB-C vers DisplayPort 1.4 - 8K 60 Hz et 4k 120 Hz - 1 m - Noir</t>
  </si>
  <si>
    <t>StarTech câble USB-C vers DisplayPort 1.4 - 8K 60 Hz et 4k 120Hz - 1 m - Noir</t>
  </si>
  <si>
    <t>CDP2DP142MBD</t>
  </si>
  <si>
    <t>StarTech câble USB-C vers DisplayPort 1.4 - 8K 60 Hz et 4k 120 Hz - 2 m - Noir</t>
  </si>
  <si>
    <t>StarTech câble USB-C vers DisplayPort 1.4 - 8K 60 Hz et 4k 120Hz - 2 m - Noir</t>
  </si>
  <si>
    <t>F2CU029bt1M-BLK</t>
  </si>
  <si>
    <t>Belkin Câble USB-C vers USB-A - 3.1 - 10Gbit/s - 1m - Noir</t>
  </si>
  <si>
    <t>MDP2DPMM6</t>
  </si>
  <si>
    <t>Startech câble adaptateur Mini DisplayPort vers DisplayPort 1.2 de 1,8 m - M/M</t>
  </si>
  <si>
    <t>Startech câble adaptateur Mini DisplayPort vers DisplayPort 1.2 de 1,8m - M/M</t>
  </si>
  <si>
    <t>ST-CHDMIM</t>
  </si>
  <si>
    <t>Satechi câble USB-C vers HDMI 1.4 - 4K 60 Hz - 1,8 m - Argent et Blanc</t>
  </si>
  <si>
    <t>Satechi câble USB-C vers HDMI 1.4 - 4K 60 Hz - 1,8 m - Gris sidéral et Noir</t>
  </si>
  <si>
    <t>AVC012bt2MBK</t>
  </si>
  <si>
    <t>Belkin câble USB-C vers HDMI 2.1 - 8K 60 Hz et 4K 144 Hz - HDR10+ - 2 m - Noir</t>
  </si>
  <si>
    <t>Adaptateurs</t>
  </si>
  <si>
    <t>Vidéo - Réseau - Audio - USB - Lightning - Secteur - MagSafe - CD - Cartes SD</t>
  </si>
  <si>
    <t>MMEL2ZM/A</t>
  </si>
  <si>
    <t>Apple adaptateur Thunderbolt 3 (USB-C) vers Thunderbolt 2</t>
  </si>
  <si>
    <t>MUF82ZM/A</t>
  </si>
  <si>
    <t>Apple adaptateur USB-C vers multiport AV numérique - 1xHDMI 2.0 - 1xUSB-A 2.0 - 1xUSB-C pass throught 100 W - Blanc</t>
  </si>
  <si>
    <t>Apple adaptateur multiport AV numérique - USB-C (1 port HDMI &amp; 1 port USB) pour iPad Pro 2018 et MacBook, MacBook Air 2018 MacBook Pro</t>
  </si>
  <si>
    <t>MJ1L2ZM/A</t>
  </si>
  <si>
    <t>Apple adaptateur USB-C vers multiport VGA - 1x VGA HD 1080p - 1xUSB-A 2.0 - 1xUSB-C pass throught 100W - Blanc</t>
  </si>
  <si>
    <t>Apple adaptateur multiport VGA - USB-C (1 port VGA &amp; 1 port USB)</t>
  </si>
  <si>
    <t>MUFG2ZM/A</t>
  </si>
  <si>
    <t>Apple adaptateur USB-C vers lecteur de carte SD - UHS‑II - Blanc</t>
  </si>
  <si>
    <t>Apple adaptateur USB-C vers lecteur de carte SD pour iPad Pro 2018 et MacBook, MacBook Air 2018 MacBook Pro</t>
  </si>
  <si>
    <t>MD463ZM/A</t>
  </si>
  <si>
    <t>Apple adaptateur Thunderbolt &lt;--&gt; Ethernet Gigabit 10/100/1000 BT</t>
  </si>
  <si>
    <t>MD464ZM/A</t>
  </si>
  <si>
    <t>Apple Adaptateur Thunderbolt &lt;--&gt; FireWire 800 (9 pins)</t>
  </si>
  <si>
    <t>MC704ZM/A</t>
  </si>
  <si>
    <t>Apple adaptateur USB &lt;--&gt; Ethernet 10/100 BT pour MacBook Air, MacBook Pro Retina</t>
  </si>
  <si>
    <t>MJYT2ZM/A</t>
  </si>
  <si>
    <t>Apple adaptateur Lightning vers lecteur de carte SD</t>
  </si>
  <si>
    <t>MD825ZM/A</t>
  </si>
  <si>
    <t>Apple adaptateur Lightning vers VGA</t>
  </si>
  <si>
    <t>MD821ZM/A</t>
  </si>
  <si>
    <t>Apple adaptateur Lightning vers USB-A - Pour appareil photo</t>
  </si>
  <si>
    <t>MK0W2ZM/A</t>
  </si>
  <si>
    <t>Apple adaptateur Lightning vers USB-A + Lightning - Pour appareil photo</t>
  </si>
  <si>
    <t>MD826ZM/A</t>
  </si>
  <si>
    <t>Apple adaptateur Lightning vers HDMI (AV numérique)</t>
  </si>
  <si>
    <t>MUQX3ZM/A</t>
  </si>
  <si>
    <t>Apple adaptateur USB-C vers Lightning femelle</t>
  </si>
  <si>
    <t>MD564ZM/A</t>
  </si>
  <si>
    <t>Apple lecteur graveur SuperDrive (DVD±R DL/DVD±RW/CD-RW) externe USB-A</t>
  </si>
  <si>
    <t>MD504ZM/A</t>
  </si>
  <si>
    <t>Apple convertisseur MagSafe vers MagSafe 2</t>
  </si>
  <si>
    <t>MD837ZM/A</t>
  </si>
  <si>
    <t>Apple kit de voyage - 7 fiches secteur pour adaptateur secteur Apple</t>
  </si>
  <si>
    <t>C2G adaptateur Mini DisplayPort vers VGA - 20 cm - noir</t>
  </si>
  <si>
    <t>C2G</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</si>
  <si>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</si>
  <si>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</si>
  <si>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</si>
  <si>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</si>
  <si>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</si>
  <si>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</si>
  <si>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</si>
  <si>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</si>
  <si>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</si>
  <si>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</si>
  <si>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F8J212btWHT</t>
  </si>
  <si>
    <t>Belkin RockStar - Adaptateur Lightning vers jack 3,5mm femelle + Lightning - Blanc</t>
  </si>
  <si>
    <t>AV10172bt06-BLK</t>
  </si>
  <si>
    <t>Belkin - Câble audio jack 3,5 mm avec connecteur Lightning - 1,8m - Noir</t>
  </si>
  <si>
    <t>INC001btBK</t>
  </si>
  <si>
    <t>Belkin - Adaptateur USB-C vers ETHERNET + recharge 60W</t>
  </si>
  <si>
    <t>AVC002btBK</t>
  </si>
  <si>
    <t>Belkin - Adaptateur USB-C vers HDMI 4K + recharge 60W</t>
  </si>
  <si>
    <t>F2CD079BT</t>
  </si>
  <si>
    <t>Belkin adaptateur vidéo 4K Mini DisplayPort vers HDMI avec audio - noir</t>
  </si>
  <si>
    <t>AVC003btBK</t>
  </si>
  <si>
    <t>Belkin adaptateur vidéo USB-C UNIVERSEL (VGA, DVI, HDMI et DISPLAY PORT)</t>
  </si>
  <si>
    <t>F4U090btBLK</t>
  </si>
  <si>
    <t>Belkin - Hub USB-C - 2xUSB-C, 2x USB-A - Noir</t>
  </si>
  <si>
    <t>K39122EU</t>
  </si>
  <si>
    <t>Kensington hub micro UBS 3.0 vers 4 ports USB-A 3.0 - Alimentation externe</t>
  </si>
  <si>
    <t>ST-UCATCM</t>
  </si>
  <si>
    <t>Satechi adaptateur USB-C vers USB-A 3.0 - Gris sidéral</t>
  </si>
  <si>
    <t>ST-TAUCM</t>
  </si>
  <si>
    <t>Satechi adaptateur USB-A vers USB-C - Gris sidéral</t>
  </si>
  <si>
    <t>ST-TCVGAM</t>
  </si>
  <si>
    <t>Satechi adaptateur USB-C vers VGA - Gris sidéral</t>
  </si>
  <si>
    <t>ST-TC4KHAS</t>
  </si>
  <si>
    <t>Satechi adaptateur USB-C vers HDMI 4K (60 Hz) argent</t>
  </si>
  <si>
    <t>ST-TC4KHAM</t>
  </si>
  <si>
    <t>Satechi adaptateur USB-C vers HDMI 4K (60 Hz) gris sidéral</t>
  </si>
  <si>
    <t>ST-TCENS</t>
  </si>
  <si>
    <t>Satechi adaptateur USB-C vers Ethernet GigaBit - argent</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</si>
  <si>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</si>
  <si>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</si>
  <si>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</si>
  <si>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</si>
  <si>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</si>
  <si>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</si>
  <si>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</si>
  <si>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</si>
  <si>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</si>
  <si>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</si>
  <si>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</si>
  <si>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</si>
  <si>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</si>
  <si>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</si>
  <si>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</si>
  <si>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Station d’accueil Hub USB-C, HDMI 4K, RJ45, 2xUSB-A, lecteur de carte SD - Pass-Through jusqu'à 100 W</t>
  </si>
  <si>
    <t>AVC006btSGY</t>
  </si>
  <si>
    <t>Belkin - Station d'accueil USB-C  4-en-1 (60W)</t>
  </si>
  <si>
    <t>INC011btWH</t>
  </si>
  <si>
    <t>Belkin CONNECT - Station d'accueil USB-C avec support de fixation adhésif pour iMac - Lecteur de carte SD et micro-SD - 1xUSB-C - 2xUSB-A - Ethernet</t>
  </si>
  <si>
    <t>INC004btSGY</t>
  </si>
  <si>
    <t>Belkin Station d’accueil USB-C multiport 11 en 1 - Carte mémoire SD, microSD, 2 x USB 3.1, RJ-45, DisplayPort, HDMI, USB 2.0, VGA, USB-C 3.0, jack 3,5 mm</t>
  </si>
  <si>
    <t>K33820WW</t>
  </si>
  <si>
    <t>Kensington Station d’accueil mobile UH1400P USB-C 8 en 1 (1 HDMI 2.0 + 1 GigaBit Ethernet + 1 USB-C + 3 USB 3.2 type A + 1 USB 3.2 type C + micro SD)</t>
  </si>
  <si>
    <t>99MO084213</t>
  </si>
  <si>
    <t>Moshi adaptateur multimédia USB-C 3-en-1 (2 ports USB - 1 port HDMI - lecteur carte SD) gris sidéral</t>
  </si>
  <si>
    <t>MOSHI</t>
  </si>
  <si>
    <t>ST-UCSMA3M</t>
  </si>
  <si>
    <t>Satechi Hub USB-C avec 1x USB-C (60W), 1x HDMI 4K, 1x Ethernet, 2x USB-A, 1x SD et 1x Micro SD - gris sidéral (existe en coloris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</si>
  <si>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</si>
  <si>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</si>
  <si>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</si>
  <si>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</si>
  <si>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</si>
  <si>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Gris sidéral</t>
  </si>
  <si>
    <t>ST-UCPHMIS</t>
  </si>
  <si>
    <t>Satechi Pro Hub Mini - Argent</t>
  </si>
  <si>
    <t>30200000-3</t>
  </si>
  <si>
    <t>IA26</t>
  </si>
  <si>
    <t>ST-UCPHMXM</t>
  </si>
  <si>
    <t>Satechi Pro Hub Max - Gris sidéral</t>
  </si>
  <si>
    <t>30200000-4</t>
  </si>
  <si>
    <t>IA27</t>
  </si>
  <si>
    <t>ST-UCPHMXS</t>
  </si>
  <si>
    <t>Satechi Pro Hub Max - Argent</t>
  </si>
  <si>
    <t>30200000-5</t>
  </si>
  <si>
    <t>IA28</t>
  </si>
  <si>
    <t>ST-HUCPHSD</t>
  </si>
  <si>
    <t>ST-HUCPHSS</t>
  </si>
  <si>
    <t>ST-HUCPHSM</t>
  </si>
  <si>
    <t>ST-TCSHIPM</t>
  </si>
  <si>
    <t>Satechi support et hub pour iPad Pro aluminium</t>
  </si>
  <si>
    <t>ST-ABHFM</t>
  </si>
  <si>
    <t>Satechi support hub (1x USB-C - 3x USB-A 3.0 - 1x lecteur cartes micro/SD - port 3,5mm) pour Mac Mini - gris sidéral</t>
  </si>
  <si>
    <t>ST-UCICHS</t>
  </si>
  <si>
    <t>Satechi hub USB-C CLAMP pour iMac 24" 1x USB-C, 3x USB et lecteurs de cartes micro/SD</t>
  </si>
  <si>
    <t>ST-ABHFS</t>
  </si>
  <si>
    <t>Satechi support hub (1x USB-C - 3x USB-A 3.0 - 1x lecteur cartes micro/SD - port 3,5mm) pour Mac Mini - argent</t>
  </si>
  <si>
    <t>TCM15UF</t>
  </si>
  <si>
    <t>Urban Factory station d'accueil mobile USB-C (4K édition) gris sidéral - 1 HDMI 4K - 1 VGA - 1 GigaBit Eth - 1 USB-C pass through 87W - 3 ports USB 3.0 - 1 lecteurs MSD - 1 sortie audio</t>
  </si>
  <si>
    <t>TCM16UF</t>
  </si>
  <si>
    <t>Urban Factory station d'accueil mobile USB-C - Sortie USB-C 100W avec distribution de courant, HDMI 4K, vidéo VGA, 3x USB 3.0, Port LAN Gigabit Ethernet, port Jack, port SD et MSD</t>
  </si>
  <si>
    <t>HDM1H-GL</t>
  </si>
  <si>
    <t>Hyper - HyperDrive hub USB-C 10 en 1 - 2xUSB-A 3.0 - 1xUSB-C 3.0 - 1xUSB-C pass through 100W - 1xGigabit Ethernet - 1xlecteur de carte SD et micro SD - 1xaudio Jack 3,5mm - 2xHDMI 4K (1 à 60Hz et 1 à 30 Hz) - Écran multiple pour Mac M1, M2 et Intel - Argent</t>
  </si>
  <si>
    <t>HD392-SILVER</t>
  </si>
  <si>
    <t>Hyper - HyperDrive VIPER hub USB-C 10 en 2 - 3xUSB-A 3.0 - 1xUSB-C pass through 60W - 1xGigabit Ethernet - 1xlecteur de carte SD et micro SD - 1xaudio Jack 3,5mm - 2xHDMI 4K 60Hz - Argent</t>
  </si>
  <si>
    <t>HD392-GRAY</t>
  </si>
  <si>
    <t xml:space="preserve">Hyper - HyperDrive VIPER hub USB-C 10 en 2 - 3xUSB-A 3.0 - 1xUSB-C pass through 60W - 1xGigabit Ethernet - 1xlecteur de carte SD et micro SD - 1xaudio Jack 3,5mm - 2xHDMI 4K 60Hz - Gris sidéral </t>
  </si>
  <si>
    <t>HD22H</t>
  </si>
  <si>
    <t>Hyper - HyperDrive SLAB hub USB-C 7 en 1 - 2xUSB-A 3.0 - 1xUSB-C pass through 90W - 1xGigabit Ethernet - 1xlecteur de carte SD et micro SD - 1xHDMI 4K 60 Hz - Gris sidéral</t>
  </si>
  <si>
    <t>Hyper - HyperDrive SLAB hub USB-C 7 en 1 - 2xUSB-A 3.0 - 1xUSB-C pass through 90W - 1xGigabit Ethernet - 1xlecteur de carte SD et micro SD - 1xHDMI 4K 60Hz - Gris sidéral</t>
  </si>
  <si>
    <t>HD583-GL</t>
  </si>
  <si>
    <t xml:space="preserve">Hyper - HyperDrive hub USB4 (USB-C) 7 en 1 - 1x USB-C 3.1 Gen 2 pass through 100W - 2xUSB-A 3.1 Gen 2 - 1xGigabit Ethernet- 1xaudio Jack 3.5mm - 1xHDMI jusqu'à 8K 30 Hz - 1xDisplayPort jusqu'à 8K 30 Hz - Noir </t>
  </si>
  <si>
    <t xml:space="preserve">Hyper - HyperDrive hub USB4 (USB-C) 7 en 1 - 1x USB-C 3.1 Gen 2 pass through 100W - 2xUSB-A 3.1 Gen 2 - 1xGigabit Ethernet- 1xaudio Jack 3.5mm - 1xHDMI jusqu'à 8K 30Hz - 1xDisplayPort jusqu'à 8K 30Hz - Noir </t>
  </si>
  <si>
    <t>Stations d'accueil fixe</t>
  </si>
  <si>
    <t>Alimenté - Multiport - DisplayLink - Thunderbolt - USB-C</t>
  </si>
  <si>
    <t>F4U110bt</t>
  </si>
  <si>
    <t>Belkin - Station d'accueil Thunderbolt 3 Dock Core avec Câble Thunderbolt 3 (Double Affichage 4K à 60 Hz, Transfert de Données de 40 Gbit/s, Puissance de Sortie de 60 W)</t>
  </si>
  <si>
    <t>F4U109vf</t>
  </si>
  <si>
    <t>Belkin - Thunderbolt 3 Dock Plus - station d'accueil Thunderbolt 3 (2 ports DisplayPort - 3 ports USB-A 3.0 - 2 ports USB-C - 1 port Gigabit Ethernet - 1 port audio)</t>
  </si>
  <si>
    <t>F4U097vf</t>
  </si>
  <si>
    <t>Belkin - Thunderbolt 3 Dock Pro - station d'accueil Thunderbolt 3 (2 ports Thunderbolt 3 - 1 port USB-C - 1xGigabit Ethernet - 4 USB 3.0 - 1 DisplayPort - lecteur carte SD - port audio / micro stéréo)</t>
  </si>
  <si>
    <t>INC006vfSGY</t>
  </si>
  <si>
    <t>Belkin - Thunderbolt 4 Dock Pro - 90W (2 ports Thunderbolt 4 - 1 port USB-C - 1 Gigabit Ethernet - 2 USB-A 3.1- 2 USB-A 2.0 - 2 HDMI - lecteur carte SD - 1 port audio / micro stéréo)</t>
  </si>
  <si>
    <t>INC007VFBK</t>
  </si>
  <si>
    <t>Belkin - Station d'accueil USB-C - DisplayLink - Jusqu'à 3 écrans 4K - 85W - (2 ports USB-C - 1 Gigabit Ethernet - 5 ports USB-A 3.0 - 3 HDMI ou 2 Displayport - 1 port audio - 1 port micro stéréo)</t>
  </si>
  <si>
    <t>INC002vfBK</t>
  </si>
  <si>
    <t>Belkin - Station d’accueil USB-C - DisplayLink - Jusqu'à 2 écrans 1080p 60 Hz - (1x USB-C PD avec Pass-Through 85 W - 3x USB-A - 2 ports HDMI - 1x Gigabit Ethernet - 1 entrée / sortie audio)</t>
  </si>
  <si>
    <t>Belkin - Station d’accueil USB-C - DisplayLink - Jusqu'à 2 écrans 1080p 60Hz - (1x USB-C PD avec Pass-Through 85W - 3x USB-A - 2 ports HDMI - 1x Gigabit Ethernet - 1 entrée / sortie audio)</t>
  </si>
  <si>
    <t>K34009EU</t>
  </si>
  <si>
    <t>Kensington - Station d’accueil SD5600T Thunderbolt 3 USB-C avec 2 sorties 4K alimentation 100W - Win/Mac</t>
  </si>
  <si>
    <t>HD156-GL</t>
  </si>
  <si>
    <t>Hyper - HyperDrive station d'accueil multi-écrans 4K hub USB-C 12 en 3 -  1xUSB-C pass through 100 W - 2xUSB-C 3.1 Gen 2 - 1xUSB-A 3.1 Gen 2 - 2xUSB-A 3.0 - 1xGigabit Ethernet - 1xlecteur de carte SD et micro SD - 3x HDMI/DisplayPort 4K 60 Hz - Gris sidéral</t>
  </si>
  <si>
    <t>Hyper - HyperDrive station d'accueil multi-écrans 4K hub USB-C 12 en 3 -  1xUSB-C pass through 100W - 2xUSB-C 3.1 Gen 2 - 1xUSB-A 3.1 Gen 2 - 2xUSB-A 3.0 - 1xGigabit Ethernet - 1xlecteur de carte SD et micro SD - 3x HDMI/DisplayPort 4K 60Hz - Gris sidéral</t>
  </si>
  <si>
    <t>HDTB4D-EU</t>
  </si>
  <si>
    <t>Hyper - HyperDrive station d'accueil Thunderbolt 4 - 1xThunderbolt 4 USB-C Upstream pass through 96 W - 2xThunderbolt 4 - 1x2,5Gbps Ethernet - 4x USB-A 3.1 Gen 2 - 1xlecteur de carte SD UHS-II 300Mb/s - 1xaudio Jack 3.5mm - 1xHDMI 8K 30 Hz - Gris sidéral</t>
  </si>
  <si>
    <t>Hyper - HyperDrive station d'accueil Thunderbolt 4 - 1xThunderbolt 4 USB-C Upstream pass through 96W - 2xThunderbolt 4 - 1x2,5Gbps Ethernet - 4x USB-A 3.1 Gen 2 - 1xlecteur de carte SD UHS-II 300Mb/s - 1xaudio Jack 3.5mm - 1xHDMI 8K 30Hz - Gris sidéral</t>
  </si>
  <si>
    <t>DOCK570EUZ</t>
  </si>
  <si>
    <t>Targus - Station d'accueil USB-C DisplayLink - 1xUSB-C 3.1 Gen 1 Upstream - 1xUSB-C 3.1 Gen 1 - 4xUSB-A 3.0 - 1xaudio Jack 3.5mm - 4x HDMI/DisplayPort 4K 60Hz - Écran multiple pour Mac M1, M2 et Intel - Noir et gris</t>
  </si>
  <si>
    <t>ST-UCT4DM</t>
  </si>
  <si>
    <t>Satechi - Station d'accueil Thunderbolt 4 - Gris sidéral</t>
  </si>
  <si>
    <t>ST-D4KTM-EU</t>
  </si>
  <si>
    <t>Satechi - Station d'accueil USB-C DisplayLink - Jusqu'à 3 écrans 4K 60 Hz - 1xUSB-C 3.1 Upstream pass through 100 W - 1xUSB-C 3.0 - 1xUSB-A 3.1 - 2xUSB-A 3.0 - 1xaudio Jack 3,5mm - 1xGigabit Ethernet - 2xHDMI/Display Port 4K 60 Hz - 1 -HDMI 4K 60 Hz - Gris sidéral</t>
  </si>
  <si>
    <t>ST-T4SHM-EU</t>
  </si>
  <si>
    <t>Protections</t>
  </si>
  <si>
    <t>Étuis - Coques - Folios - Housses - Protections d'écran - Filtres de confidentialité</t>
  </si>
  <si>
    <t>MM6H3ZM/A</t>
  </si>
  <si>
    <t>Apple Smart Folio pour iPad mini (6e gén.) - Blanc (existe aussi en coloris noir, lavande anglaise, orange éléctrique et cerise noire)</t>
  </si>
  <si>
    <t>MX4U2ZM/A</t>
  </si>
  <si>
    <t>Apple Smart Cover pour iPad (7,8 et 9e gén., iPad Air 3e gén. et Pro 10,5") - noir (existe aussi en coloris lavande anglaise)</t>
  </si>
  <si>
    <t>MQDQ3ZM/A</t>
  </si>
  <si>
    <t>Apple Smart Folio pour iPad (10e gén.) - Blanc (existe aussi en coloris bleu ciel, pastèque et limonade)</t>
  </si>
  <si>
    <t>MH0A3ZM/A</t>
  </si>
  <si>
    <t>Apple Smart Folio pour iPad Air 10,9 (4 et 5e gén.) - Blanc (existe aussi en coloris noir, lavande anglaise, bleu marine, orange éléctrique et cerise noir)</t>
  </si>
  <si>
    <t>MJMA3ZM/A</t>
  </si>
  <si>
    <t>Apple Smart Folio pour iPad Pro 11" (1,2,3 et 4e gén.) - Blanc  (existe aussi en coloris noir, lavande anglaise et bleu marine)</t>
  </si>
  <si>
    <t>MJMH3ZM/A</t>
  </si>
  <si>
    <t>Apple Smart Folio pour iPad Pro 12,9" (3,4,5 et 6e gén.) - Blanc  (existe aussi en coloris noir, lavande anglaise et bleu marine)</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</si>
  <si>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</si>
  <si>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</si>
  <si>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</si>
  <si>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</si>
  <si>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</si>
  <si>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</si>
  <si>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</si>
  <si>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</si>
  <si>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</si>
  <si>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053002</t>
  </si>
  <si>
    <t>Mobilis coque renforcée en TPU Protech pour Tab iPad 2019 10.2 '' - Trépied - Patte de saisie (ergonomique) - Porte-stylet - 1 Bandoulière incluse - Couleur noire</t>
  </si>
  <si>
    <t>MOBILIS</t>
  </si>
  <si>
    <t>048026</t>
  </si>
  <si>
    <t>Mobilis étui Folio Origine pour iPad Mini 5 (2019) / Mini 4 - Coque rigide noire - Accès à tous les ports, caractéristiques et fonctions - Fermeture aimantée -2 positions utilisation mode visionnage et clavier - Imitation cuir</t>
  </si>
  <si>
    <t>048027</t>
  </si>
  <si>
    <t>Mobilis Coque de protection folio Origine pour iPad 10.2'' (7,8 et 9ème gén) - Fermeture aimantée - 2 positions : mode visionnage et mode clavier - Imitation cuir - Noir</t>
  </si>
  <si>
    <t>Mobilis étui Folio Origine pour iPad 2019 10.2 '' - Coque rigide noire - Accès à tous les ports, fonctionnalités et fonctions - Fermeture aimantée - 2 positions utilisation mode visionnage et clavier - Imitation cuir</t>
  </si>
  <si>
    <t>048043</t>
  </si>
  <si>
    <t>Mobilis Coque de protection folio Origine pour iPad Air 10,9'' (4 et 5ème gén) - Fermeture aimantée - 2 positions : mode visionnage et mode  clavier -  Imitation cuir - Noir</t>
  </si>
  <si>
    <t>Mobilis étui Folio Origine pour iPad Air 4 10,9 '' 2020 - Coque rigide noire - Accès à tous les ports, fonctionnalités et fonctions - Fermeture aimantée - 2 positions utilisation mode visionnage et clavier -  Simili cuir</t>
  </si>
  <si>
    <t>048044</t>
  </si>
  <si>
    <t>Mobilis Coque de protection folio Origine pour iPad Air 10,9'' (4 et 5ème gén) - Fermeture aimantée - 2 positions : mode visionnage et mode  clavier -  Imitation cuir - Rouge</t>
  </si>
  <si>
    <t>Mobilis étui Folio Origine pour iPad Air 10,9 '' 2020 - Coque rigide rouge - Accès à tous les ports, fonctionnalités et fonctions - Fermeture aimantée - Simili cuir</t>
  </si>
  <si>
    <t>060001</t>
  </si>
  <si>
    <t>Mobilis Coque de protection folio EDGE pour iPad 10.2'' (7,8 et 9ème gén) - Coins renforcés - Fermeture aimantée - Porte stylet - Coque transparente et folio noir</t>
  </si>
  <si>
    <t xml:space="preserve">Mobilis étui folio (rabat noir et dos transparent) avec coins renforcés et porte-stylet pour iPad 2019 10.2 '' - Bumpers à chaque coins - Accès à tous les ports, fonctionnalités et fonctions - </t>
  </si>
  <si>
    <t>060006</t>
  </si>
  <si>
    <t xml:space="preserve">Mobilis étui folio (rabat noir et dos transparent) avec coins renforcés et porte-stylet pour iPad Air 4 2020 10.9 '' - Accès à tous les ports, fonctionnalités et fonctions - </t>
  </si>
  <si>
    <t>029020</t>
  </si>
  <si>
    <t>Mobilis Coque de protection folio case C2 pour iPad 10,2 (7,8 et 9ème gén) - 2 positions : mode clavier et mode visionage - Fermeture par sangle élastique - Porte-stylet - Finition cuir - Noir</t>
  </si>
  <si>
    <t>Mobilis coque folio noir C2 pour iPad 10,2 2019 - 2 positions: mode clavier et mode visionage - Sangle élastique - Porte-stylet - Finition cuir</t>
  </si>
  <si>
    <t>029025</t>
  </si>
  <si>
    <t>Mobilis Coque de protection folio case C2 pour iPad Air 10,9" (4 et 5ème gén) - 2 positions : mode clavier et mode visionage - Fermeture par sangle élastique - Porte-stylet - Finition cuir - Noir</t>
  </si>
  <si>
    <t>Mobilis coque folio noir C2 pour iPad Air 10,9 2020 - 2 positions: mode clavier et mode visionage - Sangle élastique - Porte-stylet - Finition cuir</t>
  </si>
  <si>
    <t>029026</t>
  </si>
  <si>
    <t>Mobilis Coque de protection folio case C2 pour iPad Pro 12,9" (4,5 et 6ème gén) - 2 positions : mode clavier et mode visionage - Fermeture par sangle élastique - Porte-stylet - Finition cuir - Noir</t>
  </si>
  <si>
    <t>Mobilis coque folio noir C2 pour iPad Pro 12,9 2020 - 2 positions: mode clavier et mode visionage - Sangle élastique - Porte-stylet - Finition cuir</t>
  </si>
  <si>
    <t>048033</t>
  </si>
  <si>
    <t>Mobilis Coque de protection folio clavier Origine pour iPad 10.2" (7,8 et 9ème gén) - Avec clavier Bluetooth français - Fermeture aimantée - Imitation cuir - Noir</t>
  </si>
  <si>
    <t>Mobilis étui Origine Folio pour iPad 2019 10.2"'avec clavier Bluetooth français - Coque rigide noire - Accès à tous les ports, caractéristiques et fonctions - Fermeture aimantée - Simili cuir</t>
  </si>
  <si>
    <t>029029</t>
  </si>
  <si>
    <t>Mobilis Coque de protection folio clavier et touchpad pour iPad 10,2" (7,8 et 9ème gén) - Avec clavier français et touchpad Bluetooth détachable - Fermeture par languette magnétique - Emplacement pour stylet - Noir</t>
  </si>
  <si>
    <t>048025</t>
  </si>
  <si>
    <t>Mobilis Coque de protection folio clavier Origine universelle pour tablette de 9 à 11" - Avec clavier Bluetooth français - Fermeture aimantée - Imitation cuir - Noir</t>
  </si>
  <si>
    <t>Mobilis étui Origine Folio Universel pour Tablette 10,2" iPad Air 10,9". iPad Pro 11 ''(5e gén) avec clavier Bluetooth Français - Coque rigide noire - Accès à tous les ports, fonctionnalités et fonctions - Fermeture aimantée - Simili cuir</t>
  </si>
  <si>
    <t>010173</t>
  </si>
  <si>
    <t>Mobilis coque de protection T-Series pour iPad Pro 12,9 '' (4 et 5ème gén) - Conception fine - Noir</t>
  </si>
  <si>
    <t>Mobilis coque Jelly pour iPad Pro 12,9 '' - Couleur noire - Accès à tous les ports et fonctions - Bulk no pack</t>
  </si>
  <si>
    <t>044003</t>
  </si>
  <si>
    <t>Mobilis Support mural U.FIX universel pour smartphone et tablette - SecureLock inclus - 2 adhésifs 3M® VHB de rechange inclus</t>
  </si>
  <si>
    <t>Mobilis support mural universel pour smartphone / tablette - SecureLock inclus - 2 adhésifs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</si>
  <si>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</si>
  <si>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</si>
  <si>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</si>
  <si>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</si>
  <si>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</si>
  <si>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</si>
  <si>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</si>
  <si>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</si>
  <si>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</si>
  <si>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MW-480003P</t>
  </si>
  <si>
    <t>MW - Coque de protection transparente pour Macbook Air 13" M2 - Sans packaging</t>
  </si>
  <si>
    <t>MW-480012</t>
  </si>
  <si>
    <t>MW - Coque de protection transparente pour Macbook Air 15" M2</t>
  </si>
  <si>
    <t>MW-480001P</t>
  </si>
  <si>
    <t>MW - Coque de protection transparente pour Macbook Pro 13" M1 et M2 - Sans packaging</t>
  </si>
  <si>
    <t>MW-480004P</t>
  </si>
  <si>
    <t>MW - Coque de protection transparente pour Macbook Pro 14" M1 et M2 - Sans packaging</t>
  </si>
  <si>
    <t>MW-480011P</t>
  </si>
  <si>
    <t>MW - Coque de protection transparente pour Macbook Pro 16" M1 et M2 - Sans packaging</t>
  </si>
  <si>
    <t>INMB200679-CLR</t>
  </si>
  <si>
    <t>Incase Hardshell coque de protection transparente pour MacBook Pro 16“ 2019</t>
  </si>
  <si>
    <t>INCASE</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</si>
  <si>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</si>
  <si>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</si>
  <si>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</si>
  <si>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</si>
  <si>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</si>
  <si>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</si>
  <si>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</si>
  <si>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</si>
  <si>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</si>
  <si>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</si>
  <si>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</si>
  <si>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</si>
  <si>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</si>
  <si>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MW-410136</t>
  </si>
  <si>
    <t>MW Housse de protection à mémoire de forme pour MacBook Pro 16" - Noir</t>
  </si>
  <si>
    <t>MW-410069</t>
  </si>
  <si>
    <t>MW Housse de protection pour MacBook Air/Pro 13" - Gris foncé</t>
  </si>
  <si>
    <t>MW-410130</t>
  </si>
  <si>
    <t>MW Housse de protection pour MacBook Pro 14" - Gris foncé</t>
  </si>
  <si>
    <t>MW-410139</t>
  </si>
  <si>
    <t>MW BASICS ²LIFE - Housse de protection à 99% en matériaux recyclés pour MacBook Air et Pro 13" - Noir</t>
  </si>
  <si>
    <t>MW-410140</t>
  </si>
  <si>
    <t>MW BASICS ²LIFE - Housse de protection à 99% en matériaux recyclés pour MacBook Air et Pro 13" - Gris</t>
  </si>
  <si>
    <t>MW-410161</t>
  </si>
  <si>
    <t>MW BASICS ²LIFE - Housse de protection à 99% en matériaux recyclés pour MacBook Air 15" - Noir</t>
  </si>
  <si>
    <t>MW-410162</t>
  </si>
  <si>
    <t>MW BASICS ²LIFE - Housse de protection à 99% en matériaux recyclés pour MacBook Air 15" - Bleu marine</t>
  </si>
  <si>
    <t>MW-410141</t>
  </si>
  <si>
    <t>MW BASICS ²LIFE - Housse de protection à 99% en matériaux recyclés pour MacBook Pro 14" - Noir</t>
  </si>
  <si>
    <t>MW-410142</t>
  </si>
  <si>
    <t>MW BASICS ²LIFE - Housse de protection à 99% en matériaux recyclés pour MacBook Pro 16" - Noir</t>
  </si>
  <si>
    <t>BFC1011</t>
  </si>
  <si>
    <t>Tucano COLORE - Housse en plastique recyclé pour iPad jusqu'à 11" - Noir</t>
  </si>
  <si>
    <t>99MO085018</t>
  </si>
  <si>
    <t>Moshi Umbra protection d'écran avec filtre de confidentialité pour MacBook Pro 16"</t>
  </si>
  <si>
    <t>99MO040913</t>
  </si>
  <si>
    <t>Moshi protection d'écran iVisor XT pour MacBook Pro/Air 13" (2020 - USB-C), gande clarté et netteté, installation facile 100% sans bulles, lavable et réutilisable.</t>
  </si>
  <si>
    <t>99MO071909</t>
  </si>
  <si>
    <t>Moshi iGlaze coque de protection transparente pour pour MacBook Air 13" USB-C (2018 &amp; 2020)</t>
  </si>
  <si>
    <t>99MO124901</t>
  </si>
  <si>
    <t>Moshi iGlaze coque de protection transparente pour MacBook Pro 16" Touch Bar (2019)</t>
  </si>
  <si>
    <t>MW-300047-P</t>
  </si>
  <si>
    <t>MW Folio Slim rouge coque arrière transparente - pour iPad 10,2"</t>
  </si>
  <si>
    <t>MW-300049-P</t>
  </si>
  <si>
    <t>MW Folio Slim noire coque arrière transparente - pour iPad 10,2"</t>
  </si>
  <si>
    <t>MW-300060</t>
  </si>
  <si>
    <t>MW Folio Slim noire coque arrière transparente - pour iPad Air 10,9" (4 et 5ème gén.)</t>
  </si>
  <si>
    <t>MW-300072</t>
  </si>
  <si>
    <t>MW Folio Slim noire coque arrière transparente - pour iPad 10,9" (10ème gén.)</t>
  </si>
  <si>
    <t>MW-200150</t>
  </si>
  <si>
    <t>MW protection d'écran verre trempé pour iPad mini 8,3“ (6ème gén.)</t>
  </si>
  <si>
    <t>MW-200118</t>
  </si>
  <si>
    <t>MW protection d'écran verre trempé pour iPad 10,2" (7,8 et 9ème gén.)</t>
  </si>
  <si>
    <t>MW-200178D</t>
  </si>
  <si>
    <t>MW protection d'écran verre trempé pour iPad 10,9" (10ème gén.)</t>
  </si>
  <si>
    <t>MW-200178</t>
  </si>
  <si>
    <t>MW-200142</t>
  </si>
  <si>
    <t>MW protection d'écran iPad Air (4 et 5 ème gén.) et iPad Pro 11 (1,2,3 et 4ème gén)</t>
  </si>
  <si>
    <t>MW-200063-P</t>
  </si>
  <si>
    <t>MW protection d'écran verre trempé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</si>
  <si>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</si>
  <si>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</si>
  <si>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</si>
  <si>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</si>
  <si>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</si>
  <si>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</si>
  <si>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</si>
  <si>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</si>
  <si>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</si>
  <si>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</si>
  <si>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</si>
  <si>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 8 et 9ème génération)  - Noire crystale</t>
  </si>
  <si>
    <t>Otterbox REACT coque antichoc ultra fine pour iPad 10,2“ (7ème et 8ème génération)  - Noire crystale</t>
  </si>
  <si>
    <t>77-81229</t>
  </si>
  <si>
    <t>OtterBox DEFENDER coque antichoc avec protection écran intégrée pour iPad Air 4e generation</t>
  </si>
  <si>
    <t>77-92191</t>
  </si>
  <si>
    <t>OtterBox React Folio avec porte stylet pour iPad 10th gen - Noir - Version eco sans emballage</t>
  </si>
  <si>
    <t>77-92188</t>
  </si>
  <si>
    <t>OtterBox React Folio avec porte stylet pour iPad 10th gen - Noir</t>
  </si>
  <si>
    <t>77-92192</t>
  </si>
  <si>
    <t>OtterBox React Folio avec porte stylet pour iPad 10th gen - Bleu - Version eco sans emballage</t>
  </si>
  <si>
    <t>77-92189</t>
  </si>
  <si>
    <t>OtterBox React Folio avec porte stylet pour iPad 10th gen - Bleu</t>
  </si>
  <si>
    <t>77-92193</t>
  </si>
  <si>
    <t>OtterBox React Folio avec porte stylet pour iPad 10th gen - Rouge - Version eco sans emballage</t>
  </si>
  <si>
    <t>77-92190</t>
  </si>
  <si>
    <t>OtterBox React Folio avec porte stylet pour iPad 10th gen - Rouge</t>
  </si>
  <si>
    <t>ST-222-237JU-01</t>
  </si>
  <si>
    <t>STM étui Dux Plus Duo pour iPad 10,2" 8ème 7ème génération - Emplacement stylet Apple Pencil ou Logitech Crayon - Noir et face arrière transparente - Polybag</t>
  </si>
  <si>
    <t>STM</t>
  </si>
  <si>
    <t>ST-222-237JU-02</t>
  </si>
  <si>
    <t>STM étui Dux Plus Duo pour iPad 10,2" 8ème 7ème génération - Emplacement stylet Apple Pencil ou Logitech Crayon - Rouge et face arrière transparente - Polybag</t>
  </si>
  <si>
    <t>ST-222-387KX-01</t>
  </si>
  <si>
    <t>STM étui Dux Plus Duo pour iPad 10,9" (10 ème gén) - Emplacement stylet Apple Pencil ou Logitech Crayon - Noir et face arrière transparente</t>
  </si>
  <si>
    <t>ST-222-387KX-02</t>
  </si>
  <si>
    <t>STM étui Dux Plus Duo pour iPad 10,9" (10 ème gén) - Emplacement stylet Apple Pencil ou Logitech Crayon - Rouge et face arrière transparente</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</si>
  <si>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</si>
  <si>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</si>
  <si>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</si>
  <si>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</si>
  <si>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</si>
  <si>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</si>
  <si>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</si>
  <si>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</si>
  <si>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STM étui Dux Plus pour iPad 10,9" (10 ème gén.) - Emplacement Apple Pencil - Noir, gris et face arrière transparente</t>
  </si>
  <si>
    <t>UA-12191IB14040</t>
  </si>
  <si>
    <t>UAG Etui folio SCOUT iPad 10.2 Noir - polybag</t>
  </si>
  <si>
    <t>UAG</t>
  </si>
  <si>
    <t>UA-121616114040</t>
  </si>
  <si>
    <t>UAG Metropolis coque folio pour iPad mini (4 et 5ème gén) - Porte Stylet - Noir</t>
  </si>
  <si>
    <t>UAG coque folio Metropolis pour iPad mini 5ème 4ème génération - Emplacement pour Pencil - Noir</t>
  </si>
  <si>
    <t>UA-121916114040</t>
  </si>
  <si>
    <t>UAG Metropolis coque folio pour iPad 10,2" (7,8 et 9ème gén) - Porte Stylet - Noir</t>
  </si>
  <si>
    <t>UAG coque folio Metropolis pour iPad 10,2" - noire</t>
  </si>
  <si>
    <t>UA-121916119393</t>
  </si>
  <si>
    <t>UAG Metropolis coque folio pour iPad 10,2" (7,8 et 9ème gén) - Porte Stylet - Rouge</t>
  </si>
  <si>
    <t>UAG coque folio Metropolis pour iPad 10,2" - rouge</t>
  </si>
  <si>
    <t>UA-123396114040</t>
  </si>
  <si>
    <t>UAG Metropolis coque folio pour iPad 10,9" (10 ème gén) - Porte Stylet - Noir</t>
  </si>
  <si>
    <t>UA-123296114040</t>
  </si>
  <si>
    <t>UAG Metropolis coque folio pour iPad Air (4 et 5ème gén) et iPad Pro 11" (4 et 5ème gén) - Porte Stylet - Noir</t>
  </si>
  <si>
    <t>UA-122996119393</t>
  </si>
  <si>
    <t>UAG coque folio Metropolis pour iPad Pro 11" (2018 &amp; 2020) - rouge  - porte stylet Pencil</t>
  </si>
  <si>
    <t>UA-122946114040</t>
  </si>
  <si>
    <t>UAG Metropolis coque folio pour iPad Pro 12,9" (5 et 6ème gén) - Porte Stylet - Noir</t>
  </si>
  <si>
    <t>UAG coque folio Metropolis pour iPad Pro 12,9" 2021 (5e gén.) - noir - porte stylet Pencil</t>
  </si>
  <si>
    <t>UA-122946119393</t>
  </si>
  <si>
    <t>UAG coque folio Metropolis pour iPad Pro 12,9" (3e et 4e gén.) - rouge  - porte stylet Pencil</t>
  </si>
  <si>
    <t>UA-12339I114040</t>
  </si>
  <si>
    <t>UAG coque Folio Scout pour iPad 10,9 (10ème gén.) - Porte stylet Pencil - Noir</t>
  </si>
  <si>
    <t>ASM133MBP6GL</t>
  </si>
  <si>
    <t>TARGUS Filtre de confidentialité magnétique pour MacBook Pro 13.3 pouces (2016-2022) et MacBook Air 13.3 pouces (2018/2020)</t>
  </si>
  <si>
    <t>ASM136MBAGL</t>
  </si>
  <si>
    <t>TARGUS Filtre de confidentialité magnétique pour M2 MacBook Air 13.6 pouces (2022) M2</t>
  </si>
  <si>
    <t>ASM14MBPGL</t>
  </si>
  <si>
    <t>TARGUS Filtre de confidentialité magnétique pour MacBook Pro 14" M1 et M2</t>
  </si>
  <si>
    <t>ASM16MBPGL</t>
  </si>
  <si>
    <t>TARGUS Filtre de confidentialité magnétique pour MacBook Pro 16" M1 et M2</t>
  </si>
  <si>
    <t>Portdesigns YOSEMITE Eco - Pochette pour ordinateur portable 13 et 14" - Intérieur vert d'eau, extérieur gris</t>
  </si>
  <si>
    <t>PORTDESIGNS</t>
  </si>
  <si>
    <t>Portdesigns YOSEMITE Eco - Pochette pour ordinateur portable 13/14" - Intérieur vert d'eau, extérieur gris</t>
  </si>
  <si>
    <t>Portdesigns YOSEMITE Eco - Pochette pour ordinateur portable 15 et 16" - Intérieur vert d'eau, extérieur gris</t>
  </si>
  <si>
    <t>Portdesigns YOSEMITE Eco - Pochette pour ordinateur portable 15,6" - Intérieur vert d'eau, extérieur gris</t>
  </si>
  <si>
    <t xml:space="preserve">Logiciels </t>
  </si>
  <si>
    <t>Logiciels dématérialisés de virtualisation - Montage vidéo - Gestion de son - Administration à distance</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</si>
  <si>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</si>
  <si>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</si>
  <si>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</si>
  <si>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</si>
  <si>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</si>
  <si>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</si>
  <si>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</si>
  <si>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</si>
  <si>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</si>
  <si>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</si>
  <si>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</si>
  <si>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</si>
  <si>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</si>
  <si>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</si>
  <si>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</si>
  <si>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ESDPDA1YSUBEU</t>
  </si>
  <si>
    <t>Parallels Desktop pour Mac - Standard Edition - 1 licence - 1 an</t>
  </si>
  <si>
    <t>PARALLELS</t>
  </si>
  <si>
    <t>48213000-4</t>
  </si>
  <si>
    <t>IB01</t>
  </si>
  <si>
    <t>PDFM-AENTSUB-1Y-ML</t>
  </si>
  <si>
    <t>Parallels Desktop pour Mac - Business Edition - Première souscription académique - 1 utilisateur - 1 an</t>
  </si>
  <si>
    <t>Parallels Desktop pour Mac Business Edition - Première souscription académique - 1 utilisateur - 1 an</t>
  </si>
  <si>
    <t>PDFM-AENTSUB-3Y-ML</t>
  </si>
  <si>
    <t>Parallels Desktop pour Mac - Business Edition - Première souscription académique - 1 utilisateur - 3 ans</t>
  </si>
  <si>
    <t>PDFM-A-ENTSUB-REN-1Y-ML</t>
  </si>
  <si>
    <t>Parallels Desktop pour Mac - Business Edition - Renouvellement académique - 1 utilisateur - 1 an</t>
  </si>
  <si>
    <t>Parallels Desktop pour Mac Business Edition - Renouvellement académique - 1 utilisateur - 1 an</t>
  </si>
  <si>
    <t>PDFM-A-ENTSUB-REN-3Y-ML</t>
  </si>
  <si>
    <t>Parallels Desktop pour Mac - Business Edition - Renouvellement académique - 1 utilisateur - 3 ans - Renouvellement possible jusqu'à maximum 25 jours après la date d'expiration - Numéro de contrat nécessaire à la commande</t>
  </si>
  <si>
    <t>Jamf forfait JumpStart pour Jamf Pro iOS - Remote 4 h + 4 h en deux sessions (à commander avec ABT-JSIO-INT-4H+4H-W)</t>
  </si>
  <si>
    <t>JAMF</t>
  </si>
  <si>
    <t>72211000-7</t>
  </si>
  <si>
    <t>Jamf forfait JumpStart pour Jamf Pro iOS - Remote 4 h ( à commander avec ABT-JSIO-INT-4H-W)</t>
  </si>
  <si>
    <t>Jamf forfait JumpStart pour Jamf Pro macOS - 2 journées sur site ( à commander avec ABT-JSMO-INT-2J)</t>
  </si>
  <si>
    <t>Jamf forfait JumpStart pour Jamf Pro macOS &amp; iOS - 3 journées sur site ( à commander avec ABT-JSIM-INT-3J)</t>
  </si>
  <si>
    <t>Jamf forfait Jumpstart pour Jamf Pro macOS Remote 2+2+4h ( à commander avec ABT-JSMO-INT-2H+2H+4H-W)</t>
  </si>
  <si>
    <t>Jamf Pro macOS éducation - Licence annuelle par poste avec installation sur site (tranche 100 à 9999) - Nouveaux clients</t>
  </si>
  <si>
    <t>Jamf Pro iOS éducation - Licence annuelle par poste avec installation sur site (tranche 100 à 9999) - Nouveaux clients</t>
  </si>
  <si>
    <t>Jamf Pro tvOS éducation - Licence annuelle par poste avec installation sur site (tranche 100 à 9999) - Nouveaux clients</t>
  </si>
  <si>
    <t>Jamf Pro macOS éducation - Licence cloud annuelle par poste (tranche 100 à 9999) - Nouveaux clients</t>
  </si>
  <si>
    <t>Jamf Pro iOS éducation - Licence cloud annuelle par poste (tranche 100 à 9999) - Nouveaux clients</t>
  </si>
  <si>
    <t>Jamf Pro tvOS éducation - Licence cloud annuelle par poste (tranche 100 à 9999) - Nouveaux clients</t>
  </si>
  <si>
    <t>Jamf Pro macOS éducation - Renouvellement licence annuelle par poste avec installation sur site (tranche 100 à 9999)</t>
  </si>
  <si>
    <t>Jamf Pro iOS éducation - Renouvellement licence annuelle par poste avec installation sur site (tranche 100 à 9999)</t>
  </si>
  <si>
    <t>Jamf Pro tvOS éducation - Renouvellement licence annuelle par poste avec installation sur site (tranche 100 à 9999)</t>
  </si>
  <si>
    <t>Jamf Pro macOS éducation - Renouvellement licence cloud annuelle par poste (tranche 100 à 9999)</t>
  </si>
  <si>
    <t>Jamf Pro iOS éducation - Renouvellement licence cloud annuelle par poste (tranche 100 à 9999)</t>
  </si>
  <si>
    <t>Jamf Pro tvOS éducation - Renouvellement licence cloud annuelle par poste (tranche 100 à 9999)</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</si>
  <si>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</si>
  <si>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</si>
  <si>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</si>
  <si>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</si>
  <si>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</si>
  <si>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</si>
  <si>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</si>
  <si>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</si>
  <si>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Jamf Connect EDU tranche 1 à 9999</t>
  </si>
  <si>
    <t>Jamf Connect EDU 1 à 9999 - Renouvellement</t>
  </si>
  <si>
    <t>Jamf Connect for macOS configuration &amp; installation - Remote 4 h ( à commander avec ABT-JACO-EXT-4H-W)</t>
  </si>
  <si>
    <t>7768328-EDU</t>
  </si>
  <si>
    <t>Jamf Protect Education Licence macOS Education</t>
  </si>
  <si>
    <t>7768328-EDU-1</t>
  </si>
  <si>
    <t>Jamf Protect Education Renouvellement Licence macOS Education</t>
  </si>
  <si>
    <t>Périphériques de sortie</t>
  </si>
  <si>
    <t>Enceintes filaire - Enceintes sans fil - Écouteurs - Casques</t>
  </si>
  <si>
    <t>JBLGO3BLK</t>
  </si>
  <si>
    <t>JBL Go 3 noir (Bluetooth - fonction kit main libre - autonomie 5h - IP67 - USB-C)</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</si>
  <si>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</si>
  <si>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</si>
  <si>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</si>
  <si>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</si>
  <si>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</si>
  <si>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JBLT520BTBLK</t>
  </si>
  <si>
    <t>JBL Tune 520 BT - Casque sans fil - Bluetooth 5.3 - Supra auriculaire - Microphone intégré - Noir</t>
  </si>
  <si>
    <t>JBLT510BTBLKEU</t>
  </si>
  <si>
    <t>JBL casque Tune 510 BT sans fil noir (casque sans fil Bluetooth supra auriculaire - microphone intégré)</t>
  </si>
  <si>
    <t>JBLLIVE460NCBLK</t>
  </si>
  <si>
    <t>JBL casque sans fil 460NC noir - forme arceau supra auriculaire – prise jack 3,5mm – connecteur USB Type C- Garantie 2 ans</t>
  </si>
  <si>
    <t>JBLFLIP6BLK</t>
  </si>
  <si>
    <t>JBL Flip 6 - Enceinte sans fil Bluetooth - Étanche à l’eau et la poussière IP67 - 12 h d’autonomie</t>
  </si>
  <si>
    <t>Epos Micro-casque filaire duo prise jack 3,5 mm et USB-A, micro ultra anti-bruit, garantie 3 ans</t>
  </si>
  <si>
    <t>EPOS</t>
  </si>
  <si>
    <t xml:space="preserve">Epos Micro-casque duo Bluetooth, ANC, dongle USB Bluetooth, câble USB-C, câble jack </t>
  </si>
  <si>
    <t>981-001219</t>
  </si>
  <si>
    <t>Logitech Zone Vibe 100 - Casque-micro - Sans fil - Port de charge USB-C - Jusqu'à 20h d'autonomie - Blanc cassé</t>
  </si>
  <si>
    <t>981-001083</t>
  </si>
  <si>
    <t>Logitech G735 - Casque-micro - Sans fil - Port de charge USB-C - Jusqu'à 56h d'autonomie - Compatible avec Dolby Atmos - Blanc</t>
  </si>
  <si>
    <t>980-000814</t>
  </si>
  <si>
    <t>Logitech Kit enceintes 2.0 Z150 - noir</t>
  </si>
  <si>
    <t>980-000010</t>
  </si>
  <si>
    <t>Logitech Kit enceintes 2.0 S120 - noir</t>
  </si>
  <si>
    <t>980-001202</t>
  </si>
  <si>
    <t>Logitech Kit enceintes 2.1 Z333 - noir</t>
  </si>
  <si>
    <t>980-001054</t>
  </si>
  <si>
    <t>Logitech Kit enceintes 2.1 Z533 - noir</t>
  </si>
  <si>
    <t>981-000519</t>
  </si>
  <si>
    <t>Logitech casque microphone Headset stéréo H650e - filaire - Plug &amp; Play USB</t>
  </si>
  <si>
    <t>Protection réseau électrique</t>
  </si>
  <si>
    <t>Onduleurs - Prises parafoudre - Multiprises parafoudre</t>
  </si>
  <si>
    <t>PMH63VT-FR</t>
  </si>
  <si>
    <t xml:space="preserve">APC SurgeArrest multiprise 230 V parafoudre 6 prises </t>
  </si>
  <si>
    <t>APC</t>
  </si>
  <si>
    <t>BE325-FR</t>
  </si>
  <si>
    <t xml:space="preserve">APC onduleur Back-UPS ES 325VA / 185W - 4 connecteurs standard </t>
  </si>
  <si>
    <t>BK500EI</t>
  </si>
  <si>
    <t>APC onduleur Back-UPS CS 500VA - 300 W (nécessite un câble AP9870 par périphérique branché)</t>
  </si>
  <si>
    <t>AP9870</t>
  </si>
  <si>
    <t>APC câble alimentation IEC 320 C13 femelle &lt;--&gt; IEC 320 C14 male 2,4 m</t>
  </si>
  <si>
    <t>BX700UI</t>
  </si>
  <si>
    <t>Onduleur APC Back-UPS 700VA - Prises FR</t>
  </si>
  <si>
    <t>BX950MI-FR</t>
  </si>
  <si>
    <t>Onduleur APC Back-UPS 950VA - Prises FR</t>
  </si>
  <si>
    <t>BX1400U-FR</t>
  </si>
  <si>
    <t>Onduleur APC Back-UPS 1400VA - Prises FR</t>
  </si>
  <si>
    <t>BSV102ca</t>
  </si>
  <si>
    <t>Belkin prise parafoudre - 1 prise - Blanc et gris</t>
  </si>
  <si>
    <t>BSV400ca2M</t>
  </si>
  <si>
    <t>Belkin multiprise parafoudre - 4 prises - Blanc et gris</t>
  </si>
  <si>
    <t>BSV603ca2M</t>
  </si>
  <si>
    <t>Belkin multiprise parafoudre - 6 prises - Blanc et gris</t>
  </si>
  <si>
    <t>BSV103ca</t>
  </si>
  <si>
    <t>Belkin prise parafoudre - 1 prise + 2 ports USB-A - Blanc et gris</t>
  </si>
  <si>
    <t>BSV401ca2M</t>
  </si>
  <si>
    <t>Belkin multiprise parafoudre - 4 prises + 2 ports USB-A - Blanc et gris</t>
  </si>
  <si>
    <t>BSV804ca2M</t>
  </si>
  <si>
    <t>Belkin multiprise parafoudre - 8 prises + 2 ports USB-A - Blanc et gris</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</si>
  <si>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</si>
  <si>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</si>
  <si>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</si>
  <si>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</si>
  <si>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</si>
  <si>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</si>
  <si>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</si>
  <si>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</si>
  <si>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</si>
  <si>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</si>
  <si>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</si>
  <si>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K67822WW</t>
  </si>
  <si>
    <t>Kensington SafeStand à clé - Kit de sécurité pour Apple iMac</t>
  </si>
  <si>
    <t>K64453WW</t>
  </si>
  <si>
    <t>Kensington station de verrouillage 2.0 avec kit antivol MicroSaver 2.0 à clé (compatible tout portable de 12" à 16")</t>
  </si>
  <si>
    <t>MBALDG03</t>
  </si>
  <si>
    <t>MacLocks The Ledge - Adaptateur antivol pour MacBook Air 13“ M1 et Intel fin-2018 à fin-2020</t>
  </si>
  <si>
    <t>COMPULOCKS</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</si>
  <si>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</si>
  <si>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</si>
  <si>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</si>
  <si>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</si>
  <si>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</si>
  <si>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MacLocks The Ledge - Adaptateur antivol pour MacBook Air 13“ M2</t>
  </si>
  <si>
    <t>MBALDG04KL</t>
  </si>
  <si>
    <t>MacLocks The Ledge - Adaptateur antivol pour MacBook Air 13“ M2 + câble de sécurité à clé</t>
  </si>
  <si>
    <t>MBALDG04CL</t>
  </si>
  <si>
    <t>MacLocks The Ledge - Adaptateur antivol pour MacBook Air 13“ M2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</si>
  <si>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</si>
  <si>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</si>
  <si>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</si>
  <si>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</si>
  <si>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</si>
  <si>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</si>
  <si>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MBPRLDGTB01KL</t>
  </si>
  <si>
    <t>MacLocks The Ledge - Adaptateur antivol pour MacBook Pro 13" et 15" Touch Bar 4 port Thunderbolt + câble de sécurité à clé</t>
  </si>
  <si>
    <t>MBPRLDGTB01CL</t>
  </si>
  <si>
    <t>MacLocks The Ledge - Adaptateur antivol pour MacBook Pro 13" et 15" Touch Bar 4 port Thunderbolt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</si>
  <si>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</si>
  <si>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</si>
  <si>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</si>
  <si>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</si>
  <si>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</si>
  <si>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</si>
  <si>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</si>
  <si>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</si>
  <si>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</si>
  <si>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</si>
  <si>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</si>
  <si>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</si>
  <si>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</si>
  <si>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</si>
  <si>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</si>
  <si>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</si>
  <si>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MBPR14LDG01</t>
  </si>
  <si>
    <t>MacLocks The Ledge - Adaptateur antivol pour MacBook Pro 14" M1 2021</t>
  </si>
  <si>
    <t>MBPR14LDG01KL</t>
  </si>
  <si>
    <t>MacLocks The Ledge - Adaptateur antivol pour MacBook Pro 14" M1 2021 + câble de sécurité à clef</t>
  </si>
  <si>
    <t>MBPR14LDG01CL</t>
  </si>
  <si>
    <t>MacLocks The Ledge - Adaptateur antivol pour MacBook Pro 14" M1 2021 + câble de sécurité à code</t>
  </si>
  <si>
    <t>MBPR16LDG02</t>
  </si>
  <si>
    <t>MacLocks The Ledge - Adaptateur antivol pour MacBook Pro 16" M1 2021</t>
  </si>
  <si>
    <t>MBPR16LDG02KL</t>
  </si>
  <si>
    <t>MacLocks The Ledge - Adaptateur antivol pour MacBook Pro 16" M1 2021 + câble de sécurité à clef</t>
  </si>
  <si>
    <t>MBPR16LDG02CL</t>
  </si>
  <si>
    <t>MacLocks The Ledge - Adaptateur antivol pour MacBook Pro 16" M1 2021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</si>
  <si>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</si>
  <si>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</si>
  <si>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</si>
  <si>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</si>
  <si>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</si>
  <si>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</si>
  <si>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</si>
  <si>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</si>
  <si>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</si>
  <si>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</si>
  <si>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</si>
  <si>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</si>
  <si>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</si>
  <si>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</si>
  <si>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</si>
  <si>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</si>
  <si>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</si>
  <si>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</si>
  <si>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</si>
  <si>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</si>
  <si>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</si>
  <si>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</si>
  <si>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</si>
  <si>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</si>
  <si>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</si>
  <si>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</si>
  <si>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ST-ALTSS</t>
  </si>
  <si>
    <t>Satechi support en aluminium argent pour ordinateur portable</t>
  </si>
  <si>
    <t>ST-ALTSM</t>
  </si>
  <si>
    <t>Satechi support en aluminium gris sidéral pour ordinateur portable</t>
  </si>
  <si>
    <t>EDC001</t>
  </si>
  <si>
    <t>Belkin Tablet Stage - Support pour iPad 7" à 12,9" - Avec application de capture vidéo et de présentation Stage</t>
  </si>
  <si>
    <t>B2B118</t>
  </si>
  <si>
    <t>Belkin Portable Tablet Stage - Support pour iPad 7" à 12,9"</t>
  </si>
  <si>
    <t>12-1708</t>
  </si>
  <si>
    <t>Twelve South Curve - Socle de bureau - Noir mat</t>
  </si>
  <si>
    <t>TWELVE SOUTH</t>
  </si>
  <si>
    <t>TW-12-1708</t>
  </si>
  <si>
    <t>TWELVE</t>
  </si>
  <si>
    <t>12-1915</t>
  </si>
  <si>
    <t>Twelve South Curve - Socle de bureau - Blanc mat</t>
  </si>
  <si>
    <t>TW-12-1915</t>
  </si>
  <si>
    <t>CYGNETT</t>
  </si>
  <si>
    <t>Batteries externes</t>
  </si>
  <si>
    <t>78-80836</t>
  </si>
  <si>
    <t>OtterBox Power Bank Bundle 5 000 MAh USB A &amp; Micro USB 10W livrée avec cable 3 en 1 (micro, USB C, Lightning) - 1m - Blanc</t>
  </si>
  <si>
    <t>78-80690</t>
  </si>
  <si>
    <t>OtterBox Power Bank fast charge 10 000 Mah - 1 x USB-C 18W, 1 x USB A 18W - Noir</t>
  </si>
  <si>
    <t>78-80691</t>
  </si>
  <si>
    <t>OtterBox Power Bank fast charge 15 000 Mah - USB-C 18W + USB-A 18W</t>
  </si>
  <si>
    <t>XB402</t>
  </si>
  <si>
    <t>Xtorm Titan Pro - Batterie externe 24.000 mAh - Jusqu'à 150W - 1 x USB-C PD 3.1 140W, 1 x USB-C PD 60W, 2 x USB-C PD 30W - Noir</t>
  </si>
  <si>
    <t>XTORM</t>
  </si>
  <si>
    <t>XB401</t>
  </si>
  <si>
    <t>Xtorm Titan - Batterie externe 24.000 mAh - Jusqu'à 90W - 1 x USB-C PD 60W, 2 x USB-C PD 30W - Noir</t>
  </si>
  <si>
    <t>CY4131PBCHE</t>
  </si>
  <si>
    <t>Cygnett ChargeUp Pro - Batterie externe 25.000 mAh - Jusqu'à 118W - 1 x USB-C 100W, 1 x USB-C 18W - 1 x USB-A 18W - Noir</t>
  </si>
  <si>
    <t>Bagagerie</t>
  </si>
  <si>
    <t>Sacs à dos - Sacoches - Pochettes pour accessoires</t>
  </si>
  <si>
    <t>BKTED11-BK</t>
  </si>
  <si>
    <t>Tucano TED 11" - Sac à dos en plastique recyclé pour iPad jusqu'à 11" - Intérieur corail, extérieur noir</t>
  </si>
  <si>
    <t>BKMESH11-BK</t>
  </si>
  <si>
    <t>Tucano MESH 11" - Sac à dos en plastique recyclé pour iPad jusqu'à 11" - Intérieur noir, extérieur noir</t>
  </si>
  <si>
    <t>BKMESH1314-BK</t>
  </si>
  <si>
    <t>Tucano MESH 14" - Sac à dos en plastique recyclé pour iPad Pro 12,9, Mac 13" et 14" - Intérieur noir, extérieur noir</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</si>
  <si>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</si>
  <si>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</si>
  <si>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</si>
  <si>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</si>
  <si>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</si>
  <si>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</si>
  <si>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</si>
  <si>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</si>
  <si>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BPLA15D-BK</t>
  </si>
  <si>
    <t>Tucano PLAYER 15" - Sacoche en plastique recyclé pour Mac 15" et 16" - Double compartiment - Intérieur gris foncé, extérieur noir</t>
  </si>
  <si>
    <t>BSMART15D-BK</t>
  </si>
  <si>
    <t>Tucano SMART 15" DOUBLE - Sacoche en plastique recyclé pour Mac 15" et 16" - Double compartiment - Intérieur noir, extérieur gris foncé</t>
  </si>
  <si>
    <t>BSMART15-BK</t>
  </si>
  <si>
    <t>Tucano SMART 15" - Sacoche en plastique recyclé pour Mac 15" et 16" - Intérieur noir, extérieur gris foncé</t>
  </si>
  <si>
    <t>BSMART15-VM</t>
  </si>
  <si>
    <t>Tucano SMART 15" - Sacoche en plastique recyclé pour Mac 15" et 16" - Intérieur marron, extérieur kaki</t>
  </si>
  <si>
    <t>BSMART15-B</t>
  </si>
  <si>
    <t>Tucano SMART 15" - Sacoche en plastique recyclé pour Mac 15" et 16" - Intérieur bleu ciel, extérieur bleu foncé</t>
  </si>
  <si>
    <t>BSTOP1314-BK</t>
  </si>
  <si>
    <t>Tucano STOP 13" et 14" - Sacoche en plastique recyclé pour Mac 13" et 14" - Intérieur noir, extérieur gris foncé</t>
  </si>
  <si>
    <t>BSTOP1112-BK</t>
  </si>
  <si>
    <t>Tucano STOP 11" et 13" - Sacoche en plastique recyclé pour iPad Pro 12,9 et Mac Book Air 13" - Intérieur noir, extérieur gris foncé</t>
  </si>
  <si>
    <t>BSTOP1516-BK</t>
  </si>
  <si>
    <t>Tucano STOP 15" - Sacoche en plastique recyclé pour Mac 15" et 16" - Intérieur noir, extérieur gris foncé</t>
  </si>
  <si>
    <t>BAGOWE-BK</t>
  </si>
  <si>
    <t>Tucano AGO Weekender - Sac de voyage en plastique recyclé pour Mac jusqu'à 16" - Intérieur bleu pastel,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</si>
  <si>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</si>
  <si>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</si>
  <si>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</si>
  <si>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</si>
  <si>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</si>
  <si>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</si>
  <si>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</si>
  <si>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</si>
  <si>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</si>
  <si>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</si>
  <si>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</si>
  <si>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</si>
  <si>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r>
      <t xml:space="preserve">Portdesigns YOSEMITE Eco - Sacoche pour ordinateur portable 13/14" - </t>
    </r>
    <r>
      <rPr>
        <sz val="10"/>
        <color theme="1"/>
        <rFont val="Calibri (Corps)"/>
      </rPr>
      <t>62</t>
    </r>
    <r>
      <rPr>
        <sz val="10"/>
        <color theme="1"/>
        <rFont val="Calibri"/>
        <family val="2"/>
        <scheme val="minor"/>
      </rPr>
      <t>% en matériaux recyclés - Intérieur vert d'eau, extérieur gris</t>
    </r>
  </si>
  <si>
    <t>Portdesigns YOSEMITE Eco - Sacoche pour ordinateur portable 13/14" - 62% en matériaux recyclés - Intérieur vert d'eau, extérieur gris</t>
  </si>
  <si>
    <r>
      <t xml:space="preserve">Portdesigns YOSEMITE Eco - Sacoche pour ordinateur portable YOSEMITE Eco 16" - </t>
    </r>
    <r>
      <rPr>
        <sz val="10"/>
        <color theme="1"/>
        <rFont val="Calibri (Corps)"/>
      </rPr>
      <t>62</t>
    </r>
    <r>
      <rPr>
        <sz val="10"/>
        <color theme="1"/>
        <rFont val="Calibri"/>
        <family val="2"/>
        <scheme val="minor"/>
      </rPr>
      <t>% en matériaux recyclés - Intérieur vert d'eau, extérieur gris</t>
    </r>
  </si>
  <si>
    <t>Portdesigns YOSEMITE Eco - Sacoche pour ordinateur portable YOSEMITE Eco 16" - 62% en matériaux recyclés - Intérieur vert d'eau, extérieur gris</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</si>
  <si>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</si>
  <si>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</si>
  <si>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</si>
  <si>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SAUSALITO - Sac à dos pour ordinateur portable 16" - Intérieur bleu, extérieur noir</t>
  </si>
  <si>
    <t>Portdesigns CHICAGO EVO - Sac à dos pour ordinateur portable 13/16" - Intérieur bleu, extérieur noir</t>
  </si>
  <si>
    <t>Portdesigns CHICAGO EVO - Trolley &amp; sac à dos pour ordinateur portable 16" - Intérieur bleu, extérieur noir</t>
  </si>
  <si>
    <t>Apple TV</t>
  </si>
  <si>
    <t>MN873FD/A</t>
  </si>
  <si>
    <t>Apple TV 4K - Wi‑Fi - 64 Go</t>
  </si>
  <si>
    <t>MN893FD/A</t>
  </si>
  <si>
    <t>Apple TV 4K - Wi‑Fi + Ethernet - 128 Go</t>
  </si>
  <si>
    <t>MNC73Z/A</t>
  </si>
  <si>
    <t>Apple Siri Remote (3ème gén.) - Pour Apple TV 4K et HD</t>
  </si>
  <si>
    <t>Composants internes</t>
  </si>
  <si>
    <t>Module de mémoire vive (RAM)</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</si>
  <si>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</si>
  <si>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</si>
  <si>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</si>
  <si>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</si>
  <si>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</si>
  <si>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</si>
  <si>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</si>
  <si>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</si>
  <si>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</si>
  <si>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</si>
  <si>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</si>
  <si>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</si>
  <si>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</si>
  <si>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</si>
  <si>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</si>
  <si>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</si>
  <si>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</si>
  <si>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</si>
  <si>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</si>
  <si>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</si>
  <si>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Solutions de paiements dématérialisés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</si>
  <si>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</si>
  <si>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</si>
  <si>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</si>
  <si>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</si>
  <si>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</si>
  <si>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</si>
  <si>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</si>
  <si>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</si>
  <si>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</si>
  <si>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</si>
  <si>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</si>
  <si>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</si>
  <si>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</si>
  <si>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</si>
  <si>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</si>
  <si>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</si>
  <si>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KCC-32</t>
  </si>
  <si>
    <t>Arhtim - Gamme Kallysta - Kit de 32 câbles USB-C - option obligatoire depuis les iPad 10.9'' (10ème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</si>
  <si>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</si>
  <si>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</si>
  <si>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</si>
  <si>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</si>
  <si>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</si>
  <si>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</si>
  <si>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</si>
  <si>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</si>
  <si>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</si>
  <si>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</si>
  <si>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</si>
  <si>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</si>
  <si>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</si>
  <si>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</si>
  <si>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</si>
  <si>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</si>
  <si>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</si>
  <si>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</si>
  <si>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</si>
  <si>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</si>
  <si>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</si>
  <si>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</si>
  <si>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KCC-48</t>
  </si>
  <si>
    <t>Arhtim - Gamme Kallysta - Kit de 48 câbles USB-C - option obligatoire depuis les iPad 10.9'' (10ème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</si>
  <si>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</si>
  <si>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</si>
  <si>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</si>
  <si>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</si>
  <si>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</si>
  <si>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</si>
  <si>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</si>
  <si>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</si>
  <si>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</si>
  <si>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</si>
  <si>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</si>
  <si>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</si>
  <si>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KCC-64</t>
  </si>
  <si>
    <t>Arhtim - Gamme Kallysta - Kit de 64 câbles USB-C - option obligatoire depuis les iPad 10.9'' (10ème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</si>
  <si>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</si>
  <si>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</si>
  <si>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</si>
  <si>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</si>
  <si>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</si>
  <si>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</si>
  <si>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</si>
  <si>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</si>
  <si>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</si>
  <si>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KCC-90</t>
  </si>
  <si>
    <t>Arhtim - Gamme Kallysta - Kit de 90 câbles USB-C - option obligatoire depuis les iPad 10.9'' (10ème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</si>
  <si>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</si>
  <si>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</si>
  <si>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</si>
  <si>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</si>
  <si>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</si>
  <si>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</si>
  <si>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</si>
  <si>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</si>
  <si>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</si>
  <si>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</si>
  <si>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</si>
  <si>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</si>
  <si>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</si>
  <si>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</si>
  <si>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KCC-120</t>
  </si>
  <si>
    <t>Arhtim - Gamme Kallysta - Kit de 120 câbles USB-C - option obligatoire depuis les iPad 10.9'' (10ème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</si>
  <si>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</si>
  <si>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</si>
  <si>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</si>
  <si>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</si>
  <si>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</si>
  <si>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</si>
  <si>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</si>
  <si>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</si>
  <si>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</si>
  <si>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</si>
  <si>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</si>
  <si>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</si>
  <si>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</si>
  <si>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</si>
  <si>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</si>
  <si>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</si>
  <si>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</si>
  <si>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</si>
  <si>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</si>
  <si>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</si>
  <si>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</si>
  <si>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</si>
  <si>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</si>
  <si>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</si>
  <si>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</si>
  <si>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</si>
  <si>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</si>
  <si>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</si>
  <si>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</si>
  <si>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</si>
  <si>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</si>
  <si>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</si>
  <si>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</si>
  <si>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</si>
  <si>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</si>
  <si>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</si>
  <si>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</si>
  <si>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</si>
  <si>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</si>
  <si>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</si>
  <si>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</si>
  <si>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</si>
  <si>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</si>
  <si>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</si>
  <si>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</si>
  <si>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</si>
  <si>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</si>
  <si>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</si>
  <si>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</si>
  <si>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</si>
  <si>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</si>
  <si>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</si>
  <si>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</si>
  <si>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</si>
  <si>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</si>
  <si>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</si>
  <si>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</si>
  <si>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</si>
  <si>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</si>
  <si>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</si>
  <si>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</si>
  <si>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</si>
  <si>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</si>
  <si>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</si>
  <si>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</si>
  <si>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</si>
  <si>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</si>
  <si>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</si>
  <si>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</si>
  <si>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</si>
  <si>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</si>
  <si>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LNC7121EUUK</t>
  </si>
  <si>
    <t>LocknCharge iQ10 Charging Station - armoire de recharge USB-A (2.4A/port) avec deux paniers pour 10 iPads livré sans câbles USB Lightning et garantie a vie inclus</t>
  </si>
  <si>
    <t>LNC7008EUUK</t>
  </si>
  <si>
    <t>LocknCharge IQ16 Sync &amp; Charge box pour 16 iPads et garantie a vie inclus</t>
  </si>
  <si>
    <t>LNC10206</t>
  </si>
  <si>
    <t>LocknCharge FUYL Tower 15MK2 armoire connectée 15 casiers charging Lockers - FR - sans licence Cloud vendu séparément et garantie a vie inclus</t>
  </si>
  <si>
    <t>LNC10211</t>
  </si>
  <si>
    <t>LocknCharge FUYL Tower 5MK2 armoire connectée 5 casiers charging Lockers - FR - sans licence Cloud vendu séparément et garantie a vie inclus</t>
  </si>
  <si>
    <t>LNC10049</t>
  </si>
  <si>
    <t>LocknCharge  CarryOn - Malette de recharge USB-A (2.4A/port) portable pour 5 iPads et garantie a vie inclus</t>
  </si>
  <si>
    <t>LNC10162</t>
  </si>
  <si>
    <t>LocknCharge Putnam 16 - amoire de recharge pour 16 iPads avec indicateurs LED de charge avec câbles USB Lightning inclus et garantie a vie inclus</t>
  </si>
  <si>
    <t>LNC10178 </t>
  </si>
  <si>
    <t>LocknCharge Putnam 8 - amoire de recharge pour 8 iPads avec indicateurs LED de charge avec câbles USB Lightning inclus et garantie a vie inclus</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</si>
  <si>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</si>
  <si>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</si>
  <si>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</si>
  <si>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</si>
  <si>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</si>
  <si>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</si>
  <si>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</si>
  <si>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</si>
  <si>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</si>
  <si>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</si>
  <si>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</si>
  <si>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</si>
  <si>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</si>
  <si>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</si>
  <si>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</si>
  <si>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</si>
  <si>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LBX-V3-ONB20EUB</t>
  </si>
  <si>
    <t>LoxBox V3 - Cart 20 - Chariot de chargement sécurisé jusqu'à 20 iPads, tablettes ou ordinateurs portables (jusqu'à 16'') - noir/orange</t>
  </si>
  <si>
    <t>LOXBOX</t>
  </si>
  <si>
    <t>LBX-V3-ONB30EUB</t>
  </si>
  <si>
    <t>LoxBox V3 - Cart 30 - Chariot de chargement sécurisé jusqu'à 30 iPads, tablettes ou ordinateurs portables (jusqu'à 16'') - noir/orange</t>
  </si>
  <si>
    <t>LBX-V3-ONB40EUB</t>
  </si>
  <si>
    <t>LoxBox V3 - Cart 40 - Chariot de chargement sécurisé jusqu'à 40 iPads, tablettes ou ordinateurs portables (jusqu'à 16'') - noir/orange</t>
  </si>
  <si>
    <t>RA0247B</t>
  </si>
  <si>
    <t>Naotic valise Trolley naoCase M500 - pour le transport et le rechargement de 16 tablettes ou 9 ordinateurs portables.</t>
  </si>
  <si>
    <t>NAOTIC</t>
  </si>
  <si>
    <t>RG0263A</t>
  </si>
  <si>
    <t>Naotic option temporisation de charge électrique pour naocase M500</t>
  </si>
  <si>
    <t>RG0276A</t>
  </si>
  <si>
    <t>Naotic option interrupteur de coupure Wifi pour naocase M500</t>
  </si>
  <si>
    <t>PE9995A</t>
  </si>
  <si>
    <t>Naotic Cadenas à combinaison avec possibilité́ de clef passe – fournis avec un ensemble de 6 clefs passe pour naocase M500</t>
  </si>
  <si>
    <t>RA0325A</t>
  </si>
  <si>
    <t>Naotic Armoire compacte TABIBOX WT1 - 10 tablettes ou ordinateurs jusqu'à 14 pouces</t>
  </si>
  <si>
    <t>RA0313A</t>
  </si>
  <si>
    <t>Naotic kit d'équipement pour la recharge électrique Tabibox WT1 jusqu'à 10 tablettes</t>
  </si>
  <si>
    <t>NA0812B</t>
  </si>
  <si>
    <t>Naotic système de séparation intercalaire</t>
  </si>
  <si>
    <t>PB0188A</t>
  </si>
  <si>
    <t>Naotic casier mobile TABICASE MT1 de transport et de rechargement pour 10 tablettes - USB-C</t>
  </si>
  <si>
    <t>AB0544A</t>
  </si>
  <si>
    <t xml:space="preserve">Naotic soufflet de rangement pour 5 tablettes pour Tabicase M1 </t>
  </si>
  <si>
    <t>RA0330A</t>
  </si>
  <si>
    <t>Naotic sac à dos connecté pour le transport et le rechargement Tabicase ST1 pour 10 tablettes USB-C</t>
  </si>
  <si>
    <t>PB0187A</t>
  </si>
  <si>
    <t>Naotic Tabicart S2 20 emplacements - chariot mobile avec poignée centrale de transport pouvant accueillir 20 tablettes avec sacoche de transport</t>
  </si>
  <si>
    <t>RG0317A</t>
  </si>
  <si>
    <t>Naotic prise RJ45 latérale pour Tabicart S2 fournie avec cordon cat6 5mètres</t>
  </si>
  <si>
    <t xml:space="preserve">   </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</si>
  <si>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</si>
  <si>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</si>
  <si>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</si>
  <si>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</si>
  <si>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</si>
  <si>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</si>
  <si>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</si>
  <si>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</si>
  <si>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</si>
  <si>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</si>
  <si>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</si>
  <si>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</si>
  <si>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</si>
  <si>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</si>
  <si>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</si>
  <si>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</si>
  <si>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</si>
  <si>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</si>
  <si>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</si>
  <si>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</si>
  <si>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</si>
  <si>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</si>
  <si>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</si>
  <si>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</si>
  <si>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</si>
  <si>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</si>
  <si>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</si>
  <si>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</si>
  <si>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</si>
  <si>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</si>
  <si>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</si>
  <si>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</si>
  <si>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</si>
  <si>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</si>
  <si>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</si>
  <si>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</si>
  <si>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</si>
  <si>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</si>
  <si>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</si>
  <si>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</si>
  <si>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</si>
  <si>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</si>
  <si>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</si>
  <si>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</si>
  <si>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</si>
  <si>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</si>
  <si>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</si>
  <si>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</si>
  <si>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</si>
  <si>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</si>
  <si>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</si>
  <si>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</si>
  <si>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</si>
  <si>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</si>
  <si>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</si>
  <si>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</si>
  <si>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</si>
  <si>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</si>
  <si>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</si>
  <si>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</si>
  <si>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</si>
  <si>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</si>
  <si>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</si>
  <si>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</si>
  <si>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ABT-JSIO-INT-3J</t>
  </si>
  <si>
    <t>Econocom prestation Jamf School pack démarrage iPadOS - 3 jours (2 jours à distance + 1j sur site)</t>
  </si>
  <si>
    <t>ABT-JACO-EXT-4H-W</t>
  </si>
  <si>
    <t>Econocom prestation Jamf Connect for macOS configuration &amp; installation - Remote 4 h - 1912101220</t>
  </si>
  <si>
    <t>ABT-JPRO-WEBEX-4H</t>
  </si>
  <si>
    <t>Econocom prestation Jamf Protect à distance webex 4h (2h+2h)</t>
  </si>
  <si>
    <t>ABT-JSIO-INT-4H+4H-W</t>
  </si>
  <si>
    <t>Econocom prestation JumpStart pour Jamf Pro iOS - Remote 4 h + 4 h en deux sessions - 1912001502</t>
  </si>
  <si>
    <t>ABT-JSIO-INT-4H-W</t>
  </si>
  <si>
    <t>Econocom prestation JumpStart pour Jamf Pro iOS - Remote 4 h - 1912001200</t>
  </si>
  <si>
    <t>ABT-JSMO-INT-2J</t>
  </si>
  <si>
    <t>Econocom prestation JumpStart pour Jamf Pro macOS - 2 journées sur site - 1912031200</t>
  </si>
  <si>
    <t>ABT-JSIM-INT-3J</t>
  </si>
  <si>
    <t>Econocom prestation JumpStart pour Jamf Pro macOS &amp; iOS - 3 journées sur site - 1912051200</t>
  </si>
  <si>
    <t>ABT-JSMO-INT-2H+2H+4H-W</t>
  </si>
  <si>
    <t>Econocom prestation Jumpstart pour Jamf Pro macOS Remote 2+2+4h - 1912031201</t>
  </si>
  <si>
    <t>Jamf Formation par personne niveau 200, 300, or 400</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</si>
  <si>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</si>
  <si>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</si>
  <si>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</si>
  <si>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</si>
  <si>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</si>
  <si>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</si>
  <si>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</si>
  <si>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</si>
  <si>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</si>
  <si>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</si>
  <si>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</si>
  <si>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</si>
  <si>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</si>
  <si>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</si>
  <si>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</si>
  <si>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</si>
  <si>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</si>
  <si>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</si>
  <si>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</si>
  <si>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</si>
  <si>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</si>
  <si>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</si>
  <si>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</si>
  <si>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</si>
  <si>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</si>
  <si>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</si>
  <si>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</si>
  <si>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</si>
  <si>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</si>
  <si>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</si>
  <si>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</si>
  <si>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</si>
  <si>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</si>
  <si>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</si>
  <si>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</si>
  <si>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</si>
  <si>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</si>
  <si>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</si>
  <si>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</si>
  <si>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</si>
  <si>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</si>
  <si>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</si>
  <si>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</si>
  <si>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</si>
  <si>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</si>
  <si>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</si>
  <si>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</si>
  <si>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</si>
  <si>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</si>
  <si>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</si>
  <si>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</si>
  <si>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</si>
  <si>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</si>
  <si>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</si>
  <si>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</si>
  <si>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</si>
  <si>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</si>
  <si>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</si>
  <si>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</si>
  <si>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</si>
  <si>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</si>
  <si>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</si>
  <si>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</si>
  <si>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</si>
  <si>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</si>
  <si>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</si>
  <si>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</si>
  <si>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</si>
  <si>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</si>
  <si>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</si>
  <si>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</si>
  <si>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</si>
  <si>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</si>
  <si>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</si>
  <si>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</si>
  <si>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</si>
  <si>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</si>
  <si>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</si>
  <si>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</si>
  <si>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</si>
  <si>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</si>
  <si>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</si>
  <si>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</si>
  <si>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</si>
  <si>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</si>
  <si>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</si>
  <si>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</si>
  <si>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</si>
  <si>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</si>
  <si>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</si>
  <si>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</si>
  <si>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</si>
  <si>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</si>
  <si>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</si>
  <si>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</si>
  <si>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</si>
  <si>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48 mois</t>
  </si>
  <si>
    <t>cat1config1_MacBook Air 13“ M1</t>
  </si>
  <si>
    <t>MI5-MBA-13-1-E-CARE</t>
  </si>
  <si>
    <t>MI5-MBA-13-2-E-CARE</t>
  </si>
  <si>
    <t>MI5-MBA-13-3-E-CARE</t>
  </si>
  <si>
    <t>MI5-MBA-13-4-E-CARE</t>
  </si>
  <si>
    <t>cat1config2_MacBook Air 13“ M2</t>
  </si>
  <si>
    <t>cat2config1_MacBook Pro 14“ M3</t>
  </si>
  <si>
    <t>MI5-MBP-14-1-E-CARE</t>
  </si>
  <si>
    <t>MI5-MBP-14-2-E-CARE</t>
  </si>
  <si>
    <t>MI5-MBP-14-3-E-CARE</t>
  </si>
  <si>
    <t>MI5-MBP-14-4-E-CARE</t>
  </si>
  <si>
    <t>cat2config2_MacBook Pro 14“ M3 Pro</t>
  </si>
  <si>
    <t>cat2config4_MacBook Pro 16“ M3 Pro</t>
  </si>
  <si>
    <t>MI5-MBP-16-1-E-CARE</t>
  </si>
  <si>
    <t>MI5-MBP-16-2-E-CARE</t>
  </si>
  <si>
    <t>MI5-MBP-16-3-E-CARE</t>
  </si>
  <si>
    <t>MI5-MBP-16-4-E-CARE</t>
  </si>
  <si>
    <t>cat3config1_Mac mini M2</t>
  </si>
  <si>
    <t>MI5-MM-1-E-CARE</t>
  </si>
  <si>
    <t>MI5-MM-2-E-CARE</t>
  </si>
  <si>
    <t>MI5-MM-3-E-CARE</t>
  </si>
  <si>
    <t>MI5-MM-4-E-CARE</t>
  </si>
  <si>
    <t>cat4config1_iMac 24“ M3</t>
  </si>
  <si>
    <t>MI5-IMAC-24-1-E-CARE</t>
  </si>
  <si>
    <t>MI5-IMAC-24-2-E-CARE</t>
  </si>
  <si>
    <t>MI5-IMAC-24-3-E-CARE</t>
  </si>
  <si>
    <t>MI5-IMAC-24-4-E-CARE</t>
  </si>
  <si>
    <t>cat5config1_Mac Pro</t>
  </si>
  <si>
    <t>MI5-MACPRO-1-E-CARE</t>
  </si>
  <si>
    <t>MI5-MACPRO-2-E-CARE</t>
  </si>
  <si>
    <t>MI5-MACPRO-3-E-CARE</t>
  </si>
  <si>
    <t>MI5-MACPRO-4-E-CARE</t>
  </si>
  <si>
    <t xml:space="preserve">cat6config1_iPad mini </t>
  </si>
  <si>
    <t>MK7M3NF/A</t>
  </si>
  <si>
    <t>MI5-IPADMINI-1-E-CARE</t>
  </si>
  <si>
    <t>MI5-IPADMINI-2-E-CARE</t>
  </si>
  <si>
    <t>MI5-IPADMINI-3-E-CARE</t>
  </si>
  <si>
    <t>MI5-IPADMINI-4-E-CARE</t>
  </si>
  <si>
    <t>cat6config2_iPad 10,2"</t>
  </si>
  <si>
    <t>MK2K3NF/A</t>
  </si>
  <si>
    <t>MI5-IPAD-1-E-CARE</t>
  </si>
  <si>
    <t>MI5-IPAD-2-E-CARE</t>
  </si>
  <si>
    <t>MI5-IPAD-3-E-CARE</t>
  </si>
  <si>
    <t>MI5-IPAD-4-E-CARE</t>
  </si>
  <si>
    <t>cat6config3_iPad Pro 11"</t>
  </si>
  <si>
    <t>MNXD3NF/A</t>
  </si>
  <si>
    <t>MI5-IPADPRO11-1-E-CARE</t>
  </si>
  <si>
    <t>MI5-IPADPRO11-2-E-CARE</t>
  </si>
  <si>
    <t>MI5-IPADPRO11-3-E-CARE</t>
  </si>
  <si>
    <t>MI5-IPADPRO11-4-E-CARE</t>
  </si>
  <si>
    <t>Mac Studio</t>
  </si>
  <si>
    <t>MJMV3FN/A</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</si>
  <si>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</si>
  <si>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</si>
  <si>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</si>
  <si>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</si>
  <si>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</si>
  <si>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</si>
  <si>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</si>
  <si>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</si>
  <si>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Catégories - Configurations</t>
  </si>
  <si>
    <t xml:space="preserve">Libellé de l'article </t>
    <phoneticPr fontId="4" type="noConversion"/>
  </si>
  <si>
    <t>Réf. article fabricant</t>
  </si>
  <si>
    <t>Statistiques Matinfo 4</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</si>
  <si>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</si>
  <si>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</si>
  <si>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</si>
  <si>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</si>
  <si>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</si>
  <si>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</si>
  <si>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</si>
  <si>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</si>
  <si>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</si>
  <si>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</si>
  <si>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</si>
  <si>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</si>
  <si>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</si>
  <si>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</si>
  <si>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</si>
  <si>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</si>
  <si>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</si>
  <si>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</si>
  <si>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</si>
  <si>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</si>
  <si>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</si>
  <si>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</si>
  <si>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</si>
  <si>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</si>
  <si>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</si>
  <si>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</si>
  <si>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</si>
  <si>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</si>
  <si>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</si>
  <si>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</si>
  <si>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</si>
  <si>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</si>
  <si>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</si>
  <si>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</si>
  <si>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</si>
  <si>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</si>
  <si>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</si>
  <si>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</si>
  <si>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</si>
  <si>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</si>
  <si>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</si>
  <si>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</si>
  <si>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</si>
  <si>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</si>
  <si>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</si>
  <si>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</si>
  <si>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</si>
  <si>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</si>
  <si>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</si>
  <si>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</si>
  <si>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</si>
  <si>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</si>
  <si>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</si>
  <si>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</si>
  <si>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</si>
  <si>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</si>
  <si>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</si>
  <si>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</si>
  <si>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</si>
  <si>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</si>
  <si>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</si>
  <si>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</si>
  <si>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</si>
  <si>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</si>
  <si>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</si>
  <si>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</si>
  <si>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</si>
  <si>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</si>
  <si>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</si>
  <si>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</si>
  <si>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</si>
  <si>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</si>
  <si>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</si>
  <si>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</si>
  <si>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</si>
  <si>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SSD-ING-MI5-DRIVE -1H-W</t>
  </si>
  <si>
    <t>ABT-CDP-C2I-SITE-1J</t>
  </si>
  <si>
    <t>﻿Forfait mise à disposition 1 journée Chef de Projet</t>
  </si>
  <si>
    <t>ABT-COR-C2I-SITE-1J</t>
  </si>
  <si>
    <t>﻿Forfait mise à disposition 1 journée Coordinateur</t>
  </si>
  <si>
    <t>Manutention complexe collecte DEEE (uniquement sur devis)</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</si>
  <si>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</si>
  <si>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</si>
  <si>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</si>
  <si>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</si>
  <si>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</si>
  <si>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</si>
  <si>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</si>
  <si>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</si>
  <si>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</si>
  <si>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</si>
  <si>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</si>
  <si>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</si>
  <si>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</si>
  <si>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</si>
  <si>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</si>
  <si>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</si>
  <si>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</si>
  <si>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</si>
  <si>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</si>
  <si>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</si>
  <si>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</si>
  <si>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</si>
  <si>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</si>
  <si>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</si>
  <si>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</si>
  <si>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</si>
  <si>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</si>
  <si>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</si>
  <si>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</si>
  <si>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</si>
  <si>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</si>
  <si>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</si>
  <si>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</si>
  <si>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</si>
  <si>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</si>
  <si>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</si>
  <si>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</si>
  <si>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</si>
  <si>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</si>
  <si>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</si>
  <si>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</si>
  <si>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</si>
  <si>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</si>
  <si>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</si>
  <si>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</si>
  <si>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</si>
  <si>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</si>
  <si>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</si>
  <si>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</si>
  <si>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</si>
  <si>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</si>
  <si>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</si>
  <si>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</si>
  <si>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</si>
  <si>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</si>
  <si>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</si>
  <si>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</si>
  <si>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</si>
  <si>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</si>
  <si>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</si>
  <si>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</si>
  <si>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</si>
  <si>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</si>
  <si>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</si>
  <si>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</si>
  <si>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</si>
  <si>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</si>
  <si>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</si>
  <si>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</si>
  <si>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</si>
  <si>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</si>
  <si>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</si>
  <si>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</si>
  <si>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</si>
  <si>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</si>
  <si>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</si>
  <si>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</si>
  <si>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</si>
  <si>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</si>
  <si>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</si>
  <si>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</si>
  <si>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</si>
  <si>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</si>
  <si>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CTO-MRW43-M3PROCPU12GPU18-36 - CTO-MRW13-M3PROCPU12GPU18-36</t>
  </si>
  <si>
    <t>XUB2390HS-B5</t>
  </si>
  <si>
    <t>Satechi Pro Hub Mini - 1xUSB4 Gen 3x2 pass through 96W 6K 60Hz - 1xUSB-C 3.0 - 2xUSB-A 3.0 - 1xGigabit Ethernet - 1xPrise Jack 3,5mm - Gris sidéral</t>
  </si>
  <si>
    <t>Satechi Pro Hub Mini - 1xUSB4 Gen 3x2 pass through 96W 6K 60Hz - 1xUSB-C 3.0 - 2xUSB-A 3.0 - 1xGigabit Ethernet - 1xPrise Jack 3,5mm - Argent</t>
  </si>
  <si>
    <t>Belkin CONNECT 4-in-1 USB-C Hub Multiport - 1xUSB-C 3.0 PassThrough 100W - 2xUSB-A 3.0  - 1xHDMI 1.4 4K 30 Hz - Argent</t>
  </si>
  <si>
    <t>Satechi Pro Hub Slim - 1xUSB4 pass through 100W - 1xUSB-C 3.2 - 2xUSB-A 3.2 - 1xHDMI 4K HDR 60Hz - 1xlecteur SD et MicroSD - Minuit</t>
  </si>
  <si>
    <t>Satechi Pro Hub Slim - 1xUSB4 pass through 100W - 1xUSB-C 3.2 - 2xUSB-A 3.2 - 1xHDMI 4K HDR 60Hz - 1xlecteur SD et MicroSD - Argent</t>
  </si>
  <si>
    <t>Satechi Pro Hub Slim - 1xUSB4 pass through 100W - 1xUSB-C 3.2 - 2xUSB-A 3.2 - 1xHDMI 4K HDR 60Hz - 1xlecteur SD et MicroSD - Gris sidéral</t>
  </si>
  <si>
    <t>Belkin CONNECT 6-in-1 USB-C Hub Multiport - 1xUSB-C 3.0 PassThrough 100W - 2xUSB-A 3.0 - 1 Gigabit Ethernet - 1xHDMI 1.4 4K 30 Hz - 1xlecteur SD - Argent</t>
  </si>
  <si>
    <t>Belkin CONNECT 11-in-1 USB-C Dock Multiport - 1 USB-C PassThrough 100W - 2xUSB-A 3.0 - 1xUSB-A 2.0 - 1xGigabit Ethernet - 1xHDMI 1.4 - 1xDisplayPort 1,2 - 1xVGA 1080p - 1xaudio jack 3,5mm TRSS - 1xlecteur SD et micro-SD - Argent</t>
  </si>
  <si>
    <t>Belkin CONNECT 6-in-1 USB- C Hub Multiport - Avec support de fixation adhésif pour iMac - 1xUSB-C 3.0 - 2xUSB-A 3.0 - 1xGigatbit Ethernet -  1xlecteur SD et micro-SD - Blanc</t>
  </si>
  <si>
    <t>Kensington UH1400P 8-en-1 USB-C Hub Multiport - 1xUSB-C 3.2 Gen 1 PassThrough 85W - 3xUSB-A 3.2 Gen 1 - 1xGigabit Ethernet - 1xHDMI 2.0 - 1xlecteur SD et micro-SD - Argent</t>
  </si>
  <si>
    <t>Satechi Pro Hub Max - 1xUSB4 Gen 3x2 pass through 96W 6K 60Hz - 1xUSB-C 3.0 - 1xUSB-A 3.0 - 1xHDMI 4K 60Hz - 1xGigabit Ethernet - 1xlecteur SD et MicroSD - 1xaudio Jack 3,5mm - Gris sidéral</t>
  </si>
  <si>
    <t>Satechi Pro Hub Max - 1xUSB4 Gen 3x2 pass through 96W 6K 60Hz - 1xUSB-C 3.0 - 1xUSB-A 3.0 - 1xHDMI 4K 60Hz - 1xGigabit Ethernet - 1xlecteur SD et MicroSD - 1xaudio Jack 3,5mm - Argent</t>
  </si>
  <si>
    <t>Satechi Stand and Hub pour mac mini - 1xUSB-C 3.0- 3xUSB-A 3.0 - 1xlecteur SD et micro-SD - 1xaudio Jack 3,5mm - Argent</t>
  </si>
  <si>
    <t>Satechi Stand and Hub Pour iPad USB-C - 1xUSB-C PassThrough 60W - 1xUSB-A - 1x HDMI 2.0 4K 60 Hz - 1xGigabit Ethernet - 1xlecteur SD et Micro SD - Gris sidéral</t>
  </si>
  <si>
    <t>Satechi Clamp hub pour iMac 24" - 1xUSB-C 3.0 - 3xUSB-A 3.0 - 1xlecteur SD et micro-SD - Argent</t>
  </si>
  <si>
    <t>Satechi Stand and Hub pour mac mini - 1xUSB-C 3.0- 3xUSB-A 3.0 - 1xlecteur SD et micro-SD - 1xaudio Jack 3,5mm - Gris sidéral</t>
  </si>
  <si>
    <t>276B1/00</t>
  </si>
  <si>
    <t>Iiyama moniteur 23" ProLite - IPS LED - 1920 x 1080 - 60 Hz - 16:9 - 250 cd/m² - 1000:1 - 4 ms - 1xHDMI - 1xDVI - 1xVGA - Noir</t>
  </si>
  <si>
    <t>Iiyama moniteur 32" ProLite - VA LED - 2xHDMI 2.0, 1xDisplayPort 1.2 - 16:9 - 3840 x 2160 - 60 Hz- 300 cd/m² - Contraste de 3000:1 - 3ms - Noir</t>
  </si>
  <si>
    <t>Iiyama moniteur 34'' ProLite - ADS-IPS - 2 x HDMI, DisplayPort - 21:9 - 3440 x 1440, 75Hz, 400 cd/m², contraste de 1 000:1, 4 ms - Noir</t>
  </si>
  <si>
    <t>Iiyama moniteur 24'' ProLite - VA LED - HDMI, DisplayPort, VGA - 16:9 - 1920x1080, 75Hz, 250 cd/m², contraste de 3 000:1, 4 ms, TCO 8 - Noir</t>
  </si>
  <si>
    <t>Iiyama moniteur 27'' ProLite - IPS LED - HDMI, DisplayPort, VGA - 16:9 - 1920x1080, 75Hz, 250 cd/m², contraste de 1 000:1, 4 ms, TCO 8 - Noir</t>
  </si>
  <si>
    <t>Samsung Professionnel ViewFinity 34" - VA - LED - 3440 x 1440 - 100 Hz - 21:9 - HDR10 - 350 cd/m² - 3000:1 - 5 ms - 1xHDMI 2.0 - 1xDisplayPort 1.2 - 1xUSB-C 3.1 Gen 1 90W - 1xGigabit Ethernet - 2xUSB-A 3.1 Gen 1 - Noir</t>
  </si>
  <si>
    <t>27B1U5601H/00</t>
  </si>
  <si>
    <t>Samsung Professionnel ViewFinity 32" - VA - LED - 2560 x 1440 - 75 Hz - 16:9 - HDR10 - 300 cd/m² - 3000:1 - 5 ms - 1xHDMI 1.4 - 1xDisplayPort 1.2 - 1xUSB-C 3.1 Gen 1 90W - 1xGigabit Ethernet - 3xUSB-A 3.0 - Noir</t>
  </si>
  <si>
    <t>Samsung Professionnel ViewFinity 27"- IPS - LED - 2560 x 1440 - 75 Hz - 16:9 - HDR10 - 300 cd/m² - 1000:1 - 5 ms - 1xHDMI 1.4 - 1xDisplayPort 1.2 - 1xUSB-C 3.1 Gen 1 90W - 1xGigabit Ethernet - 3xUSB-A 3.0 - Noir</t>
  </si>
  <si>
    <t>Philips moniteur 27'' LED Brilliance B-line - IPS W-LED - 2560 x 1440 - 75 Hz - 16:9 - 350 cd/m² - 1000:1 - 4 ms - 1xUSB-C 3.2 Gen 1 90W - 2xHDMI 1.4 - 1xDisplayPort 1.4 - 1xGigabit Ethernet - 4xUSB-A 3.2 - Noir</t>
  </si>
  <si>
    <t>Philips moniteur 27'' LED Brilliance B-line - IPS W-LED - 2560 x 1440 - 75 Hz - 16:9 - 350 cd/m² - 1000:1 - 4 ms - 1xUSB-C 3.2 Gen 2 100W - 1xHDMI 1.4 - 1xDisplaytPort 1.4 - 1xGigabit Ethernet - 4xUSB-A 3.2 - 1xUSB-C 3.2 - Webcam intégrée - Noir</t>
  </si>
  <si>
    <t>Satechi Hub USB-C avec 1x USB-C (PassThrough 60W), 1x HDMI 4K, 1x Ethernet, 2x USB-A, 1x SD et 1x Micro SD - gris sidéral (existe en coloris argent)</t>
  </si>
  <si>
    <t>Urban Factory station d'accueil mobile USB-C - Sortie USB-C PassThrough 100W , HDMI 4K, vidéo VGA, 3x USB 3.0, Port LAN Gigabit Ethernet, port Jack, port SD et MSD</t>
  </si>
  <si>
    <t>Belkin - Station d'accueil Thunderbolt 3 Dock Core avec Câble Thunderbolt 3 (Double Affichage 4K à 60 Hz, Transfert de Données de 40 Gbit/s, PassThrough 60 W)</t>
  </si>
  <si>
    <t>Belkin - Thunderbolt 3 Dock Plus - station d'accueil Thunderbolt 3 (2 ports DisplayPort - 3 ports USB-A 3.0 - 2 ports USB-C - 1 port Gigabit Ethernet - 1 port audio) - PassThrough 60W</t>
  </si>
  <si>
    <t>Belkin - Thunderbolt 3 Dock Pro - station d'accueil Thunderbolt 3 (2 ports Thunderbolt 3 - 1 port USB-C - 1xGigabit Ethernet - 4 USB 3.0 - 1 DisplayPort - lecteur carte SD - port audio / micro stéréo) - PassThrough 85W</t>
  </si>
  <si>
    <t>Belkin - Thunderbolt 4 Dock Pro - PassThrough 90 W (2 ports Thunderbolt 4 - 1 port USB-C - 1 Gigabit Ethernet - 2 USB-A 3.1- 2 USB-A 2.0 - 2 HDMI - lecteur carte SD - 1 port audio / micro stéréo)</t>
  </si>
  <si>
    <t>Belkin - Station d'accueil USB-C - DisplayLink - Jusqu'à 3 écrans 4K - PassThrough 85 W - (2 ports USB-C - 1 Gigabit Ethernet - 5 ports USB-A 3.0 - 3 HDMI ou 2 Displayport - 1 port audio - 1 port micro stéréo)</t>
  </si>
  <si>
    <t>Kensington - Station d’accueil SD5600T Thunderbolt 3 USB-C avec 2 sorties 4K PassThrough 100 W - Win/Mac</t>
  </si>
  <si>
    <t>Targus - Station d'accueil USB-C DisplayLink - Jusqu'à 4 écrans 4K 60 Hz- 1xUSB-C 3.1 Gen 1 Upstream PassThrough 100W  - 1xUSB-C 3.1 Gen 1 - 4xUSB-A 3.0 - 1xaudio Jack 3.5mm - 4x HDMI/DisplayPort 4K 60Hz - Écran multiple pour Mac M1, M2 et Intel - Noir et gris</t>
  </si>
  <si>
    <t>Satechi - Station d'accueil Thunderbolt 4 - PassThrough 96W - Gris sidéral</t>
  </si>
  <si>
    <t>Satechi - Thunderbolt 4 Slim Hub - 4xThunderbolt 4 - 1x USB-A 3.2 Gen 2 - PassThrough 60W - Gris sidéral</t>
  </si>
  <si>
    <t>TARIF N°10 VALIDE AU 22/11/2023</t>
  </si>
  <si>
    <t>ST-CHDMIS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</si>
</sst>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 #,##0\ &quot;€&quot;_-;\-* #,##0\ &quot;€&quot;_-;_-* &quot;-&quot;\ &quot;€&quot;_-;_-@_-"/>
    <numFmt numFmtId="41" formatCode="_-* #,##0\ _€_-;\-* #,##0\ _€_-;_-* &quot;-&quot;\ _€_-;_-@_-"/>
    <numFmt numFmtId="43" formatCode="_-* #,##0.00\ _€_-;\-* #,##0.00\ _€_-;_-* &quot;-&quot;??\ _€_-;_-@_-"/>
    <numFmt numFmtId="164" formatCode="#,##0.00&quot; F&quot;;[Red]\-#,##0.00&quot; F&quot;"/>
    <numFmt numFmtId="165" formatCode="#,##0.00\ &quot;€&quot;"/>
    <numFmt numFmtId="166" formatCode="0.0%"/>
    <numFmt numFmtId="167" formatCode="#,##0.00\ &quot;€&quot;;[Red]#,##0.00\ &quot;€&quot;"/>
    <numFmt numFmtId="168" formatCode="_-* #,##0.00_-;\-* #,##0.00_-;_-* &quot;-&quot;??_-;_-@_-"/>
    <numFmt numFmtId="169" formatCode="0.000%"/>
    <numFmt numFmtId="170" formatCode="_-* #,##0_-;\-* #,##0_-;_-* &quot;-&quot;??_-;_-@_-"/>
  </numFmts>
  <fonts count="125">
    <font>
      <sz val="10"/>
      <name val="Geneva"/>
    </font>
    <font>
      <sz val="12"/>
      <color theme="1"/>
      <name val="Calibri"/>
      <family val="2"/>
      <scheme val="minor"/>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sz val="24"/>
      <color rgb="FF3DB97C"/>
      <name val="Calibri"/>
      <family val="2"/>
      <scheme val="minor"/>
    </font>
    <font>
      <sz val="20"/>
      <color rgb="FF3366FF"/>
      <name val="Calibri"/>
      <family val="2"/>
      <scheme val="minor"/>
    </font>
    <font>
      <b/>
      <sz val="10"/>
      <name val="Calibri"/>
      <family val="2"/>
      <scheme val="minor"/>
    </font>
    <font>
      <b/>
      <sz val="10"/>
      <color rgb="FFE1641E"/>
      <name val="Calibri"/>
      <family val="2"/>
      <scheme val="minor"/>
    </font>
    <font>
      <sz val="14"/>
      <color rgb="FF3366FF"/>
      <name val="Calibri"/>
      <family val="2"/>
      <scheme val="minor"/>
    </font>
    <font>
      <b/>
      <sz val="10"/>
      <color rgb="FFCA1230"/>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22"/>
      <color rgb="FF240058"/>
      <name val="Calibri Light"/>
      <family val="2"/>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sz val="16"/>
      <color rgb="FFFF0000"/>
      <name val="Calibri"/>
      <family val="2"/>
      <scheme val="minor"/>
    </font>
    <font>
      <sz val="16"/>
      <color rgb="FF2CAB42"/>
      <name val="Calibri"/>
      <family val="2"/>
      <scheme val="minor"/>
    </font>
    <font>
      <sz val="16"/>
      <color rgb="FFFFC000"/>
      <name val="Calibri"/>
      <family val="2"/>
      <scheme val="minor"/>
    </font>
    <font>
      <b/>
      <sz val="12"/>
      <color rgb="FFCA1230"/>
      <name val="Calibri"/>
      <family val="2"/>
      <scheme val="minor"/>
    </font>
    <font>
      <b/>
      <sz val="10"/>
      <color rgb="FFFFC000"/>
      <name val="Calibri"/>
      <family val="2"/>
      <scheme val="minor"/>
    </font>
    <font>
      <sz val="10"/>
      <color rgb="FFFFC000"/>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b/>
      <sz val="10"/>
      <color theme="1"/>
      <name val="Geneva"/>
      <family val="2"/>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b/>
      <sz val="10"/>
      <color rgb="FF000000"/>
      <name val="Calibri"/>
      <family val="2"/>
      <scheme val="minor"/>
    </font>
    <font>
      <sz val="10"/>
      <color rgb="FF000000"/>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sz val="16"/>
      <color theme="0"/>
      <name val="Calibri"/>
      <family val="2"/>
      <scheme val="minor"/>
    </font>
    <font>
      <i/>
      <sz val="12"/>
      <color theme="0"/>
      <name val="Calibri"/>
      <family val="2"/>
      <scheme val="minor"/>
    </font>
    <font>
      <b/>
      <sz val="14"/>
      <color rgb="FF2CAB42"/>
      <name val="Calibri (Corps)"/>
    </font>
    <font>
      <sz val="16"/>
      <color rgb="FF2CAB42"/>
      <name val="Calibri (Corps)"/>
    </font>
    <font>
      <sz val="14"/>
      <color theme="0"/>
      <name val="Calibri"/>
      <family val="2"/>
      <scheme val="minor"/>
    </font>
    <font>
      <sz val="16"/>
      <color rgb="FFFFC000"/>
      <name val="Calibri (Corps)"/>
    </font>
    <font>
      <sz val="10"/>
      <color theme="1"/>
      <name val="Calibri (Corps)"/>
    </font>
    <font>
      <b/>
      <sz val="12"/>
      <color rgb="FFC00000"/>
      <name val="Calibri"/>
      <family val="2"/>
      <scheme val="minor"/>
    </font>
    <font>
      <b/>
      <sz val="11"/>
      <color rgb="FF0432FF"/>
      <name val="Calibri"/>
      <family val="2"/>
      <scheme val="minor"/>
    </font>
    <font>
      <b/>
      <sz val="12"/>
      <name val="Geneva"/>
      <family val="2"/>
    </font>
    <font>
      <sz val="16"/>
      <color rgb="FF0432FF"/>
      <name val="Calibri (Corps)"/>
    </font>
    <font>
      <b/>
      <sz val="10"/>
      <color rgb="FF0432FF"/>
      <name val="Calibri"/>
      <family val="2"/>
      <scheme val="minor"/>
    </font>
    <font>
      <sz val="16"/>
      <color rgb="FF0432FF"/>
      <name val="Calibri"/>
      <family val="2"/>
      <scheme val="minor"/>
    </font>
    <font>
      <sz val="10"/>
      <color theme="1"/>
      <name val="Geneva"/>
      <family val="2"/>
    </font>
    <font>
      <b/>
      <sz val="10"/>
      <color theme="1"/>
      <name val="Calibri (Corps)"/>
    </font>
    <font>
      <b/>
      <sz val="12"/>
      <color rgb="FF4F81BD"/>
      <name val="Calibri"/>
      <family val="2"/>
      <scheme val="minor"/>
    </font>
    <font>
      <sz val="12"/>
      <color rgb="FF4F81BD"/>
      <name val="Calibri"/>
      <family val="2"/>
      <scheme val="minor"/>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rgb="FF573EEF"/>
        <bgColor indexed="64"/>
      </patternFill>
    </fill>
    <fill>
      <patternFill patternType="solid">
        <fgColor rgb="FF573EEF"/>
        <bgColor rgb="FF000000"/>
      </patternFill>
    </fill>
    <fill>
      <patternFill patternType="solid">
        <fgColor rgb="FFFF0000"/>
        <bgColor indexed="64"/>
      </patternFill>
    </fill>
  </fills>
  <borders count="1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n">
        <color indexed="64"/>
      </left>
      <right style="thin">
        <color indexed="64"/>
      </right>
      <top/>
      <bottom style="thin">
        <color indexed="64"/>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ck">
        <color theme="1"/>
      </left>
      <right/>
      <top/>
      <bottom/>
      <diagonal/>
    </border>
    <border>
      <left/>
      <right style="thick">
        <color theme="1"/>
      </right>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style="thick">
        <color rgb="FFC00000"/>
      </left>
      <right style="thin">
        <color rgb="FF6A6363"/>
      </right>
      <top style="thin">
        <color rgb="FF6A6363"/>
      </top>
      <bottom style="thin">
        <color theme="0" tint="-0.14999847407452621"/>
      </bottom>
      <diagonal/>
    </border>
    <border>
      <left style="thick">
        <color rgb="FFD90A12"/>
      </left>
      <right style="thin">
        <color rgb="FF6A6363"/>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right/>
      <top/>
      <bottom style="thin">
        <color theme="1"/>
      </bottom>
      <diagonal/>
    </border>
    <border>
      <left style="thin">
        <color auto="1"/>
      </left>
      <right style="thin">
        <color auto="1"/>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theme="1"/>
      </top>
      <bottom/>
      <diagonal/>
    </border>
    <border>
      <left style="thin">
        <color indexed="64"/>
      </left>
      <right style="thick">
        <color rgb="FFC00000"/>
      </right>
      <top style="thin">
        <color indexed="64"/>
      </top>
      <bottom style="thin">
        <color indexed="64"/>
      </bottom>
      <diagonal/>
    </border>
    <border>
      <left style="thin">
        <color indexed="64"/>
      </left>
      <right style="thick">
        <color rgb="FFC00000"/>
      </right>
      <top style="thin">
        <color auto="1"/>
      </top>
      <bottom/>
      <diagonal/>
    </border>
    <border>
      <left style="thin">
        <color auto="1"/>
      </left>
      <right style="thin">
        <color theme="1"/>
      </right>
      <top/>
      <bottom style="thin">
        <color theme="1"/>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style="thin">
        <color rgb="FF6A6363"/>
      </left>
      <right/>
      <top/>
      <bottom style="thick">
        <color rgb="FFC00000"/>
      </bottom>
      <diagonal/>
    </border>
    <border>
      <left style="thin">
        <color auto="1"/>
      </left>
      <right style="thin">
        <color auto="1"/>
      </right>
      <top/>
      <bottom style="thick">
        <color rgb="FFC00000"/>
      </bottom>
      <diagonal/>
    </border>
    <border>
      <left/>
      <right/>
      <top/>
      <bottom style="thick">
        <color rgb="FFC00000"/>
      </bottom>
      <diagonal/>
    </border>
    <border>
      <left/>
      <right style="thin">
        <color auto="1"/>
      </right>
      <top/>
      <bottom style="thick">
        <color rgb="FFC00000"/>
      </bottom>
      <diagonal/>
    </border>
    <border>
      <left style="thin">
        <color auto="1"/>
      </left>
      <right/>
      <top/>
      <bottom style="thick">
        <color rgb="FFC00000"/>
      </bottom>
      <diagonal/>
    </border>
    <border>
      <left style="thin">
        <color theme="1"/>
      </left>
      <right/>
      <top/>
      <bottom style="thick">
        <color rgb="FFC00000"/>
      </bottom>
      <diagonal/>
    </border>
    <border>
      <left style="thin">
        <color auto="1"/>
      </left>
      <right style="thin">
        <color theme="1"/>
      </right>
      <top/>
      <bottom style="thick">
        <color rgb="FFC00000"/>
      </bottom>
      <diagonal/>
    </border>
    <border>
      <left style="thin">
        <color auto="1"/>
      </left>
      <right style="thick">
        <color rgb="FFC00000"/>
      </right>
      <top/>
      <bottom style="thin">
        <color indexed="64"/>
      </bottom>
      <diagonal/>
    </border>
    <border>
      <left/>
      <right style="thick">
        <color rgb="FFC00000"/>
      </right>
      <top style="medium">
        <color theme="1"/>
      </top>
      <bottom style="medium">
        <color theme="1"/>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n">
        <color auto="1"/>
      </left>
      <right style="thick">
        <color rgb="FFCD0911"/>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n">
        <color theme="1"/>
      </left>
      <right style="thick">
        <color rgb="FFC00000"/>
      </right>
      <top/>
      <bottom/>
      <diagonal/>
    </border>
    <border>
      <left/>
      <right style="thick">
        <color rgb="FFC00000"/>
      </right>
      <top/>
      <bottom style="medium">
        <color theme="1"/>
      </bottom>
      <diagonal/>
    </border>
    <border>
      <left style="thin">
        <color theme="1"/>
      </left>
      <right style="thick">
        <color rgb="FFC00000"/>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auto="1"/>
      </left>
      <right style="thick">
        <color rgb="FFC00000"/>
      </right>
      <top style="thin">
        <color theme="1"/>
      </top>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auto="1"/>
      </left>
      <right style="thick">
        <color rgb="FFC00000"/>
      </right>
      <top style="thin">
        <color theme="1"/>
      </top>
      <bottom style="thin">
        <color theme="1"/>
      </bottom>
      <diagonal/>
    </border>
    <border>
      <left style="thin">
        <color theme="1"/>
      </left>
      <right style="thick">
        <color indexed="64"/>
      </right>
      <top style="thin">
        <color indexed="64"/>
      </top>
      <bottom style="thick">
        <color theme="1"/>
      </bottom>
      <diagonal/>
    </border>
    <border>
      <left style="thin">
        <color theme="1"/>
      </left>
      <right style="thick">
        <color indexed="64"/>
      </right>
      <top/>
      <bottom style="thin">
        <color indexed="64"/>
      </bottom>
      <diagonal/>
    </border>
    <border>
      <left style="thick">
        <color indexed="64"/>
      </left>
      <right/>
      <top/>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style="thin">
        <color theme="1"/>
      </left>
      <right style="thick">
        <color indexed="64"/>
      </right>
      <top/>
      <bottom/>
      <diagonal/>
    </border>
    <border>
      <left style="thin">
        <color theme="1"/>
      </left>
      <right style="thick">
        <color auto="1"/>
      </right>
      <top style="thick">
        <color theme="1"/>
      </top>
      <bottom style="thick">
        <color theme="1"/>
      </bottom>
      <diagonal/>
    </border>
    <border>
      <left/>
      <right/>
      <top style="thin">
        <color theme="0" tint="-0.14999847407452621"/>
      </top>
      <bottom style="thin">
        <color theme="0" tint="-0.14999847407452621"/>
      </bottom>
      <diagonal/>
    </border>
    <border>
      <left style="thin">
        <color auto="1"/>
      </left>
      <right style="thick">
        <color rgb="FFC00000"/>
      </right>
      <top style="thin">
        <color rgb="FF6A6363"/>
      </top>
      <bottom/>
      <diagonal/>
    </border>
    <border>
      <left style="thin">
        <color theme="1"/>
      </left>
      <right/>
      <top style="thick">
        <color indexed="64"/>
      </top>
      <bottom/>
      <diagonal/>
    </border>
    <border>
      <left style="thick">
        <color rgb="FFC00000"/>
      </left>
      <right style="thin">
        <color theme="1"/>
      </right>
      <top style="thin">
        <color theme="1"/>
      </top>
      <bottom/>
      <diagonal/>
    </border>
    <border>
      <left style="thin">
        <color theme="1"/>
      </left>
      <right style="thick">
        <color theme="1"/>
      </right>
      <top/>
      <bottom style="thick">
        <color theme="1"/>
      </bottom>
      <diagonal/>
    </border>
  </borders>
  <cellStyleXfs count="24616">
    <xf numFmtId="0" fontId="0" fillId="0" borderId="0"/>
    <xf numFmtId="164"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2" fontId="4" fillId="0" borderId="0" applyFon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4"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2" fillId="32" borderId="0" applyNumberFormat="0" applyBorder="0" applyAlignment="0" applyProtection="0"/>
    <xf numFmtId="0" fontId="29" fillId="0" borderId="15">
      <alignment horizontal="left" indent="5"/>
    </xf>
    <xf numFmtId="0" fontId="25"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 fillId="0" borderId="0" applyNumberFormat="0" applyFill="0" applyBorder="0" applyAlignment="0" applyProtection="0"/>
    <xf numFmtId="0" fontId="26" fillId="0" borderId="0">
      <alignment horizontal="center"/>
    </xf>
    <xf numFmtId="9" fontId="30"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27" fillId="0" borderId="14">
      <alignment horizontal="left" indent="5"/>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8" fillId="0" borderId="0">
      <alignment horizontal="left"/>
    </xf>
    <xf numFmtId="10" fontId="32"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3" fillId="0" borderId="16">
      <alignment horizontal="left" indent="7"/>
    </xf>
    <xf numFmtId="0" fontId="31" fillId="0" borderId="0">
      <alignment horizontal="left" indent="1"/>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4" fillId="0" borderId="16">
      <alignment horizontal="left" indent="9"/>
    </xf>
    <xf numFmtId="0" fontId="35" fillId="0" borderId="0">
      <alignment horizontal="left" indent="2"/>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1"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9" fontId="68" fillId="0" borderId="0" applyFont="0" applyFill="0" applyBorder="0" applyAlignment="0" applyProtection="0"/>
    <xf numFmtId="168" fontId="68" fillId="0" borderId="0" applyFont="0" applyFill="0" applyBorder="0" applyAlignment="0" applyProtection="0"/>
    <xf numFmtId="0" fontId="4" fillId="0" borderId="0"/>
  </cellStyleXfs>
  <cellXfs count="862">
    <xf numFmtId="0" fontId="0" fillId="0" borderId="0" xfId="0"/>
    <xf numFmtId="165" fontId="38" fillId="0" borderId="0" xfId="0" applyNumberFormat="1" applyFont="1"/>
    <xf numFmtId="0" fontId="37" fillId="0" borderId="15" xfId="49" applyFont="1" applyAlignment="1">
      <alignment horizontal="left" vertical="center" indent="5"/>
    </xf>
    <xf numFmtId="165" fontId="39" fillId="0" borderId="0" xfId="0" applyNumberFormat="1" applyFont="1" applyAlignment="1">
      <alignment horizontal="center"/>
    </xf>
    <xf numFmtId="9" fontId="36" fillId="0" borderId="0" xfId="1154" applyFont="1">
      <alignment horizontal="center"/>
    </xf>
    <xf numFmtId="165" fontId="39" fillId="0" borderId="0" xfId="0" applyNumberFormat="1" applyFont="1"/>
    <xf numFmtId="165" fontId="39" fillId="0" borderId="0" xfId="0" applyNumberFormat="1" applyFont="1" applyAlignment="1">
      <alignment horizontal="center" vertical="center"/>
    </xf>
    <xf numFmtId="0" fontId="39" fillId="0" borderId="0" xfId="50" applyFont="1">
      <alignment horizontal="center"/>
    </xf>
    <xf numFmtId="9" fontId="30" fillId="0" borderId="0" xfId="1154">
      <alignment horizontal="center"/>
    </xf>
    <xf numFmtId="0" fontId="27" fillId="0" borderId="14" xfId="3656">
      <alignment horizontal="left" indent="5"/>
    </xf>
    <xf numFmtId="0" fontId="42" fillId="33" borderId="18" xfId="0" applyFont="1" applyFill="1" applyBorder="1" applyAlignment="1">
      <alignment horizontal="center"/>
    </xf>
    <xf numFmtId="165" fontId="43" fillId="0" borderId="0" xfId="0" applyNumberFormat="1" applyFont="1"/>
    <xf numFmtId="0" fontId="42" fillId="0" borderId="18" xfId="0" applyFont="1" applyBorder="1" applyAlignment="1">
      <alignment horizontal="center"/>
    </xf>
    <xf numFmtId="2" fontId="38" fillId="0" borderId="13" xfId="0" applyNumberFormat="1" applyFont="1" applyBorder="1" applyAlignment="1">
      <alignment horizontal="center" vertical="top"/>
    </xf>
    <xf numFmtId="165" fontId="38" fillId="0" borderId="13" xfId="0" applyNumberFormat="1" applyFont="1" applyBorder="1" applyAlignment="1">
      <alignment horizontal="center" vertical="top"/>
    </xf>
    <xf numFmtId="165" fontId="38" fillId="0" borderId="0" xfId="0" applyNumberFormat="1" applyFont="1" applyAlignment="1">
      <alignment vertical="top"/>
    </xf>
    <xf numFmtId="0" fontId="58" fillId="0" borderId="16" xfId="3656" applyFont="1" applyBorder="1" applyAlignment="1">
      <alignment horizontal="left" vertical="top"/>
    </xf>
    <xf numFmtId="0" fontId="40" fillId="0" borderId="14" xfId="3656" applyFont="1" applyAlignment="1">
      <alignment horizontal="left" vertical="top" indent="1"/>
    </xf>
    <xf numFmtId="0" fontId="27" fillId="0" borderId="0" xfId="3656" applyBorder="1">
      <alignment horizontal="left" indent="5"/>
    </xf>
    <xf numFmtId="9" fontId="38" fillId="0" borderId="20" xfId="0" applyNumberFormat="1" applyFont="1" applyBorder="1" applyAlignment="1">
      <alignment horizontal="center"/>
    </xf>
    <xf numFmtId="165" fontId="38" fillId="0" borderId="13" xfId="0" applyNumberFormat="1" applyFont="1" applyBorder="1"/>
    <xf numFmtId="0" fontId="38" fillId="0" borderId="17" xfId="0" applyFont="1" applyBorder="1" applyAlignment="1">
      <alignment horizontal="left"/>
    </xf>
    <xf numFmtId="165" fontId="38" fillId="0" borderId="20" xfId="0" applyNumberFormat="1" applyFont="1" applyBorder="1"/>
    <xf numFmtId="0" fontId="38" fillId="0" borderId="13" xfId="0" applyFont="1" applyBorder="1" applyAlignment="1">
      <alignment horizontal="center"/>
    </xf>
    <xf numFmtId="165" fontId="38" fillId="0" borderId="20" xfId="0" applyNumberFormat="1" applyFont="1" applyBorder="1" applyAlignment="1">
      <alignment horizontal="center" vertical="top"/>
    </xf>
    <xf numFmtId="165" fontId="38" fillId="0" borderId="20" xfId="0" applyNumberFormat="1" applyFont="1" applyBorder="1" applyAlignment="1">
      <alignment horizontal="center"/>
    </xf>
    <xf numFmtId="166" fontId="38" fillId="0" borderId="20" xfId="0" applyNumberFormat="1" applyFont="1" applyBorder="1"/>
    <xf numFmtId="166" fontId="38" fillId="0" borderId="24" xfId="0" applyNumberFormat="1" applyFont="1" applyBorder="1"/>
    <xf numFmtId="165" fontId="55" fillId="0" borderId="13" xfId="0" applyNumberFormat="1" applyFont="1" applyBorder="1" applyAlignment="1">
      <alignment horizontal="center"/>
    </xf>
    <xf numFmtId="10" fontId="30" fillId="0" borderId="0" xfId="1154" applyNumberFormat="1">
      <alignment horizontal="center"/>
    </xf>
    <xf numFmtId="165" fontId="38" fillId="0" borderId="0" xfId="0" applyNumberFormat="1" applyFont="1" applyAlignment="1">
      <alignment horizontal="center"/>
    </xf>
    <xf numFmtId="165" fontId="38" fillId="0" borderId="13" xfId="0" applyNumberFormat="1" applyFont="1" applyBorder="1" applyAlignment="1">
      <alignment horizontal="center"/>
    </xf>
    <xf numFmtId="10" fontId="36" fillId="0" borderId="0" xfId="1154" applyNumberFormat="1" applyFont="1">
      <alignment horizontal="center"/>
    </xf>
    <xf numFmtId="165" fontId="38" fillId="0" borderId="20" xfId="0" applyNumberFormat="1" applyFont="1" applyBorder="1" applyAlignment="1">
      <alignment horizontal="center" vertical="center"/>
    </xf>
    <xf numFmtId="165" fontId="38" fillId="0" borderId="0" xfId="0" applyNumberFormat="1" applyFont="1" applyAlignment="1">
      <alignment horizontal="center" vertical="center"/>
    </xf>
    <xf numFmtId="165" fontId="38" fillId="0" borderId="13" xfId="0" applyNumberFormat="1" applyFont="1" applyBorder="1" applyAlignment="1">
      <alignment horizontal="center" vertical="center"/>
    </xf>
    <xf numFmtId="165" fontId="43" fillId="0" borderId="13" xfId="0" applyNumberFormat="1" applyFont="1" applyBorder="1" applyAlignment="1">
      <alignment horizontal="center"/>
    </xf>
    <xf numFmtId="165" fontId="44" fillId="0" borderId="20" xfId="0" applyNumberFormat="1" applyFont="1" applyBorder="1" applyAlignment="1">
      <alignment horizontal="center"/>
    </xf>
    <xf numFmtId="9" fontId="38" fillId="0" borderId="20" xfId="0" applyNumberFormat="1" applyFont="1" applyBorder="1" applyAlignment="1">
      <alignment horizontal="center" vertical="center"/>
    </xf>
    <xf numFmtId="0" fontId="39" fillId="40" borderId="0" xfId="50" applyFont="1" applyFill="1">
      <alignment horizontal="center"/>
    </xf>
    <xf numFmtId="165" fontId="39" fillId="41" borderId="0" xfId="0" applyNumberFormat="1" applyFont="1" applyFill="1" applyAlignment="1">
      <alignment horizontal="center"/>
    </xf>
    <xf numFmtId="0" fontId="39" fillId="42" borderId="0" xfId="50" applyFont="1" applyFill="1">
      <alignment horizontal="center"/>
    </xf>
    <xf numFmtId="0" fontId="39" fillId="43" borderId="0" xfId="50" applyFont="1" applyFill="1">
      <alignment horizontal="center"/>
    </xf>
    <xf numFmtId="0" fontId="39" fillId="37" borderId="0" xfId="50" applyFont="1" applyFill="1">
      <alignment horizontal="center"/>
    </xf>
    <xf numFmtId="165" fontId="39" fillId="38" borderId="0" xfId="0" applyNumberFormat="1" applyFont="1" applyFill="1" applyAlignment="1">
      <alignment horizontal="center"/>
    </xf>
    <xf numFmtId="165" fontId="39" fillId="34" borderId="0" xfId="0" applyNumberFormat="1" applyFont="1" applyFill="1" applyAlignment="1">
      <alignment horizontal="center"/>
    </xf>
    <xf numFmtId="0" fontId="39" fillId="36" borderId="0" xfId="50" applyFont="1" applyFill="1">
      <alignment horizontal="center"/>
    </xf>
    <xf numFmtId="0" fontId="39" fillId="44" borderId="0" xfId="50" applyFont="1" applyFill="1">
      <alignment horizontal="center"/>
    </xf>
    <xf numFmtId="0" fontId="39" fillId="35" borderId="0" xfId="50" applyFont="1" applyFill="1">
      <alignment horizontal="center"/>
    </xf>
    <xf numFmtId="0" fontId="39" fillId="39" borderId="0" xfId="50" applyFont="1" applyFill="1">
      <alignment horizontal="center"/>
    </xf>
    <xf numFmtId="0" fontId="39" fillId="45" borderId="0" xfId="50" applyFont="1" applyFill="1">
      <alignment horizontal="center"/>
    </xf>
    <xf numFmtId="165" fontId="39" fillId="46" borderId="0" xfId="0" applyNumberFormat="1" applyFont="1" applyFill="1" applyAlignment="1">
      <alignment horizontal="center"/>
    </xf>
    <xf numFmtId="165" fontId="63" fillId="0" borderId="10" xfId="0" applyNumberFormat="1" applyFont="1" applyBorder="1" applyAlignment="1">
      <alignment horizontal="left"/>
    </xf>
    <xf numFmtId="0" fontId="63" fillId="0" borderId="13" xfId="0" applyFont="1" applyBorder="1" applyAlignment="1">
      <alignment horizontal="center"/>
    </xf>
    <xf numFmtId="165" fontId="63" fillId="0" borderId="20" xfId="0" applyNumberFormat="1" applyFont="1" applyBorder="1" applyAlignment="1">
      <alignment horizontal="center"/>
    </xf>
    <xf numFmtId="165" fontId="64" fillId="0" borderId="13" xfId="0" applyNumberFormat="1" applyFont="1" applyBorder="1" applyAlignment="1">
      <alignment horizontal="center" vertical="top"/>
    </xf>
    <xf numFmtId="165" fontId="48" fillId="0" borderId="13" xfId="0" applyNumberFormat="1" applyFont="1" applyBorder="1" applyAlignment="1">
      <alignment horizontal="center" vertical="top"/>
    </xf>
    <xf numFmtId="10" fontId="38" fillId="0" borderId="20" xfId="0" applyNumberFormat="1" applyFont="1" applyBorder="1" applyAlignment="1">
      <alignment horizontal="center"/>
    </xf>
    <xf numFmtId="165" fontId="48" fillId="0" borderId="10" xfId="0" applyNumberFormat="1" applyFont="1" applyBorder="1" applyAlignment="1">
      <alignment horizontal="left"/>
    </xf>
    <xf numFmtId="0" fontId="48" fillId="0" borderId="13" xfId="0" applyFont="1" applyBorder="1" applyAlignment="1">
      <alignment horizontal="center"/>
    </xf>
    <xf numFmtId="9" fontId="48" fillId="0" borderId="20" xfId="0" applyNumberFormat="1" applyFont="1" applyBorder="1" applyAlignment="1">
      <alignment horizontal="center"/>
    </xf>
    <xf numFmtId="165" fontId="63" fillId="0" borderId="0" xfId="0" applyNumberFormat="1" applyFont="1" applyAlignment="1">
      <alignment horizontal="center"/>
    </xf>
    <xf numFmtId="165" fontId="63" fillId="0" borderId="13" xfId="0" applyNumberFormat="1" applyFont="1" applyBorder="1" applyAlignment="1">
      <alignment horizontal="center"/>
    </xf>
    <xf numFmtId="165" fontId="63" fillId="0" borderId="13" xfId="0" applyNumberFormat="1" applyFont="1" applyBorder="1" applyAlignment="1">
      <alignment horizontal="center" vertical="top"/>
    </xf>
    <xf numFmtId="165" fontId="55" fillId="0" borderId="20" xfId="0" applyNumberFormat="1" applyFont="1" applyBorder="1" applyAlignment="1">
      <alignment horizontal="center" vertical="top"/>
    </xf>
    <xf numFmtId="165" fontId="63" fillId="0" borderId="10" xfId="0" applyNumberFormat="1" applyFont="1" applyBorder="1" applyAlignment="1">
      <alignment horizontal="center"/>
    </xf>
    <xf numFmtId="10" fontId="63" fillId="0" borderId="20" xfId="0" applyNumberFormat="1" applyFont="1" applyBorder="1" applyAlignment="1">
      <alignment horizontal="center"/>
    </xf>
    <xf numFmtId="165" fontId="59" fillId="0" borderId="20" xfId="0" applyNumberFormat="1" applyFont="1" applyBorder="1" applyAlignment="1">
      <alignment horizontal="center"/>
    </xf>
    <xf numFmtId="165" fontId="61" fillId="0" borderId="20" xfId="0" applyNumberFormat="1" applyFont="1" applyBorder="1" applyAlignment="1">
      <alignment horizontal="center" vertical="top"/>
    </xf>
    <xf numFmtId="165" fontId="38" fillId="0" borderId="10" xfId="0" applyNumberFormat="1" applyFont="1" applyBorder="1" applyAlignment="1">
      <alignment horizontal="left"/>
    </xf>
    <xf numFmtId="165" fontId="63" fillId="0" borderId="20" xfId="0" applyNumberFormat="1" applyFont="1" applyBorder="1" applyAlignment="1">
      <alignment horizontal="center" vertical="top"/>
    </xf>
    <xf numFmtId="165" fontId="48" fillId="0" borderId="20" xfId="0" applyNumberFormat="1" applyFont="1" applyBorder="1" applyAlignment="1">
      <alignment horizontal="center"/>
    </xf>
    <xf numFmtId="165" fontId="48" fillId="0" borderId="20" xfId="0" applyNumberFormat="1" applyFont="1" applyBorder="1" applyAlignment="1">
      <alignment horizontal="center" vertical="top"/>
    </xf>
    <xf numFmtId="165" fontId="55" fillId="0" borderId="13" xfId="0" applyNumberFormat="1" applyFont="1" applyBorder="1" applyAlignment="1">
      <alignment horizontal="center" vertical="top"/>
    </xf>
    <xf numFmtId="165" fontId="48" fillId="0" borderId="0" xfId="0" applyNumberFormat="1" applyFont="1" applyAlignment="1">
      <alignment horizontal="center"/>
    </xf>
    <xf numFmtId="165" fontId="38" fillId="0" borderId="0" xfId="0" applyNumberFormat="1" applyFont="1" applyAlignment="1">
      <alignment vertical="center"/>
    </xf>
    <xf numFmtId="165" fontId="66" fillId="0" borderId="13" xfId="0" applyNumberFormat="1" applyFont="1" applyBorder="1" applyAlignment="1">
      <alignment horizontal="center" vertical="top"/>
    </xf>
    <xf numFmtId="165" fontId="67" fillId="0" borderId="0" xfId="0" applyNumberFormat="1" applyFont="1"/>
    <xf numFmtId="2" fontId="46" fillId="0" borderId="0" xfId="0" applyNumberFormat="1" applyFont="1"/>
    <xf numFmtId="9" fontId="36" fillId="0" borderId="33" xfId="1154" applyFont="1" applyBorder="1">
      <alignment horizontal="center"/>
    </xf>
    <xf numFmtId="165" fontId="38" fillId="0" borderId="33" xfId="0" applyNumberFormat="1" applyFont="1" applyBorder="1"/>
    <xf numFmtId="1" fontId="48" fillId="0" borderId="13" xfId="0" applyNumberFormat="1" applyFont="1" applyBorder="1" applyAlignment="1">
      <alignment horizontal="center"/>
    </xf>
    <xf numFmtId="165" fontId="38" fillId="0" borderId="24" xfId="0" applyNumberFormat="1" applyFont="1" applyBorder="1"/>
    <xf numFmtId="165" fontId="45" fillId="0" borderId="22" xfId="0" applyNumberFormat="1" applyFont="1" applyBorder="1"/>
    <xf numFmtId="165" fontId="55" fillId="0" borderId="22" xfId="0" applyNumberFormat="1" applyFont="1" applyBorder="1" applyAlignment="1">
      <alignment horizontal="center"/>
    </xf>
    <xf numFmtId="165" fontId="59" fillId="0" borderId="20" xfId="0" applyNumberFormat="1" applyFont="1" applyBorder="1" applyAlignment="1">
      <alignment horizontal="center" vertical="top"/>
    </xf>
    <xf numFmtId="0" fontId="38" fillId="0" borderId="0" xfId="0" applyFont="1"/>
    <xf numFmtId="165" fontId="59" fillId="0" borderId="20" xfId="0" applyNumberFormat="1" applyFont="1" applyBorder="1"/>
    <xf numFmtId="0" fontId="61" fillId="0" borderId="13" xfId="0" applyFont="1" applyBorder="1" applyAlignment="1">
      <alignment horizontal="center"/>
    </xf>
    <xf numFmtId="2" fontId="59" fillId="0" borderId="13" xfId="0" applyNumberFormat="1" applyFont="1" applyBorder="1" applyAlignment="1">
      <alignment horizontal="center" vertical="top"/>
    </xf>
    <xf numFmtId="165" fontId="48" fillId="0" borderId="0" xfId="0" applyNumberFormat="1" applyFont="1"/>
    <xf numFmtId="9" fontId="55" fillId="0" borderId="20" xfId="0" applyNumberFormat="1" applyFont="1" applyBorder="1" applyAlignment="1">
      <alignment horizontal="center"/>
    </xf>
    <xf numFmtId="165" fontId="38" fillId="0" borderId="0" xfId="0" applyNumberFormat="1" applyFont="1" applyAlignment="1">
      <alignment vertical="center" wrapText="1"/>
    </xf>
    <xf numFmtId="165" fontId="59" fillId="0" borderId="13" xfId="0" applyNumberFormat="1" applyFont="1" applyBorder="1"/>
    <xf numFmtId="165" fontId="59" fillId="0" borderId="0" xfId="0" applyNumberFormat="1" applyFont="1"/>
    <xf numFmtId="166" fontId="38" fillId="0" borderId="0" xfId="0" applyNumberFormat="1" applyFont="1"/>
    <xf numFmtId="165" fontId="54" fillId="0" borderId="0" xfId="0" applyNumberFormat="1" applyFont="1"/>
    <xf numFmtId="0" fontId="38" fillId="0" borderId="13" xfId="0" applyFont="1" applyBorder="1" applyAlignment="1">
      <alignment horizontal="center" vertical="center"/>
    </xf>
    <xf numFmtId="165" fontId="48" fillId="0" borderId="13" xfId="0" applyNumberFormat="1" applyFont="1" applyBorder="1" applyAlignment="1">
      <alignment horizontal="center" vertical="center"/>
    </xf>
    <xf numFmtId="165" fontId="59" fillId="0" borderId="20" xfId="0" applyNumberFormat="1" applyFont="1" applyBorder="1" applyAlignment="1">
      <alignment horizontal="center" vertical="center"/>
    </xf>
    <xf numFmtId="165" fontId="64" fillId="0" borderId="0" xfId="0" applyNumberFormat="1" applyFont="1"/>
    <xf numFmtId="165" fontId="64" fillId="0" borderId="0" xfId="0" applyNumberFormat="1" applyFont="1" applyAlignment="1">
      <alignment horizontal="center" vertical="top"/>
    </xf>
    <xf numFmtId="0" fontId="63" fillId="0" borderId="0" xfId="0" applyFont="1" applyAlignment="1">
      <alignment horizontal="center"/>
    </xf>
    <xf numFmtId="0" fontId="64" fillId="0" borderId="0" xfId="0" applyFont="1" applyAlignment="1">
      <alignment horizontal="center" vertical="center"/>
    </xf>
    <xf numFmtId="2" fontId="64" fillId="0" borderId="0" xfId="0" applyNumberFormat="1" applyFont="1" applyAlignment="1">
      <alignment horizontal="center" vertical="top"/>
    </xf>
    <xf numFmtId="0" fontId="63" fillId="0" borderId="0" xfId="0" applyFont="1" applyAlignment="1">
      <alignment horizontal="left"/>
    </xf>
    <xf numFmtId="165" fontId="55" fillId="0" borderId="0" xfId="0" applyNumberFormat="1" applyFont="1"/>
    <xf numFmtId="165" fontId="48" fillId="0" borderId="13" xfId="0" applyNumberFormat="1" applyFont="1" applyBorder="1" applyAlignment="1">
      <alignment horizontal="center"/>
    </xf>
    <xf numFmtId="165" fontId="64" fillId="0" borderId="13" xfId="0" applyNumberFormat="1" applyFont="1" applyBorder="1" applyAlignment="1">
      <alignment horizontal="center"/>
    </xf>
    <xf numFmtId="165" fontId="61" fillId="0" borderId="10" xfId="0" applyNumberFormat="1" applyFont="1" applyBorder="1" applyAlignment="1">
      <alignment horizontal="left"/>
    </xf>
    <xf numFmtId="165" fontId="61" fillId="0" borderId="0" xfId="0" applyNumberFormat="1" applyFont="1" applyAlignment="1">
      <alignment horizontal="center"/>
    </xf>
    <xf numFmtId="165" fontId="61" fillId="0" borderId="20" xfId="0" applyNumberFormat="1" applyFont="1" applyBorder="1" applyAlignment="1">
      <alignment horizontal="center"/>
    </xf>
    <xf numFmtId="10" fontId="61" fillId="0" borderId="20" xfId="0" applyNumberFormat="1" applyFont="1" applyBorder="1" applyAlignment="1">
      <alignment horizontal="center"/>
    </xf>
    <xf numFmtId="165" fontId="55" fillId="0" borderId="13" xfId="0" applyNumberFormat="1" applyFont="1" applyBorder="1"/>
    <xf numFmtId="2" fontId="59" fillId="0" borderId="12" xfId="0" applyNumberFormat="1" applyFont="1" applyBorder="1" applyAlignment="1">
      <alignment horizontal="center" vertical="top"/>
    </xf>
    <xf numFmtId="165" fontId="55" fillId="0" borderId="13" xfId="0" applyNumberFormat="1" applyFont="1" applyBorder="1" applyAlignment="1">
      <alignment horizontal="center" vertical="center"/>
    </xf>
    <xf numFmtId="0" fontId="4" fillId="0" borderId="0" xfId="24615"/>
    <xf numFmtId="165" fontId="38" fillId="0" borderId="0" xfId="24615" applyNumberFormat="1" applyFont="1"/>
    <xf numFmtId="165" fontId="38" fillId="0" borderId="13" xfId="24615" applyNumberFormat="1" applyFont="1" applyBorder="1" applyAlignment="1">
      <alignment horizontal="center"/>
    </xf>
    <xf numFmtId="165" fontId="38" fillId="0" borderId="13" xfId="24615" applyNumberFormat="1" applyFont="1" applyBorder="1"/>
    <xf numFmtId="165" fontId="38" fillId="0" borderId="20" xfId="24615" applyNumberFormat="1" applyFont="1" applyBorder="1"/>
    <xf numFmtId="166" fontId="38" fillId="0" borderId="20" xfId="24615" applyNumberFormat="1" applyFont="1" applyBorder="1"/>
    <xf numFmtId="0" fontId="69" fillId="50" borderId="19" xfId="24615" applyFont="1" applyFill="1" applyBorder="1" applyAlignment="1">
      <alignment horizontal="center" vertical="center"/>
    </xf>
    <xf numFmtId="0" fontId="69" fillId="46" borderId="19" xfId="24615" applyFont="1" applyFill="1" applyBorder="1" applyAlignment="1">
      <alignment horizontal="center" vertical="center"/>
    </xf>
    <xf numFmtId="0" fontId="69" fillId="40" borderId="19" xfId="24615" applyFont="1" applyFill="1" applyBorder="1" applyAlignment="1">
      <alignment horizontal="center" vertical="center"/>
    </xf>
    <xf numFmtId="0" fontId="69" fillId="49" borderId="19" xfId="24615" applyFont="1" applyFill="1" applyBorder="1" applyAlignment="1">
      <alignment horizontal="center" vertical="center"/>
    </xf>
    <xf numFmtId="10" fontId="53" fillId="0" borderId="19" xfId="24615" applyNumberFormat="1" applyFont="1" applyBorder="1" applyAlignment="1">
      <alignment horizontal="center" vertical="center"/>
    </xf>
    <xf numFmtId="165" fontId="59" fillId="0" borderId="20" xfId="24615" applyNumberFormat="1" applyFont="1" applyBorder="1"/>
    <xf numFmtId="165" fontId="44" fillId="0" borderId="20" xfId="24615" applyNumberFormat="1" applyFont="1" applyBorder="1"/>
    <xf numFmtId="165" fontId="44" fillId="0" borderId="20" xfId="24615" applyNumberFormat="1" applyFont="1" applyBorder="1" applyAlignment="1">
      <alignment horizontal="center"/>
    </xf>
    <xf numFmtId="165" fontId="43" fillId="0" borderId="13" xfId="24615" applyNumberFormat="1" applyFont="1" applyBorder="1" applyAlignment="1">
      <alignment horizontal="center"/>
    </xf>
    <xf numFmtId="0" fontId="42" fillId="33" borderId="18" xfId="24615" applyFont="1" applyFill="1" applyBorder="1" applyAlignment="1">
      <alignment horizontal="center"/>
    </xf>
    <xf numFmtId="0" fontId="53" fillId="0" borderId="0" xfId="24615" applyFont="1"/>
    <xf numFmtId="0" fontId="53" fillId="0" borderId="0" xfId="24615" applyFont="1" applyAlignment="1">
      <alignment horizontal="center" vertical="center"/>
    </xf>
    <xf numFmtId="0" fontId="69" fillId="0" borderId="19" xfId="24615" applyFont="1" applyBorder="1" applyAlignment="1">
      <alignment horizontal="center" vertical="center" wrapText="1"/>
    </xf>
    <xf numFmtId="0" fontId="69" fillId="0" borderId="19" xfId="24615" applyFont="1" applyBorder="1" applyAlignment="1">
      <alignment horizontal="center" vertical="center"/>
    </xf>
    <xf numFmtId="0" fontId="21" fillId="0" borderId="19" xfId="24615" applyFont="1" applyBorder="1" applyAlignment="1">
      <alignment horizontal="center" vertical="center"/>
    </xf>
    <xf numFmtId="0" fontId="23" fillId="0" borderId="0" xfId="24615" applyFont="1" applyAlignment="1">
      <alignment horizontal="center" vertical="center"/>
    </xf>
    <xf numFmtId="0" fontId="69" fillId="0" borderId="0" xfId="24615" applyFont="1" applyAlignment="1">
      <alignment horizontal="center" vertical="center"/>
    </xf>
    <xf numFmtId="165" fontId="59" fillId="0" borderId="13" xfId="24615" applyNumberFormat="1" applyFont="1" applyBorder="1"/>
    <xf numFmtId="165" fontId="54" fillId="0" borderId="13" xfId="24615" applyNumberFormat="1" applyFont="1" applyBorder="1"/>
    <xf numFmtId="165" fontId="43" fillId="0" borderId="0" xfId="24615" applyNumberFormat="1" applyFont="1" applyAlignment="1">
      <alignment horizontal="center"/>
    </xf>
    <xf numFmtId="0" fontId="38" fillId="0" borderId="13" xfId="24615" applyFont="1" applyBorder="1" applyAlignment="1">
      <alignment horizontal="left"/>
    </xf>
    <xf numFmtId="1" fontId="38" fillId="0" borderId="13" xfId="24615" applyNumberFormat="1" applyFont="1" applyBorder="1" applyAlignment="1">
      <alignment horizontal="center"/>
    </xf>
    <xf numFmtId="165" fontId="38" fillId="0" borderId="20" xfId="24615" applyNumberFormat="1" applyFont="1" applyBorder="1" applyAlignment="1">
      <alignment horizontal="center"/>
    </xf>
    <xf numFmtId="0" fontId="38" fillId="0" borderId="13" xfId="24615" applyFont="1" applyBorder="1" applyAlignment="1">
      <alignment horizontal="center" vertical="center"/>
    </xf>
    <xf numFmtId="165" fontId="38" fillId="0" borderId="20" xfId="24615" applyNumberFormat="1" applyFont="1" applyBorder="1" applyAlignment="1">
      <alignment horizontal="center" vertical="center"/>
    </xf>
    <xf numFmtId="9" fontId="38" fillId="0" borderId="20" xfId="24615" applyNumberFormat="1" applyFont="1" applyBorder="1" applyAlignment="1">
      <alignment horizontal="center"/>
    </xf>
    <xf numFmtId="165" fontId="39" fillId="51" borderId="0" xfId="0" applyNumberFormat="1" applyFont="1" applyFill="1" applyAlignment="1">
      <alignment horizontal="center"/>
    </xf>
    <xf numFmtId="165" fontId="57" fillId="0" borderId="20" xfId="0" applyNumberFormat="1" applyFont="1" applyBorder="1" applyAlignment="1">
      <alignment horizontal="center" vertical="top"/>
    </xf>
    <xf numFmtId="10" fontId="36" fillId="0" borderId="0" xfId="24613" applyNumberFormat="1" applyFont="1" applyAlignment="1">
      <alignment horizontal="center"/>
    </xf>
    <xf numFmtId="165" fontId="55" fillId="0" borderId="20" xfId="0" applyNumberFormat="1" applyFont="1" applyBorder="1" applyAlignment="1">
      <alignment horizontal="center" vertical="center"/>
    </xf>
    <xf numFmtId="165" fontId="57" fillId="0" borderId="13" xfId="0" applyNumberFormat="1" applyFont="1" applyBorder="1" applyAlignment="1">
      <alignment horizontal="center" vertical="top"/>
    </xf>
    <xf numFmtId="165" fontId="59" fillId="0" borderId="12" xfId="0" applyNumberFormat="1" applyFont="1" applyBorder="1"/>
    <xf numFmtId="0" fontId="39" fillId="38" borderId="0" xfId="50" applyFont="1" applyFill="1">
      <alignment horizontal="center"/>
    </xf>
    <xf numFmtId="165" fontId="53" fillId="0" borderId="0" xfId="24615" applyNumberFormat="1" applyFont="1" applyAlignment="1">
      <alignment horizontal="center" vertical="center" wrapText="1"/>
    </xf>
    <xf numFmtId="0" fontId="53" fillId="0" borderId="31" xfId="24615" applyFont="1" applyBorder="1" applyAlignment="1">
      <alignment horizontal="center" vertical="center"/>
    </xf>
    <xf numFmtId="0" fontId="53" fillId="0" borderId="13" xfId="24615" applyFont="1" applyBorder="1" applyAlignment="1">
      <alignment horizontal="center" vertical="center"/>
    </xf>
    <xf numFmtId="0" fontId="53" fillId="0" borderId="36" xfId="24615" applyFont="1" applyBorder="1" applyAlignment="1">
      <alignment horizontal="center" vertical="center"/>
    </xf>
    <xf numFmtId="165" fontId="69" fillId="0" borderId="19" xfId="24615" applyNumberFormat="1" applyFont="1" applyBorder="1" applyAlignment="1">
      <alignment horizontal="center" vertical="center"/>
    </xf>
    <xf numFmtId="165" fontId="21" fillId="0" borderId="19" xfId="24615" applyNumberFormat="1" applyFont="1" applyBorder="1" applyAlignment="1">
      <alignment horizontal="center" vertical="center"/>
    </xf>
    <xf numFmtId="0" fontId="69" fillId="0" borderId="13" xfId="24615" applyFont="1" applyBorder="1" applyAlignment="1">
      <alignment horizontal="center" vertical="center"/>
    </xf>
    <xf numFmtId="0" fontId="69" fillId="0" borderId="36" xfId="24615" applyFont="1" applyBorder="1" applyAlignment="1">
      <alignment horizontal="center" vertical="center"/>
    </xf>
    <xf numFmtId="165" fontId="38" fillId="0" borderId="0" xfId="24615" applyNumberFormat="1" applyFont="1" applyAlignment="1">
      <alignment horizontal="center"/>
    </xf>
    <xf numFmtId="2" fontId="59" fillId="0" borderId="0" xfId="24615" applyNumberFormat="1" applyFont="1" applyAlignment="1">
      <alignment horizontal="center" vertical="top"/>
    </xf>
    <xf numFmtId="165" fontId="52" fillId="0" borderId="13" xfId="24615" applyNumberFormat="1" applyFont="1" applyBorder="1" applyAlignment="1">
      <alignment horizontal="center" vertical="center"/>
    </xf>
    <xf numFmtId="2" fontId="38" fillId="0" borderId="13" xfId="24615" applyNumberFormat="1" applyFont="1" applyBorder="1" applyAlignment="1">
      <alignment horizontal="center" vertical="top"/>
    </xf>
    <xf numFmtId="165" fontId="62" fillId="0" borderId="13" xfId="24615" applyNumberFormat="1" applyFont="1" applyBorder="1" applyAlignment="1">
      <alignment horizontal="center"/>
    </xf>
    <xf numFmtId="0" fontId="62" fillId="0" borderId="12" xfId="24615" applyFont="1" applyBorder="1" applyAlignment="1">
      <alignment horizontal="center"/>
    </xf>
    <xf numFmtId="165" fontId="62" fillId="0" borderId="0" xfId="24615" applyNumberFormat="1" applyFont="1" applyAlignment="1">
      <alignment horizontal="center"/>
    </xf>
    <xf numFmtId="1" fontId="62" fillId="0" borderId="13" xfId="24615" applyNumberFormat="1" applyFont="1" applyBorder="1" applyAlignment="1">
      <alignment horizontal="center"/>
    </xf>
    <xf numFmtId="165" fontId="55" fillId="0" borderId="13" xfId="24615" applyNumberFormat="1" applyFont="1" applyBorder="1" applyAlignment="1">
      <alignment horizontal="center"/>
    </xf>
    <xf numFmtId="0" fontId="62" fillId="0" borderId="13" xfId="24615" applyFont="1" applyBorder="1" applyAlignment="1">
      <alignment horizontal="left"/>
    </xf>
    <xf numFmtId="0" fontId="62" fillId="0" borderId="17" xfId="24615" applyFont="1" applyBorder="1" applyAlignment="1">
      <alignment horizontal="left"/>
    </xf>
    <xf numFmtId="0" fontId="38" fillId="0" borderId="13" xfId="24615" applyFont="1" applyBorder="1" applyAlignment="1">
      <alignment horizontal="center"/>
    </xf>
    <xf numFmtId="0" fontId="38" fillId="0" borderId="17" xfId="24615" applyFont="1" applyBorder="1" applyAlignment="1">
      <alignment horizontal="left"/>
    </xf>
    <xf numFmtId="165" fontId="62" fillId="0" borderId="20" xfId="24615" applyNumberFormat="1" applyFont="1" applyBorder="1" applyAlignment="1">
      <alignment horizontal="center"/>
    </xf>
    <xf numFmtId="0" fontId="62" fillId="0" borderId="13" xfId="24615" applyFont="1" applyBorder="1" applyAlignment="1">
      <alignment horizontal="center"/>
    </xf>
    <xf numFmtId="165" fontId="47" fillId="0" borderId="19" xfId="24615" applyNumberFormat="1" applyFont="1" applyBorder="1" applyAlignment="1">
      <alignment horizontal="center"/>
    </xf>
    <xf numFmtId="165" fontId="38" fillId="0" borderId="24" xfId="24615" applyNumberFormat="1" applyFont="1" applyBorder="1"/>
    <xf numFmtId="166" fontId="38" fillId="0" borderId="24" xfId="24615" applyNumberFormat="1" applyFont="1" applyBorder="1"/>
    <xf numFmtId="165" fontId="44" fillId="0" borderId="24" xfId="24615" applyNumberFormat="1" applyFont="1" applyBorder="1"/>
    <xf numFmtId="165" fontId="44" fillId="0" borderId="24" xfId="24615" applyNumberFormat="1" applyFont="1" applyBorder="1" applyAlignment="1">
      <alignment horizontal="center"/>
    </xf>
    <xf numFmtId="165" fontId="43" fillId="0" borderId="22" xfId="24615" applyNumberFormat="1" applyFont="1" applyBorder="1" applyAlignment="1">
      <alignment horizontal="center"/>
    </xf>
    <xf numFmtId="0" fontId="42" fillId="0" borderId="18" xfId="24615" applyFont="1" applyBorder="1" applyAlignment="1">
      <alignment horizontal="center"/>
    </xf>
    <xf numFmtId="165" fontId="43" fillId="0" borderId="0" xfId="24615" applyNumberFormat="1" applyFont="1"/>
    <xf numFmtId="165" fontId="45" fillId="0" borderId="13" xfId="24615" applyNumberFormat="1" applyFont="1" applyBorder="1"/>
    <xf numFmtId="165" fontId="65" fillId="0" borderId="19" xfId="24615" applyNumberFormat="1" applyFont="1" applyBorder="1" applyAlignment="1">
      <alignment vertical="center" wrapText="1"/>
    </xf>
    <xf numFmtId="165" fontId="55" fillId="0" borderId="0" xfId="24615" applyNumberFormat="1" applyFont="1"/>
    <xf numFmtId="165" fontId="76" fillId="0" borderId="10" xfId="24615" applyNumberFormat="1" applyFont="1" applyBorder="1" applyAlignment="1">
      <alignment horizontal="left" indent="5"/>
    </xf>
    <xf numFmtId="0" fontId="80" fillId="0" borderId="0" xfId="24615" applyFont="1" applyAlignment="1">
      <alignment horizontal="left"/>
    </xf>
    <xf numFmtId="0" fontId="80" fillId="0" borderId="13" xfId="24615" applyFont="1" applyBorder="1" applyAlignment="1">
      <alignment horizontal="center"/>
    </xf>
    <xf numFmtId="0" fontId="80" fillId="0" borderId="0" xfId="24615" applyFont="1" applyAlignment="1">
      <alignment horizontal="center"/>
    </xf>
    <xf numFmtId="0" fontId="80" fillId="0" borderId="13" xfId="24615" applyFont="1" applyBorder="1" applyAlignment="1">
      <alignment horizontal="left"/>
    </xf>
    <xf numFmtId="166" fontId="62" fillId="0" borderId="20" xfId="24615" applyNumberFormat="1" applyFont="1" applyBorder="1"/>
    <xf numFmtId="0" fontId="48" fillId="0" borderId="13" xfId="24615" applyFont="1" applyBorder="1" applyAlignment="1">
      <alignment horizontal="left"/>
    </xf>
    <xf numFmtId="0" fontId="59" fillId="0" borderId="17" xfId="24615" applyFont="1" applyBorder="1" applyAlignment="1">
      <alignment horizontal="left"/>
    </xf>
    <xf numFmtId="165" fontId="55" fillId="0" borderId="22" xfId="24615" applyNumberFormat="1" applyFont="1" applyBorder="1" applyAlignment="1">
      <alignment horizontal="center"/>
    </xf>
    <xf numFmtId="165" fontId="45" fillId="0" borderId="22" xfId="24615" applyNumberFormat="1" applyFont="1" applyBorder="1"/>
    <xf numFmtId="0" fontId="48" fillId="0" borderId="17" xfId="24615" applyFont="1" applyBorder="1" applyAlignment="1">
      <alignment horizontal="left"/>
    </xf>
    <xf numFmtId="165" fontId="38" fillId="0" borderId="35" xfId="0" applyNumberFormat="1" applyFont="1" applyBorder="1" applyAlignment="1">
      <alignment horizontal="left"/>
    </xf>
    <xf numFmtId="0" fontId="48" fillId="0" borderId="13" xfId="24615" applyFont="1" applyBorder="1" applyAlignment="1">
      <alignment horizontal="center"/>
    </xf>
    <xf numFmtId="165" fontId="48" fillId="0" borderId="0" xfId="24615" applyNumberFormat="1" applyFont="1" applyAlignment="1">
      <alignment horizontal="center"/>
    </xf>
    <xf numFmtId="10" fontId="48" fillId="0" borderId="0" xfId="24615" applyNumberFormat="1" applyFont="1" applyAlignment="1">
      <alignment horizontal="center"/>
    </xf>
    <xf numFmtId="165" fontId="48" fillId="52" borderId="19" xfId="0" applyNumberFormat="1" applyFont="1" applyFill="1" applyBorder="1" applyAlignment="1">
      <alignment horizontal="center" vertical="center" wrapText="1"/>
    </xf>
    <xf numFmtId="169" fontId="38" fillId="0" borderId="19" xfId="24613" applyNumberFormat="1" applyFont="1" applyBorder="1" applyAlignment="1">
      <alignment horizontal="center" vertical="center"/>
    </xf>
    <xf numFmtId="165" fontId="63" fillId="0" borderId="35" xfId="0" applyNumberFormat="1" applyFont="1" applyBorder="1" applyAlignment="1">
      <alignment horizontal="left"/>
    </xf>
    <xf numFmtId="165" fontId="38" fillId="0" borderId="10" xfId="0" applyNumberFormat="1" applyFont="1" applyBorder="1" applyAlignment="1">
      <alignment horizontal="center"/>
    </xf>
    <xf numFmtId="165" fontId="63" fillId="0" borderId="0" xfId="0" applyNumberFormat="1" applyFont="1" applyAlignment="1">
      <alignment horizontal="center" vertical="top"/>
    </xf>
    <xf numFmtId="0" fontId="48" fillId="0" borderId="35" xfId="0" applyFont="1" applyBorder="1" applyAlignment="1">
      <alignment horizontal="left"/>
    </xf>
    <xf numFmtId="0" fontId="57" fillId="0" borderId="0" xfId="24615" applyFont="1" applyAlignment="1">
      <alignment horizontal="left"/>
    </xf>
    <xf numFmtId="0" fontId="57" fillId="0" borderId="0" xfId="24615" applyFont="1" applyAlignment="1">
      <alignment horizontal="center"/>
    </xf>
    <xf numFmtId="165" fontId="57" fillId="0" borderId="0" xfId="24615" applyNumberFormat="1" applyFont="1" applyAlignment="1">
      <alignment horizontal="center"/>
    </xf>
    <xf numFmtId="0" fontId="84" fillId="40" borderId="0" xfId="50" applyFont="1" applyFill="1">
      <alignment horizontal="center"/>
    </xf>
    <xf numFmtId="165" fontId="84" fillId="46" borderId="0" xfId="0" applyNumberFormat="1" applyFont="1" applyFill="1" applyAlignment="1">
      <alignment horizontal="center"/>
    </xf>
    <xf numFmtId="165" fontId="84" fillId="51" borderId="0" xfId="0" applyNumberFormat="1" applyFont="1" applyFill="1" applyAlignment="1">
      <alignment horizontal="center"/>
    </xf>
    <xf numFmtId="0" fontId="84" fillId="43" borderId="0" xfId="50" applyFont="1" applyFill="1">
      <alignment horizontal="center"/>
    </xf>
    <xf numFmtId="0" fontId="84" fillId="42" borderId="0" xfId="50" applyFont="1" applyFill="1">
      <alignment horizontal="center"/>
    </xf>
    <xf numFmtId="0" fontId="84" fillId="38" borderId="0" xfId="50" applyFont="1" applyFill="1">
      <alignment horizontal="center"/>
    </xf>
    <xf numFmtId="0" fontId="84" fillId="52" borderId="0" xfId="50" applyFont="1" applyFill="1">
      <alignment horizontal="center"/>
    </xf>
    <xf numFmtId="2" fontId="38" fillId="0" borderId="12" xfId="24615" applyNumberFormat="1" applyFont="1" applyBorder="1" applyAlignment="1">
      <alignment horizontal="center" vertical="top"/>
    </xf>
    <xf numFmtId="0" fontId="38" fillId="0" borderId="37" xfId="0" applyFont="1" applyBorder="1" applyAlignment="1">
      <alignment horizontal="left"/>
    </xf>
    <xf numFmtId="0" fontId="38" fillId="0" borderId="37" xfId="0" applyFont="1" applyBorder="1" applyAlignment="1">
      <alignment horizontal="left" vertical="center"/>
    </xf>
    <xf numFmtId="0" fontId="63" fillId="0" borderId="37" xfId="0" applyFont="1" applyBorder="1" applyAlignment="1">
      <alignment horizontal="left"/>
    </xf>
    <xf numFmtId="165" fontId="59" fillId="0" borderId="13" xfId="0" applyNumberFormat="1" applyFont="1" applyBorder="1" applyAlignment="1">
      <alignment horizontal="center"/>
    </xf>
    <xf numFmtId="165" fontId="86" fillId="0" borderId="13" xfId="0" applyNumberFormat="1" applyFont="1" applyBorder="1" applyAlignment="1">
      <alignment horizontal="center"/>
    </xf>
    <xf numFmtId="9" fontId="59" fillId="0" borderId="20" xfId="0" applyNumberFormat="1" applyFont="1" applyBorder="1" applyAlignment="1">
      <alignment horizontal="center"/>
    </xf>
    <xf numFmtId="10" fontId="38" fillId="0" borderId="0" xfId="0" applyNumberFormat="1" applyFont="1" applyAlignment="1">
      <alignment horizontal="center"/>
    </xf>
    <xf numFmtId="165" fontId="85" fillId="0" borderId="13" xfId="0" applyNumberFormat="1" applyFont="1" applyBorder="1" applyAlignment="1">
      <alignment horizontal="center" vertical="top"/>
    </xf>
    <xf numFmtId="165" fontId="38" fillId="0" borderId="10" xfId="0" applyNumberFormat="1" applyFont="1" applyBorder="1" applyAlignment="1">
      <alignment horizontal="left" vertical="center" wrapText="1"/>
    </xf>
    <xf numFmtId="165" fontId="57" fillId="0" borderId="13" xfId="0" applyNumberFormat="1" applyFont="1" applyBorder="1" applyAlignment="1">
      <alignment horizontal="center"/>
    </xf>
    <xf numFmtId="0" fontId="48" fillId="0" borderId="37" xfId="0" applyFont="1" applyBorder="1" applyAlignment="1">
      <alignment horizontal="left"/>
    </xf>
    <xf numFmtId="0" fontId="38" fillId="0" borderId="35" xfId="0" applyFont="1" applyBorder="1" applyAlignment="1">
      <alignment horizontal="left" vertical="center"/>
    </xf>
    <xf numFmtId="0" fontId="38" fillId="0" borderId="35" xfId="0" applyFont="1" applyBorder="1" applyAlignment="1">
      <alignment horizontal="left"/>
    </xf>
    <xf numFmtId="0" fontId="61" fillId="0" borderId="37" xfId="0" applyFont="1" applyBorder="1" applyAlignment="1">
      <alignment horizontal="left"/>
    </xf>
    <xf numFmtId="0" fontId="48" fillId="0" borderId="34" xfId="0" applyFont="1" applyBorder="1" applyAlignment="1">
      <alignment horizontal="left"/>
    </xf>
    <xf numFmtId="0" fontId="38" fillId="0" borderId="37" xfId="0" applyFont="1" applyBorder="1"/>
    <xf numFmtId="0" fontId="59" fillId="0" borderId="17" xfId="0" applyFont="1" applyBorder="1" applyAlignment="1">
      <alignment horizontal="left"/>
    </xf>
    <xf numFmtId="165" fontId="59" fillId="0" borderId="10" xfId="0" applyNumberFormat="1" applyFont="1" applyBorder="1" applyAlignment="1">
      <alignment horizontal="left"/>
    </xf>
    <xf numFmtId="0" fontId="59" fillId="0" borderId="13" xfId="0" applyFont="1" applyBorder="1" applyAlignment="1">
      <alignment horizontal="center"/>
    </xf>
    <xf numFmtId="169" fontId="38" fillId="0" borderId="29" xfId="24613" applyNumberFormat="1" applyFont="1" applyBorder="1" applyAlignment="1">
      <alignment horizontal="center" vertical="center"/>
    </xf>
    <xf numFmtId="0" fontId="59" fillId="0" borderId="37" xfId="0" applyFont="1" applyBorder="1" applyAlignment="1">
      <alignment horizontal="left"/>
    </xf>
    <xf numFmtId="0" fontId="0" fillId="0" borderId="0" xfId="24615" applyFont="1"/>
    <xf numFmtId="169" fontId="53" fillId="0" borderId="19" xfId="24615" applyNumberFormat="1" applyFont="1" applyBorder="1" applyAlignment="1">
      <alignment horizontal="center" vertical="center"/>
    </xf>
    <xf numFmtId="166" fontId="59" fillId="0" borderId="20" xfId="0" applyNumberFormat="1" applyFont="1" applyBorder="1"/>
    <xf numFmtId="0" fontId="59" fillId="0" borderId="12" xfId="0" applyFont="1" applyBorder="1" applyAlignment="1">
      <alignment horizontal="left"/>
    </xf>
    <xf numFmtId="165" fontId="59" fillId="0" borderId="13" xfId="0" applyNumberFormat="1" applyFont="1" applyBorder="1" applyAlignment="1">
      <alignment horizontal="center" vertical="top"/>
    </xf>
    <xf numFmtId="165" fontId="59" fillId="0" borderId="13" xfId="0" applyNumberFormat="1" applyFont="1" applyBorder="1" applyAlignment="1">
      <alignment horizontal="center" vertical="center"/>
    </xf>
    <xf numFmtId="0" fontId="59" fillId="0" borderId="13" xfId="0" applyFont="1" applyBorder="1" applyAlignment="1">
      <alignment horizontal="left"/>
    </xf>
    <xf numFmtId="1" fontId="59" fillId="0" borderId="13" xfId="0" applyNumberFormat="1" applyFont="1" applyBorder="1" applyAlignment="1">
      <alignment horizontal="center"/>
    </xf>
    <xf numFmtId="0" fontId="59" fillId="0" borderId="12" xfId="0" applyFont="1" applyBorder="1" applyAlignment="1">
      <alignment horizontal="center"/>
    </xf>
    <xf numFmtId="9" fontId="59" fillId="0" borderId="20" xfId="0" applyNumberFormat="1" applyFont="1" applyBorder="1" applyAlignment="1">
      <alignment horizontal="center" vertical="center"/>
    </xf>
    <xf numFmtId="166" fontId="59" fillId="0" borderId="20" xfId="0" applyNumberFormat="1" applyFont="1" applyBorder="1" applyAlignment="1">
      <alignment horizontal="center"/>
    </xf>
    <xf numFmtId="1" fontId="59" fillId="0" borderId="13" xfId="0" applyNumberFormat="1" applyFont="1" applyBorder="1" applyAlignment="1">
      <alignment horizontal="center" vertical="center"/>
    </xf>
    <xf numFmtId="165" fontId="59" fillId="0" borderId="13" xfId="0" applyNumberFormat="1" applyFont="1" applyBorder="1" applyAlignment="1">
      <alignment vertical="center"/>
    </xf>
    <xf numFmtId="0" fontId="59" fillId="0" borderId="34" xfId="24615" applyFont="1" applyBorder="1" applyAlignment="1">
      <alignment horizontal="left"/>
    </xf>
    <xf numFmtId="0" fontId="59" fillId="0" borderId="13" xfId="24615" applyFont="1" applyBorder="1" applyAlignment="1">
      <alignment horizontal="left"/>
    </xf>
    <xf numFmtId="1" fontId="59" fillId="0" borderId="13" xfId="24615" applyNumberFormat="1" applyFont="1" applyBorder="1" applyAlignment="1">
      <alignment horizontal="center"/>
    </xf>
    <xf numFmtId="0" fontId="59" fillId="0" borderId="13" xfId="24615" applyFont="1" applyBorder="1" applyAlignment="1">
      <alignment horizontal="center" vertical="center"/>
    </xf>
    <xf numFmtId="9" fontId="59" fillId="0" borderId="20" xfId="24615" applyNumberFormat="1" applyFont="1" applyBorder="1" applyAlignment="1">
      <alignment horizontal="center"/>
    </xf>
    <xf numFmtId="165" fontId="59" fillId="0" borderId="20" xfId="24615" applyNumberFormat="1" applyFont="1" applyBorder="1" applyAlignment="1">
      <alignment horizontal="center" vertical="center"/>
    </xf>
    <xf numFmtId="0" fontId="59" fillId="0" borderId="13" xfId="24615" applyFont="1" applyBorder="1" applyAlignment="1">
      <alignment horizontal="center"/>
    </xf>
    <xf numFmtId="0" fontId="59" fillId="0" borderId="12" xfId="24615" applyFont="1" applyBorder="1" applyAlignment="1">
      <alignment horizontal="center" vertical="center"/>
    </xf>
    <xf numFmtId="49" fontId="59" fillId="0" borderId="37" xfId="0" applyNumberFormat="1" applyFont="1" applyBorder="1" applyAlignment="1">
      <alignment horizontal="left"/>
    </xf>
    <xf numFmtId="0" fontId="59" fillId="0" borderId="12" xfId="24615" applyFont="1" applyBorder="1" applyAlignment="1">
      <alignment horizontal="center"/>
    </xf>
    <xf numFmtId="0" fontId="59" fillId="0" borderId="34" xfId="0" applyFont="1" applyBorder="1" applyAlignment="1">
      <alignment horizontal="left"/>
    </xf>
    <xf numFmtId="0" fontId="59" fillId="0" borderId="37" xfId="0" applyFont="1" applyBorder="1" applyAlignment="1">
      <alignment horizontal="left" vertical="center"/>
    </xf>
    <xf numFmtId="0" fontId="59" fillId="0" borderId="13" xfId="0" applyFont="1" applyBorder="1" applyAlignment="1">
      <alignment horizontal="left" wrapText="1"/>
    </xf>
    <xf numFmtId="0" fontId="61" fillId="0" borderId="13" xfId="0" applyFont="1" applyBorder="1" applyAlignment="1">
      <alignment horizontal="left"/>
    </xf>
    <xf numFmtId="1" fontId="61" fillId="0" borderId="13" xfId="0" applyNumberFormat="1" applyFont="1" applyBorder="1" applyAlignment="1">
      <alignment horizontal="center"/>
    </xf>
    <xf numFmtId="9" fontId="61" fillId="0" borderId="20" xfId="0" applyNumberFormat="1" applyFont="1" applyBorder="1" applyAlignment="1">
      <alignment horizontal="center"/>
    </xf>
    <xf numFmtId="0" fontId="59" fillId="0" borderId="0" xfId="0" applyFont="1" applyAlignment="1">
      <alignment horizontal="left"/>
    </xf>
    <xf numFmtId="165" fontId="59" fillId="0" borderId="0" xfId="0" applyNumberFormat="1" applyFont="1" applyAlignment="1">
      <alignment horizontal="center"/>
    </xf>
    <xf numFmtId="1" fontId="59" fillId="0" borderId="0" xfId="0" applyNumberFormat="1" applyFont="1" applyAlignment="1">
      <alignment horizontal="center"/>
    </xf>
    <xf numFmtId="165" fontId="59" fillId="0" borderId="0" xfId="0" applyNumberFormat="1" applyFont="1" applyAlignment="1">
      <alignment horizontal="center" vertical="center"/>
    </xf>
    <xf numFmtId="165" fontId="59" fillId="0" borderId="0" xfId="24615" applyNumberFormat="1" applyFont="1" applyAlignment="1">
      <alignment horizontal="center"/>
    </xf>
    <xf numFmtId="165" fontId="59" fillId="0" borderId="0" xfId="0" applyNumberFormat="1" applyFont="1" applyAlignment="1">
      <alignment horizontal="center" vertical="top"/>
    </xf>
    <xf numFmtId="165" fontId="61" fillId="0" borderId="13" xfId="0" applyNumberFormat="1" applyFont="1" applyBorder="1" applyAlignment="1">
      <alignment horizontal="center" vertical="center"/>
    </xf>
    <xf numFmtId="10" fontId="61" fillId="0" borderId="20" xfId="0" applyNumberFormat="1" applyFont="1" applyBorder="1" applyAlignment="1">
      <alignment horizontal="center" vertical="center"/>
    </xf>
    <xf numFmtId="165" fontId="61" fillId="0" borderId="20" xfId="0" applyNumberFormat="1" applyFont="1" applyBorder="1" applyAlignment="1">
      <alignment horizontal="center" vertical="center"/>
    </xf>
    <xf numFmtId="165" fontId="61" fillId="0" borderId="13" xfId="0" applyNumberFormat="1" applyFont="1" applyBorder="1" applyAlignment="1">
      <alignment horizontal="center"/>
    </xf>
    <xf numFmtId="10" fontId="61" fillId="0" borderId="0" xfId="0" applyNumberFormat="1" applyFont="1" applyAlignment="1">
      <alignment horizontal="center"/>
    </xf>
    <xf numFmtId="165" fontId="61" fillId="0" borderId="13" xfId="0" applyNumberFormat="1" applyFont="1" applyBorder="1" applyAlignment="1">
      <alignment horizontal="center" vertical="top"/>
    </xf>
    <xf numFmtId="10" fontId="59" fillId="0" borderId="20" xfId="0" applyNumberFormat="1" applyFont="1" applyBorder="1" applyAlignment="1">
      <alignment horizontal="center"/>
    </xf>
    <xf numFmtId="165" fontId="63" fillId="0" borderId="12" xfId="0" applyNumberFormat="1" applyFont="1" applyBorder="1" applyAlignment="1">
      <alignment horizontal="center" vertical="top"/>
    </xf>
    <xf numFmtId="165" fontId="48" fillId="0" borderId="13" xfId="0" applyNumberFormat="1" applyFont="1" applyBorder="1"/>
    <xf numFmtId="165" fontId="57" fillId="0" borderId="13" xfId="0" applyNumberFormat="1" applyFont="1" applyBorder="1" applyAlignment="1">
      <alignment horizontal="center" vertical="center"/>
    </xf>
    <xf numFmtId="165" fontId="87" fillId="0" borderId="13" xfId="0" applyNumberFormat="1" applyFont="1" applyBorder="1"/>
    <xf numFmtId="165" fontId="87" fillId="0" borderId="13" xfId="0" applyNumberFormat="1" applyFont="1" applyBorder="1" applyAlignment="1">
      <alignment horizontal="center" vertical="center"/>
    </xf>
    <xf numFmtId="0" fontId="82" fillId="0" borderId="55" xfId="0" applyFont="1" applyBorder="1" applyAlignment="1">
      <alignment horizontal="center" vertical="center" wrapText="1"/>
    </xf>
    <xf numFmtId="0" fontId="83" fillId="0" borderId="55" xfId="0" applyFont="1" applyBorder="1" applyAlignment="1">
      <alignment horizontal="center" vertical="center" wrapText="1"/>
    </xf>
    <xf numFmtId="0" fontId="81" fillId="0" borderId="55" xfId="0" applyFont="1" applyBorder="1" applyAlignment="1">
      <alignment horizontal="center" vertical="center" wrapText="1"/>
    </xf>
    <xf numFmtId="0" fontId="79" fillId="0" borderId="55" xfId="0" applyFont="1" applyBorder="1" applyAlignment="1">
      <alignment horizontal="center" vertical="center" wrapText="1"/>
    </xf>
    <xf numFmtId="0" fontId="72" fillId="0" borderId="55" xfId="0" applyFont="1" applyBorder="1" applyAlignment="1">
      <alignment horizontal="center" vertical="center" wrapText="1"/>
    </xf>
    <xf numFmtId="0" fontId="72" fillId="0" borderId="58" xfId="0" applyFont="1" applyBorder="1" applyAlignment="1">
      <alignment horizontal="center" vertical="center" wrapText="1"/>
    </xf>
    <xf numFmtId="2" fontId="81" fillId="0" borderId="55" xfId="0" applyNumberFormat="1" applyFont="1" applyBorder="1" applyAlignment="1">
      <alignment horizontal="center" vertical="center" wrapText="1"/>
    </xf>
    <xf numFmtId="0" fontId="72" fillId="0" borderId="61" xfId="0" applyFont="1" applyBorder="1" applyAlignment="1">
      <alignment horizontal="center" vertical="center" wrapText="1"/>
    </xf>
    <xf numFmtId="0" fontId="72" fillId="0" borderId="53" xfId="0" applyFont="1" applyBorder="1" applyAlignment="1">
      <alignment horizontal="center" vertical="center" wrapText="1"/>
    </xf>
    <xf numFmtId="0" fontId="82" fillId="0" borderId="64" xfId="0" applyFont="1" applyBorder="1" applyAlignment="1">
      <alignment horizontal="center" vertical="center" wrapText="1"/>
    </xf>
    <xf numFmtId="0" fontId="82" fillId="0" borderId="58" xfId="0" applyFont="1" applyBorder="1" applyAlignment="1">
      <alignment horizontal="center" vertical="center" wrapText="1"/>
    </xf>
    <xf numFmtId="0" fontId="82" fillId="0" borderId="53" xfId="0" applyFont="1" applyBorder="1" applyAlignment="1">
      <alignment horizontal="center" vertical="center" wrapText="1"/>
    </xf>
    <xf numFmtId="0" fontId="0" fillId="0" borderId="68" xfId="0" applyBorder="1"/>
    <xf numFmtId="0" fontId="0" fillId="0" borderId="69" xfId="0" applyBorder="1"/>
    <xf numFmtId="165" fontId="50" fillId="0" borderId="13" xfId="24615" applyNumberFormat="1" applyFont="1" applyBorder="1" applyAlignment="1">
      <alignment horizontal="center" vertical="top" wrapText="1"/>
    </xf>
    <xf numFmtId="0" fontId="48" fillId="0" borderId="0" xfId="24615" applyFont="1" applyAlignment="1">
      <alignment horizontal="left"/>
    </xf>
    <xf numFmtId="165" fontId="48" fillId="0" borderId="0" xfId="24615" applyNumberFormat="1" applyFont="1" applyAlignment="1">
      <alignment horizontal="center" vertical="center"/>
    </xf>
    <xf numFmtId="0" fontId="48" fillId="0" borderId="75" xfId="0" applyFont="1" applyBorder="1" applyAlignment="1">
      <alignment horizontal="left" vertical="top" wrapText="1"/>
    </xf>
    <xf numFmtId="165" fontId="48" fillId="0" borderId="73" xfId="0" applyNumberFormat="1" applyFont="1" applyBorder="1" applyAlignment="1">
      <alignment horizontal="left" vertical="top" wrapText="1"/>
    </xf>
    <xf numFmtId="2" fontId="48" fillId="0" borderId="26" xfId="0" applyNumberFormat="1" applyFont="1" applyBorder="1" applyAlignment="1">
      <alignment horizontal="center" vertical="top" wrapText="1"/>
    </xf>
    <xf numFmtId="166" fontId="48" fillId="0" borderId="26" xfId="0" applyNumberFormat="1" applyFont="1" applyBorder="1" applyAlignment="1">
      <alignment horizontal="center" vertical="top" wrapText="1"/>
    </xf>
    <xf numFmtId="165" fontId="57" fillId="0" borderId="50" xfId="24615" applyNumberFormat="1" applyFont="1" applyBorder="1" applyAlignment="1">
      <alignment horizontal="center"/>
    </xf>
    <xf numFmtId="165" fontId="55" fillId="0" borderId="50" xfId="24615" applyNumberFormat="1" applyFont="1" applyBorder="1"/>
    <xf numFmtId="165" fontId="61" fillId="0" borderId="50" xfId="24615" applyNumberFormat="1" applyFont="1" applyBorder="1" applyAlignment="1">
      <alignment horizontal="center" vertical="center"/>
    </xf>
    <xf numFmtId="0" fontId="48" fillId="0" borderId="75" xfId="24615" applyFont="1" applyBorder="1" applyAlignment="1">
      <alignment horizontal="left" vertical="top" wrapText="1"/>
    </xf>
    <xf numFmtId="165" fontId="48" fillId="0" borderId="73" xfId="24615" applyNumberFormat="1" applyFont="1" applyBorder="1" applyAlignment="1">
      <alignment horizontal="left" vertical="top" wrapText="1"/>
    </xf>
    <xf numFmtId="165" fontId="48" fillId="0" borderId="27" xfId="24615" applyNumberFormat="1" applyFont="1" applyBorder="1" applyAlignment="1">
      <alignment horizontal="center" vertical="top" wrapText="1"/>
    </xf>
    <xf numFmtId="165" fontId="48" fillId="0" borderId="26" xfId="24615" applyNumberFormat="1" applyFont="1" applyBorder="1" applyAlignment="1">
      <alignment horizontal="center" vertical="top" wrapText="1"/>
    </xf>
    <xf numFmtId="2" fontId="48" fillId="0" borderId="26" xfId="24615" applyNumberFormat="1" applyFont="1" applyBorder="1" applyAlignment="1">
      <alignment horizontal="center" vertical="top" wrapText="1"/>
    </xf>
    <xf numFmtId="166" fontId="48" fillId="0" borderId="26" xfId="24615" applyNumberFormat="1" applyFont="1" applyBorder="1" applyAlignment="1">
      <alignment horizontal="center" vertical="top" wrapText="1"/>
    </xf>
    <xf numFmtId="2" fontId="49" fillId="0" borderId="27" xfId="24615" applyNumberFormat="1" applyFont="1" applyBorder="1" applyAlignment="1">
      <alignment horizontal="center" vertical="top" wrapText="1"/>
    </xf>
    <xf numFmtId="2" fontId="57" fillId="0" borderId="27" xfId="24615" applyNumberFormat="1" applyFont="1" applyBorder="1" applyAlignment="1">
      <alignment horizontal="center" vertical="top" wrapText="1"/>
    </xf>
    <xf numFmtId="165" fontId="65" fillId="0" borderId="36" xfId="24615" applyNumberFormat="1" applyFont="1" applyBorder="1" applyAlignment="1">
      <alignment vertical="center" wrapText="1"/>
    </xf>
    <xf numFmtId="0" fontId="48" fillId="0" borderId="50" xfId="24615" applyFont="1" applyBorder="1" applyAlignment="1">
      <alignment horizontal="left"/>
    </xf>
    <xf numFmtId="1" fontId="48" fillId="0" borderId="50" xfId="24615" applyNumberFormat="1" applyFont="1" applyBorder="1" applyAlignment="1">
      <alignment horizontal="center"/>
    </xf>
    <xf numFmtId="165" fontId="48" fillId="0" borderId="50" xfId="24615" applyNumberFormat="1" applyFont="1" applyBorder="1" applyAlignment="1">
      <alignment horizontal="center"/>
    </xf>
    <xf numFmtId="165" fontId="48" fillId="0" borderId="50" xfId="24615" applyNumberFormat="1" applyFont="1" applyBorder="1" applyAlignment="1">
      <alignment horizontal="center" vertical="center"/>
    </xf>
    <xf numFmtId="166" fontId="48" fillId="0" borderId="50" xfId="24615" applyNumberFormat="1" applyFont="1" applyBorder="1" applyAlignment="1">
      <alignment horizontal="center" vertical="center"/>
    </xf>
    <xf numFmtId="0" fontId="59" fillId="0" borderId="20" xfId="0" applyFont="1" applyBorder="1" applyAlignment="1">
      <alignment horizontal="left"/>
    </xf>
    <xf numFmtId="165" fontId="57" fillId="0" borderId="0" xfId="0" applyNumberFormat="1" applyFont="1" applyAlignment="1">
      <alignment horizontal="center"/>
    </xf>
    <xf numFmtId="165" fontId="90" fillId="0" borderId="0" xfId="0" applyNumberFormat="1" applyFont="1"/>
    <xf numFmtId="165" fontId="92" fillId="0" borderId="0" xfId="0" applyNumberFormat="1" applyFont="1"/>
    <xf numFmtId="2" fontId="82" fillId="0" borderId="53" xfId="0" applyNumberFormat="1" applyFont="1" applyBorder="1" applyAlignment="1">
      <alignment horizontal="center" vertical="center" wrapText="1"/>
    </xf>
    <xf numFmtId="2" fontId="82" fillId="0" borderId="55" xfId="0" applyNumberFormat="1" applyFont="1" applyBorder="1" applyAlignment="1">
      <alignment horizontal="center" vertical="center" wrapText="1"/>
    </xf>
    <xf numFmtId="2" fontId="83" fillId="0" borderId="55" xfId="0" applyNumberFormat="1" applyFont="1" applyBorder="1" applyAlignment="1">
      <alignment horizontal="center" vertical="center" wrapText="1"/>
    </xf>
    <xf numFmtId="0" fontId="82" fillId="0" borderId="80" xfId="0" applyFont="1" applyBorder="1" applyAlignment="1">
      <alignment horizontal="center" vertical="center"/>
    </xf>
    <xf numFmtId="165" fontId="38" fillId="0" borderId="85" xfId="0" applyNumberFormat="1" applyFont="1" applyBorder="1"/>
    <xf numFmtId="0" fontId="94" fillId="0" borderId="0" xfId="24615" applyFont="1" applyAlignment="1">
      <alignment horizontal="center" vertical="center"/>
    </xf>
    <xf numFmtId="165" fontId="38" fillId="0" borderId="28" xfId="0" applyNumberFormat="1" applyFont="1" applyBorder="1"/>
    <xf numFmtId="165" fontId="38" fillId="0" borderId="87" xfId="0" applyNumberFormat="1" applyFont="1" applyBorder="1"/>
    <xf numFmtId="2" fontId="48" fillId="0" borderId="88" xfId="0" applyNumberFormat="1" applyFont="1" applyBorder="1" applyAlignment="1">
      <alignment horizontal="center" vertical="top" wrapText="1"/>
    </xf>
    <xf numFmtId="165" fontId="43" fillId="0" borderId="12" xfId="0" applyNumberFormat="1" applyFont="1" applyBorder="1" applyAlignment="1">
      <alignment horizontal="center"/>
    </xf>
    <xf numFmtId="165" fontId="43" fillId="0" borderId="90" xfId="0" applyNumberFormat="1" applyFont="1" applyBorder="1" applyAlignment="1">
      <alignment horizontal="center"/>
    </xf>
    <xf numFmtId="165" fontId="48" fillId="0" borderId="91" xfId="0" applyNumberFormat="1" applyFont="1" applyBorder="1" applyAlignment="1">
      <alignment horizontal="center" vertical="top" wrapText="1"/>
    </xf>
    <xf numFmtId="165" fontId="44" fillId="0" borderId="44" xfId="0" applyNumberFormat="1" applyFont="1" applyBorder="1" applyAlignment="1">
      <alignment horizontal="center"/>
    </xf>
    <xf numFmtId="165" fontId="44" fillId="0" borderId="93" xfId="0" applyNumberFormat="1" applyFont="1" applyBorder="1" applyAlignment="1">
      <alignment horizontal="center"/>
    </xf>
    <xf numFmtId="165" fontId="48" fillId="0" borderId="94" xfId="0" applyNumberFormat="1" applyFont="1" applyBorder="1" applyAlignment="1">
      <alignment horizontal="center" vertical="top" wrapText="1"/>
    </xf>
    <xf numFmtId="165" fontId="44" fillId="0" borderId="0" xfId="0" applyNumberFormat="1" applyFont="1" applyAlignment="1">
      <alignment horizontal="center"/>
    </xf>
    <xf numFmtId="165" fontId="59" fillId="0" borderId="12" xfId="0" applyNumberFormat="1" applyFont="1" applyBorder="1" applyAlignment="1">
      <alignment horizontal="center" vertical="top"/>
    </xf>
    <xf numFmtId="165" fontId="59" fillId="0" borderId="28" xfId="0" applyNumberFormat="1" applyFont="1" applyBorder="1" applyAlignment="1">
      <alignment horizontal="center"/>
    </xf>
    <xf numFmtId="165" fontId="59" fillId="0" borderId="28" xfId="0" applyNumberFormat="1" applyFont="1" applyBorder="1" applyAlignment="1">
      <alignment horizontal="center" vertical="center"/>
    </xf>
    <xf numFmtId="165" fontId="59" fillId="0" borderId="28" xfId="24615" applyNumberFormat="1" applyFont="1" applyBorder="1" applyAlignment="1">
      <alignment horizontal="center" vertical="center"/>
    </xf>
    <xf numFmtId="167" fontId="59" fillId="0" borderId="28" xfId="0" applyNumberFormat="1" applyFont="1" applyBorder="1" applyAlignment="1">
      <alignment horizontal="center"/>
    </xf>
    <xf numFmtId="165" fontId="38" fillId="0" borderId="10" xfId="0" applyNumberFormat="1" applyFont="1" applyBorder="1" applyAlignment="1">
      <alignment horizontal="left" vertical="center"/>
    </xf>
    <xf numFmtId="0" fontId="18" fillId="0" borderId="0" xfId="0" applyFont="1" applyAlignment="1">
      <alignment vertical="center" wrapText="1"/>
    </xf>
    <xf numFmtId="0" fontId="48" fillId="0" borderId="0" xfId="24615" applyFont="1" applyAlignment="1">
      <alignment horizontal="center"/>
    </xf>
    <xf numFmtId="165" fontId="48" fillId="0" borderId="0" xfId="24615" applyNumberFormat="1" applyFont="1" applyAlignment="1">
      <alignment horizontal="center" vertical="top"/>
    </xf>
    <xf numFmtId="2" fontId="59" fillId="0" borderId="0" xfId="24615" applyNumberFormat="1" applyFont="1" applyAlignment="1">
      <alignment horizontal="center" vertical="center"/>
    </xf>
    <xf numFmtId="0" fontId="48" fillId="0" borderId="0" xfId="24615" applyFont="1" applyAlignment="1">
      <alignment horizontal="left" vertical="center"/>
    </xf>
    <xf numFmtId="2" fontId="59" fillId="0" borderId="97" xfId="0" applyNumberFormat="1" applyFont="1" applyBorder="1" applyAlignment="1">
      <alignment horizontal="center" vertical="center"/>
    </xf>
    <xf numFmtId="2" fontId="59" fillId="0" borderId="44" xfId="0" applyNumberFormat="1" applyFont="1" applyBorder="1" applyAlignment="1">
      <alignment horizontal="center" vertical="center"/>
    </xf>
    <xf numFmtId="2" fontId="38" fillId="0" borderId="44" xfId="0" applyNumberFormat="1" applyFont="1" applyBorder="1" applyAlignment="1">
      <alignment horizontal="center" vertical="center"/>
    </xf>
    <xf numFmtId="2" fontId="38" fillId="0" borderId="28" xfId="0" applyNumberFormat="1" applyFont="1" applyBorder="1" applyAlignment="1">
      <alignment horizontal="center" vertical="center"/>
    </xf>
    <xf numFmtId="2" fontId="59" fillId="0" borderId="98" xfId="0" applyNumberFormat="1" applyFont="1" applyBorder="1" applyAlignment="1">
      <alignment horizontal="center" vertical="top"/>
    </xf>
    <xf numFmtId="2" fontId="59" fillId="0" borderId="99" xfId="0" applyNumberFormat="1" applyFont="1" applyBorder="1" applyAlignment="1">
      <alignment horizontal="center" vertical="top"/>
    </xf>
    <xf numFmtId="2" fontId="59" fillId="0" borderId="99" xfId="0" applyNumberFormat="1" applyFont="1" applyBorder="1" applyAlignment="1">
      <alignment horizontal="center" vertical="center"/>
    </xf>
    <xf numFmtId="2" fontId="38" fillId="0" borderId="99" xfId="0" applyNumberFormat="1" applyFont="1" applyBorder="1" applyAlignment="1">
      <alignment horizontal="center" vertical="top"/>
    </xf>
    <xf numFmtId="2" fontId="38" fillId="0" borderId="99" xfId="0" applyNumberFormat="1" applyFont="1" applyBorder="1" applyAlignment="1">
      <alignment horizontal="center" vertical="center"/>
    </xf>
    <xf numFmtId="2" fontId="59" fillId="0" borderId="79" xfId="0" applyNumberFormat="1" applyFont="1" applyBorder="1" applyAlignment="1">
      <alignment horizontal="center" vertical="top"/>
    </xf>
    <xf numFmtId="2" fontId="59" fillId="0" borderId="62" xfId="0" applyNumberFormat="1" applyFont="1" applyBorder="1" applyAlignment="1">
      <alignment horizontal="center" vertical="top"/>
    </xf>
    <xf numFmtId="165" fontId="53" fillId="0" borderId="0" xfId="0" applyNumberFormat="1" applyFont="1"/>
    <xf numFmtId="0" fontId="42" fillId="33" borderId="0" xfId="0" applyFont="1" applyFill="1" applyAlignment="1">
      <alignment horizontal="center"/>
    </xf>
    <xf numFmtId="165" fontId="43" fillId="0" borderId="20" xfId="0" applyNumberFormat="1" applyFont="1" applyBorder="1" applyAlignment="1">
      <alignment horizontal="center"/>
    </xf>
    <xf numFmtId="165" fontId="90" fillId="0" borderId="103" xfId="0" applyNumberFormat="1" applyFont="1" applyBorder="1"/>
    <xf numFmtId="2" fontId="68" fillId="0" borderId="0" xfId="0" applyNumberFormat="1" applyFont="1" applyAlignment="1">
      <alignment horizontal="center" vertical="top"/>
    </xf>
    <xf numFmtId="2" fontId="59" fillId="0" borderId="0" xfId="0" applyNumberFormat="1" applyFont="1" applyAlignment="1">
      <alignment horizontal="center" vertical="top"/>
    </xf>
    <xf numFmtId="0" fontId="59" fillId="0" borderId="0" xfId="0" applyFont="1"/>
    <xf numFmtId="2" fontId="59" fillId="0" borderId="0" xfId="0" applyNumberFormat="1" applyFont="1" applyAlignment="1">
      <alignment horizontal="center" vertical="center"/>
    </xf>
    <xf numFmtId="2" fontId="38" fillId="0" borderId="0" xfId="0" applyNumberFormat="1" applyFont="1" applyAlignment="1">
      <alignment horizontal="center" vertical="top"/>
    </xf>
    <xf numFmtId="2" fontId="90" fillId="0" borderId="0" xfId="0" applyNumberFormat="1" applyFont="1" applyAlignment="1">
      <alignment horizontal="center" vertical="top"/>
    </xf>
    <xf numFmtId="165" fontId="48" fillId="52" borderId="104" xfId="0" applyNumberFormat="1" applyFont="1" applyFill="1" applyBorder="1" applyAlignment="1">
      <alignment horizontal="center" vertical="center" wrapText="1"/>
    </xf>
    <xf numFmtId="2" fontId="61" fillId="0" borderId="44" xfId="0" applyNumberFormat="1" applyFont="1" applyBorder="1" applyAlignment="1">
      <alignment horizontal="center" vertical="center"/>
    </xf>
    <xf numFmtId="2" fontId="61" fillId="0" borderId="99" xfId="0" applyNumberFormat="1" applyFont="1" applyBorder="1" applyAlignment="1">
      <alignment horizontal="center" vertical="top"/>
    </xf>
    <xf numFmtId="2" fontId="61" fillId="0" borderId="0" xfId="0" applyNumberFormat="1" applyFont="1" applyAlignment="1">
      <alignment horizontal="center" vertical="top"/>
    </xf>
    <xf numFmtId="2" fontId="61" fillId="0" borderId="97" xfId="0" applyNumberFormat="1" applyFont="1" applyBorder="1" applyAlignment="1">
      <alignment horizontal="center" vertical="center"/>
    </xf>
    <xf numFmtId="2" fontId="61" fillId="0" borderId="98" xfId="0" applyNumberFormat="1" applyFont="1" applyBorder="1" applyAlignment="1">
      <alignment horizontal="center" vertical="top"/>
    </xf>
    <xf numFmtId="2" fontId="61" fillId="0" borderId="79" xfId="0" applyNumberFormat="1" applyFont="1" applyBorder="1" applyAlignment="1">
      <alignment horizontal="center" vertical="top"/>
    </xf>
    <xf numFmtId="0" fontId="59" fillId="0" borderId="10" xfId="0" applyFont="1" applyBorder="1" applyAlignment="1">
      <alignment horizontal="left"/>
    </xf>
    <xf numFmtId="165" fontId="38" fillId="0" borderId="99" xfId="0" applyNumberFormat="1" applyFont="1" applyBorder="1" applyAlignment="1">
      <alignment horizontal="center"/>
    </xf>
    <xf numFmtId="0" fontId="38" fillId="0" borderId="17" xfId="0" applyFont="1" applyBorder="1" applyAlignment="1">
      <alignment horizontal="left" vertical="center"/>
    </xf>
    <xf numFmtId="165" fontId="38" fillId="0" borderId="99" xfId="0" applyNumberFormat="1" applyFont="1" applyBorder="1" applyAlignment="1">
      <alignment horizontal="center" vertical="center"/>
    </xf>
    <xf numFmtId="165" fontId="59" fillId="0" borderId="99" xfId="0" applyNumberFormat="1" applyFont="1" applyBorder="1" applyAlignment="1">
      <alignment horizontal="center"/>
    </xf>
    <xf numFmtId="165" fontId="38" fillId="0" borderId="106" xfId="0" applyNumberFormat="1" applyFont="1" applyBorder="1" applyAlignment="1">
      <alignment horizontal="center"/>
    </xf>
    <xf numFmtId="0" fontId="63" fillId="0" borderId="13" xfId="0" applyFont="1" applyBorder="1" applyAlignment="1">
      <alignment horizontal="left"/>
    </xf>
    <xf numFmtId="165" fontId="63" fillId="0" borderId="37" xfId="0" applyNumberFormat="1" applyFont="1" applyBorder="1" applyAlignment="1">
      <alignment horizontal="left"/>
    </xf>
    <xf numFmtId="0" fontId="63" fillId="0" borderId="10" xfId="0" applyFont="1" applyBorder="1" applyAlignment="1">
      <alignment horizontal="center"/>
    </xf>
    <xf numFmtId="165" fontId="100" fillId="0" borderId="10" xfId="0" applyNumberFormat="1" applyFont="1" applyBorder="1" applyAlignment="1">
      <alignment horizontal="left" indent="5"/>
    </xf>
    <xf numFmtId="0" fontId="104" fillId="0" borderId="0" xfId="0" applyFont="1"/>
    <xf numFmtId="165" fontId="66" fillId="0" borderId="0" xfId="0" applyNumberFormat="1" applyFont="1"/>
    <xf numFmtId="0" fontId="103" fillId="0" borderId="0" xfId="0" applyFont="1"/>
    <xf numFmtId="0" fontId="48" fillId="0" borderId="0" xfId="0" applyFont="1"/>
    <xf numFmtId="2" fontId="48" fillId="0" borderId="97" xfId="0" applyNumberFormat="1" applyFont="1" applyBorder="1" applyAlignment="1">
      <alignment horizontal="center" vertical="center"/>
    </xf>
    <xf numFmtId="2" fontId="48" fillId="0" borderId="98" xfId="0" applyNumberFormat="1" applyFont="1" applyBorder="1" applyAlignment="1">
      <alignment horizontal="center" vertical="top"/>
    </xf>
    <xf numFmtId="2" fontId="48" fillId="0" borderId="0" xfId="0" applyNumberFormat="1" applyFont="1" applyAlignment="1">
      <alignment horizontal="center" vertical="top"/>
    </xf>
    <xf numFmtId="2" fontId="48" fillId="0" borderId="44" xfId="0" applyNumberFormat="1" applyFont="1" applyBorder="1" applyAlignment="1">
      <alignment horizontal="center" vertical="center"/>
    </xf>
    <xf numFmtId="2" fontId="48" fillId="0" borderId="99" xfId="0" applyNumberFormat="1" applyFont="1" applyBorder="1" applyAlignment="1">
      <alignment horizontal="center" vertical="top"/>
    </xf>
    <xf numFmtId="2" fontId="38" fillId="0" borderId="0" xfId="0" applyNumberFormat="1" applyFont="1" applyAlignment="1">
      <alignment horizontal="center" vertical="center"/>
    </xf>
    <xf numFmtId="2" fontId="55" fillId="0" borderId="0" xfId="0" applyNumberFormat="1" applyFont="1" applyAlignment="1">
      <alignment horizontal="center" vertical="top"/>
    </xf>
    <xf numFmtId="2" fontId="38" fillId="0" borderId="98" xfId="0" applyNumberFormat="1" applyFont="1" applyBorder="1" applyAlignment="1">
      <alignment horizontal="center" vertical="top"/>
    </xf>
    <xf numFmtId="165" fontId="61" fillId="0" borderId="0" xfId="24615" applyNumberFormat="1" applyFont="1" applyAlignment="1">
      <alignment horizontal="center" vertical="top"/>
    </xf>
    <xf numFmtId="165" fontId="66" fillId="0" borderId="0" xfId="24615" applyNumberFormat="1" applyFont="1" applyAlignment="1">
      <alignment horizontal="center" vertical="top"/>
    </xf>
    <xf numFmtId="165" fontId="57" fillId="0" borderId="0" xfId="24615" applyNumberFormat="1" applyFont="1" applyAlignment="1">
      <alignment horizontal="center" vertical="top"/>
    </xf>
    <xf numFmtId="165" fontId="55" fillId="0" borderId="0" xfId="24615" applyNumberFormat="1" applyFont="1" applyAlignment="1">
      <alignment horizontal="center" vertical="top"/>
    </xf>
    <xf numFmtId="165" fontId="38" fillId="0" borderId="0" xfId="24615" applyNumberFormat="1" applyFont="1" applyAlignment="1">
      <alignment horizontal="center" vertical="top"/>
    </xf>
    <xf numFmtId="165" fontId="67" fillId="0" borderId="0" xfId="24615" applyNumberFormat="1" applyFont="1"/>
    <xf numFmtId="0" fontId="38" fillId="0" borderId="109" xfId="0" applyFont="1" applyBorder="1" applyAlignment="1">
      <alignment horizontal="left"/>
    </xf>
    <xf numFmtId="165" fontId="38" fillId="0" borderId="110" xfId="0" applyNumberFormat="1" applyFont="1" applyBorder="1" applyAlignment="1">
      <alignment horizontal="left"/>
    </xf>
    <xf numFmtId="0" fontId="38" fillId="0" borderId="111" xfId="0" applyFont="1" applyBorder="1" applyAlignment="1">
      <alignment horizontal="center"/>
    </xf>
    <xf numFmtId="165" fontId="38" fillId="0" borderId="112" xfId="0" applyNumberFormat="1" applyFont="1" applyBorder="1" applyAlignment="1">
      <alignment horizontal="center"/>
    </xf>
    <xf numFmtId="165" fontId="38" fillId="0" borderId="111" xfId="0" applyNumberFormat="1" applyFont="1" applyBorder="1" applyAlignment="1">
      <alignment horizontal="center"/>
    </xf>
    <xf numFmtId="9" fontId="38" fillId="0" borderId="113" xfId="0" applyNumberFormat="1" applyFont="1" applyBorder="1" applyAlignment="1">
      <alignment horizontal="center"/>
    </xf>
    <xf numFmtId="165" fontId="38" fillId="0" borderId="113" xfId="0" applyNumberFormat="1" applyFont="1" applyBorder="1" applyAlignment="1">
      <alignment horizontal="center" vertical="top"/>
    </xf>
    <xf numFmtId="165" fontId="59" fillId="0" borderId="113" xfId="0" applyNumberFormat="1" applyFont="1" applyBorder="1" applyAlignment="1">
      <alignment horizontal="center" vertical="top"/>
    </xf>
    <xf numFmtId="165" fontId="48" fillId="0" borderId="111" xfId="0" applyNumberFormat="1" applyFont="1" applyBorder="1" applyAlignment="1">
      <alignment horizontal="center" vertical="top"/>
    </xf>
    <xf numFmtId="165" fontId="38" fillId="0" borderId="111" xfId="0" applyNumberFormat="1" applyFont="1" applyBorder="1" applyAlignment="1">
      <alignment horizontal="center" vertical="top"/>
    </xf>
    <xf numFmtId="2" fontId="59" fillId="0" borderId="115" xfId="0" applyNumberFormat="1" applyFont="1" applyBorder="1" applyAlignment="1">
      <alignment horizontal="center" vertical="center"/>
    </xf>
    <xf numFmtId="2" fontId="38" fillId="0" borderId="116" xfId="0" applyNumberFormat="1" applyFont="1" applyBorder="1" applyAlignment="1">
      <alignment horizontal="center" vertical="top"/>
    </xf>
    <xf numFmtId="165" fontId="38" fillId="0" borderId="112" xfId="0" applyNumberFormat="1" applyFont="1" applyBorder="1"/>
    <xf numFmtId="165" fontId="61" fillId="0" borderId="28" xfId="0" applyNumberFormat="1" applyFont="1" applyBorder="1" applyAlignment="1">
      <alignment horizontal="center"/>
    </xf>
    <xf numFmtId="0" fontId="99" fillId="33" borderId="0" xfId="0" applyFont="1" applyFill="1" applyAlignment="1">
      <alignment horizontal="center" vertical="center"/>
    </xf>
    <xf numFmtId="165" fontId="89" fillId="0" borderId="13" xfId="0" applyNumberFormat="1" applyFont="1" applyBorder="1" applyAlignment="1">
      <alignment vertical="center"/>
    </xf>
    <xf numFmtId="165" fontId="96" fillId="0" borderId="13" xfId="0" applyNumberFormat="1" applyFont="1" applyBorder="1" applyAlignment="1">
      <alignment vertical="center"/>
    </xf>
    <xf numFmtId="165" fontId="96" fillId="0" borderId="12" xfId="0" applyNumberFormat="1" applyFont="1" applyBorder="1" applyAlignment="1">
      <alignment vertical="center"/>
    </xf>
    <xf numFmtId="0" fontId="21" fillId="0" borderId="74" xfId="0" applyFont="1" applyBorder="1" applyAlignment="1">
      <alignment horizontal="left" vertical="top" wrapText="1"/>
    </xf>
    <xf numFmtId="165" fontId="21" fillId="0" borderId="73" xfId="0" applyNumberFormat="1" applyFont="1" applyBorder="1" applyAlignment="1">
      <alignment horizontal="left" vertical="top" wrapText="1"/>
    </xf>
    <xf numFmtId="165" fontId="59" fillId="0" borderId="100" xfId="0" applyNumberFormat="1" applyFont="1" applyBorder="1"/>
    <xf numFmtId="165" fontId="59" fillId="0" borderId="13" xfId="0" applyNumberFormat="1" applyFont="1" applyBorder="1" applyAlignment="1">
      <alignment horizontal="left"/>
    </xf>
    <xf numFmtId="1" fontId="59" fillId="0" borderId="12" xfId="0" applyNumberFormat="1" applyFont="1" applyBorder="1" applyAlignment="1">
      <alignment horizontal="center"/>
    </xf>
    <xf numFmtId="165" fontId="98" fillId="0" borderId="0" xfId="0" applyNumberFormat="1" applyFont="1"/>
    <xf numFmtId="0" fontId="61" fillId="0" borderId="37" xfId="0" applyFont="1" applyBorder="1" applyAlignment="1">
      <alignment horizontal="left" vertical="center"/>
    </xf>
    <xf numFmtId="0" fontId="87" fillId="0" borderId="0" xfId="0" applyFont="1"/>
    <xf numFmtId="0" fontId="90" fillId="53" borderId="45" xfId="0" applyFont="1" applyFill="1" applyBorder="1" applyAlignment="1">
      <alignment horizontal="center"/>
    </xf>
    <xf numFmtId="165" fontId="90" fillId="53" borderId="45" xfId="0" applyNumberFormat="1" applyFont="1" applyFill="1" applyBorder="1" applyAlignment="1">
      <alignment horizontal="center"/>
    </xf>
    <xf numFmtId="9" fontId="90" fillId="53" borderId="45" xfId="0" applyNumberFormat="1" applyFont="1" applyFill="1" applyBorder="1" applyAlignment="1">
      <alignment horizontal="center"/>
    </xf>
    <xf numFmtId="165" fontId="90" fillId="53" borderId="45" xfId="0" applyNumberFormat="1" applyFont="1" applyFill="1" applyBorder="1" applyAlignment="1">
      <alignment horizontal="center" vertical="top"/>
    </xf>
    <xf numFmtId="165" fontId="68" fillId="53" borderId="45" xfId="0" applyNumberFormat="1" applyFont="1" applyFill="1" applyBorder="1" applyAlignment="1">
      <alignment horizontal="center" vertical="top"/>
    </xf>
    <xf numFmtId="165" fontId="93" fillId="53" borderId="45" xfId="0" applyNumberFormat="1" applyFont="1" applyFill="1" applyBorder="1" applyAlignment="1">
      <alignment horizontal="center" vertical="top"/>
    </xf>
    <xf numFmtId="165" fontId="91" fillId="53" borderId="45" xfId="0" applyNumberFormat="1" applyFont="1" applyFill="1" applyBorder="1" applyAlignment="1">
      <alignment horizontal="center" vertical="top"/>
    </xf>
    <xf numFmtId="165" fontId="91" fillId="53" borderId="45" xfId="0" applyNumberFormat="1" applyFont="1" applyFill="1" applyBorder="1" applyAlignment="1">
      <alignment horizontal="center" vertical="center"/>
    </xf>
    <xf numFmtId="0" fontId="99" fillId="53" borderId="48" xfId="0" applyFont="1" applyFill="1" applyBorder="1" applyAlignment="1">
      <alignment horizontal="left" vertical="center"/>
    </xf>
    <xf numFmtId="165" fontId="99" fillId="53" borderId="45" xfId="0" applyNumberFormat="1" applyFont="1" applyFill="1" applyBorder="1" applyAlignment="1">
      <alignment horizontal="left" vertical="center"/>
    </xf>
    <xf numFmtId="0" fontId="105" fillId="53" borderId="45" xfId="0" applyFont="1" applyFill="1" applyBorder="1" applyAlignment="1">
      <alignment horizontal="center"/>
    </xf>
    <xf numFmtId="165" fontId="105" fillId="53" borderId="45" xfId="0" applyNumberFormat="1" applyFont="1" applyFill="1" applyBorder="1" applyAlignment="1">
      <alignment horizontal="center"/>
    </xf>
    <xf numFmtId="9" fontId="105" fillId="53" borderId="45" xfId="0" applyNumberFormat="1" applyFont="1" applyFill="1" applyBorder="1" applyAlignment="1">
      <alignment horizontal="center"/>
    </xf>
    <xf numFmtId="165" fontId="105" fillId="53" borderId="45" xfId="0" applyNumberFormat="1" applyFont="1" applyFill="1" applyBorder="1" applyAlignment="1">
      <alignment horizontal="center" vertical="top"/>
    </xf>
    <xf numFmtId="165" fontId="42" fillId="53" borderId="45" xfId="0" applyNumberFormat="1" applyFont="1" applyFill="1" applyBorder="1" applyAlignment="1">
      <alignment horizontal="center" vertical="top"/>
    </xf>
    <xf numFmtId="165" fontId="42" fillId="53" borderId="45" xfId="0" applyNumberFormat="1" applyFont="1" applyFill="1" applyBorder="1" applyAlignment="1">
      <alignment horizontal="center" vertical="center"/>
    </xf>
    <xf numFmtId="165" fontId="42" fillId="53" borderId="46" xfId="0" applyNumberFormat="1" applyFont="1" applyFill="1" applyBorder="1" applyAlignment="1">
      <alignment horizontal="center" vertical="top"/>
    </xf>
    <xf numFmtId="0" fontId="106" fillId="53" borderId="71" xfId="0" applyFont="1" applyFill="1" applyBorder="1" applyAlignment="1">
      <alignment horizontal="left" vertical="center"/>
    </xf>
    <xf numFmtId="165" fontId="18" fillId="53" borderId="72" xfId="0" applyNumberFormat="1" applyFont="1" applyFill="1" applyBorder="1" applyAlignment="1">
      <alignment horizontal="left" vertical="center"/>
    </xf>
    <xf numFmtId="1" fontId="22" fillId="53" borderId="72" xfId="0" applyNumberFormat="1" applyFont="1" applyFill="1" applyBorder="1" applyAlignment="1">
      <alignment horizontal="center"/>
    </xf>
    <xf numFmtId="165" fontId="22" fillId="53" borderId="72" xfId="0" applyNumberFormat="1" applyFont="1" applyFill="1" applyBorder="1" applyAlignment="1">
      <alignment horizontal="center"/>
    </xf>
    <xf numFmtId="9" fontId="22" fillId="53" borderId="72" xfId="0" applyNumberFormat="1" applyFont="1" applyFill="1" applyBorder="1" applyAlignment="1">
      <alignment horizontal="center"/>
    </xf>
    <xf numFmtId="2" fontId="22" fillId="53" borderId="72" xfId="0" applyNumberFormat="1" applyFont="1" applyFill="1" applyBorder="1" applyAlignment="1">
      <alignment horizontal="center" vertical="top"/>
    </xf>
    <xf numFmtId="2" fontId="22" fillId="53" borderId="118" xfId="0" applyNumberFormat="1" applyFont="1" applyFill="1" applyBorder="1" applyAlignment="1">
      <alignment horizontal="center" vertical="top"/>
    </xf>
    <xf numFmtId="165" fontId="107" fillId="53" borderId="65" xfId="0" applyNumberFormat="1" applyFont="1" applyFill="1" applyBorder="1" applyAlignment="1">
      <alignment horizontal="center" vertical="center"/>
    </xf>
    <xf numFmtId="165" fontId="107" fillId="53" borderId="66" xfId="0" applyNumberFormat="1" applyFont="1" applyFill="1" applyBorder="1" applyAlignment="1">
      <alignment horizontal="center" vertical="center"/>
    </xf>
    <xf numFmtId="2" fontId="107" fillId="53" borderId="67" xfId="0" applyNumberFormat="1" applyFont="1" applyFill="1" applyBorder="1" applyAlignment="1">
      <alignment horizontal="center" vertical="center" wrapText="1"/>
    </xf>
    <xf numFmtId="165" fontId="106" fillId="53" borderId="101" xfId="0" applyNumberFormat="1" applyFont="1" applyFill="1" applyBorder="1" applyAlignment="1">
      <alignment vertical="center"/>
    </xf>
    <xf numFmtId="0" fontId="99" fillId="53" borderId="48" xfId="0" applyFont="1" applyFill="1" applyBorder="1" applyAlignment="1">
      <alignment vertical="center"/>
    </xf>
    <xf numFmtId="0" fontId="99" fillId="53" borderId="45" xfId="0" applyFont="1" applyFill="1" applyBorder="1" applyAlignment="1">
      <alignment vertical="center"/>
    </xf>
    <xf numFmtId="0" fontId="99" fillId="54" borderId="48" xfId="0" applyFont="1" applyFill="1" applyBorder="1" applyAlignment="1">
      <alignment horizontal="left" vertical="center"/>
    </xf>
    <xf numFmtId="165" fontId="63" fillId="0" borderId="47" xfId="0" applyNumberFormat="1" applyFont="1" applyBorder="1" applyAlignment="1">
      <alignment horizontal="left"/>
    </xf>
    <xf numFmtId="0" fontId="63" fillId="0" borderId="28" xfId="0" applyFont="1" applyBorder="1" applyAlignment="1">
      <alignment horizontal="left"/>
    </xf>
    <xf numFmtId="0" fontId="59" fillId="0" borderId="13" xfId="0" applyFont="1" applyBorder="1" applyAlignment="1">
      <alignment horizontal="left" vertical="center"/>
    </xf>
    <xf numFmtId="165" fontId="106" fillId="53" borderId="101" xfId="0" applyNumberFormat="1" applyFont="1" applyFill="1" applyBorder="1" applyAlignment="1">
      <alignment horizontal="left" vertical="center"/>
    </xf>
    <xf numFmtId="165" fontId="59" fillId="0" borderId="44" xfId="0" applyNumberFormat="1" applyFont="1" applyBorder="1" applyAlignment="1">
      <alignment horizontal="center"/>
    </xf>
    <xf numFmtId="2" fontId="61" fillId="0" borderId="27" xfId="0" applyNumberFormat="1" applyFont="1" applyBorder="1" applyAlignment="1">
      <alignment horizontal="center" vertical="top" wrapText="1"/>
    </xf>
    <xf numFmtId="165" fontId="100" fillId="0" borderId="108" xfId="0" applyNumberFormat="1" applyFont="1" applyBorder="1" applyAlignment="1">
      <alignment vertical="center"/>
    </xf>
    <xf numFmtId="165" fontId="100" fillId="0" borderId="43" xfId="0" applyNumberFormat="1" applyFont="1" applyBorder="1" applyAlignment="1">
      <alignment vertical="center"/>
    </xf>
    <xf numFmtId="165" fontId="100" fillId="0" borderId="24" xfId="0" applyNumberFormat="1" applyFont="1" applyBorder="1" applyAlignment="1">
      <alignment vertical="center"/>
    </xf>
    <xf numFmtId="9" fontId="59" fillId="0" borderId="0" xfId="0" applyNumberFormat="1" applyFont="1" applyAlignment="1">
      <alignment horizontal="center"/>
    </xf>
    <xf numFmtId="165" fontId="87" fillId="0" borderId="0" xfId="0" applyNumberFormat="1" applyFont="1" applyAlignment="1">
      <alignment horizontal="center" vertical="center"/>
    </xf>
    <xf numFmtId="165" fontId="59" fillId="0" borderId="120" xfId="0" applyNumberFormat="1" applyFont="1" applyBorder="1"/>
    <xf numFmtId="165" fontId="59" fillId="0" borderId="120" xfId="0" applyNumberFormat="1" applyFont="1" applyBorder="1" applyAlignment="1">
      <alignment horizontal="center"/>
    </xf>
    <xf numFmtId="2" fontId="38" fillId="0" borderId="120" xfId="0" applyNumberFormat="1" applyFont="1" applyBorder="1" applyAlignment="1">
      <alignment horizontal="center" vertical="top"/>
    </xf>
    <xf numFmtId="2" fontId="38" fillId="0" borderId="124" xfId="0" applyNumberFormat="1" applyFont="1" applyBorder="1" applyAlignment="1">
      <alignment horizontal="center" vertical="top"/>
    </xf>
    <xf numFmtId="0" fontId="59" fillId="0" borderId="125" xfId="0" applyFont="1" applyBorder="1" applyAlignment="1">
      <alignment horizontal="left"/>
    </xf>
    <xf numFmtId="165" fontId="87" fillId="0" borderId="44" xfId="0" applyNumberFormat="1" applyFont="1" applyBorder="1" applyAlignment="1">
      <alignment horizontal="center" vertical="center"/>
    </xf>
    <xf numFmtId="165" fontId="87" fillId="0" borderId="127" xfId="0" applyNumberFormat="1" applyFont="1" applyBorder="1" applyAlignment="1">
      <alignment horizontal="center" vertical="center"/>
    </xf>
    <xf numFmtId="2" fontId="59" fillId="0" borderId="44" xfId="0" applyNumberFormat="1" applyFont="1" applyBorder="1" applyAlignment="1">
      <alignment horizontal="center" vertical="top"/>
    </xf>
    <xf numFmtId="2" fontId="22" fillId="53" borderId="126" xfId="0" applyNumberFormat="1" applyFont="1" applyFill="1" applyBorder="1" applyAlignment="1">
      <alignment horizontal="center" vertical="top"/>
    </xf>
    <xf numFmtId="2" fontId="59" fillId="0" borderId="127" xfId="0" applyNumberFormat="1" applyFont="1" applyBorder="1" applyAlignment="1">
      <alignment horizontal="center" vertical="top"/>
    </xf>
    <xf numFmtId="2" fontId="59" fillId="0" borderId="130" xfId="0" applyNumberFormat="1" applyFont="1" applyBorder="1" applyAlignment="1">
      <alignment horizontal="center" vertical="top"/>
    </xf>
    <xf numFmtId="2" fontId="22" fillId="53" borderId="131" xfId="0" applyNumberFormat="1" applyFont="1" applyFill="1" applyBorder="1" applyAlignment="1">
      <alignment horizontal="center" vertical="top"/>
    </xf>
    <xf numFmtId="2" fontId="59" fillId="0" borderId="132" xfId="0" applyNumberFormat="1" applyFont="1" applyBorder="1" applyAlignment="1">
      <alignment horizontal="center" vertical="top"/>
    </xf>
    <xf numFmtId="165" fontId="22" fillId="53" borderId="126" xfId="0" applyNumberFormat="1" applyFont="1" applyFill="1" applyBorder="1" applyAlignment="1">
      <alignment horizontal="center"/>
    </xf>
    <xf numFmtId="165" fontId="18" fillId="53" borderId="126" xfId="0" applyNumberFormat="1" applyFont="1" applyFill="1" applyBorder="1" applyAlignment="1">
      <alignment horizontal="left" vertical="center"/>
    </xf>
    <xf numFmtId="1" fontId="22" fillId="53" borderId="126" xfId="0" applyNumberFormat="1" applyFont="1" applyFill="1" applyBorder="1" applyAlignment="1">
      <alignment horizontal="center"/>
    </xf>
    <xf numFmtId="9" fontId="22" fillId="53" borderId="126" xfId="0" applyNumberFormat="1" applyFont="1" applyFill="1" applyBorder="1" applyAlignment="1">
      <alignment horizontal="center"/>
    </xf>
    <xf numFmtId="165" fontId="106" fillId="53" borderId="133" xfId="0" applyNumberFormat="1" applyFont="1" applyFill="1" applyBorder="1" applyAlignment="1">
      <alignment horizontal="left" vertical="center"/>
    </xf>
    <xf numFmtId="165" fontId="98" fillId="0" borderId="128" xfId="0" applyNumberFormat="1" applyFont="1" applyBorder="1"/>
    <xf numFmtId="165" fontId="98" fillId="0" borderId="128" xfId="0" applyNumberFormat="1" applyFont="1" applyBorder="1" applyAlignment="1">
      <alignment horizontal="center"/>
    </xf>
    <xf numFmtId="165" fontId="98" fillId="0" borderId="129" xfId="0" applyNumberFormat="1" applyFont="1" applyBorder="1"/>
    <xf numFmtId="165" fontId="98" fillId="0" borderId="129" xfId="0" applyNumberFormat="1" applyFont="1" applyBorder="1" applyAlignment="1">
      <alignment horizontal="center"/>
    </xf>
    <xf numFmtId="165" fontId="59" fillId="0" borderId="0" xfId="0" applyNumberFormat="1" applyFont="1" applyAlignment="1">
      <alignment horizontal="left"/>
    </xf>
    <xf numFmtId="165" fontId="59" fillId="0" borderId="79" xfId="24615" applyNumberFormat="1" applyFont="1" applyBorder="1"/>
    <xf numFmtId="165" fontId="61" fillId="0" borderId="79" xfId="24615" applyNumberFormat="1" applyFont="1" applyBorder="1" applyAlignment="1">
      <alignment horizontal="center"/>
    </xf>
    <xf numFmtId="0" fontId="59" fillId="0" borderId="81" xfId="24615" applyFont="1" applyBorder="1" applyAlignment="1">
      <alignment horizontal="left"/>
    </xf>
    <xf numFmtId="2" fontId="38" fillId="0" borderId="138" xfId="0" applyNumberFormat="1" applyFont="1" applyBorder="1" applyAlignment="1">
      <alignment horizontal="center" vertical="top"/>
    </xf>
    <xf numFmtId="2" fontId="38" fillId="0" borderId="139" xfId="0" applyNumberFormat="1" applyFont="1" applyBorder="1" applyAlignment="1">
      <alignment horizontal="center" vertical="top"/>
    </xf>
    <xf numFmtId="0" fontId="59" fillId="0" borderId="140" xfId="24615" applyFont="1" applyBorder="1" applyAlignment="1">
      <alignment horizontal="left"/>
    </xf>
    <xf numFmtId="1" fontId="59" fillId="0" borderId="142" xfId="24615" applyNumberFormat="1" applyFont="1" applyBorder="1" applyAlignment="1">
      <alignment horizontal="center"/>
    </xf>
    <xf numFmtId="165" fontId="59" fillId="0" borderId="142" xfId="24615" applyNumberFormat="1" applyFont="1" applyBorder="1" applyAlignment="1">
      <alignment horizontal="center"/>
    </xf>
    <xf numFmtId="165" fontId="59" fillId="0" borderId="140" xfId="24615" applyNumberFormat="1" applyFont="1" applyBorder="1" applyAlignment="1">
      <alignment horizontal="center" vertical="center"/>
    </xf>
    <xf numFmtId="166" fontId="59" fillId="0" borderId="140" xfId="24615" applyNumberFormat="1" applyFont="1" applyBorder="1" applyAlignment="1">
      <alignment horizontal="center" vertical="center"/>
    </xf>
    <xf numFmtId="165" fontId="59" fillId="0" borderId="140" xfId="24615" applyNumberFormat="1" applyFont="1" applyBorder="1"/>
    <xf numFmtId="165" fontId="61" fillId="0" borderId="140" xfId="24615" applyNumberFormat="1" applyFont="1" applyBorder="1" applyAlignment="1">
      <alignment horizontal="center"/>
    </xf>
    <xf numFmtId="165" fontId="59" fillId="0" borderId="143" xfId="0" applyNumberFormat="1" applyFont="1" applyBorder="1" applyAlignment="1">
      <alignment horizontal="center"/>
    </xf>
    <xf numFmtId="1" fontId="59" fillId="53" borderId="92" xfId="0" applyNumberFormat="1" applyFont="1" applyFill="1" applyBorder="1" applyAlignment="1">
      <alignment horizontal="center"/>
    </xf>
    <xf numFmtId="165" fontId="59" fillId="53" borderId="95" xfId="0" applyNumberFormat="1" applyFont="1" applyFill="1" applyBorder="1" applyAlignment="1">
      <alignment horizontal="center"/>
    </xf>
    <xf numFmtId="165" fontId="59" fillId="53" borderId="89" xfId="0" applyNumberFormat="1" applyFont="1" applyFill="1" applyBorder="1" applyAlignment="1">
      <alignment horizontal="center"/>
    </xf>
    <xf numFmtId="166" fontId="59" fillId="53" borderId="84" xfId="0" applyNumberFormat="1" applyFont="1" applyFill="1" applyBorder="1"/>
    <xf numFmtId="165" fontId="59" fillId="53" borderId="84" xfId="0" applyNumberFormat="1" applyFont="1" applyFill="1" applyBorder="1" applyAlignment="1">
      <alignment horizontal="center"/>
    </xf>
    <xf numFmtId="165" fontId="59" fillId="53" borderId="83" xfId="0" applyNumberFormat="1" applyFont="1" applyFill="1" applyBorder="1"/>
    <xf numFmtId="165" fontId="59" fillId="53" borderId="83" xfId="0" applyNumberFormat="1" applyFont="1" applyFill="1" applyBorder="1" applyAlignment="1">
      <alignment horizontal="center"/>
    </xf>
    <xf numFmtId="2" fontId="38" fillId="53" borderId="83" xfId="0" applyNumberFormat="1" applyFont="1" applyFill="1" applyBorder="1" applyAlignment="1">
      <alignment horizontal="center" vertical="top"/>
    </xf>
    <xf numFmtId="165" fontId="100" fillId="0" borderId="10" xfId="0" applyNumberFormat="1" applyFont="1" applyBorder="1"/>
    <xf numFmtId="0" fontId="59" fillId="0" borderId="119" xfId="0" applyFont="1" applyBorder="1" applyAlignment="1">
      <alignment horizontal="left"/>
    </xf>
    <xf numFmtId="0" fontId="59" fillId="0" borderId="120" xfId="0" applyFont="1" applyBorder="1" applyAlignment="1">
      <alignment horizontal="left"/>
    </xf>
    <xf numFmtId="1" fontId="59" fillId="0" borderId="121" xfId="0" applyNumberFormat="1" applyFont="1" applyBorder="1" applyAlignment="1">
      <alignment horizontal="center"/>
    </xf>
    <xf numFmtId="165" fontId="59" fillId="0" borderId="122" xfId="0" applyNumberFormat="1" applyFont="1" applyBorder="1" applyAlignment="1">
      <alignment horizontal="center"/>
    </xf>
    <xf numFmtId="165" fontId="59" fillId="0" borderId="123" xfId="0" applyNumberFormat="1" applyFont="1" applyBorder="1" applyAlignment="1">
      <alignment horizontal="center"/>
    </xf>
    <xf numFmtId="166" fontId="59" fillId="0" borderId="120" xfId="0" applyNumberFormat="1" applyFont="1" applyBorder="1"/>
    <xf numFmtId="0" fontId="68" fillId="0" borderId="0" xfId="0" applyFont="1" applyAlignment="1">
      <alignment horizontal="center"/>
    </xf>
    <xf numFmtId="0" fontId="68" fillId="0" borderId="0" xfId="0" applyFont="1" applyAlignment="1">
      <alignment horizontal="left"/>
    </xf>
    <xf numFmtId="0" fontId="38" fillId="0" borderId="44" xfId="0" applyFont="1" applyBorder="1"/>
    <xf numFmtId="2" fontId="38" fillId="53" borderId="144" xfId="0" applyNumberFormat="1" applyFont="1" applyFill="1" applyBorder="1" applyAlignment="1">
      <alignment horizontal="center" vertical="top"/>
    </xf>
    <xf numFmtId="165" fontId="106" fillId="53" borderId="19" xfId="0" applyNumberFormat="1" applyFont="1" applyFill="1" applyBorder="1" applyAlignment="1">
      <alignment vertical="center" wrapText="1"/>
    </xf>
    <xf numFmtId="165" fontId="108" fillId="53" borderId="0" xfId="0" applyNumberFormat="1" applyFont="1" applyFill="1"/>
    <xf numFmtId="1" fontId="108" fillId="53" borderId="12" xfId="0" applyNumberFormat="1" applyFont="1" applyFill="1" applyBorder="1" applyAlignment="1">
      <alignment horizontal="center"/>
    </xf>
    <xf numFmtId="165" fontId="108" fillId="53" borderId="44" xfId="0" applyNumberFormat="1" applyFont="1" applyFill="1" applyBorder="1" applyAlignment="1">
      <alignment horizontal="center"/>
    </xf>
    <xf numFmtId="165" fontId="108" fillId="53" borderId="28" xfId="0" applyNumberFormat="1" applyFont="1" applyFill="1" applyBorder="1"/>
    <xf numFmtId="166" fontId="108" fillId="53" borderId="20" xfId="0" applyNumberFormat="1" applyFont="1" applyFill="1" applyBorder="1"/>
    <xf numFmtId="165" fontId="108" fillId="53" borderId="20" xfId="0" applyNumberFormat="1" applyFont="1" applyFill="1" applyBorder="1"/>
    <xf numFmtId="165" fontId="108" fillId="53" borderId="13" xfId="0" applyNumberFormat="1" applyFont="1" applyFill="1" applyBorder="1"/>
    <xf numFmtId="165" fontId="108" fillId="53" borderId="13" xfId="0" applyNumberFormat="1" applyFont="1" applyFill="1" applyBorder="1" applyAlignment="1">
      <alignment horizontal="center"/>
    </xf>
    <xf numFmtId="2" fontId="108" fillId="53" borderId="13" xfId="0" applyNumberFormat="1" applyFont="1" applyFill="1" applyBorder="1" applyAlignment="1">
      <alignment horizontal="center" vertical="top"/>
    </xf>
    <xf numFmtId="165" fontId="106" fillId="53" borderId="82" xfId="0" applyNumberFormat="1" applyFont="1" applyFill="1" applyBorder="1" applyAlignment="1">
      <alignment horizontal="left" vertical="center" wrapText="1"/>
    </xf>
    <xf numFmtId="0" fontId="109" fillId="53" borderId="83" xfId="0" applyFont="1" applyFill="1" applyBorder="1" applyAlignment="1">
      <alignment horizontal="left" vertical="center"/>
    </xf>
    <xf numFmtId="165" fontId="112" fillId="53" borderId="45" xfId="0" applyNumberFormat="1" applyFont="1" applyFill="1" applyBorder="1" applyAlignment="1">
      <alignment horizontal="left" vertical="center"/>
    </xf>
    <xf numFmtId="0" fontId="112" fillId="53" borderId="45" xfId="0" applyFont="1" applyFill="1" applyBorder="1" applyAlignment="1">
      <alignment horizontal="left" vertical="center"/>
    </xf>
    <xf numFmtId="0" fontId="112" fillId="54" borderId="45" xfId="0" applyFont="1" applyFill="1" applyBorder="1" applyAlignment="1">
      <alignment horizontal="left" vertical="center"/>
    </xf>
    <xf numFmtId="165" fontId="57" fillId="0" borderId="13" xfId="0" applyNumberFormat="1" applyFont="1" applyBorder="1"/>
    <xf numFmtId="165" fontId="55" fillId="0" borderId="20" xfId="0" applyNumberFormat="1" applyFont="1" applyBorder="1"/>
    <xf numFmtId="2" fontId="82" fillId="0" borderId="146" xfId="0" applyNumberFormat="1" applyFont="1" applyBorder="1" applyAlignment="1">
      <alignment horizontal="center" vertical="center" wrapText="1"/>
    </xf>
    <xf numFmtId="2" fontId="46" fillId="0" borderId="147" xfId="0" applyNumberFormat="1" applyFont="1" applyBorder="1"/>
    <xf numFmtId="2" fontId="82" fillId="0" borderId="148" xfId="0" applyNumberFormat="1" applyFont="1" applyBorder="1" applyAlignment="1">
      <alignment horizontal="center" vertical="center" wrapText="1"/>
    </xf>
    <xf numFmtId="2" fontId="113" fillId="0" borderId="146" xfId="0" applyNumberFormat="1" applyFont="1" applyBorder="1" applyAlignment="1">
      <alignment horizontal="center" vertical="center" wrapText="1"/>
    </xf>
    <xf numFmtId="2" fontId="59" fillId="0" borderId="149" xfId="0" applyNumberFormat="1" applyFont="1" applyBorder="1" applyAlignment="1">
      <alignment horizontal="center" vertical="center"/>
    </xf>
    <xf numFmtId="2" fontId="59" fillId="0" borderId="149" xfId="0" applyNumberFormat="1" applyFont="1" applyBorder="1" applyAlignment="1">
      <alignment horizontal="center" vertical="top"/>
    </xf>
    <xf numFmtId="2" fontId="113" fillId="0" borderId="150" xfId="0" applyNumberFormat="1" applyFont="1" applyBorder="1" applyAlignment="1">
      <alignment horizontal="center" vertical="center" wrapText="1"/>
    </xf>
    <xf numFmtId="0" fontId="81" fillId="0" borderId="145" xfId="0" applyFont="1" applyBorder="1" applyAlignment="1">
      <alignment horizontal="center" vertical="center"/>
    </xf>
    <xf numFmtId="2" fontId="111" fillId="0" borderId="80" xfId="0" applyNumberFormat="1" applyFont="1" applyBorder="1" applyAlignment="1">
      <alignment horizontal="center" vertical="center" wrapText="1"/>
    </xf>
    <xf numFmtId="165" fontId="72" fillId="0" borderId="66" xfId="0" applyNumberFormat="1" applyFont="1" applyBorder="1" applyAlignment="1">
      <alignment horizontal="center" vertical="center"/>
    </xf>
    <xf numFmtId="165" fontId="72" fillId="0" borderId="65" xfId="0" applyNumberFormat="1" applyFont="1" applyBorder="1" applyAlignment="1">
      <alignment horizontal="center" vertical="center"/>
    </xf>
    <xf numFmtId="0" fontId="63" fillId="0" borderId="20" xfId="0" applyFont="1" applyBorder="1" applyAlignment="1">
      <alignment horizontal="center"/>
    </xf>
    <xf numFmtId="1" fontId="63" fillId="0" borderId="10" xfId="0" applyNumberFormat="1" applyFont="1" applyBorder="1" applyAlignment="1">
      <alignment horizontal="center"/>
    </xf>
    <xf numFmtId="10" fontId="63" fillId="0" borderId="0" xfId="0" applyNumberFormat="1" applyFont="1" applyAlignment="1">
      <alignment horizontal="center"/>
    </xf>
    <xf numFmtId="165" fontId="63" fillId="0" borderId="13" xfId="0" applyNumberFormat="1" applyFont="1" applyBorder="1" applyAlignment="1">
      <alignment horizontal="center" vertical="center"/>
    </xf>
    <xf numFmtId="165" fontId="63" fillId="0" borderId="13" xfId="0" applyNumberFormat="1" applyFont="1" applyBorder="1"/>
    <xf numFmtId="1" fontId="63" fillId="0" borderId="13" xfId="0" applyNumberFormat="1" applyFont="1" applyBorder="1" applyAlignment="1">
      <alignment horizontal="center"/>
    </xf>
    <xf numFmtId="165" fontId="63" fillId="0" borderId="20" xfId="0" applyNumberFormat="1" applyFont="1" applyBorder="1" applyAlignment="1">
      <alignment horizontal="center" vertical="center"/>
    </xf>
    <xf numFmtId="165" fontId="59" fillId="0" borderId="35" xfId="0" applyNumberFormat="1" applyFont="1" applyBorder="1" applyAlignment="1">
      <alignment horizontal="left"/>
    </xf>
    <xf numFmtId="165" fontId="59" fillId="0" borderId="37" xfId="0" applyNumberFormat="1" applyFont="1" applyBorder="1" applyAlignment="1">
      <alignment horizontal="left"/>
    </xf>
    <xf numFmtId="165" fontId="59" fillId="0" borderId="28" xfId="0" applyNumberFormat="1" applyFont="1" applyBorder="1" applyAlignment="1">
      <alignment horizontal="left"/>
    </xf>
    <xf numFmtId="10" fontId="59" fillId="0" borderId="0" xfId="0" applyNumberFormat="1" applyFont="1" applyAlignment="1">
      <alignment horizontal="center"/>
    </xf>
    <xf numFmtId="165" fontId="59" fillId="0" borderId="10" xfId="0" applyNumberFormat="1" applyFont="1" applyBorder="1" applyAlignment="1">
      <alignment horizontal="center"/>
    </xf>
    <xf numFmtId="165" fontId="59" fillId="0" borderId="10" xfId="0" applyNumberFormat="1" applyFont="1" applyBorder="1" applyAlignment="1">
      <alignment horizontal="left" vertical="center"/>
    </xf>
    <xf numFmtId="0" fontId="59" fillId="0" borderId="13" xfId="0" applyFont="1" applyBorder="1" applyAlignment="1">
      <alignment horizontal="center" vertical="center"/>
    </xf>
    <xf numFmtId="0" fontId="114" fillId="0" borderId="0" xfId="0" applyFont="1"/>
    <xf numFmtId="0" fontId="114" fillId="0" borderId="13" xfId="0" applyFont="1" applyBorder="1" applyAlignment="1">
      <alignment horizontal="left"/>
    </xf>
    <xf numFmtId="165" fontId="114" fillId="0" borderId="0" xfId="0" applyNumberFormat="1" applyFont="1" applyAlignment="1">
      <alignment horizontal="center"/>
    </xf>
    <xf numFmtId="0" fontId="59" fillId="0" borderId="135" xfId="0" applyFont="1" applyBorder="1" applyAlignment="1">
      <alignment horizontal="left"/>
    </xf>
    <xf numFmtId="9" fontId="59" fillId="0" borderId="44" xfId="0" applyNumberFormat="1" applyFont="1" applyBorder="1" applyAlignment="1">
      <alignment horizontal="center"/>
    </xf>
    <xf numFmtId="0" fontId="59" fillId="0" borderId="134" xfId="0" applyFont="1" applyBorder="1" applyAlignment="1">
      <alignment horizontal="left"/>
    </xf>
    <xf numFmtId="0" fontId="59" fillId="0" borderId="126" xfId="0" applyFont="1" applyBorder="1" applyAlignment="1">
      <alignment horizontal="left"/>
    </xf>
    <xf numFmtId="1" fontId="59" fillId="0" borderId="136" xfId="0" applyNumberFormat="1" applyFont="1" applyBorder="1" applyAlignment="1">
      <alignment horizontal="center"/>
    </xf>
    <xf numFmtId="165" fontId="59" fillId="0" borderId="127" xfId="0" applyNumberFormat="1" applyFont="1" applyBorder="1" applyAlignment="1">
      <alignment horizontal="center"/>
    </xf>
    <xf numFmtId="9" fontId="59" fillId="0" borderId="127" xfId="0" applyNumberFormat="1" applyFont="1" applyBorder="1" applyAlignment="1">
      <alignment horizontal="center"/>
    </xf>
    <xf numFmtId="165" fontId="59" fillId="0" borderId="137" xfId="0" applyNumberFormat="1" applyFont="1" applyBorder="1" applyAlignment="1">
      <alignment horizontal="center"/>
    </xf>
    <xf numFmtId="0" fontId="21" fillId="0" borderId="102" xfId="0" applyFont="1" applyBorder="1" applyAlignment="1">
      <alignment horizontal="left" vertical="top" wrapText="1"/>
    </xf>
    <xf numFmtId="165" fontId="69" fillId="0" borderId="0" xfId="0" applyNumberFormat="1" applyFont="1" applyAlignment="1">
      <alignment horizontal="left" vertical="top"/>
    </xf>
    <xf numFmtId="165" fontId="21" fillId="0" borderId="23" xfId="0" applyNumberFormat="1" applyFont="1" applyBorder="1" applyAlignment="1">
      <alignment horizontal="left" vertical="top" wrapText="1"/>
    </xf>
    <xf numFmtId="165" fontId="21" fillId="0" borderId="11" xfId="0" applyNumberFormat="1" applyFont="1" applyBorder="1" applyAlignment="1">
      <alignment horizontal="left" vertical="top" wrapText="1"/>
    </xf>
    <xf numFmtId="2" fontId="21" fillId="0" borderId="96" xfId="0" applyNumberFormat="1" applyFont="1" applyBorder="1" applyAlignment="1">
      <alignment horizontal="left" vertical="top" wrapText="1"/>
    </xf>
    <xf numFmtId="166" fontId="21" fillId="0" borderId="25" xfId="0" applyNumberFormat="1" applyFont="1" applyBorder="1" applyAlignment="1">
      <alignment horizontal="left" vertical="top" wrapText="1"/>
    </xf>
    <xf numFmtId="2" fontId="21" fillId="0" borderId="25" xfId="0" applyNumberFormat="1" applyFont="1" applyBorder="1" applyAlignment="1">
      <alignment horizontal="left" vertical="top" wrapText="1"/>
    </xf>
    <xf numFmtId="2" fontId="21" fillId="0" borderId="23" xfId="0" applyNumberFormat="1" applyFont="1" applyBorder="1" applyAlignment="1">
      <alignment horizontal="left" vertical="top" wrapText="1"/>
    </xf>
    <xf numFmtId="0" fontId="69" fillId="0" borderId="102" xfId="0" applyFont="1" applyBorder="1" applyAlignment="1">
      <alignment horizontal="left" vertical="top" wrapText="1"/>
    </xf>
    <xf numFmtId="165" fontId="69" fillId="0" borderId="73" xfId="0" applyNumberFormat="1" applyFont="1" applyBorder="1" applyAlignment="1">
      <alignment horizontal="left" vertical="top" wrapText="1"/>
    </xf>
    <xf numFmtId="165" fontId="69" fillId="0" borderId="27" xfId="0" applyNumberFormat="1" applyFont="1" applyBorder="1" applyAlignment="1">
      <alignment horizontal="left" vertical="top" wrapText="1"/>
    </xf>
    <xf numFmtId="165" fontId="69" fillId="0" borderId="26" xfId="0" applyNumberFormat="1" applyFont="1" applyBorder="1" applyAlignment="1">
      <alignment horizontal="left" vertical="top" wrapText="1"/>
    </xf>
    <xf numFmtId="2" fontId="69" fillId="0" borderId="27" xfId="0" applyNumberFormat="1" applyFont="1" applyBorder="1" applyAlignment="1">
      <alignment horizontal="left" vertical="top" wrapText="1"/>
    </xf>
    <xf numFmtId="166" fontId="69" fillId="0" borderId="26" xfId="0" applyNumberFormat="1" applyFont="1" applyBorder="1" applyAlignment="1">
      <alignment horizontal="left" vertical="top" wrapText="1"/>
    </xf>
    <xf numFmtId="2" fontId="69" fillId="0" borderId="26" xfId="0" applyNumberFormat="1" applyFont="1" applyBorder="1" applyAlignment="1">
      <alignment horizontal="left" vertical="top" wrapText="1"/>
    </xf>
    <xf numFmtId="2" fontId="21" fillId="0" borderId="76" xfId="0" applyNumberFormat="1" applyFont="1" applyBorder="1" applyAlignment="1">
      <alignment horizontal="left" vertical="top" wrapText="1"/>
    </xf>
    <xf numFmtId="2" fontId="69" fillId="0" borderId="31" xfId="0" applyNumberFormat="1" applyFont="1" applyBorder="1" applyAlignment="1">
      <alignment horizontal="left" vertical="top" wrapText="1"/>
    </xf>
    <xf numFmtId="165" fontId="115" fillId="0" borderId="0" xfId="0" applyNumberFormat="1" applyFont="1" applyAlignment="1">
      <alignment horizontal="left" vertical="top" textRotation="90" wrapText="1"/>
    </xf>
    <xf numFmtId="170" fontId="69" fillId="0" borderId="31" xfId="24614" applyNumberFormat="1" applyFont="1" applyBorder="1" applyAlignment="1">
      <alignment horizontal="left" vertical="top"/>
    </xf>
    <xf numFmtId="170" fontId="69" fillId="0" borderId="32" xfId="24614" applyNumberFormat="1" applyFont="1" applyBorder="1" applyAlignment="1">
      <alignment horizontal="left" vertical="top"/>
    </xf>
    <xf numFmtId="0" fontId="117" fillId="0" borderId="0" xfId="0" applyFont="1" applyAlignment="1">
      <alignment horizontal="left" vertical="top"/>
    </xf>
    <xf numFmtId="165" fontId="38" fillId="0" borderId="152" xfId="0" applyNumberFormat="1" applyFont="1" applyBorder="1"/>
    <xf numFmtId="0" fontId="59" fillId="0" borderId="135" xfId="24615" applyFont="1" applyBorder="1" applyAlignment="1">
      <alignment horizontal="left"/>
    </xf>
    <xf numFmtId="0" fontId="59" fillId="0" borderId="122" xfId="24615" applyFont="1" applyBorder="1" applyAlignment="1">
      <alignment horizontal="left"/>
    </xf>
    <xf numFmtId="1" fontId="59" fillId="0" borderId="44" xfId="24615" applyNumberFormat="1" applyFont="1" applyBorder="1" applyAlignment="1">
      <alignment horizontal="center"/>
    </xf>
    <xf numFmtId="165" fontId="59" fillId="0" borderId="122" xfId="24615" applyNumberFormat="1" applyFont="1" applyBorder="1" applyAlignment="1">
      <alignment horizontal="center"/>
    </xf>
    <xf numFmtId="165" fontId="59" fillId="0" borderId="122" xfId="24615" applyNumberFormat="1" applyFont="1" applyBorder="1" applyAlignment="1">
      <alignment horizontal="center" vertical="center"/>
    </xf>
    <xf numFmtId="166" fontId="59" fillId="0" borderId="122" xfId="24615" applyNumberFormat="1" applyFont="1" applyBorder="1" applyAlignment="1">
      <alignment horizontal="center" vertical="center"/>
    </xf>
    <xf numFmtId="165" fontId="22" fillId="53" borderId="45" xfId="0" applyNumberFormat="1" applyFont="1" applyFill="1" applyBorder="1" applyAlignment="1">
      <alignment horizontal="left" vertical="center"/>
    </xf>
    <xf numFmtId="165" fontId="59" fillId="53" borderId="89" xfId="0" applyNumberFormat="1" applyFont="1" applyFill="1" applyBorder="1"/>
    <xf numFmtId="165" fontId="38" fillId="0" borderId="100" xfId="0" applyNumberFormat="1" applyFont="1" applyBorder="1"/>
    <xf numFmtId="0" fontId="59" fillId="0" borderId="79" xfId="24615" applyFont="1" applyBorder="1" applyAlignment="1">
      <alignment horizontal="left"/>
    </xf>
    <xf numFmtId="165" fontId="59" fillId="0" borderId="44" xfId="24615" applyNumberFormat="1" applyFont="1" applyBorder="1" applyAlignment="1">
      <alignment horizontal="center"/>
    </xf>
    <xf numFmtId="165" fontId="59" fillId="0" borderId="79" xfId="24615" applyNumberFormat="1" applyFont="1" applyBorder="1" applyAlignment="1">
      <alignment horizontal="center" vertical="center"/>
    </xf>
    <xf numFmtId="166" fontId="59" fillId="0" borderId="79" xfId="24615" applyNumberFormat="1" applyFont="1" applyBorder="1" applyAlignment="1">
      <alignment horizontal="center" vertical="center"/>
    </xf>
    <xf numFmtId="165" fontId="59" fillId="0" borderId="141" xfId="24615" applyNumberFormat="1" applyFont="1" applyBorder="1"/>
    <xf numFmtId="165" fontId="61" fillId="0" borderId="141" xfId="24615" applyNumberFormat="1" applyFont="1" applyBorder="1" applyAlignment="1">
      <alignment horizontal="center"/>
    </xf>
    <xf numFmtId="165" fontId="57" fillId="0" borderId="0" xfId="0" applyNumberFormat="1" applyFont="1" applyAlignment="1">
      <alignment horizontal="center" vertical="center" textRotation="90" wrapText="1"/>
    </xf>
    <xf numFmtId="2" fontId="82" fillId="0" borderId="151" xfId="0" applyNumberFormat="1" applyFont="1" applyBorder="1" applyAlignment="1">
      <alignment horizontal="center" vertical="center" wrapText="1"/>
    </xf>
    <xf numFmtId="165" fontId="116" fillId="53" borderId="45" xfId="0" applyNumberFormat="1" applyFont="1" applyFill="1" applyBorder="1" applyAlignment="1">
      <alignment horizontal="center" vertical="top"/>
    </xf>
    <xf numFmtId="165" fontId="119" fillId="0" borderId="12" xfId="0" applyNumberFormat="1" applyFont="1" applyBorder="1" applyAlignment="1">
      <alignment horizontal="center" vertical="center"/>
    </xf>
    <xf numFmtId="165" fontId="87" fillId="0" borderId="12" xfId="0" applyNumberFormat="1" applyFont="1" applyBorder="1" applyAlignment="1">
      <alignment horizontal="center" vertical="center"/>
    </xf>
    <xf numFmtId="165" fontId="87" fillId="0" borderId="114" xfId="0" applyNumberFormat="1" applyFont="1" applyBorder="1" applyAlignment="1">
      <alignment horizontal="center" vertical="center"/>
    </xf>
    <xf numFmtId="165" fontId="87" fillId="0" borderId="0" xfId="0" applyNumberFormat="1" applyFont="1"/>
    <xf numFmtId="165" fontId="87" fillId="0" borderId="0" xfId="24615" applyNumberFormat="1" applyFont="1" applyAlignment="1">
      <alignment horizontal="center" vertical="center"/>
    </xf>
    <xf numFmtId="165" fontId="95" fillId="53" borderId="72" xfId="0" applyNumberFormat="1" applyFont="1" applyFill="1" applyBorder="1" applyAlignment="1">
      <alignment horizontal="center" vertical="center"/>
    </xf>
    <xf numFmtId="165" fontId="95" fillId="53" borderId="126" xfId="0" applyNumberFormat="1" applyFont="1" applyFill="1" applyBorder="1" applyAlignment="1">
      <alignment horizontal="center" vertical="center"/>
    </xf>
    <xf numFmtId="165" fontId="87" fillId="0" borderId="47" xfId="0" applyNumberFormat="1" applyFont="1" applyBorder="1" applyAlignment="1">
      <alignment horizontal="center" vertical="center"/>
    </xf>
    <xf numFmtId="165" fontId="87" fillId="53" borderId="83" xfId="0" applyNumberFormat="1" applyFont="1" applyFill="1" applyBorder="1" applyAlignment="1">
      <alignment horizontal="center" vertical="center"/>
    </xf>
    <xf numFmtId="165" fontId="87" fillId="0" borderId="120" xfId="0" applyNumberFormat="1" applyFont="1" applyBorder="1" applyAlignment="1">
      <alignment horizontal="center" vertical="center"/>
    </xf>
    <xf numFmtId="165" fontId="120" fillId="53" borderId="13" xfId="0" applyNumberFormat="1" applyFont="1" applyFill="1" applyBorder="1"/>
    <xf numFmtId="2" fontId="82" fillId="0" borderId="154" xfId="0" applyNumberFormat="1" applyFont="1" applyBorder="1" applyAlignment="1">
      <alignment horizontal="center" vertical="center" wrapText="1"/>
    </xf>
    <xf numFmtId="165" fontId="61" fillId="0" borderId="13" xfId="0" applyNumberFormat="1" applyFont="1" applyBorder="1"/>
    <xf numFmtId="0" fontId="59" fillId="55" borderId="37" xfId="0" applyFont="1" applyFill="1" applyBorder="1" applyAlignment="1">
      <alignment horizontal="left"/>
    </xf>
    <xf numFmtId="0" fontId="59" fillId="55" borderId="13" xfId="0" applyFont="1" applyFill="1" applyBorder="1" applyAlignment="1">
      <alignment horizontal="left"/>
    </xf>
    <xf numFmtId="1" fontId="59" fillId="55" borderId="13" xfId="0" applyNumberFormat="1" applyFont="1" applyFill="1" applyBorder="1" applyAlignment="1">
      <alignment horizontal="center"/>
    </xf>
    <xf numFmtId="165" fontId="59" fillId="55" borderId="0" xfId="0" applyNumberFormat="1" applyFont="1" applyFill="1" applyAlignment="1">
      <alignment horizontal="center"/>
    </xf>
    <xf numFmtId="165" fontId="59" fillId="55" borderId="28" xfId="0" applyNumberFormat="1" applyFont="1" applyFill="1" applyBorder="1" applyAlignment="1">
      <alignment horizontal="center" vertical="center"/>
    </xf>
    <xf numFmtId="9" fontId="59" fillId="55" borderId="20" xfId="0" applyNumberFormat="1" applyFont="1" applyFill="1" applyBorder="1" applyAlignment="1">
      <alignment horizontal="center"/>
    </xf>
    <xf numFmtId="165" fontId="59" fillId="55" borderId="20" xfId="0" applyNumberFormat="1" applyFont="1" applyFill="1" applyBorder="1" applyAlignment="1">
      <alignment horizontal="center" vertical="center"/>
    </xf>
    <xf numFmtId="165" fontId="59" fillId="55" borderId="13" xfId="0" applyNumberFormat="1" applyFont="1" applyFill="1" applyBorder="1"/>
    <xf numFmtId="165" fontId="59" fillId="55" borderId="13" xfId="0" applyNumberFormat="1" applyFont="1" applyFill="1" applyBorder="1" applyAlignment="1">
      <alignment horizontal="center"/>
    </xf>
    <xf numFmtId="166" fontId="59" fillId="55" borderId="20" xfId="0" applyNumberFormat="1" applyFont="1" applyFill="1" applyBorder="1" applyAlignment="1">
      <alignment horizontal="center"/>
    </xf>
    <xf numFmtId="165" fontId="59" fillId="55" borderId="10" xfId="0" applyNumberFormat="1" applyFont="1" applyFill="1" applyBorder="1" applyAlignment="1">
      <alignment horizontal="left"/>
    </xf>
    <xf numFmtId="165" fontId="59" fillId="55" borderId="28" xfId="0" applyNumberFormat="1" applyFont="1" applyFill="1" applyBorder="1" applyAlignment="1">
      <alignment horizontal="center"/>
    </xf>
    <xf numFmtId="165" fontId="59" fillId="55" borderId="20" xfId="0" applyNumberFormat="1" applyFont="1" applyFill="1" applyBorder="1" applyAlignment="1">
      <alignment horizontal="center" vertical="top"/>
    </xf>
    <xf numFmtId="165" fontId="59" fillId="55" borderId="13" xfId="0" applyNumberFormat="1" applyFont="1" applyFill="1" applyBorder="1" applyAlignment="1">
      <alignment horizontal="center" vertical="top"/>
    </xf>
    <xf numFmtId="165" fontId="59" fillId="55" borderId="13" xfId="0" applyNumberFormat="1" applyFont="1" applyFill="1" applyBorder="1" applyAlignment="1">
      <alignment horizontal="center" vertical="center"/>
    </xf>
    <xf numFmtId="0" fontId="59" fillId="55" borderId="0" xfId="0" applyFont="1" applyFill="1" applyAlignment="1">
      <alignment horizontal="left"/>
    </xf>
    <xf numFmtId="165" fontId="59" fillId="55" borderId="20" xfId="0" applyNumberFormat="1" applyFont="1" applyFill="1" applyBorder="1" applyAlignment="1">
      <alignment horizontal="center"/>
    </xf>
    <xf numFmtId="0" fontId="59" fillId="55" borderId="37" xfId="0" applyFont="1" applyFill="1" applyBorder="1" applyAlignment="1">
      <alignment horizontal="left" vertical="center"/>
    </xf>
    <xf numFmtId="165" fontId="59" fillId="55" borderId="10" xfId="0" applyNumberFormat="1" applyFont="1" applyFill="1" applyBorder="1" applyAlignment="1">
      <alignment horizontal="left" vertical="center" wrapText="1"/>
    </xf>
    <xf numFmtId="1" fontId="59" fillId="55" borderId="13" xfId="0" applyNumberFormat="1" applyFont="1" applyFill="1" applyBorder="1" applyAlignment="1">
      <alignment horizontal="center" vertical="center" wrapText="1"/>
    </xf>
    <xf numFmtId="1" fontId="59" fillId="55" borderId="0" xfId="0" applyNumberFormat="1" applyFont="1" applyFill="1" applyAlignment="1">
      <alignment horizontal="center" vertical="center"/>
    </xf>
    <xf numFmtId="165" fontId="59" fillId="55" borderId="28" xfId="0" applyNumberFormat="1" applyFont="1" applyFill="1" applyBorder="1" applyAlignment="1">
      <alignment horizontal="center" vertical="center" wrapText="1"/>
    </xf>
    <xf numFmtId="9" fontId="59" fillId="55" borderId="20" xfId="0" applyNumberFormat="1" applyFont="1" applyFill="1" applyBorder="1" applyAlignment="1">
      <alignment horizontal="center" vertical="center" wrapText="1"/>
    </xf>
    <xf numFmtId="165" fontId="59" fillId="55" borderId="20" xfId="0" applyNumberFormat="1" applyFont="1" applyFill="1" applyBorder="1" applyAlignment="1">
      <alignment horizontal="center" vertical="center" wrapText="1"/>
    </xf>
    <xf numFmtId="165" fontId="59" fillId="55" borderId="13" xfId="0" applyNumberFormat="1" applyFont="1" applyFill="1" applyBorder="1" applyAlignment="1">
      <alignment horizontal="center" vertical="center" wrapText="1"/>
    </xf>
    <xf numFmtId="1" fontId="59" fillId="55" borderId="0" xfId="0" applyNumberFormat="1" applyFont="1" applyFill="1" applyAlignment="1">
      <alignment horizontal="center"/>
    </xf>
    <xf numFmtId="49" fontId="59" fillId="55" borderId="37" xfId="0" applyNumberFormat="1" applyFont="1" applyFill="1" applyBorder="1" applyAlignment="1">
      <alignment horizontal="left"/>
    </xf>
    <xf numFmtId="0" fontId="59" fillId="55" borderId="12" xfId="0" applyFont="1" applyFill="1" applyBorder="1" applyAlignment="1">
      <alignment horizontal="left"/>
    </xf>
    <xf numFmtId="0" fontId="59" fillId="55" borderId="13" xfId="0" applyFont="1" applyFill="1" applyBorder="1" applyAlignment="1">
      <alignment horizontal="center"/>
    </xf>
    <xf numFmtId="165" fontId="59" fillId="55" borderId="0" xfId="0" applyNumberFormat="1" applyFont="1" applyFill="1" applyAlignment="1">
      <alignment horizontal="center" vertical="top"/>
    </xf>
    <xf numFmtId="0" fontId="59" fillId="55" borderId="12" xfId="0" applyFont="1" applyFill="1" applyBorder="1" applyAlignment="1">
      <alignment horizontal="center"/>
    </xf>
    <xf numFmtId="0" fontId="59" fillId="0" borderId="0" xfId="0" applyFont="1" applyAlignment="1">
      <alignment horizontal="center"/>
    </xf>
    <xf numFmtId="165" fontId="59" fillId="55" borderId="13" xfId="0" applyNumberFormat="1" applyFont="1" applyFill="1" applyBorder="1" applyAlignment="1">
      <alignment horizontal="left"/>
    </xf>
    <xf numFmtId="1" fontId="59" fillId="55" borderId="12" xfId="0" applyNumberFormat="1" applyFont="1" applyFill="1" applyBorder="1" applyAlignment="1">
      <alignment horizontal="center"/>
    </xf>
    <xf numFmtId="49" fontId="106" fillId="53" borderId="71" xfId="0" applyNumberFormat="1" applyFont="1" applyFill="1" applyBorder="1" applyAlignment="1">
      <alignment horizontal="left" vertical="center"/>
    </xf>
    <xf numFmtId="49" fontId="59" fillId="0" borderId="37" xfId="0" applyNumberFormat="1" applyFont="1" applyBorder="1" applyAlignment="1">
      <alignment horizontal="left" vertical="center"/>
    </xf>
    <xf numFmtId="49" fontId="106" fillId="53" borderId="101" xfId="0" applyNumberFormat="1" applyFont="1" applyFill="1" applyBorder="1" applyAlignment="1">
      <alignment vertical="center"/>
    </xf>
    <xf numFmtId="49" fontId="106" fillId="53" borderId="101" xfId="0" applyNumberFormat="1" applyFont="1" applyFill="1" applyBorder="1" applyAlignment="1">
      <alignment horizontal="left" vertical="center"/>
    </xf>
    <xf numFmtId="49" fontId="59" fillId="0" borderId="125" xfId="0" applyNumberFormat="1" applyFont="1" applyBorder="1" applyAlignment="1">
      <alignment horizontal="left"/>
    </xf>
    <xf numFmtId="49" fontId="59" fillId="0" borderId="34" xfId="0" applyNumberFormat="1" applyFont="1" applyBorder="1" applyAlignment="1">
      <alignment horizontal="left"/>
    </xf>
    <xf numFmtId="49" fontId="59" fillId="0" borderId="34" xfId="24615" applyNumberFormat="1" applyFont="1" applyBorder="1" applyAlignment="1">
      <alignment horizontal="left"/>
    </xf>
    <xf numFmtId="49" fontId="61" fillId="0" borderId="37" xfId="0" applyNumberFormat="1" applyFont="1" applyBorder="1" applyAlignment="1">
      <alignment horizontal="left" vertical="center"/>
    </xf>
    <xf numFmtId="49" fontId="59" fillId="0" borderId="135" xfId="0" applyNumberFormat="1" applyFont="1" applyBorder="1" applyAlignment="1">
      <alignment horizontal="left"/>
    </xf>
    <xf numFmtId="49" fontId="59" fillId="0" borderId="134" xfId="0" applyNumberFormat="1" applyFont="1" applyBorder="1" applyAlignment="1">
      <alignment horizontal="left"/>
    </xf>
    <xf numFmtId="49" fontId="106" fillId="53" borderId="133" xfId="0" applyNumberFormat="1" applyFont="1" applyFill="1" applyBorder="1" applyAlignment="1">
      <alignment horizontal="left" vertical="center"/>
    </xf>
    <xf numFmtId="49" fontId="61" fillId="0" borderId="37" xfId="0" applyNumberFormat="1" applyFont="1" applyBorder="1" applyAlignment="1">
      <alignment horizontal="left"/>
    </xf>
    <xf numFmtId="49" fontId="59" fillId="0" borderId="0" xfId="0" applyNumberFormat="1" applyFont="1" applyAlignment="1">
      <alignment horizontal="left"/>
    </xf>
    <xf numFmtId="49" fontId="59" fillId="0" borderId="0" xfId="0" applyNumberFormat="1" applyFont="1"/>
    <xf numFmtId="165" fontId="63" fillId="55" borderId="10" xfId="0" applyNumberFormat="1" applyFont="1" applyFill="1" applyBorder="1" applyAlignment="1">
      <alignment horizontal="left"/>
    </xf>
    <xf numFmtId="0" fontId="63" fillId="55" borderId="13" xfId="0" applyFont="1" applyFill="1" applyBorder="1" applyAlignment="1">
      <alignment horizontal="center"/>
    </xf>
    <xf numFmtId="165" fontId="63" fillId="55" borderId="20" xfId="0" applyNumberFormat="1" applyFont="1" applyFill="1" applyBorder="1" applyAlignment="1">
      <alignment horizontal="center" vertical="top"/>
    </xf>
    <xf numFmtId="165" fontId="63" fillId="55" borderId="13" xfId="0" applyNumberFormat="1" applyFont="1" applyFill="1" applyBorder="1" applyAlignment="1">
      <alignment horizontal="center"/>
    </xf>
    <xf numFmtId="10" fontId="63" fillId="55" borderId="20" xfId="0" applyNumberFormat="1" applyFont="1" applyFill="1" applyBorder="1" applyAlignment="1">
      <alignment horizontal="center"/>
    </xf>
    <xf numFmtId="165" fontId="63" fillId="55" borderId="13" xfId="0" applyNumberFormat="1" applyFont="1" applyFill="1" applyBorder="1" applyAlignment="1">
      <alignment horizontal="center" vertical="top"/>
    </xf>
    <xf numFmtId="165" fontId="38" fillId="55" borderId="10" xfId="0" applyNumberFormat="1" applyFont="1" applyFill="1" applyBorder="1" applyAlignment="1">
      <alignment horizontal="left"/>
    </xf>
    <xf numFmtId="0" fontId="38" fillId="55" borderId="13" xfId="0" applyFont="1" applyFill="1" applyBorder="1" applyAlignment="1">
      <alignment horizontal="center"/>
    </xf>
    <xf numFmtId="165" fontId="38" fillId="55" borderId="20" xfId="0" applyNumberFormat="1" applyFont="1" applyFill="1" applyBorder="1" applyAlignment="1">
      <alignment horizontal="center"/>
    </xf>
    <xf numFmtId="165" fontId="38" fillId="55" borderId="13" xfId="0" applyNumberFormat="1" applyFont="1" applyFill="1" applyBorder="1" applyAlignment="1">
      <alignment horizontal="center"/>
    </xf>
    <xf numFmtId="10" fontId="38" fillId="55" borderId="20" xfId="0" applyNumberFormat="1" applyFont="1" applyFill="1" applyBorder="1" applyAlignment="1">
      <alignment horizontal="center"/>
    </xf>
    <xf numFmtId="165" fontId="38" fillId="55" borderId="20" xfId="0" applyNumberFormat="1" applyFont="1" applyFill="1" applyBorder="1" applyAlignment="1">
      <alignment horizontal="center" vertical="top"/>
    </xf>
    <xf numFmtId="165" fontId="55" fillId="55" borderId="13" xfId="0" applyNumberFormat="1" applyFont="1" applyFill="1" applyBorder="1" applyAlignment="1">
      <alignment horizontal="center" vertical="top"/>
    </xf>
    <xf numFmtId="165" fontId="48" fillId="55" borderId="13" xfId="0" applyNumberFormat="1" applyFont="1" applyFill="1" applyBorder="1" applyAlignment="1">
      <alignment horizontal="center" vertical="top"/>
    </xf>
    <xf numFmtId="9" fontId="38" fillId="55" borderId="20" xfId="0" applyNumberFormat="1" applyFont="1" applyFill="1" applyBorder="1" applyAlignment="1">
      <alignment horizontal="center"/>
    </xf>
    <xf numFmtId="165" fontId="48" fillId="55" borderId="20" xfId="0" applyNumberFormat="1" applyFont="1" applyFill="1" applyBorder="1" applyAlignment="1">
      <alignment horizontal="center" vertical="top"/>
    </xf>
    <xf numFmtId="165" fontId="63" fillId="55" borderId="20" xfId="0" applyNumberFormat="1" applyFont="1" applyFill="1" applyBorder="1" applyAlignment="1">
      <alignment horizontal="center"/>
    </xf>
    <xf numFmtId="10" fontId="59" fillId="55" borderId="20" xfId="0" applyNumberFormat="1" applyFont="1" applyFill="1" applyBorder="1" applyAlignment="1">
      <alignment horizontal="center"/>
    </xf>
    <xf numFmtId="165" fontId="61" fillId="55" borderId="13" xfId="0" applyNumberFormat="1" applyFont="1" applyFill="1" applyBorder="1" applyAlignment="1">
      <alignment horizontal="center" vertical="top"/>
    </xf>
    <xf numFmtId="0" fontId="63" fillId="55" borderId="37" xfId="0" applyFont="1" applyFill="1" applyBorder="1" applyAlignment="1">
      <alignment horizontal="left"/>
    </xf>
    <xf numFmtId="0" fontId="38" fillId="55" borderId="37" xfId="0" applyFont="1" applyFill="1" applyBorder="1" applyAlignment="1">
      <alignment horizontal="left"/>
    </xf>
    <xf numFmtId="0" fontId="38" fillId="55" borderId="13" xfId="0" applyFont="1" applyFill="1" applyBorder="1" applyAlignment="1">
      <alignment horizontal="left"/>
    </xf>
    <xf numFmtId="165" fontId="38" fillId="55" borderId="13" xfId="0" applyNumberFormat="1" applyFont="1" applyFill="1" applyBorder="1" applyAlignment="1">
      <alignment horizontal="center" vertical="top"/>
    </xf>
    <xf numFmtId="165" fontId="59" fillId="0" borderId="10" xfId="0" applyNumberFormat="1" applyFont="1" applyBorder="1" applyAlignment="1">
      <alignment horizontal="left" vertical="center" wrapText="1"/>
    </xf>
    <xf numFmtId="1" fontId="59" fillId="0" borderId="13" xfId="0" applyNumberFormat="1" applyFont="1" applyBorder="1" applyAlignment="1">
      <alignment horizontal="center" vertical="center" wrapText="1"/>
    </xf>
    <xf numFmtId="1" fontId="59" fillId="0" borderId="0" xfId="0" applyNumberFormat="1" applyFont="1" applyAlignment="1">
      <alignment horizontal="center" vertical="center"/>
    </xf>
    <xf numFmtId="165" fontId="59" fillId="0" borderId="28" xfId="0" applyNumberFormat="1" applyFont="1" applyBorder="1" applyAlignment="1">
      <alignment horizontal="center" vertical="center" wrapText="1"/>
    </xf>
    <xf numFmtId="9" fontId="59" fillId="0" borderId="20" xfId="0" applyNumberFormat="1" applyFont="1" applyBorder="1" applyAlignment="1">
      <alignment horizontal="center" vertical="center" wrapText="1"/>
    </xf>
    <xf numFmtId="165" fontId="59" fillId="0" borderId="20" xfId="0" applyNumberFormat="1" applyFont="1" applyBorder="1" applyAlignment="1">
      <alignment horizontal="center" vertical="center" wrapText="1"/>
    </xf>
    <xf numFmtId="165" fontId="59" fillId="0" borderId="13" xfId="0" applyNumberFormat="1" applyFont="1" applyBorder="1" applyAlignment="1">
      <alignment horizontal="center" vertical="center" wrapText="1"/>
    </xf>
    <xf numFmtId="165" fontId="63" fillId="55" borderId="0" xfId="0" applyNumberFormat="1" applyFont="1" applyFill="1" applyAlignment="1">
      <alignment horizontal="left"/>
    </xf>
    <xf numFmtId="165" fontId="59" fillId="55" borderId="0" xfId="0" applyNumberFormat="1" applyFont="1" applyFill="1" applyAlignment="1">
      <alignment horizontal="left"/>
    </xf>
    <xf numFmtId="0" fontId="63" fillId="55" borderId="155" xfId="0" applyFont="1" applyFill="1" applyBorder="1" applyAlignment="1">
      <alignment horizontal="left"/>
    </xf>
    <xf numFmtId="0" fontId="59" fillId="55" borderId="135" xfId="0" applyFont="1" applyFill="1" applyBorder="1" applyAlignment="1">
      <alignment horizontal="left"/>
    </xf>
    <xf numFmtId="0" fontId="61" fillId="55" borderId="37" xfId="0" applyFont="1" applyFill="1" applyBorder="1" applyAlignment="1">
      <alignment horizontal="left"/>
    </xf>
    <xf numFmtId="165" fontId="61" fillId="0" borderId="0" xfId="0" applyNumberFormat="1" applyFont="1" applyAlignment="1">
      <alignment horizontal="center" vertical="top"/>
    </xf>
    <xf numFmtId="165" fontId="48" fillId="0" borderId="0" xfId="0" applyNumberFormat="1" applyFont="1" applyAlignment="1">
      <alignment horizontal="center" vertical="top"/>
    </xf>
    <xf numFmtId="165" fontId="38" fillId="0" borderId="0" xfId="0" applyNumberFormat="1" applyFont="1" applyAlignment="1">
      <alignment horizontal="center" vertical="top"/>
    </xf>
    <xf numFmtId="165" fontId="38" fillId="55" borderId="0" xfId="0" applyNumberFormat="1" applyFont="1" applyFill="1" applyAlignment="1">
      <alignment horizontal="left"/>
    </xf>
    <xf numFmtId="165" fontId="63" fillId="55" borderId="155" xfId="0" applyNumberFormat="1" applyFont="1" applyFill="1" applyBorder="1" applyAlignment="1">
      <alignment horizontal="left"/>
    </xf>
    <xf numFmtId="165" fontId="38" fillId="55" borderId="135" xfId="0" applyNumberFormat="1" applyFont="1" applyFill="1" applyBorder="1" applyAlignment="1">
      <alignment horizontal="left"/>
    </xf>
    <xf numFmtId="0" fontId="48" fillId="55" borderId="35" xfId="0" applyFont="1" applyFill="1" applyBorder="1" applyAlignment="1">
      <alignment horizontal="left"/>
    </xf>
    <xf numFmtId="165" fontId="48" fillId="55" borderId="10" xfId="0" applyNumberFormat="1" applyFont="1" applyFill="1" applyBorder="1" applyAlignment="1">
      <alignment horizontal="left"/>
    </xf>
    <xf numFmtId="1" fontId="48" fillId="55" borderId="13" xfId="0" applyNumberFormat="1" applyFont="1" applyFill="1" applyBorder="1" applyAlignment="1">
      <alignment horizontal="center"/>
    </xf>
    <xf numFmtId="165" fontId="48" fillId="55" borderId="0" xfId="0" applyNumberFormat="1" applyFont="1" applyFill="1" applyAlignment="1">
      <alignment horizontal="center"/>
    </xf>
    <xf numFmtId="165" fontId="61" fillId="55" borderId="13" xfId="0" applyNumberFormat="1" applyFont="1" applyFill="1" applyBorder="1" applyAlignment="1">
      <alignment horizontal="center"/>
    </xf>
    <xf numFmtId="10" fontId="61" fillId="55" borderId="20" xfId="0" applyNumberFormat="1" applyFont="1" applyFill="1" applyBorder="1" applyAlignment="1">
      <alignment horizontal="center"/>
    </xf>
    <xf numFmtId="165" fontId="61" fillId="55" borderId="20" xfId="0" applyNumberFormat="1" applyFont="1" applyFill="1" applyBorder="1" applyAlignment="1">
      <alignment horizontal="center" vertical="top"/>
    </xf>
    <xf numFmtId="0" fontId="38" fillId="55" borderId="17" xfId="0" applyFont="1" applyFill="1" applyBorder="1" applyAlignment="1">
      <alignment horizontal="left"/>
    </xf>
    <xf numFmtId="165" fontId="38" fillId="55" borderId="99" xfId="0" applyNumberFormat="1" applyFont="1" applyFill="1" applyBorder="1" applyAlignment="1">
      <alignment horizontal="center"/>
    </xf>
    <xf numFmtId="0" fontId="38" fillId="55" borderId="17" xfId="0" applyFont="1" applyFill="1" applyBorder="1" applyAlignment="1">
      <alignment horizontal="left" vertical="center"/>
    </xf>
    <xf numFmtId="165" fontId="38" fillId="55" borderId="10" xfId="0" applyNumberFormat="1" applyFont="1" applyFill="1" applyBorder="1" applyAlignment="1">
      <alignment horizontal="left" vertical="center"/>
    </xf>
    <xf numFmtId="0" fontId="38" fillId="55" borderId="13" xfId="0" applyFont="1" applyFill="1" applyBorder="1" applyAlignment="1">
      <alignment horizontal="center" vertical="center"/>
    </xf>
    <xf numFmtId="165" fontId="38" fillId="55" borderId="99" xfId="0" applyNumberFormat="1" applyFont="1" applyFill="1" applyBorder="1" applyAlignment="1">
      <alignment horizontal="center" vertical="center"/>
    </xf>
    <xf numFmtId="165" fontId="38" fillId="55" borderId="20" xfId="0" applyNumberFormat="1" applyFont="1" applyFill="1" applyBorder="1" applyAlignment="1">
      <alignment horizontal="center" vertical="center"/>
    </xf>
    <xf numFmtId="9" fontId="38" fillId="55" borderId="20" xfId="0" applyNumberFormat="1" applyFont="1" applyFill="1" applyBorder="1" applyAlignment="1">
      <alignment horizontal="center" vertical="center"/>
    </xf>
    <xf numFmtId="165" fontId="48" fillId="55" borderId="13" xfId="0" applyNumberFormat="1" applyFont="1" applyFill="1" applyBorder="1" applyAlignment="1">
      <alignment horizontal="center" vertical="center"/>
    </xf>
    <xf numFmtId="165" fontId="38" fillId="55" borderId="13" xfId="0" applyNumberFormat="1" applyFont="1" applyFill="1" applyBorder="1" applyAlignment="1">
      <alignment horizontal="center" vertical="center"/>
    </xf>
    <xf numFmtId="0" fontId="59" fillId="55" borderId="17" xfId="0" applyFont="1" applyFill="1" applyBorder="1" applyAlignment="1">
      <alignment horizontal="left"/>
    </xf>
    <xf numFmtId="165" fontId="59" fillId="55" borderId="99" xfId="0" applyNumberFormat="1" applyFont="1" applyFill="1" applyBorder="1" applyAlignment="1">
      <alignment horizontal="center"/>
    </xf>
    <xf numFmtId="165" fontId="38" fillId="55" borderId="106" xfId="0" applyNumberFormat="1" applyFont="1" applyFill="1" applyBorder="1" applyAlignment="1">
      <alignment horizontal="center"/>
    </xf>
    <xf numFmtId="0" fontId="2" fillId="0" borderId="31" xfId="24615" applyFont="1" applyBorder="1" applyAlignment="1">
      <alignment horizontal="center" vertical="center"/>
    </xf>
    <xf numFmtId="0" fontId="2" fillId="0" borderId="13" xfId="24615" applyFont="1" applyBorder="1" applyAlignment="1">
      <alignment horizontal="center" vertical="center"/>
    </xf>
    <xf numFmtId="0" fontId="2" fillId="0" borderId="19" xfId="24615" applyFont="1" applyBorder="1" applyAlignment="1">
      <alignment horizontal="center" vertical="center"/>
    </xf>
    <xf numFmtId="165" fontId="2" fillId="0" borderId="19" xfId="24615" applyNumberFormat="1" applyFont="1" applyBorder="1" applyAlignment="1">
      <alignment horizontal="center" vertical="center"/>
    </xf>
    <xf numFmtId="0" fontId="2" fillId="0" borderId="36" xfId="24615" applyFont="1" applyBorder="1" applyAlignment="1">
      <alignment horizontal="center" vertical="center"/>
    </xf>
    <xf numFmtId="2" fontId="82" fillId="0" borderId="80" xfId="0" applyNumberFormat="1" applyFont="1" applyBorder="1" applyAlignment="1">
      <alignment horizontal="center" vertical="center" wrapText="1"/>
    </xf>
    <xf numFmtId="2" fontId="83" fillId="0" borderId="80" xfId="0" applyNumberFormat="1" applyFont="1" applyBorder="1" applyAlignment="1">
      <alignment horizontal="center" vertical="center" wrapText="1"/>
    </xf>
    <xf numFmtId="2" fontId="81" fillId="0" borderId="156" xfId="0" applyNumberFormat="1" applyFont="1" applyBorder="1" applyAlignment="1">
      <alignment horizontal="center" vertical="center" wrapText="1"/>
    </xf>
    <xf numFmtId="0" fontId="59" fillId="55" borderId="13" xfId="0" applyFont="1" applyFill="1" applyBorder="1" applyAlignment="1">
      <alignment horizontal="center" vertical="top"/>
    </xf>
    <xf numFmtId="165" fontId="114" fillId="0" borderId="35" xfId="0" applyNumberFormat="1" applyFont="1" applyBorder="1" applyAlignment="1">
      <alignment horizontal="left"/>
    </xf>
    <xf numFmtId="165" fontId="114" fillId="0" borderId="10" xfId="0" applyNumberFormat="1" applyFont="1" applyBorder="1" applyAlignment="1">
      <alignment horizontal="left"/>
    </xf>
    <xf numFmtId="0" fontId="114" fillId="0" borderId="13" xfId="0" applyFont="1" applyBorder="1" applyAlignment="1">
      <alignment horizontal="center"/>
    </xf>
    <xf numFmtId="165" fontId="114" fillId="0" borderId="20" xfId="0" applyNumberFormat="1" applyFont="1" applyBorder="1" applyAlignment="1">
      <alignment horizontal="center"/>
    </xf>
    <xf numFmtId="165" fontId="114" fillId="0" borderId="13" xfId="0" applyNumberFormat="1" applyFont="1" applyBorder="1" applyAlignment="1">
      <alignment horizontal="center"/>
    </xf>
    <xf numFmtId="10" fontId="114" fillId="0" borderId="20" xfId="0" applyNumberFormat="1" applyFont="1" applyBorder="1" applyAlignment="1">
      <alignment horizontal="center"/>
    </xf>
    <xf numFmtId="165" fontId="114" fillId="0" borderId="20" xfId="0" applyNumberFormat="1" applyFont="1" applyBorder="1" applyAlignment="1">
      <alignment horizontal="center" vertical="top"/>
    </xf>
    <xf numFmtId="165" fontId="122" fillId="0" borderId="13" xfId="0" applyNumberFormat="1" applyFont="1" applyBorder="1" applyAlignment="1">
      <alignment horizontal="center" vertical="top"/>
    </xf>
    <xf numFmtId="165" fontId="114" fillId="0" borderId="13" xfId="0" applyNumberFormat="1" applyFont="1" applyBorder="1" applyAlignment="1">
      <alignment horizontal="center" vertical="top"/>
    </xf>
    <xf numFmtId="0" fontId="114" fillId="0" borderId="37" xfId="0" applyFont="1" applyBorder="1" applyAlignment="1">
      <alignment horizontal="left"/>
    </xf>
    <xf numFmtId="9" fontId="114" fillId="0" borderId="20" xfId="0" applyNumberFormat="1" applyFont="1" applyBorder="1" applyAlignment="1">
      <alignment horizontal="center"/>
    </xf>
    <xf numFmtId="165" fontId="122" fillId="0" borderId="20" xfId="0" applyNumberFormat="1" applyFont="1" applyBorder="1" applyAlignment="1">
      <alignment horizontal="center" vertical="top"/>
    </xf>
    <xf numFmtId="0" fontId="114" fillId="0" borderId="10" xfId="0" applyFont="1" applyBorder="1" applyAlignment="1">
      <alignment horizontal="left"/>
    </xf>
    <xf numFmtId="0" fontId="122" fillId="0" borderId="37" xfId="0" applyFont="1" applyBorder="1" applyAlignment="1">
      <alignment horizontal="left"/>
    </xf>
    <xf numFmtId="165" fontId="122" fillId="0" borderId="10" xfId="0" applyNumberFormat="1" applyFont="1" applyBorder="1" applyAlignment="1">
      <alignment horizontal="left"/>
    </xf>
    <xf numFmtId="0" fontId="122" fillId="0" borderId="13" xfId="0" applyFont="1" applyBorder="1" applyAlignment="1">
      <alignment horizontal="center"/>
    </xf>
    <xf numFmtId="165" fontId="122" fillId="0" borderId="0" xfId="0" applyNumberFormat="1" applyFont="1" applyAlignment="1">
      <alignment horizontal="center"/>
    </xf>
    <xf numFmtId="165" fontId="122" fillId="0" borderId="13" xfId="0" applyNumberFormat="1" applyFont="1" applyBorder="1" applyAlignment="1">
      <alignment horizontal="center"/>
    </xf>
    <xf numFmtId="10" fontId="122" fillId="0" borderId="20" xfId="0" applyNumberFormat="1" applyFont="1" applyBorder="1" applyAlignment="1">
      <alignment horizontal="center"/>
    </xf>
    <xf numFmtId="0" fontId="59" fillId="0" borderId="13" xfId="0" applyFont="1" applyBorder="1" applyAlignment="1">
      <alignment horizontal="center" vertical="top"/>
    </xf>
    <xf numFmtId="0" fontId="1" fillId="0" borderId="31" xfId="24615" applyFont="1" applyBorder="1" applyAlignment="1">
      <alignment horizontal="center" vertical="center"/>
    </xf>
    <xf numFmtId="0" fontId="1" fillId="0" borderId="0" xfId="24615" applyFont="1"/>
    <xf numFmtId="0" fontId="121" fillId="0" borderId="0" xfId="24615" applyFont="1"/>
    <xf numFmtId="0" fontId="1" fillId="0" borderId="13" xfId="24615" applyFont="1" applyBorder="1" applyAlignment="1">
      <alignment horizontal="center" vertical="center"/>
    </xf>
    <xf numFmtId="0" fontId="1" fillId="0" borderId="19" xfId="24615" applyFont="1" applyBorder="1" applyAlignment="1">
      <alignment horizontal="center" vertical="center"/>
    </xf>
    <xf numFmtId="165" fontId="1" fillId="0" borderId="19" xfId="24615" applyNumberFormat="1" applyFont="1" applyBorder="1" applyAlignment="1">
      <alignment horizontal="center" vertical="center"/>
    </xf>
    <xf numFmtId="0" fontId="1" fillId="0" borderId="36" xfId="24615" applyFont="1" applyBorder="1" applyAlignment="1">
      <alignment horizontal="center" vertical="center"/>
    </xf>
    <xf numFmtId="0" fontId="1" fillId="0" borderId="19" xfId="0" applyFont="1" applyBorder="1" applyAlignment="1">
      <alignment horizontal="center"/>
    </xf>
    <xf numFmtId="0" fontId="21" fillId="0" borderId="13" xfId="24615" applyFont="1" applyBorder="1" applyAlignment="1">
      <alignment horizontal="center" vertical="center"/>
    </xf>
    <xf numFmtId="0" fontId="123" fillId="0" borderId="0" xfId="24615" applyFont="1" applyAlignment="1">
      <alignment horizontal="left" vertical="center"/>
    </xf>
    <xf numFmtId="0" fontId="124" fillId="0" borderId="0" xfId="24615" applyFont="1" applyAlignment="1">
      <alignment horizontal="center" vertical="center"/>
    </xf>
    <xf numFmtId="0" fontId="123" fillId="0" borderId="38" xfId="24615" applyFont="1" applyBorder="1" applyAlignment="1">
      <alignment horizontal="left" vertical="center"/>
    </xf>
    <xf numFmtId="0" fontId="123" fillId="0" borderId="39" xfId="24615" applyFont="1" applyBorder="1" applyAlignment="1">
      <alignment horizontal="center" vertical="center"/>
    </xf>
    <xf numFmtId="0" fontId="123" fillId="0" borderId="40" xfId="24615" applyFont="1" applyBorder="1" applyAlignment="1">
      <alignment horizontal="center" vertical="center"/>
    </xf>
    <xf numFmtId="165" fontId="123" fillId="0" borderId="40" xfId="24615" applyNumberFormat="1" applyFont="1" applyBorder="1" applyAlignment="1">
      <alignment horizontal="center" vertical="center" wrapText="1"/>
    </xf>
    <xf numFmtId="0" fontId="0" fillId="0" borderId="0" xfId="0" applyAlignment="1">
      <alignment horizontal="center"/>
    </xf>
    <xf numFmtId="165" fontId="70" fillId="0" borderId="0" xfId="0" applyNumberFormat="1" applyFont="1" applyAlignment="1">
      <alignment horizontal="center"/>
    </xf>
    <xf numFmtId="0" fontId="73" fillId="0" borderId="0" xfId="0" applyFont="1" applyAlignment="1">
      <alignment horizontal="center" vertical="center"/>
    </xf>
    <xf numFmtId="165" fontId="79" fillId="0" borderId="63" xfId="0" applyNumberFormat="1" applyFont="1" applyBorder="1" applyAlignment="1">
      <alignment horizontal="center" vertical="center"/>
    </xf>
    <xf numFmtId="0" fontId="79" fillId="0" borderId="54" xfId="0" applyFont="1" applyBorder="1" applyAlignment="1">
      <alignment horizontal="center" vertical="center"/>
    </xf>
    <xf numFmtId="0" fontId="79" fillId="0" borderId="59" xfId="0" applyFont="1" applyBorder="1" applyAlignment="1">
      <alignment horizontal="center" vertical="center"/>
    </xf>
    <xf numFmtId="165" fontId="79" fillId="0" borderId="62" xfId="0" applyNumberFormat="1" applyFont="1" applyBorder="1" applyAlignment="1">
      <alignment horizontal="center" vertical="center"/>
    </xf>
    <xf numFmtId="0" fontId="79" fillId="0" borderId="50" xfId="0" applyFont="1" applyBorder="1" applyAlignment="1">
      <alignment horizontal="center" vertical="center"/>
    </xf>
    <xf numFmtId="0" fontId="79" fillId="0" borderId="57" xfId="0" applyFont="1" applyBorder="1" applyAlignment="1">
      <alignment horizontal="center" vertical="center"/>
    </xf>
    <xf numFmtId="165" fontId="79" fillId="0" borderId="51" xfId="0" applyNumberFormat="1" applyFont="1" applyBorder="1" applyAlignment="1">
      <alignment horizontal="center" vertical="center"/>
    </xf>
    <xf numFmtId="165" fontId="79" fillId="0" borderId="54" xfId="0" applyNumberFormat="1" applyFont="1" applyBorder="1" applyAlignment="1">
      <alignment horizontal="center" vertical="center"/>
    </xf>
    <xf numFmtId="165" fontId="79" fillId="0" borderId="56" xfId="0" applyNumberFormat="1" applyFont="1" applyBorder="1" applyAlignment="1">
      <alignment horizontal="center" vertical="center"/>
    </xf>
    <xf numFmtId="165" fontId="79" fillId="0" borderId="52" xfId="0" applyNumberFormat="1" applyFont="1" applyBorder="1" applyAlignment="1">
      <alignment horizontal="center" vertical="center"/>
    </xf>
    <xf numFmtId="165" fontId="79" fillId="0" borderId="50" xfId="0" applyNumberFormat="1" applyFont="1" applyBorder="1" applyAlignment="1">
      <alignment horizontal="center" vertical="center"/>
    </xf>
    <xf numFmtId="165" fontId="79" fillId="0" borderId="57" xfId="0" applyNumberFormat="1" applyFont="1" applyBorder="1" applyAlignment="1">
      <alignment horizontal="center" vertical="center"/>
    </xf>
    <xf numFmtId="0" fontId="79" fillId="0" borderId="65" xfId="0" applyFont="1" applyBorder="1" applyAlignment="1">
      <alignment horizontal="center" vertical="center"/>
    </xf>
    <xf numFmtId="0" fontId="79" fillId="0" borderId="77" xfId="0" applyFont="1" applyBorder="1" applyAlignment="1">
      <alignment horizontal="center" vertical="center"/>
    </xf>
    <xf numFmtId="0" fontId="79" fillId="0" borderId="78" xfId="0" applyFont="1" applyBorder="1" applyAlignment="1">
      <alignment horizontal="center" vertical="center"/>
    </xf>
    <xf numFmtId="0" fontId="79" fillId="0" borderId="66" xfId="0" applyFont="1" applyBorder="1" applyAlignment="1">
      <alignment horizontal="center" vertical="center"/>
    </xf>
    <xf numFmtId="0" fontId="79" fillId="0" borderId="79" xfId="0" applyFont="1" applyBorder="1" applyAlignment="1">
      <alignment horizontal="center" vertical="center"/>
    </xf>
    <xf numFmtId="0" fontId="79" fillId="0" borderId="70" xfId="0" applyFont="1" applyBorder="1" applyAlignment="1">
      <alignment horizontal="center" vertical="center"/>
    </xf>
    <xf numFmtId="165" fontId="72" fillId="0" borderId="65" xfId="0" applyNumberFormat="1" applyFont="1" applyBorder="1" applyAlignment="1">
      <alignment horizontal="center" vertical="center"/>
    </xf>
    <xf numFmtId="165" fontId="72" fillId="0" borderId="77" xfId="0" applyNumberFormat="1" applyFont="1" applyBorder="1" applyAlignment="1">
      <alignment horizontal="center" vertical="center"/>
    </xf>
    <xf numFmtId="165" fontId="72" fillId="0" borderId="78" xfId="0" applyNumberFormat="1" applyFont="1" applyBorder="1" applyAlignment="1">
      <alignment horizontal="center" vertical="center"/>
    </xf>
    <xf numFmtId="165" fontId="72" fillId="0" borderId="66" xfId="0" applyNumberFormat="1" applyFont="1" applyBorder="1" applyAlignment="1">
      <alignment horizontal="center" vertical="center"/>
    </xf>
    <xf numFmtId="165" fontId="72" fillId="0" borderId="79" xfId="0" applyNumberFormat="1" applyFont="1" applyBorder="1" applyAlignment="1">
      <alignment horizontal="center" vertical="center"/>
    </xf>
    <xf numFmtId="165" fontId="72" fillId="0" borderId="70" xfId="0" applyNumberFormat="1" applyFont="1" applyBorder="1" applyAlignment="1">
      <alignment horizontal="center" vertical="center"/>
    </xf>
    <xf numFmtId="0" fontId="79" fillId="0" borderId="56" xfId="0" applyFont="1" applyBorder="1"/>
    <xf numFmtId="0" fontId="79" fillId="0" borderId="57" xfId="0" applyFont="1" applyBorder="1"/>
    <xf numFmtId="0" fontId="79" fillId="0" borderId="56" xfId="0" applyFont="1" applyBorder="1" applyAlignment="1">
      <alignment horizontal="center" vertical="center"/>
    </xf>
    <xf numFmtId="0" fontId="79" fillId="0" borderId="60" xfId="0" applyFont="1" applyBorder="1" applyAlignment="1">
      <alignment horizontal="center" vertical="center"/>
    </xf>
    <xf numFmtId="165" fontId="100" fillId="0" borderId="43" xfId="0" applyNumberFormat="1" applyFont="1" applyBorder="1" applyAlignment="1">
      <alignment horizontal="left" vertical="center"/>
    </xf>
    <xf numFmtId="165" fontId="100" fillId="0" borderId="24" xfId="0" applyNumberFormat="1" applyFont="1" applyBorder="1" applyAlignment="1">
      <alignment horizontal="left" vertical="center"/>
    </xf>
    <xf numFmtId="165" fontId="88" fillId="0" borderId="31" xfId="0" applyNumberFormat="1" applyFont="1" applyBorder="1" applyAlignment="1">
      <alignment horizontal="center" vertical="center" wrapText="1"/>
    </xf>
    <xf numFmtId="165" fontId="88" fillId="0" borderId="86" xfId="0" applyNumberFormat="1" applyFont="1" applyBorder="1" applyAlignment="1">
      <alignment horizontal="center" vertical="center" wrapText="1"/>
    </xf>
    <xf numFmtId="165" fontId="61" fillId="0" borderId="19" xfId="0" applyNumberFormat="1" applyFont="1" applyBorder="1" applyAlignment="1">
      <alignment horizontal="center"/>
    </xf>
    <xf numFmtId="165" fontId="61" fillId="0" borderId="29" xfId="0" applyNumberFormat="1" applyFont="1" applyBorder="1" applyAlignment="1">
      <alignment horizontal="center"/>
    </xf>
    <xf numFmtId="165" fontId="74" fillId="0" borderId="27" xfId="0" applyNumberFormat="1" applyFont="1" applyBorder="1" applyAlignment="1">
      <alignment horizontal="center" vertical="center" textRotation="90" wrapText="1"/>
    </xf>
    <xf numFmtId="165" fontId="74" fillId="0" borderId="22" xfId="0" applyNumberFormat="1" applyFont="1" applyBorder="1" applyAlignment="1">
      <alignment horizontal="center" vertical="center" textRotation="90" wrapText="1"/>
    </xf>
    <xf numFmtId="2" fontId="56" fillId="0" borderId="18" xfId="0" applyNumberFormat="1" applyFont="1" applyBorder="1" applyAlignment="1">
      <alignment horizontal="center" vertical="center"/>
    </xf>
    <xf numFmtId="2" fontId="56" fillId="0" borderId="107" xfId="0" applyNumberFormat="1" applyFont="1" applyBorder="1" applyAlignment="1">
      <alignment horizontal="center" vertical="center"/>
    </xf>
    <xf numFmtId="2" fontId="56" fillId="0" borderId="26" xfId="0" applyNumberFormat="1" applyFont="1" applyBorder="1" applyAlignment="1">
      <alignment horizontal="center" vertical="center"/>
    </xf>
    <xf numFmtId="165" fontId="51" fillId="0" borderId="31" xfId="0" applyNumberFormat="1" applyFont="1" applyBorder="1" applyAlignment="1">
      <alignment horizontal="center" vertical="center" textRotation="90" wrapText="1"/>
    </xf>
    <xf numFmtId="165" fontId="51" fillId="0" borderId="36" xfId="0" applyNumberFormat="1" applyFont="1" applyBorder="1" applyAlignment="1">
      <alignment horizontal="center" vertical="center" textRotation="90" wrapText="1"/>
    </xf>
    <xf numFmtId="165" fontId="51" fillId="0" borderId="105" xfId="0" applyNumberFormat="1" applyFont="1" applyBorder="1" applyAlignment="1">
      <alignment horizontal="center" vertical="center" textRotation="90" wrapText="1"/>
    </xf>
    <xf numFmtId="165" fontId="51" fillId="0" borderId="117" xfId="0" applyNumberFormat="1" applyFont="1" applyBorder="1" applyAlignment="1">
      <alignment horizontal="center" vertical="center" textRotation="90" wrapText="1"/>
    </xf>
    <xf numFmtId="165" fontId="51" fillId="0" borderId="32" xfId="0" applyNumberFormat="1" applyFont="1" applyBorder="1" applyAlignment="1">
      <alignment horizontal="center" vertical="center" textRotation="90" wrapText="1"/>
    </xf>
    <xf numFmtId="165" fontId="51" fillId="0" borderId="49" xfId="0" applyNumberFormat="1" applyFont="1" applyBorder="1" applyAlignment="1">
      <alignment horizontal="center" vertical="center" textRotation="90" wrapText="1"/>
    </xf>
    <xf numFmtId="165" fontId="51" fillId="0" borderId="27" xfId="0" applyNumberFormat="1" applyFont="1" applyBorder="1" applyAlignment="1">
      <alignment horizontal="center" vertical="center" textRotation="90" wrapText="1"/>
    </xf>
    <xf numFmtId="165" fontId="48" fillId="0" borderId="13" xfId="0" applyNumberFormat="1" applyFont="1" applyBorder="1" applyAlignment="1">
      <alignment horizontal="center" vertical="center" textRotation="90" wrapText="1"/>
    </xf>
    <xf numFmtId="165" fontId="51" fillId="0" borderId="153" xfId="0" applyNumberFormat="1" applyFont="1" applyBorder="1" applyAlignment="1">
      <alignment horizontal="center" vertical="center" textRotation="90" wrapText="1"/>
    </xf>
    <xf numFmtId="165" fontId="48" fillId="0" borderId="100" xfId="0" applyNumberFormat="1" applyFont="1" applyBorder="1" applyAlignment="1">
      <alignment horizontal="center" vertical="center" textRotation="90" wrapText="1"/>
    </xf>
    <xf numFmtId="0" fontId="124" fillId="0" borderId="41" xfId="24615" applyFont="1" applyBorder="1" applyAlignment="1">
      <alignment horizontal="left" vertical="center" wrapText="1"/>
    </xf>
    <xf numFmtId="0" fontId="124" fillId="0" borderId="42" xfId="24615" applyFont="1" applyBorder="1" applyAlignment="1">
      <alignment horizontal="left" vertical="center" wrapText="1"/>
    </xf>
    <xf numFmtId="0" fontId="69" fillId="47" borderId="29" xfId="24615" applyFont="1" applyFill="1" applyBorder="1" applyAlignment="1">
      <alignment horizontal="center" vertical="center"/>
    </xf>
    <xf numFmtId="0" fontId="69" fillId="47" borderId="30" xfId="24615" applyFont="1" applyFill="1" applyBorder="1" applyAlignment="1">
      <alignment horizontal="center" vertical="center"/>
    </xf>
    <xf numFmtId="0" fontId="69" fillId="47" borderId="21" xfId="24615" applyFont="1" applyFill="1" applyBorder="1" applyAlignment="1">
      <alignment horizontal="center" vertical="center"/>
    </xf>
    <xf numFmtId="0" fontId="69" fillId="48" borderId="29" xfId="24615" applyFont="1" applyFill="1" applyBorder="1" applyAlignment="1">
      <alignment horizontal="center" vertical="center"/>
    </xf>
    <xf numFmtId="0" fontId="69" fillId="48" borderId="30" xfId="24615" applyFont="1" applyFill="1" applyBorder="1" applyAlignment="1">
      <alignment horizontal="center" vertical="center"/>
    </xf>
    <xf numFmtId="0" fontId="69" fillId="48" borderId="21" xfId="24615" applyFont="1" applyFill="1" applyBorder="1" applyAlignment="1">
      <alignment horizontal="center" vertical="center"/>
    </xf>
    <xf numFmtId="0" fontId="71" fillId="0" borderId="0" xfId="24615" applyFont="1" applyAlignment="1">
      <alignment horizontal="center" vertical="center"/>
    </xf>
    <xf numFmtId="0" fontId="0" fillId="0" borderId="0" xfId="24615" applyFont="1" applyAlignment="1">
      <alignment horizontal="center" vertical="center"/>
    </xf>
    <xf numFmtId="165" fontId="76" fillId="0" borderId="10" xfId="24615" applyNumberFormat="1" applyFont="1" applyBorder="1" applyAlignment="1">
      <alignment horizontal="center"/>
    </xf>
    <xf numFmtId="165" fontId="76" fillId="0" borderId="0" xfId="24615" applyNumberFormat="1" applyFont="1" applyAlignment="1">
      <alignment horizontal="center"/>
    </xf>
    <xf numFmtId="165" fontId="51" fillId="0" borderId="27" xfId="24615" applyNumberFormat="1" applyFont="1" applyBorder="1" applyAlignment="1">
      <alignment horizontal="center" vertical="center" textRotation="90" wrapText="1"/>
    </xf>
    <xf numFmtId="165" fontId="51" fillId="0" borderId="13" xfId="24615" applyNumberFormat="1" applyFont="1" applyBorder="1" applyAlignment="1">
      <alignment horizontal="center" vertical="center" textRotation="90" wrapText="1"/>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734" builtinId="8" hidden="1"/>
    <cellStyle name="Lien hypertexte" xfId="22139" builtinId="8" hidden="1"/>
    <cellStyle name="Lien hypertexte" xfId="24449" builtinId="8" hidden="1"/>
    <cellStyle name="Lien hypertexte" xfId="19791" builtinId="8" hidden="1"/>
    <cellStyle name="Lien hypertexte" xfId="19741" builtinId="8" hidden="1"/>
    <cellStyle name="Lien hypertexte" xfId="24585" builtinId="8" hidden="1"/>
    <cellStyle name="Lien hypertexte" xfId="22087" builtinId="8" hidden="1"/>
    <cellStyle name="Lien hypertexte" xfId="684" builtinId="8" hidden="1"/>
    <cellStyle name="Lien hypertexte" xfId="17956" builtinId="8" hidden="1"/>
    <cellStyle name="Lien hypertexte" xfId="19553" builtinId="8" hidden="1"/>
    <cellStyle name="Lien hypertexte" xfId="18014" builtinId="8" hidden="1"/>
    <cellStyle name="Lien hypertexte" xfId="742" builtinId="8" hidden="1"/>
    <cellStyle name="Lien hypertexte" xfId="22147" builtinId="8" hidden="1"/>
    <cellStyle name="Lien hypertexte" xfId="24401" builtinId="8" hidden="1"/>
    <cellStyle name="Lien hypertexte" xfId="19799" builtinId="8" hidden="1"/>
    <cellStyle name="Lien hypertexte" xfId="19735" builtinId="8" hidden="1"/>
    <cellStyle name="Lien hypertexte" xfId="24579" builtinId="8" hidden="1"/>
    <cellStyle name="Lien hypertexte" xfId="22079" builtinId="8" hidden="1"/>
    <cellStyle name="Lien hypertexte" xfId="678" builtinId="8" hidden="1"/>
    <cellStyle name="Lien hypertexte" xfId="17950" builtinId="8" hidden="1"/>
    <cellStyle name="Lien hypertexte" xfId="21393" builtinId="8" hidden="1"/>
    <cellStyle name="Lien hypertexte" xfId="18022" builtinId="8" hidden="1"/>
    <cellStyle name="Lien hypertexte" xfId="748" builtinId="8" hidden="1"/>
    <cellStyle name="Lien hypertexte" xfId="22153" builtinId="8" hidden="1"/>
    <cellStyle name="Lien hypertexte" xfId="24337" builtinId="8" hidden="1"/>
    <cellStyle name="Lien hypertexte" xfId="19805" builtinId="8" hidden="1"/>
    <cellStyle name="Lien hypertexte" xfId="19727" builtinId="8" hidden="1"/>
    <cellStyle name="Lien hypertexte" xfId="24569" builtinId="8" hidden="1"/>
    <cellStyle name="Lien hypertexte" xfId="22073" builtinId="8" hidden="1"/>
    <cellStyle name="Lien hypertexte" xfId="670" builtinId="8" hidden="1"/>
    <cellStyle name="Lien hypertexte" xfId="17942" builtinId="8" hidden="1"/>
    <cellStyle name="Lien hypertexte" xfId="20753" builtinId="8" hidden="1"/>
    <cellStyle name="Lien hypertexte" xfId="18028" builtinId="8" hidden="1"/>
    <cellStyle name="Lien hypertexte" xfId="756" builtinId="8" hidden="1"/>
    <cellStyle name="Lien hypertexte" xfId="22159" builtinId="8" hidden="1"/>
    <cellStyle name="Lien hypertexte" xfId="24289" builtinId="8" hidden="1"/>
    <cellStyle name="Lien hypertexte" xfId="19813" builtinId="8" hidden="1"/>
    <cellStyle name="Lien hypertexte" xfId="19721" builtinId="8" hidden="1"/>
    <cellStyle name="Lien hypertexte" xfId="24563" builtinId="8" hidden="1"/>
    <cellStyle name="Lien hypertexte" xfId="22067" builtinId="8" hidden="1"/>
    <cellStyle name="Lien hypertexte" xfId="664" builtinId="8" hidden="1"/>
    <cellStyle name="Lien hypertexte" xfId="17934" builtinId="8" hidden="1"/>
    <cellStyle name="Lien hypertexte" xfId="21457" builtinId="8" hidden="1"/>
    <cellStyle name="Lien hypertexte" xfId="18038" builtinId="8" hidden="1"/>
    <cellStyle name="Lien hypertexte" xfId="762" builtinId="8" hidden="1"/>
    <cellStyle name="Lien hypertexte" xfId="22169" builtinId="8" hidden="1"/>
    <cellStyle name="Lien hypertexte" xfId="24241" builtinId="8" hidden="1"/>
    <cellStyle name="Lien hypertexte" xfId="19819" builtinId="8" hidden="1"/>
    <cellStyle name="Lien hypertexte" xfId="19715" builtinId="8" hidden="1"/>
    <cellStyle name="Lien hypertexte" xfId="24555" builtinId="8" hidden="1"/>
    <cellStyle name="Lien hypertexte" xfId="22059" builtinId="8" hidden="1"/>
    <cellStyle name="Lien hypertexte" xfId="658" builtinId="8" hidden="1"/>
    <cellStyle name="Lien hypertexte" xfId="17926" builtinId="8" hidden="1"/>
    <cellStyle name="Lien hypertexte" xfId="16192" builtinId="8" hidden="1"/>
    <cellStyle name="Lien hypertexte" xfId="18044" builtinId="8" hidden="1"/>
    <cellStyle name="Lien hypertexte" xfId="768" builtinId="8" hidden="1"/>
    <cellStyle name="Lien hypertexte" xfId="22175" builtinId="8" hidden="1"/>
    <cellStyle name="Lien hypertexte" xfId="24193" builtinId="8" hidden="1"/>
    <cellStyle name="Lien hypertexte" xfId="19827" builtinId="8" hidden="1"/>
    <cellStyle name="Lien hypertexte" xfId="19707" builtinId="8" hidden="1"/>
    <cellStyle name="Lien hypertexte" xfId="24549" builtinId="8" hidden="1"/>
    <cellStyle name="Lien hypertexte" xfId="22051" builtinId="8" hidden="1"/>
    <cellStyle name="Lien hypertexte" xfId="14640" builtinId="8" hidden="1"/>
    <cellStyle name="Lien hypertexte" xfId="17920" builtinId="8" hidden="1"/>
    <cellStyle name="Lien hypertexte" xfId="21185" builtinId="8" hidden="1"/>
    <cellStyle name="Lien hypertexte" xfId="18052" builtinId="8" hidden="1"/>
    <cellStyle name="Lien hypertexte" xfId="776" builtinId="8" hidden="1"/>
    <cellStyle name="Lien hypertexte" xfId="22183" builtinId="8" hidden="1"/>
    <cellStyle name="Lien hypertexte" xfId="24145" builtinId="8" hidden="1"/>
    <cellStyle name="Lien hypertexte" xfId="19833" builtinId="8" hidden="1"/>
    <cellStyle name="Lien hypertexte" xfId="19701" builtinId="8" hidden="1"/>
    <cellStyle name="Lien hypertexte" xfId="24541" builtinId="8" hidden="1"/>
    <cellStyle name="Lien hypertexte" xfId="22043" builtinId="8" hidden="1"/>
    <cellStyle name="Lien hypertexte" xfId="14832" builtinId="8" hidden="1"/>
    <cellStyle name="Lien hypertexte" xfId="17912" builtinId="8" hidden="1"/>
    <cellStyle name="Lien hypertexte" xfId="20609" builtinId="8" hidden="1"/>
    <cellStyle name="Lien hypertexte" xfId="18058" builtinId="8" hidden="1"/>
    <cellStyle name="Lien hypertexte" xfId="782" builtinId="8" hidden="1"/>
    <cellStyle name="Lien hypertexte" xfId="22189" builtinId="8" hidden="1"/>
    <cellStyle name="Lien hypertexte" xfId="24081" builtinId="8" hidden="1"/>
    <cellStyle name="Lien hypertexte" xfId="19839" builtinId="8" hidden="1"/>
    <cellStyle name="Lien hypertexte" xfId="19693" builtinId="8" hidden="1"/>
    <cellStyle name="Lien hypertexte" xfId="24533" builtinId="8" hidden="1"/>
    <cellStyle name="Lien hypertexte" xfId="22037" builtinId="8" hidden="1"/>
    <cellStyle name="Lien hypertexte" xfId="15088" builtinId="8" hidden="1"/>
    <cellStyle name="Lien hypertexte" xfId="17906" builtinId="8" hidden="1"/>
    <cellStyle name="Lien hypertexte" xfId="20961" builtinId="8" hidden="1"/>
    <cellStyle name="Lien hypertexte" xfId="18066" builtinId="8" hidden="1"/>
    <cellStyle name="Lien hypertexte" xfId="790" builtinId="8" hidden="1"/>
    <cellStyle name="Lien hypertexte" xfId="22197" builtinId="8" hidden="1"/>
    <cellStyle name="Lien hypertexte" xfId="24033" builtinId="8" hidden="1"/>
    <cellStyle name="Lien hypertexte" xfId="19847" builtinId="8" hidden="1"/>
    <cellStyle name="Lien hypertexte" xfId="19687" builtinId="8" hidden="1"/>
    <cellStyle name="Lien hypertexte" xfId="24525" builtinId="8" hidden="1"/>
    <cellStyle name="Lien hypertexte" xfId="22029" builtinId="8" hidden="1"/>
    <cellStyle name="Lien hypertexte" xfId="15280" builtinId="8" hidden="1"/>
    <cellStyle name="Lien hypertexte" xfId="17898" builtinId="8" hidden="1"/>
    <cellStyle name="Lien hypertexte" xfId="19329" builtinId="8" hidden="1"/>
    <cellStyle name="Lien hypertexte" xfId="18074" builtinId="8" hidden="1"/>
    <cellStyle name="Lien hypertexte" xfId="796" builtinId="8" hidden="1"/>
    <cellStyle name="Lien hypertexte" xfId="22205" builtinId="8" hidden="1"/>
    <cellStyle name="Lien hypertexte" xfId="23985" builtinId="8" hidden="1"/>
    <cellStyle name="Lien hypertexte" xfId="19853" builtinId="8" hidden="1"/>
    <cellStyle name="Lien hypertexte" xfId="19679" builtinId="8" hidden="1"/>
    <cellStyle name="Lien hypertexte" xfId="24519" builtinId="8" hidden="1"/>
    <cellStyle name="Lien hypertexte" xfId="22023" builtinId="8" hidden="1"/>
    <cellStyle name="Lien hypertexte" xfId="15536" builtinId="8" hidden="1"/>
    <cellStyle name="Lien hypertexte" xfId="17890" builtinId="8" hidden="1"/>
    <cellStyle name="Lien hypertexte" xfId="20993" builtinId="8" hidden="1"/>
    <cellStyle name="Lien hypertexte" xfId="18080" builtinId="8" hidden="1"/>
    <cellStyle name="Lien hypertexte" xfId="804" builtinId="8" hidden="1"/>
    <cellStyle name="Lien hypertexte" xfId="22213" builtinId="8" hidden="1"/>
    <cellStyle name="Lien hypertexte" xfId="23937" builtinId="8" hidden="1"/>
    <cellStyle name="Lien hypertexte" xfId="19861" builtinId="8" hidden="1"/>
    <cellStyle name="Lien hypertexte" xfId="19673" builtinId="8" hidden="1"/>
    <cellStyle name="Lien hypertexte" xfId="24511" builtinId="8" hidden="1"/>
    <cellStyle name="Lien hypertexte" xfId="22013" builtinId="8" hidden="1"/>
    <cellStyle name="Lien hypertexte" xfId="15728" builtinId="8" hidden="1"/>
    <cellStyle name="Lien hypertexte" xfId="17884" builtinId="8" hidden="1"/>
    <cellStyle name="Lien hypertexte" xfId="20721" builtinId="8" hidden="1"/>
    <cellStyle name="Lien hypertexte" xfId="18088" builtinId="8" hidden="1"/>
    <cellStyle name="Lien hypertexte" xfId="810" builtinId="8" hidden="1"/>
    <cellStyle name="Lien hypertexte" xfId="22219" builtinId="8" hidden="1"/>
    <cellStyle name="Lien hypertexte" xfId="23889" builtinId="8" hidden="1"/>
    <cellStyle name="Lien hypertexte" xfId="19867" builtinId="8" hidden="1"/>
    <cellStyle name="Lien hypertexte" xfId="19667" builtinId="8" hidden="1"/>
    <cellStyle name="Lien hypertexte" xfId="24505" builtinId="8" hidden="1"/>
    <cellStyle name="Lien hypertexte" xfId="22007" builtinId="8" hidden="1"/>
    <cellStyle name="Lien hypertexte" xfId="15920" builtinId="8" hidden="1"/>
    <cellStyle name="Lien hypertexte" xfId="17876" builtinId="8" hidden="1"/>
    <cellStyle name="Lien hypertexte" xfId="21073" builtinId="8" hidden="1"/>
    <cellStyle name="Lien hypertexte" xfId="18094" builtinId="8" hidden="1"/>
    <cellStyle name="Lien hypertexte" xfId="816" builtinId="8" hidden="1"/>
    <cellStyle name="Lien hypertexte" xfId="22227" builtinId="8" hidden="1"/>
    <cellStyle name="Lien hypertexte" xfId="23825" builtinId="8" hidden="1"/>
    <cellStyle name="Lien hypertexte" xfId="19875" builtinId="8" hidden="1"/>
    <cellStyle name="Lien hypertexte" xfId="19659" builtinId="8" hidden="1"/>
    <cellStyle name="Lien hypertexte" xfId="24495" builtinId="8" hidden="1"/>
    <cellStyle name="Lien hypertexte" xfId="21999" builtinId="8" hidden="1"/>
    <cellStyle name="Lien hypertexte" xfId="15928" builtinId="8" hidden="1"/>
    <cellStyle name="Lien hypertexte" xfId="17440" builtinId="8" hidden="1"/>
    <cellStyle name="Lien hypertexte" xfId="16894" builtinId="8" hidden="1"/>
    <cellStyle name="Lien hypertexte" xfId="17284" builtinId="8" hidden="1"/>
    <cellStyle name="Lien hypertexte" xfId="824" builtinId="8" hidden="1"/>
    <cellStyle name="Lien hypertexte" xfId="22233" builtinId="8" hidden="1"/>
    <cellStyle name="Lien hypertexte" xfId="23777" builtinId="8" hidden="1"/>
    <cellStyle name="Lien hypertexte" xfId="19881" builtinId="8" hidden="1"/>
    <cellStyle name="Lien hypertexte" xfId="19653" builtinId="8" hidden="1"/>
    <cellStyle name="Lien hypertexte" xfId="24489" builtinId="8" hidden="1"/>
    <cellStyle name="Lien hypertexte" xfId="21993" builtinId="8" hidden="1"/>
    <cellStyle name="Lien hypertexte" xfId="15922" builtinId="8" hidden="1"/>
    <cellStyle name="Lien hypertexte" xfId="17860" builtinId="8" hidden="1"/>
    <cellStyle name="Lien hypertexte" xfId="21137" builtinId="8" hidden="1"/>
    <cellStyle name="Lien hypertexte" xfId="18110" builtinId="8" hidden="1"/>
    <cellStyle name="Lien hypertexte" xfId="830" builtinId="8" hidden="1"/>
    <cellStyle name="Lien hypertexte" xfId="22243" builtinId="8" hidden="1"/>
    <cellStyle name="Lien hypertexte" xfId="23729" builtinId="8" hidden="1"/>
    <cellStyle name="Lien hypertexte" xfId="19887" builtinId="8" hidden="1"/>
    <cellStyle name="Lien hypertexte" xfId="19645" builtinId="8" hidden="1"/>
    <cellStyle name="Lien hypertexte" xfId="24483" builtinId="8" hidden="1"/>
    <cellStyle name="Lien hypertexte" xfId="21987" builtinId="8" hidden="1"/>
    <cellStyle name="Lien hypertexte" xfId="15912" builtinId="8" hidden="1"/>
    <cellStyle name="Lien hypertexte" xfId="17854" builtinId="8" hidden="1"/>
    <cellStyle name="Lien hypertexte" xfId="20177" builtinId="8" hidden="1"/>
    <cellStyle name="Lien hypertexte" xfId="18116" builtinId="8" hidden="1"/>
    <cellStyle name="Lien hypertexte" xfId="840" builtinId="8" hidden="1"/>
    <cellStyle name="Lien hypertexte" xfId="22249" builtinId="8" hidden="1"/>
    <cellStyle name="Lien hypertexte" xfId="23681" builtinId="8" hidden="1"/>
    <cellStyle name="Lien hypertexte" xfId="19897" builtinId="8" hidden="1"/>
    <cellStyle name="Lien hypertexte" xfId="19639" builtinId="8" hidden="1"/>
    <cellStyle name="Lien hypertexte" xfId="24475" builtinId="8" hidden="1"/>
    <cellStyle name="Lien hypertexte" xfId="21977" builtinId="8" hidden="1"/>
    <cellStyle name="Lien hypertexte" xfId="15906" builtinId="8" hidden="1"/>
    <cellStyle name="Lien hypertexte" xfId="17848" builtinId="8" hidden="1"/>
    <cellStyle name="Lien hypertexte" xfId="21217" builtinId="8" hidden="1"/>
    <cellStyle name="Lien hypertexte" xfId="18124" builtinId="8" hidden="1"/>
    <cellStyle name="Lien hypertexte" xfId="846" builtinId="8" hidden="1"/>
    <cellStyle name="Lien hypertexte" xfId="22255" builtinId="8" hidden="1"/>
    <cellStyle name="Lien hypertexte" xfId="23633" builtinId="8" hidden="1"/>
    <cellStyle name="Lien hypertexte" xfId="19903" builtinId="8" hidden="1"/>
    <cellStyle name="Lien hypertexte" xfId="19631" builtinId="8" hidden="1"/>
    <cellStyle name="Lien hypertexte" xfId="24469" builtinId="8" hidden="1"/>
    <cellStyle name="Lien hypertexte" xfId="21971" builtinId="8" hidden="1"/>
    <cellStyle name="Lien hypertexte" xfId="15898" builtinId="8" hidden="1"/>
    <cellStyle name="Lien hypertexte" xfId="17838" builtinId="8" hidden="1"/>
    <cellStyle name="Lien hypertexte" xfId="19041" builtinId="8" hidden="1"/>
    <cellStyle name="Lien hypertexte" xfId="18132" builtinId="8" hidden="1"/>
    <cellStyle name="Lien hypertexte" xfId="854" builtinId="8" hidden="1"/>
    <cellStyle name="Lien hypertexte" xfId="22263" builtinId="8" hidden="1"/>
    <cellStyle name="Lien hypertexte" xfId="23569" builtinId="8" hidden="1"/>
    <cellStyle name="Lien hypertexte" xfId="19911" builtinId="8" hidden="1"/>
    <cellStyle name="Lien hypertexte" xfId="19625" builtinId="8" hidden="1"/>
    <cellStyle name="Lien hypertexte" xfId="24459" builtinId="8" hidden="1"/>
    <cellStyle name="Lien hypertexte" xfId="21963" builtinId="8" hidden="1"/>
    <cellStyle name="Lien hypertexte" xfId="15892" builtinId="8" hidden="1"/>
    <cellStyle name="Lien hypertexte" xfId="17832" builtinId="8" hidden="1"/>
    <cellStyle name="Lien hypertexte" xfId="21297" builtinId="8" hidden="1"/>
    <cellStyle name="Lien hypertexte" xfId="18140" builtinId="8" hidden="1"/>
    <cellStyle name="Lien hypertexte" xfId="860" builtinId="8" hidden="1"/>
    <cellStyle name="Lien hypertexte" xfId="22269" builtinId="8" hidden="1"/>
    <cellStyle name="Lien hypertexte" xfId="23521" builtinId="8" hidden="1"/>
    <cellStyle name="Lien hypertexte" xfId="19917" builtinId="8" hidden="1"/>
    <cellStyle name="Lien hypertexte" xfId="19619" builtinId="8" hidden="1"/>
    <cellStyle name="Lien hypertexte" xfId="24453" builtinId="8" hidden="1"/>
    <cellStyle name="Lien hypertexte" xfId="21957" builtinId="8" hidden="1"/>
    <cellStyle name="Lien hypertexte" xfId="15886" builtinId="8" hidden="1"/>
    <cellStyle name="Lien hypertexte" xfId="17824" builtinId="8" hidden="1"/>
    <cellStyle name="Lien hypertexte" xfId="19729" builtinId="8" hidden="1"/>
    <cellStyle name="Lien hypertexte" xfId="18146" builtinId="8" hidden="1"/>
    <cellStyle name="Lien hypertexte" xfId="866" builtinId="8" hidden="1"/>
    <cellStyle name="Lien hypertexte" xfId="22279" builtinId="8" hidden="1"/>
    <cellStyle name="Lien hypertexte" xfId="23473" builtinId="8" hidden="1"/>
    <cellStyle name="Lien hypertexte" xfId="19925" builtinId="8" hidden="1"/>
    <cellStyle name="Lien hypertexte" xfId="19611" builtinId="8" hidden="1"/>
    <cellStyle name="Lien hypertexte" xfId="24445" builtinId="8" hidden="1"/>
    <cellStyle name="Lien hypertexte" xfId="21949" builtinId="8" hidden="1"/>
    <cellStyle name="Lien hypertexte" xfId="15878" builtinId="8" hidden="1"/>
    <cellStyle name="Lien hypertexte" xfId="17818" builtinId="8" hidden="1"/>
    <cellStyle name="Lien hypertexte" xfId="20929" builtinId="8" hidden="1"/>
    <cellStyle name="Lien hypertexte" xfId="18154" builtinId="8" hidden="1"/>
    <cellStyle name="Lien hypertexte" xfId="874" builtinId="8" hidden="1"/>
    <cellStyle name="Lien hypertexte" xfId="22285" builtinId="8" hidden="1"/>
    <cellStyle name="Lien hypertexte" xfId="23425" builtinId="8" hidden="1"/>
    <cellStyle name="Lien hypertexte" xfId="19931" builtinId="8" hidden="1"/>
    <cellStyle name="Lien hypertexte" xfId="19605" builtinId="8" hidden="1"/>
    <cellStyle name="Lien hypertexte" xfId="24439" builtinId="8" hidden="1"/>
    <cellStyle name="Lien hypertexte" xfId="21941" builtinId="8" hidden="1"/>
    <cellStyle name="Lien hypertexte" xfId="15872" builtinId="8" hidden="1"/>
    <cellStyle name="Lien hypertexte" xfId="17810" builtinId="8" hidden="1"/>
    <cellStyle name="Lien hypertexte" xfId="16250" builtinId="8" hidden="1"/>
    <cellStyle name="Lien hypertexte" xfId="18162" builtinId="8" hidden="1"/>
    <cellStyle name="Lien hypertexte" xfId="880" builtinId="8" hidden="1"/>
    <cellStyle name="Lien hypertexte" xfId="22293" builtinId="8" hidden="1"/>
    <cellStyle name="Lien hypertexte" xfId="23377" builtinId="8" hidden="1"/>
    <cellStyle name="Lien hypertexte" xfId="19939" builtinId="8" hidden="1"/>
    <cellStyle name="Lien hypertexte" xfId="19595" builtinId="8" hidden="1"/>
    <cellStyle name="Lien hypertexte" xfId="24431" builtinId="8" hidden="1"/>
    <cellStyle name="Lien hypertexte" xfId="21933" builtinId="8" hidden="1"/>
    <cellStyle name="Lien hypertexte" xfId="15864" builtinId="8" hidden="1"/>
    <cellStyle name="Lien hypertexte" xfId="17802" builtinId="8" hidden="1"/>
    <cellStyle name="Lien hypertexte" xfId="20817" builtinId="8" hidden="1"/>
    <cellStyle name="Lien hypertexte" xfId="18168" builtinId="8" hidden="1"/>
    <cellStyle name="Lien hypertexte" xfId="888" builtinId="8" hidden="1"/>
    <cellStyle name="Lien hypertexte" xfId="22299" builtinId="8" hidden="1"/>
    <cellStyle name="Lien hypertexte" xfId="23313" builtinId="8" hidden="1"/>
    <cellStyle name="Lien hypertexte" xfId="19945" builtinId="8" hidden="1"/>
    <cellStyle name="Lien hypertexte" xfId="19589" builtinId="8" hidden="1"/>
    <cellStyle name="Lien hypertexte" xfId="24423" builtinId="8" hidden="1"/>
    <cellStyle name="Lien hypertexte" xfId="21927" builtinId="8" hidden="1"/>
    <cellStyle name="Lien hypertexte" xfId="15858" builtinId="8" hidden="1"/>
    <cellStyle name="Lien hypertexte" xfId="17796" builtinId="8" hidden="1"/>
    <cellStyle name="Lien hypertexte" xfId="19809" builtinId="8" hidden="1"/>
    <cellStyle name="Lien hypertexte" xfId="18176" builtinId="8" hidden="1"/>
    <cellStyle name="Lien hypertexte" xfId="894" builtinId="8" hidden="1"/>
    <cellStyle name="Lien hypertexte" xfId="22307" builtinId="8" hidden="1"/>
    <cellStyle name="Lien hypertexte" xfId="23265" builtinId="8" hidden="1"/>
    <cellStyle name="Lien hypertexte" xfId="19951" builtinId="8" hidden="1"/>
    <cellStyle name="Lien hypertexte" xfId="19581" builtinId="8" hidden="1"/>
    <cellStyle name="Lien hypertexte" xfId="24415" builtinId="8" hidden="1"/>
    <cellStyle name="Lien hypertexte" xfId="21919" builtinId="8" hidden="1"/>
    <cellStyle name="Lien hypertexte" xfId="15848" builtinId="8" hidden="1"/>
    <cellStyle name="Lien hypertexte" xfId="17788" builtinId="8" hidden="1"/>
    <cellStyle name="Lien hypertexte" xfId="20705" builtinId="8" hidden="1"/>
    <cellStyle name="Lien hypertexte" xfId="18182" builtinId="8" hidden="1"/>
    <cellStyle name="Lien hypertexte" xfId="902" builtinId="8" hidden="1"/>
    <cellStyle name="Lien hypertexte" xfId="22315" builtinId="8" hidden="1"/>
    <cellStyle name="Lien hypertexte" xfId="23217" builtinId="8" hidden="1"/>
    <cellStyle name="Lien hypertexte" xfId="19959" builtinId="8" hidden="1"/>
    <cellStyle name="Lien hypertexte" xfId="19575" builtinId="8" hidden="1"/>
    <cellStyle name="Lien hypertexte" xfId="24409" builtinId="8" hidden="1"/>
    <cellStyle name="Lien hypertexte" xfId="21913" builtinId="8" hidden="1"/>
    <cellStyle name="Lien hypertexte" xfId="15842" builtinId="8" hidden="1"/>
    <cellStyle name="Lien hypertexte" xfId="17782" builtinId="8" hidden="1"/>
    <cellStyle name="Lien hypertexte" xfId="19265" builtinId="8" hidden="1"/>
    <cellStyle name="Lien hypertexte" xfId="18190" builtinId="8" hidden="1"/>
    <cellStyle name="Lien hypertexte" xfId="908" builtinId="8" hidden="1"/>
    <cellStyle name="Lien hypertexte" xfId="22323" builtinId="8" hidden="1"/>
    <cellStyle name="Lien hypertexte" xfId="23169" builtinId="8" hidden="1"/>
    <cellStyle name="Lien hypertexte" xfId="19965" builtinId="8" hidden="1"/>
    <cellStyle name="Lien hypertexte" xfId="19567" builtinId="8" hidden="1"/>
    <cellStyle name="Lien hypertexte" xfId="24403" builtinId="8" hidden="1"/>
    <cellStyle name="Lien hypertexte" xfId="21903" builtinId="8" hidden="1"/>
    <cellStyle name="Lien hypertexte" xfId="15836" builtinId="8" hidden="1"/>
    <cellStyle name="Lien hypertexte" xfId="17772" builtinId="8" hidden="1"/>
    <cellStyle name="Lien hypertexte" xfId="20593" builtinId="8" hidden="1"/>
    <cellStyle name="Lien hypertexte" xfId="18198" builtinId="8" hidden="1"/>
    <cellStyle name="Lien hypertexte" xfId="914" builtinId="8" hidden="1"/>
    <cellStyle name="Lien hypertexte" xfId="22329" builtinId="8" hidden="1"/>
    <cellStyle name="Lien hypertexte" xfId="23121" builtinId="8" hidden="1"/>
    <cellStyle name="Lien hypertexte" xfId="19973" builtinId="8" hidden="1"/>
    <cellStyle name="Lien hypertexte" xfId="19561" builtinId="8" hidden="1"/>
    <cellStyle name="Lien hypertexte" xfId="24395" builtinId="8" hidden="1"/>
    <cellStyle name="Lien hypertexte" xfId="21897" builtinId="8" hidden="1"/>
    <cellStyle name="Lien hypertexte" xfId="15828" builtinId="8" hidden="1"/>
    <cellStyle name="Lien hypertexte" xfId="17766" builtinId="8" hidden="1"/>
    <cellStyle name="Lien hypertexte" xfId="19953" builtinId="8" hidden="1"/>
    <cellStyle name="Lien hypertexte" xfId="18206" builtinId="8" hidden="1"/>
    <cellStyle name="Lien hypertexte" xfId="922" builtinId="8" hidden="1"/>
    <cellStyle name="Lien hypertexte" xfId="22335" builtinId="8" hidden="1"/>
    <cellStyle name="Lien hypertexte" xfId="23057" builtinId="8" hidden="1"/>
    <cellStyle name="Lien hypertexte" xfId="19979" builtinId="8" hidden="1"/>
    <cellStyle name="Lien hypertexte" xfId="19555" builtinId="8" hidden="1"/>
    <cellStyle name="Lien hypertexte" xfId="24387" builtinId="8" hidden="1"/>
    <cellStyle name="Lien hypertexte" xfId="21891" builtinId="8" hidden="1"/>
    <cellStyle name="Lien hypertexte" xfId="15822" builtinId="8" hidden="1"/>
    <cellStyle name="Lien hypertexte" xfId="17758" builtinId="8" hidden="1"/>
    <cellStyle name="Lien hypertexte" xfId="20481" builtinId="8" hidden="1"/>
    <cellStyle name="Lien hypertexte" xfId="18212" builtinId="8" hidden="1"/>
    <cellStyle name="Lien hypertexte" xfId="928" builtinId="8" hidden="1"/>
    <cellStyle name="Lien hypertexte" xfId="22343" builtinId="8" hidden="1"/>
    <cellStyle name="Lien hypertexte" xfId="23009" builtinId="8" hidden="1"/>
    <cellStyle name="Lien hypertexte" xfId="19987" builtinId="8" hidden="1"/>
    <cellStyle name="Lien hypertexte" xfId="19547" builtinId="8" hidden="1"/>
    <cellStyle name="Lien hypertexte" xfId="24379" builtinId="8" hidden="1"/>
    <cellStyle name="Lien hypertexte" xfId="21883" builtinId="8" hidden="1"/>
    <cellStyle name="Lien hypertexte" xfId="14984" builtinId="8" hidden="1"/>
    <cellStyle name="Lien hypertexte" xfId="15662" builtinId="8" hidden="1"/>
    <cellStyle name="Lien hypertexte" xfId="18298" builtinId="8" hidden="1"/>
    <cellStyle name="Lien hypertexte" xfId="1010" builtinId="8" hidden="1"/>
    <cellStyle name="Lien hypertexte" xfId="14682" builtinId="8" hidden="1"/>
    <cellStyle name="Lien hypertexte" xfId="22351" builtinId="8" hidden="1"/>
    <cellStyle name="Lien hypertexte" xfId="22961" builtinId="8" hidden="1"/>
    <cellStyle name="Lien hypertexte" xfId="19993" builtinId="8" hidden="1"/>
    <cellStyle name="Lien hypertexte" xfId="19541" builtinId="8" hidden="1"/>
    <cellStyle name="Lien hypertexte" xfId="24373" builtinId="8" hidden="1"/>
    <cellStyle name="Lien hypertexte" xfId="21877" builtinId="8" hidden="1"/>
    <cellStyle name="Lien hypertexte" xfId="15808" builtinId="8" hidden="1"/>
    <cellStyle name="Lien hypertexte" xfId="17746" builtinId="8" hidden="1"/>
    <cellStyle name="Lien hypertexte" xfId="20369" builtinId="8" hidden="1"/>
    <cellStyle name="Lien hypertexte" xfId="18228" builtinId="8" hidden="1"/>
    <cellStyle name="Lien hypertexte" xfId="942" builtinId="8" hidden="1"/>
    <cellStyle name="Lien hypertexte" xfId="22359" builtinId="8" hidden="1"/>
    <cellStyle name="Lien hypertexte" xfId="22913" builtinId="8" hidden="1"/>
    <cellStyle name="Lien hypertexte" xfId="19999" builtinId="8" hidden="1"/>
    <cellStyle name="Lien hypertexte" xfId="20261" builtinId="8" hidden="1"/>
    <cellStyle name="Lien hypertexte" xfId="24365" builtinId="8" hidden="1"/>
    <cellStyle name="Lien hypertexte" xfId="21867" builtinId="8" hidden="1"/>
    <cellStyle name="Lien hypertexte" xfId="15800" builtinId="8" hidden="1"/>
    <cellStyle name="Lien hypertexte" xfId="17736" builtinId="8" hidden="1"/>
    <cellStyle name="Lien hypertexte" xfId="20097" builtinId="8" hidden="1"/>
    <cellStyle name="Lien hypertexte" xfId="18234" builtinId="8" hidden="1"/>
    <cellStyle name="Lien hypertexte" xfId="950" builtinId="8" hidden="1"/>
    <cellStyle name="Lien hypertexte" xfId="22365" builtinId="8" hidden="1"/>
    <cellStyle name="Lien hypertexte" xfId="22865" builtinId="8" hidden="1"/>
    <cellStyle name="Lien hypertexte" xfId="20007" builtinId="8" hidden="1"/>
    <cellStyle name="Lien hypertexte" xfId="20479" builtinId="8" hidden="1"/>
    <cellStyle name="Lien hypertexte" xfId="24359" builtinId="8" hidden="1"/>
    <cellStyle name="Lien hypertexte" xfId="21861" builtinId="8" hidden="1"/>
    <cellStyle name="Lien hypertexte" xfId="15794" builtinId="8" hidden="1"/>
    <cellStyle name="Lien hypertexte" xfId="17730" builtinId="8" hidden="1"/>
    <cellStyle name="Lien hypertexte" xfId="20273" builtinId="8" hidden="1"/>
    <cellStyle name="Lien hypertexte" xfId="18242" builtinId="8" hidden="1"/>
    <cellStyle name="Lien hypertexte" xfId="956" builtinId="8" hidden="1"/>
    <cellStyle name="Lien hypertexte" xfId="22373" builtinId="8" hidden="1"/>
    <cellStyle name="Lien hypertexte" xfId="22801" builtinId="8" hidden="1"/>
    <cellStyle name="Lien hypertexte" xfId="20013" builtinId="8" hidden="1"/>
    <cellStyle name="Lien hypertexte" xfId="20699" builtinId="8" hidden="1"/>
    <cellStyle name="Lien hypertexte" xfId="24349" builtinId="8" hidden="1"/>
    <cellStyle name="Lien hypertexte" xfId="21853" builtinId="8" hidden="1"/>
    <cellStyle name="Lien hypertexte" xfId="15786" builtinId="8" hidden="1"/>
    <cellStyle name="Lien hypertexte" xfId="17722" builtinId="8" hidden="1"/>
    <cellStyle name="Lien hypertexte" xfId="16026" builtinId="8" hidden="1"/>
    <cellStyle name="Lien hypertexte" xfId="18248" builtinId="8" hidden="1"/>
    <cellStyle name="Lien hypertexte" xfId="962" builtinId="8" hidden="1"/>
    <cellStyle name="Lien hypertexte" xfId="22379" builtinId="8" hidden="1"/>
    <cellStyle name="Lien hypertexte" xfId="22753" builtinId="8" hidden="1"/>
    <cellStyle name="Lien hypertexte" xfId="20021" builtinId="8" hidden="1"/>
    <cellStyle name="Lien hypertexte" xfId="20919" builtinId="8" hidden="1"/>
    <cellStyle name="Lien hypertexte" xfId="24343" builtinId="8" hidden="1"/>
    <cellStyle name="Lien hypertexte" xfId="21847" builtinId="8" hidden="1"/>
    <cellStyle name="Lien hypertexte" xfId="15778" builtinId="8" hidden="1"/>
    <cellStyle name="Lien hypertexte" xfId="17716" builtinId="8" hidden="1"/>
    <cellStyle name="Lien hypertexte" xfId="20161" builtinId="8" hidden="1"/>
    <cellStyle name="Lien hypertexte" xfId="18258" builtinId="8" hidden="1"/>
    <cellStyle name="Lien hypertexte" xfId="972" builtinId="8" hidden="1"/>
    <cellStyle name="Lien hypertexte" xfId="22389" builtinId="8" hidden="1"/>
    <cellStyle name="Lien hypertexte" xfId="22705" builtinId="8" hidden="1"/>
    <cellStyle name="Lien hypertexte" xfId="20027" builtinId="8" hidden="1"/>
    <cellStyle name="Lien hypertexte" xfId="21139" builtinId="8" hidden="1"/>
    <cellStyle name="Lien hypertexte" xfId="24335" builtinId="8" hidden="1"/>
    <cellStyle name="Lien hypertexte" xfId="21839" builtinId="8" hidden="1"/>
    <cellStyle name="Lien hypertexte" xfId="15772" builtinId="8" hidden="1"/>
    <cellStyle name="Lien hypertexte" xfId="17706" builtinId="8" hidden="1"/>
    <cellStyle name="Lien hypertexte" xfId="20241" builtinId="8" hidden="1"/>
    <cellStyle name="Lien hypertexte" xfId="18264" builtinId="8" hidden="1"/>
    <cellStyle name="Lien hypertexte" xfId="978" builtinId="8" hidden="1"/>
    <cellStyle name="Lien hypertexte" xfId="22395" builtinId="8" hidden="1"/>
    <cellStyle name="Lien hypertexte" xfId="22657" builtinId="8" hidden="1"/>
    <cellStyle name="Lien hypertexte" xfId="20035" builtinId="8" hidden="1"/>
    <cellStyle name="Lien hypertexte" xfId="21357" builtinId="8" hidden="1"/>
    <cellStyle name="Lien hypertexte" xfId="24329" builtinId="8" hidden="1"/>
    <cellStyle name="Lien hypertexte" xfId="21831" builtinId="8" hidden="1"/>
    <cellStyle name="Lien hypertexte" xfId="15764" builtinId="8" hidden="1"/>
    <cellStyle name="Lien hypertexte" xfId="17700" builtinId="8" hidden="1"/>
    <cellStyle name="Lien hypertexte" xfId="20049" builtinId="8" hidden="1"/>
    <cellStyle name="Lien hypertexte" xfId="18270" builtinId="8" hidden="1"/>
    <cellStyle name="Lien hypertexte" xfId="986" builtinId="8" hidden="1"/>
    <cellStyle name="Lien hypertexte" xfId="22403" builtinId="8" hidden="1"/>
    <cellStyle name="Lien hypertexte" xfId="22609" builtinId="8" hidden="1"/>
    <cellStyle name="Lien hypertexte" xfId="20043" builtinId="8" hidden="1"/>
    <cellStyle name="Lien hypertexte" xfId="21577" builtinId="8" hidden="1"/>
    <cellStyle name="Lien hypertexte" xfId="24323" builtinId="8" hidden="1"/>
    <cellStyle name="Lien hypertexte" xfId="21823" builtinId="8" hidden="1"/>
    <cellStyle name="Lien hypertexte" xfId="15758" builtinId="8" hidden="1"/>
    <cellStyle name="Lien hypertexte" xfId="17694" builtinId="8" hidden="1"/>
    <cellStyle name="Lien hypertexte" xfId="16328" builtinId="8" hidden="1"/>
    <cellStyle name="Lien hypertexte" xfId="18278" builtinId="8" hidden="1"/>
    <cellStyle name="Lien hypertexte" xfId="992" builtinId="8" hidden="1"/>
    <cellStyle name="Lien hypertexte" xfId="22409" builtinId="8" hidden="1"/>
    <cellStyle name="Lien hypertexte" xfId="22545" builtinId="8" hidden="1"/>
    <cellStyle name="Lien hypertexte" xfId="20051" builtinId="8" hidden="1"/>
    <cellStyle name="Lien hypertexte" xfId="21739" builtinId="8" hidden="1"/>
    <cellStyle name="Lien hypertexte" xfId="24313" builtinId="8" hidden="1"/>
    <cellStyle name="Lien hypertexte" xfId="21817" builtinId="8" hidden="1"/>
    <cellStyle name="Lien hypertexte" xfId="15750" builtinId="8" hidden="1"/>
    <cellStyle name="Lien hypertexte" xfId="17686" builtinId="8" hidden="1"/>
    <cellStyle name="Lien hypertexte" xfId="19937" builtinId="8" hidden="1"/>
    <cellStyle name="Lien hypertexte" xfId="18284" builtinId="8" hidden="1"/>
    <cellStyle name="Lien hypertexte" xfId="1000" builtinId="8" hidden="1"/>
    <cellStyle name="Lien hypertexte" xfId="22415" builtinId="8" hidden="1"/>
    <cellStyle name="Lien hypertexte" xfId="22497" builtinId="8" hidden="1"/>
    <cellStyle name="Lien hypertexte" xfId="20057" builtinId="8" hidden="1"/>
    <cellStyle name="Lien hypertexte" xfId="21733" builtinId="8" hidden="1"/>
    <cellStyle name="Lien hypertexte" xfId="24307" builtinId="8" hidden="1"/>
    <cellStyle name="Lien hypertexte" xfId="21811" builtinId="8" hidden="1"/>
    <cellStyle name="Lien hypertexte" xfId="15744" builtinId="8" hidden="1"/>
    <cellStyle name="Lien hypertexte" xfId="17678" builtinId="8" hidden="1"/>
    <cellStyle name="Lien hypertexte" xfId="20401" builtinId="8" hidden="1"/>
    <cellStyle name="Lien hypertexte" xfId="18294" builtinId="8" hidden="1"/>
    <cellStyle name="Lien hypertexte" xfId="1006" builtinId="8" hidden="1"/>
    <cellStyle name="Lien hypertexte" xfId="22425" builtinId="8" hidden="1"/>
    <cellStyle name="Lien hypertexte" xfId="22449" builtinId="8" hidden="1"/>
    <cellStyle name="Lien hypertexte" xfId="20063" builtinId="8" hidden="1"/>
    <cellStyle name="Lien hypertexte" xfId="21725" builtinId="8" hidden="1"/>
    <cellStyle name="Lien hypertexte" xfId="24299" builtinId="8" hidden="1"/>
    <cellStyle name="Lien hypertexte" xfId="21803" builtinId="8" hidden="1"/>
    <cellStyle name="Lien hypertexte" xfId="15738" builtinId="8" hidden="1"/>
    <cellStyle name="Lien hypertexte" xfId="17670" builtinId="8" hidden="1"/>
    <cellStyle name="Lien hypertexte" xfId="19825" builtinId="8" hidden="1"/>
    <cellStyle name="Lien hypertexte" xfId="18300" builtinId="8" hidden="1"/>
    <cellStyle name="Lien hypertexte" xfId="1012" builtinId="8" hidden="1"/>
    <cellStyle name="Lien hypertexte" xfId="22431" builtinId="8" hidden="1"/>
    <cellStyle name="Lien hypertexte" xfId="22401" builtinId="8" hidden="1"/>
    <cellStyle name="Lien hypertexte" xfId="20071" builtinId="8" hidden="1"/>
    <cellStyle name="Lien hypertexte" xfId="21717" builtinId="8" hidden="1"/>
    <cellStyle name="Lien hypertexte" xfId="24293" builtinId="8" hidden="1"/>
    <cellStyle name="Lien hypertexte" xfId="21795" builtinId="8" hidden="1"/>
    <cellStyle name="Lien hypertexte" xfId="15730" builtinId="8" hidden="1"/>
    <cellStyle name="Lien hypertexte" xfId="17664" builtinId="8" hidden="1"/>
    <cellStyle name="Lien hypertexte" xfId="16142" builtinId="8" hidden="1"/>
    <cellStyle name="Lien hypertexte" xfId="18308" builtinId="8" hidden="1"/>
    <cellStyle name="Lien hypertexte" xfId="1020" builtinId="8" hidden="1"/>
    <cellStyle name="Lien hypertexte" xfId="22439" builtinId="8" hidden="1"/>
    <cellStyle name="Lien hypertexte" xfId="22353" builtinId="8" hidden="1"/>
    <cellStyle name="Lien hypertexte" xfId="20077" builtinId="8" hidden="1"/>
    <cellStyle name="Lien hypertexte" xfId="21709" builtinId="8" hidden="1"/>
    <cellStyle name="Lien hypertexte" xfId="24285" builtinId="8" hidden="1"/>
    <cellStyle name="Lien hypertexte" xfId="21787" builtinId="8" hidden="1"/>
    <cellStyle name="Lien hypertexte" xfId="15722" builtinId="8" hidden="1"/>
    <cellStyle name="Lien hypertexte" xfId="17656" builtinId="8" hidden="1"/>
    <cellStyle name="Lien hypertexte" xfId="19713" builtinId="8" hidden="1"/>
    <cellStyle name="Lien hypertexte" xfId="18331" builtinId="8" hidden="1"/>
    <cellStyle name="Lien hypertexte" xfId="1026" builtinId="8" hidden="1"/>
    <cellStyle name="Lien hypertexte" xfId="22445" builtinId="8" hidden="1"/>
    <cellStyle name="Lien hypertexte" xfId="22289" builtinId="8" hidden="1"/>
    <cellStyle name="Lien hypertexte" xfId="20085" builtinId="8" hidden="1"/>
    <cellStyle name="Lien hypertexte" xfId="21703" builtinId="8" hidden="1"/>
    <cellStyle name="Lien hypertexte" xfId="24277" builtinId="8" hidden="1"/>
    <cellStyle name="Lien hypertexte" xfId="21781" builtinId="8" hidden="1"/>
    <cellStyle name="Lien hypertexte" xfId="15714" builtinId="8" hidden="1"/>
    <cellStyle name="Lien hypertexte" xfId="17650" builtinId="8" hidden="1"/>
    <cellStyle name="Lien hypertexte" xfId="19665" builtinId="8" hidden="1"/>
    <cellStyle name="Lien hypertexte" xfId="18339" builtinId="8" hidden="1"/>
    <cellStyle name="Lien hypertexte" xfId="1034" builtinId="8" hidden="1"/>
    <cellStyle name="Lien hypertexte" xfId="22453" builtinId="8" hidden="1"/>
    <cellStyle name="Lien hypertexte" xfId="22241" builtinId="8" hidden="1"/>
    <cellStyle name="Lien hypertexte" xfId="20091" builtinId="8" hidden="1"/>
    <cellStyle name="Lien hypertexte" xfId="21695" builtinId="8" hidden="1"/>
    <cellStyle name="Lien hypertexte" xfId="24269" builtinId="8" hidden="1"/>
    <cellStyle name="Lien hypertexte" xfId="21773" builtinId="8" hidden="1"/>
    <cellStyle name="Lien hypertexte" xfId="15708" builtinId="8" hidden="1"/>
    <cellStyle name="Lien hypertexte" xfId="17642" builtinId="8" hidden="1"/>
    <cellStyle name="Lien hypertexte" xfId="19601" builtinId="8" hidden="1"/>
    <cellStyle name="Lien hypertexte" xfId="18347" builtinId="8" hidden="1"/>
    <cellStyle name="Lien hypertexte" xfId="1040" builtinId="8" hidden="1"/>
    <cellStyle name="Lien hypertexte" xfId="22461" builtinId="8" hidden="1"/>
    <cellStyle name="Lien hypertexte" xfId="22193" builtinId="8" hidden="1"/>
    <cellStyle name="Lien hypertexte" xfId="20099" builtinId="8" hidden="1"/>
    <cellStyle name="Lien hypertexte" xfId="21689" builtinId="8" hidden="1"/>
    <cellStyle name="Lien hypertexte" xfId="24263" builtinId="8" hidden="1"/>
    <cellStyle name="Lien hypertexte" xfId="21767" builtinId="8" hidden="1"/>
    <cellStyle name="Lien hypertexte" xfId="15700" builtinId="8" hidden="1"/>
    <cellStyle name="Lien hypertexte" xfId="17596" builtinId="8" hidden="1"/>
    <cellStyle name="Lien hypertexte" xfId="17012" builtinId="8" hidden="1"/>
    <cellStyle name="Lien hypertexte" xfId="18353" builtinId="8" hidden="1"/>
    <cellStyle name="Lien hypertexte" xfId="1048" builtinId="8" hidden="1"/>
    <cellStyle name="Lien hypertexte" xfId="22469" builtinId="8" hidden="1"/>
    <cellStyle name="Lien hypertexte" xfId="22145" builtinId="8" hidden="1"/>
    <cellStyle name="Lien hypertexte" xfId="20105" builtinId="8" hidden="1"/>
    <cellStyle name="Lien hypertexte" xfId="21683" builtinId="8" hidden="1"/>
    <cellStyle name="Lien hypertexte" xfId="24255" builtinId="8" hidden="1"/>
    <cellStyle name="Lien hypertexte" xfId="21757" builtinId="8" hidden="1"/>
    <cellStyle name="Lien hypertexte" xfId="15694" builtinId="8" hidden="1"/>
    <cellStyle name="Lien hypertexte" xfId="17628" builtinId="8" hidden="1"/>
    <cellStyle name="Lien hypertexte" xfId="19505" builtinId="8" hidden="1"/>
    <cellStyle name="Lien hypertexte" xfId="18361" builtinId="8" hidden="1"/>
    <cellStyle name="Lien hypertexte" xfId="1054" builtinId="8" hidden="1"/>
    <cellStyle name="Lien hypertexte" xfId="22475" builtinId="8" hidden="1"/>
    <cellStyle name="Lien hypertexte" xfId="22097" builtinId="8" hidden="1"/>
    <cellStyle name="Lien hypertexte" xfId="20111" builtinId="8" hidden="1"/>
    <cellStyle name="Lien hypertexte" xfId="21675" builtinId="8" hidden="1"/>
    <cellStyle name="Lien hypertexte" xfId="24249" builtinId="8" hidden="1"/>
    <cellStyle name="Lien hypertexte" xfId="21751" builtinId="8" hidden="1"/>
    <cellStyle name="Lien hypertexte" xfId="15688" builtinId="8" hidden="1"/>
    <cellStyle name="Lien hypertexte" xfId="17620" builtinId="8" hidden="1"/>
    <cellStyle name="Lien hypertexte" xfId="19441" builtinId="8" hidden="1"/>
    <cellStyle name="Lien hypertexte" xfId="18367" builtinId="8" hidden="1"/>
    <cellStyle name="Lien hypertexte" xfId="1060" builtinId="8" hidden="1"/>
    <cellStyle name="Lien hypertexte" xfId="22483" builtinId="8" hidden="1"/>
    <cellStyle name="Lien hypertexte" xfId="22033" builtinId="8" hidden="1"/>
    <cellStyle name="Lien hypertexte" xfId="20119" builtinId="8" hidden="1"/>
    <cellStyle name="Lien hypertexte" xfId="21669" builtinId="8" hidden="1"/>
    <cellStyle name="Lien hypertexte" xfId="24239" builtinId="8" hidden="1"/>
    <cellStyle name="Lien hypertexte" xfId="21743" builtinId="8" hidden="1"/>
    <cellStyle name="Lien hypertexte" xfId="15680" builtinId="8" hidden="1"/>
    <cellStyle name="Lien hypertexte" xfId="17612" builtinId="8" hidden="1"/>
    <cellStyle name="Lien hypertexte" xfId="19393" builtinId="8" hidden="1"/>
    <cellStyle name="Lien hypertexte" xfId="18377" builtinId="8" hidden="1"/>
    <cellStyle name="Lien hypertexte" xfId="1068" builtinId="8" hidden="1"/>
    <cellStyle name="Lien hypertexte" xfId="22489" builtinId="8" hidden="1"/>
    <cellStyle name="Lien hypertexte" xfId="21985" builtinId="8" hidden="1"/>
    <cellStyle name="Lien hypertexte" xfId="20125" builtinId="8" hidden="1"/>
    <cellStyle name="Lien hypertexte" xfId="21661" builtinId="8" hidden="1"/>
    <cellStyle name="Lien hypertexte" xfId="24233" builtinId="8" hidden="1"/>
    <cellStyle name="Lien hypertexte" xfId="21409" builtinId="8" hidden="1"/>
    <cellStyle name="Lien hypertexte" xfId="15674" builtinId="8" hidden="1"/>
    <cellStyle name="Lien hypertexte" xfId="17604" builtinId="8" hidden="1"/>
    <cellStyle name="Lien hypertexte" xfId="16124" builtinId="8" hidden="1"/>
    <cellStyle name="Lien hypertexte" xfId="18383" builtinId="8" hidden="1"/>
    <cellStyle name="Lien hypertexte" xfId="1074" builtinId="8" hidden="1"/>
    <cellStyle name="Lien hypertexte" xfId="22499" builtinId="8" hidden="1"/>
    <cellStyle name="Lien hypertexte" xfId="21937" builtinId="8" hidden="1"/>
    <cellStyle name="Lien hypertexte" xfId="20133" builtinId="8" hidden="1"/>
    <cellStyle name="Lien hypertexte" xfId="21655" builtinId="8" hidden="1"/>
    <cellStyle name="Lien hypertexte" xfId="24227" builtinId="8" hidden="1"/>
    <cellStyle name="Lien hypertexte" xfId="21025" builtinId="8" hidden="1"/>
    <cellStyle name="Lien hypertexte" xfId="15666" builtinId="8" hidden="1"/>
    <cellStyle name="Lien hypertexte" xfId="17598" builtinId="8" hidden="1"/>
    <cellStyle name="Lien hypertexte" xfId="19281" builtinId="8" hidden="1"/>
    <cellStyle name="Lien hypertexte" xfId="18389" builtinId="8" hidden="1"/>
    <cellStyle name="Lien hypertexte" xfId="1082" builtinId="8" hidden="1"/>
    <cellStyle name="Lien hypertexte" xfId="22505" builtinId="8" hidden="1"/>
    <cellStyle name="Lien hypertexte" xfId="21889" builtinId="8" hidden="1"/>
    <cellStyle name="Lien hypertexte" xfId="20139" builtinId="8" hidden="1"/>
    <cellStyle name="Lien hypertexte" xfId="21645" builtinId="8" hidden="1"/>
    <cellStyle name="Lien hypertexte" xfId="24219" builtinId="8" hidden="1"/>
    <cellStyle name="Lien hypertexte" xfId="20641" builtinId="8" hidden="1"/>
    <cellStyle name="Lien hypertexte" xfId="15658" builtinId="8" hidden="1"/>
    <cellStyle name="Lien hypertexte" xfId="17592" builtinId="8" hidden="1"/>
    <cellStyle name="Lien hypertexte" xfId="19217" builtinId="8" hidden="1"/>
    <cellStyle name="Lien hypertexte" xfId="18397" builtinId="8" hidden="1"/>
    <cellStyle name="Lien hypertexte" xfId="1088" builtinId="8" hidden="1"/>
    <cellStyle name="Lien hypertexte" xfId="22511" builtinId="8" hidden="1"/>
    <cellStyle name="Lien hypertexte" xfId="21841" builtinId="8" hidden="1"/>
    <cellStyle name="Lien hypertexte" xfId="20147" builtinId="8" hidden="1"/>
    <cellStyle name="Lien hypertexte" xfId="21639" builtinId="8" hidden="1"/>
    <cellStyle name="Lien hypertexte" xfId="24213" builtinId="8" hidden="1"/>
    <cellStyle name="Lien hypertexte" xfId="20257" builtinId="8" hidden="1"/>
    <cellStyle name="Lien hypertexte" xfId="15650" builtinId="8" hidden="1"/>
    <cellStyle name="Lien hypertexte" xfId="17582" builtinId="8" hidden="1"/>
    <cellStyle name="Lien hypertexte" xfId="19169" builtinId="8" hidden="1"/>
    <cellStyle name="Lien hypertexte" xfId="18405" builtinId="8" hidden="1"/>
    <cellStyle name="Lien hypertexte" xfId="1098" builtinId="8" hidden="1"/>
    <cellStyle name="Lien hypertexte" xfId="22519" builtinId="8" hidden="1"/>
    <cellStyle name="Lien hypertexte" xfId="21777" builtinId="8" hidden="1"/>
    <cellStyle name="Lien hypertexte" xfId="20153" builtinId="8" hidden="1"/>
    <cellStyle name="Lien hypertexte" xfId="21631" builtinId="8" hidden="1"/>
    <cellStyle name="Lien hypertexte" xfId="24203" builtinId="8" hidden="1"/>
    <cellStyle name="Lien hypertexte" xfId="19873" builtinId="8" hidden="1"/>
    <cellStyle name="Lien hypertexte" xfId="15644" builtinId="8" hidden="1"/>
    <cellStyle name="Lien hypertexte" xfId="17576" builtinId="8" hidden="1"/>
    <cellStyle name="Lien hypertexte" xfId="16268" builtinId="8" hidden="1"/>
    <cellStyle name="Lien hypertexte" xfId="18413" builtinId="8" hidden="1"/>
    <cellStyle name="Lien hypertexte" xfId="1104" builtinId="8" hidden="1"/>
    <cellStyle name="Lien hypertexte" xfId="22525" builtinId="8" hidden="1"/>
    <cellStyle name="Lien hypertexte" xfId="21729" builtinId="8" hidden="1"/>
    <cellStyle name="Lien hypertexte" xfId="20159" builtinId="8" hidden="1"/>
    <cellStyle name="Lien hypertexte" xfId="21625" builtinId="8" hidden="1"/>
    <cellStyle name="Lien hypertexte" xfId="24197" builtinId="8" hidden="1"/>
    <cellStyle name="Lien hypertexte" xfId="19489" builtinId="8" hidden="1"/>
    <cellStyle name="Lien hypertexte" xfId="15638" builtinId="8" hidden="1"/>
    <cellStyle name="Lien hypertexte" xfId="17568" builtinId="8" hidden="1"/>
    <cellStyle name="Lien hypertexte" xfId="19057" builtinId="8" hidden="1"/>
    <cellStyle name="Lien hypertexte" xfId="18419" builtinId="8" hidden="1"/>
    <cellStyle name="Lien hypertexte" xfId="1110" builtinId="8" hidden="1"/>
    <cellStyle name="Lien hypertexte" xfId="22535" builtinId="8" hidden="1"/>
    <cellStyle name="Lien hypertexte" xfId="21681" builtinId="8" hidden="1"/>
    <cellStyle name="Lien hypertexte" xfId="20167" builtinId="8" hidden="1"/>
    <cellStyle name="Lien hypertexte" xfId="21619" builtinId="8" hidden="1"/>
    <cellStyle name="Lien hypertexte" xfId="24189" builtinId="8" hidden="1"/>
    <cellStyle name="Lien hypertexte" xfId="19105" builtinId="8" hidden="1"/>
    <cellStyle name="Lien hypertexte" xfId="15630" builtinId="8" hidden="1"/>
    <cellStyle name="Lien hypertexte" xfId="17562" builtinId="8" hidden="1"/>
    <cellStyle name="Lien hypertexte" xfId="19009" builtinId="8" hidden="1"/>
    <cellStyle name="Lien hypertexte" xfId="18427" builtinId="8" hidden="1"/>
    <cellStyle name="Lien hypertexte" xfId="1118" builtinId="8" hidden="1"/>
    <cellStyle name="Lien hypertexte" xfId="22541" builtinId="8" hidden="1"/>
    <cellStyle name="Lien hypertexte" xfId="21633" builtinId="8" hidden="1"/>
    <cellStyle name="Lien hypertexte" xfId="20173" builtinId="8" hidden="1"/>
    <cellStyle name="Lien hypertexte" xfId="21611" builtinId="8" hidden="1"/>
    <cellStyle name="Lien hypertexte" xfId="24183" builtinId="8" hidden="1"/>
    <cellStyle name="Lien hypertexte" xfId="15950" builtinId="8" hidden="1"/>
    <cellStyle name="Lien hypertexte" xfId="15624" builtinId="8" hidden="1"/>
    <cellStyle name="Lien hypertexte" xfId="17554" builtinId="8" hidden="1"/>
    <cellStyle name="Lien hypertexte" xfId="18945" builtinId="8" hidden="1"/>
    <cellStyle name="Lien hypertexte" xfId="18435" builtinId="8" hidden="1"/>
    <cellStyle name="Lien hypertexte" xfId="1124" builtinId="8" hidden="1"/>
    <cellStyle name="Lien hypertexte" xfId="22549" builtinId="8" hidden="1"/>
    <cellStyle name="Lien hypertexte" xfId="21585" builtinId="8" hidden="1"/>
    <cellStyle name="Lien hypertexte" xfId="20181" builtinId="8" hidden="1"/>
    <cellStyle name="Lien hypertexte" xfId="21605" builtinId="8" hidden="1"/>
    <cellStyle name="Lien hypertexte" xfId="24175" builtinId="8" hidden="1"/>
    <cellStyle name="Lien hypertexte" xfId="16002" builtinId="8" hidden="1"/>
    <cellStyle name="Lien hypertexte" xfId="15616" builtinId="8" hidden="1"/>
    <cellStyle name="Lien hypertexte" xfId="17546" builtinId="8" hidden="1"/>
    <cellStyle name="Lien hypertexte" xfId="16084" builtinId="8" hidden="1"/>
    <cellStyle name="Lien hypertexte" xfId="18441" builtinId="8" hidden="1"/>
    <cellStyle name="Lien hypertexte" xfId="1132" builtinId="8" hidden="1"/>
    <cellStyle name="Lien hypertexte" xfId="22555" builtinId="8" hidden="1"/>
    <cellStyle name="Lien hypertexte" xfId="22049" builtinId="8" hidden="1"/>
    <cellStyle name="Lien hypertexte" xfId="20189" builtinId="8" hidden="1"/>
    <cellStyle name="Lien hypertexte" xfId="21597" builtinId="8" hidden="1"/>
    <cellStyle name="Lien hypertexte" xfId="24167" builtinId="8" hidden="1"/>
    <cellStyle name="Lien hypertexte" xfId="16054" builtinId="8" hidden="1"/>
    <cellStyle name="Lien hypertexte" xfId="15610" builtinId="8" hidden="1"/>
    <cellStyle name="Lien hypertexte" xfId="17540" builtinId="8" hidden="1"/>
    <cellStyle name="Lien hypertexte" xfId="15936" builtinId="8" hidden="1"/>
    <cellStyle name="Lien hypertexte" xfId="18449" builtinId="8" hidden="1"/>
    <cellStyle name="Lien hypertexte" xfId="1138" builtinId="8" hidden="1"/>
    <cellStyle name="Lien hypertexte" xfId="22563" builtinId="8" hidden="1"/>
    <cellStyle name="Lien hypertexte" xfId="22817" builtinId="8" hidden="1"/>
    <cellStyle name="Lien hypertexte" xfId="20197" builtinId="8" hidden="1"/>
    <cellStyle name="Lien hypertexte" xfId="21591" builtinId="8" hidden="1"/>
    <cellStyle name="Lien hypertexte" xfId="24159" builtinId="8" hidden="1"/>
    <cellStyle name="Lien hypertexte" xfId="16104" builtinId="8" hidden="1"/>
    <cellStyle name="Lien hypertexte" xfId="15602" builtinId="8" hidden="1"/>
    <cellStyle name="Lien hypertexte" xfId="17532" builtinId="8" hidden="1"/>
    <cellStyle name="Lien hypertexte" xfId="15942" builtinId="8" hidden="1"/>
    <cellStyle name="Lien hypertexte" xfId="18455" builtinId="8" hidden="1"/>
    <cellStyle name="Lien hypertexte" xfId="1146" builtinId="8" hidden="1"/>
    <cellStyle name="Lien hypertexte" xfId="22571" builtinId="8" hidden="1"/>
    <cellStyle name="Lien hypertexte" xfId="23585" builtinId="8" hidden="1"/>
    <cellStyle name="Lien hypertexte" xfId="20203" builtinId="8" hidden="1"/>
    <cellStyle name="Lien hypertexte" xfId="21583" builtinId="8" hidden="1"/>
    <cellStyle name="Lien hypertexte" xfId="24153" builtinId="8" hidden="1"/>
    <cellStyle name="Lien hypertexte" xfId="16156" builtinId="8" hidden="1"/>
    <cellStyle name="Lien hypertexte" xfId="15594" builtinId="8" hidden="1"/>
    <cellStyle name="Lien hypertexte" xfId="17526" builtinId="8" hidden="1"/>
    <cellStyle name="Lien hypertexte" xfId="15948" builtinId="8" hidden="1"/>
    <cellStyle name="Lien hypertexte" xfId="18463" builtinId="8" hidden="1"/>
    <cellStyle name="Lien hypertexte" xfId="51" builtinId="8" hidden="1"/>
    <cellStyle name="Lien hypertexte" xfId="22579" builtinId="8" hidden="1"/>
    <cellStyle name="Lien hypertexte" xfId="24353" builtinId="8" hidden="1"/>
    <cellStyle name="Lien hypertexte" xfId="20211" builtinId="8" hidden="1"/>
    <cellStyle name="Lien hypertexte" xfId="21575" builtinId="8" hidden="1"/>
    <cellStyle name="Lien hypertexte" xfId="22429" builtinId="8" hidden="1"/>
    <cellStyle name="Lien hypertexte" xfId="24147" builtinId="8" hidden="1"/>
    <cellStyle name="Lien hypertexte" xfId="23833" builtinId="8" hidden="1"/>
    <cellStyle name="Lien hypertexte" xfId="17300" builtinId="8" hidden="1"/>
    <cellStyle name="Lien hypertexte" xfId="372" builtinId="8" hidden="1"/>
    <cellStyle name="Lien hypertexte" xfId="802" builtinId="8" hidden="1"/>
    <cellStyle name="Lien hypertexte" xfId="22199" builtinId="8" hidden="1"/>
    <cellStyle name="Lien hypertexte" xfId="23523" builtinId="8" hidden="1"/>
    <cellStyle name="Lien hypertexte" xfId="21805" builtinId="8" hidden="1"/>
    <cellStyle name="Lien hypertexte" xfId="20217" builtinId="8" hidden="1"/>
    <cellStyle name="Lien hypertexte" xfId="21567" builtinId="8" hidden="1"/>
    <cellStyle name="Lien hypertexte" xfId="24139" builtinId="8" hidden="1"/>
    <cellStyle name="Lien hypertexte" xfId="16258" builtinId="8" hidden="1"/>
    <cellStyle name="Lien hypertexte" xfId="15580" builtinId="8" hidden="1"/>
    <cellStyle name="Lien hypertexte" xfId="17510" builtinId="8" hidden="1"/>
    <cellStyle name="Lien hypertexte" xfId="15964" builtinId="8" hidden="1"/>
    <cellStyle name="Lien hypertexte" xfId="18479" builtinId="8" hidden="1"/>
    <cellStyle name="Lien hypertexte" xfId="14520" builtinId="8" hidden="1"/>
    <cellStyle name="Lien hypertexte" xfId="22591" builtinId="8" hidden="1"/>
    <cellStyle name="Lien hypertexte" xfId="24429" builtinId="8" hidden="1"/>
    <cellStyle name="Lien hypertexte" xfId="20223" builtinId="8" hidden="1"/>
    <cellStyle name="Lien hypertexte" xfId="21561" builtinId="8" hidden="1"/>
    <cellStyle name="Lien hypertexte" xfId="24131" builtinId="8" hidden="1"/>
    <cellStyle name="Lien hypertexte" xfId="16310" builtinId="8" hidden="1"/>
    <cellStyle name="Lien hypertexte" xfId="15574" builtinId="8" hidden="1"/>
    <cellStyle name="Lien hypertexte" xfId="17502" builtinId="8" hidden="1"/>
    <cellStyle name="Lien hypertexte" xfId="15972" builtinId="8" hidden="1"/>
    <cellStyle name="Lien hypertexte" xfId="18485" builtinId="8" hidden="1"/>
    <cellStyle name="Lien hypertexte" xfId="14526" builtinId="8" hidden="1"/>
    <cellStyle name="Lien hypertexte" xfId="22599" builtinId="8" hidden="1"/>
    <cellStyle name="Lien hypertexte" xfId="24319" builtinId="8" hidden="1"/>
    <cellStyle name="Lien hypertexte" xfId="20231" builtinId="8" hidden="1"/>
    <cellStyle name="Lien hypertexte" xfId="21555" builtinId="8" hidden="1"/>
    <cellStyle name="Lien hypertexte" xfId="24123" builtinId="8" hidden="1"/>
    <cellStyle name="Lien hypertexte" xfId="16360" builtinId="8" hidden="1"/>
    <cellStyle name="Lien hypertexte" xfId="15566" builtinId="8" hidden="1"/>
    <cellStyle name="Lien hypertexte" xfId="17496" builtinId="8" hidden="1"/>
    <cellStyle name="Lien hypertexte" xfId="15978" builtinId="8" hidden="1"/>
    <cellStyle name="Lien hypertexte" xfId="18491" builtinId="8" hidden="1"/>
    <cellStyle name="Lien hypertexte" xfId="14534" builtinId="8" hidden="1"/>
    <cellStyle name="Lien hypertexte" xfId="22607" builtinId="8" hidden="1"/>
    <cellStyle name="Lien hypertexte" xfId="24211" builtinId="8" hidden="1"/>
    <cellStyle name="Lien hypertexte" xfId="20237" builtinId="8" hidden="1"/>
    <cellStyle name="Lien hypertexte" xfId="21547" builtinId="8" hidden="1"/>
    <cellStyle name="Lien hypertexte" xfId="24117" builtinId="8" hidden="1"/>
    <cellStyle name="Lien hypertexte" xfId="16412" builtinId="8" hidden="1"/>
    <cellStyle name="Lien hypertexte" xfId="15560" builtinId="8" hidden="1"/>
    <cellStyle name="Lien hypertexte" xfId="17490" builtinId="8" hidden="1"/>
    <cellStyle name="Lien hypertexte" xfId="16044" builtinId="8" hidden="1"/>
    <cellStyle name="Lien hypertexte" xfId="18501" builtinId="8" hidden="1"/>
    <cellStyle name="Lien hypertexte" xfId="14540" builtinId="8" hidden="1"/>
    <cellStyle name="Lien hypertexte" xfId="22615" builtinId="8" hidden="1"/>
    <cellStyle name="Lien hypertexte" xfId="24101" builtinId="8" hidden="1"/>
    <cellStyle name="Lien hypertexte" xfId="20245" builtinId="8" hidden="1"/>
    <cellStyle name="Lien hypertexte" xfId="21541" builtinId="8" hidden="1"/>
    <cellStyle name="Lien hypertexte" xfId="24109" builtinId="8" hidden="1"/>
    <cellStyle name="Lien hypertexte" xfId="16462" builtinId="8" hidden="1"/>
    <cellStyle name="Lien hypertexte" xfId="15552" builtinId="8" hidden="1"/>
    <cellStyle name="Lien hypertexte" xfId="17480" builtinId="8" hidden="1"/>
    <cellStyle name="Lien hypertexte" xfId="15994" builtinId="8" hidden="1"/>
    <cellStyle name="Lien hypertexte" xfId="18507" builtinId="8" hidden="1"/>
    <cellStyle name="Lien hypertexte" xfId="14548" builtinId="8" hidden="1"/>
    <cellStyle name="Lien hypertexte" xfId="22621" builtinId="8" hidden="1"/>
    <cellStyle name="Lien hypertexte" xfId="23991" builtinId="8" hidden="1"/>
    <cellStyle name="Lien hypertexte" xfId="19895" builtinId="8" hidden="1"/>
    <cellStyle name="Lien hypertexte" xfId="21533" builtinId="8" hidden="1"/>
    <cellStyle name="Lien hypertexte" xfId="24103" builtinId="8" hidden="1"/>
    <cellStyle name="Lien hypertexte" xfId="16514" builtinId="8" hidden="1"/>
    <cellStyle name="Lien hypertexte" xfId="15546" builtinId="8" hidden="1"/>
    <cellStyle name="Lien hypertexte" xfId="17474" builtinId="8" hidden="1"/>
    <cellStyle name="Lien hypertexte" xfId="16000" builtinId="8" hidden="1"/>
    <cellStyle name="Lien hypertexte" xfId="18515" builtinId="8" hidden="1"/>
    <cellStyle name="Lien hypertexte" xfId="14554" builtinId="8" hidden="1"/>
    <cellStyle name="Lien hypertexte" xfId="22629" builtinId="8" hidden="1"/>
    <cellStyle name="Lien hypertexte" xfId="23881" builtinId="8" hidden="1"/>
    <cellStyle name="Lien hypertexte" xfId="19189" builtinId="8" hidden="1"/>
    <cellStyle name="Lien hypertexte" xfId="21527" builtinId="8" hidden="1"/>
    <cellStyle name="Lien hypertexte" xfId="24093" builtinId="8" hidden="1"/>
    <cellStyle name="Lien hypertexte" xfId="16566" builtinId="8" hidden="1"/>
    <cellStyle name="Lien hypertexte" xfId="15540" builtinId="8" hidden="1"/>
    <cellStyle name="Lien hypertexte" xfId="17466" builtinId="8" hidden="1"/>
    <cellStyle name="Lien hypertexte" xfId="16008" builtinId="8" hidden="1"/>
    <cellStyle name="Lien hypertexte" xfId="18521" builtinId="8" hidden="1"/>
    <cellStyle name="Lien hypertexte" xfId="14560" builtinId="8" hidden="1"/>
    <cellStyle name="Lien hypertexte" xfId="22635" builtinId="8" hidden="1"/>
    <cellStyle name="Lien hypertexte" xfId="23771" builtinId="8" hidden="1"/>
    <cellStyle name="Lien hypertexte" xfId="19195" builtinId="8" hidden="1"/>
    <cellStyle name="Lien hypertexte" xfId="21519" builtinId="8" hidden="1"/>
    <cellStyle name="Lien hypertexte" xfId="24087" builtinId="8" hidden="1"/>
    <cellStyle name="Lien hypertexte" xfId="16616" builtinId="8" hidden="1"/>
    <cellStyle name="Lien hypertexte" xfId="15530" builtinId="8" hidden="1"/>
    <cellStyle name="Lien hypertexte" xfId="17460" builtinId="8" hidden="1"/>
    <cellStyle name="Lien hypertexte" xfId="16562" builtinId="8" hidden="1"/>
    <cellStyle name="Lien hypertexte" xfId="18531" builtinId="8" hidden="1"/>
    <cellStyle name="Lien hypertexte" xfId="14568" builtinId="8" hidden="1"/>
    <cellStyle name="Lien hypertexte" xfId="22645" builtinId="8" hidden="1"/>
    <cellStyle name="Lien hypertexte" xfId="23661" builtinId="8" hidden="1"/>
    <cellStyle name="Lien hypertexte" xfId="19203" builtinId="8" hidden="1"/>
    <cellStyle name="Lien hypertexte" xfId="21513" builtinId="8" hidden="1"/>
    <cellStyle name="Lien hypertexte" xfId="24079" builtinId="8" hidden="1"/>
    <cellStyle name="Lien hypertexte" xfId="16668" builtinId="8" hidden="1"/>
    <cellStyle name="Lien hypertexte" xfId="15524" builtinId="8" hidden="1"/>
    <cellStyle name="Lien hypertexte" xfId="17450" builtinId="8" hidden="1"/>
    <cellStyle name="Lien hypertexte" xfId="16024" builtinId="8" hidden="1"/>
    <cellStyle name="Lien hypertexte" xfId="18537" builtinId="8" hidden="1"/>
    <cellStyle name="Lien hypertexte" xfId="14574" builtinId="8" hidden="1"/>
    <cellStyle name="Lien hypertexte" xfId="22651" builtinId="8" hidden="1"/>
    <cellStyle name="Lien hypertexte" xfId="23551" builtinId="8" hidden="1"/>
    <cellStyle name="Lien hypertexte" xfId="19209" builtinId="8" hidden="1"/>
    <cellStyle name="Lien hypertexte" xfId="21507" builtinId="8" hidden="1"/>
    <cellStyle name="Lien hypertexte" xfId="24073" builtinId="8" hidden="1"/>
    <cellStyle name="Lien hypertexte" xfId="16718" builtinId="8" hidden="1"/>
    <cellStyle name="Lien hypertexte" xfId="15516" builtinId="8" hidden="1"/>
    <cellStyle name="Lien hypertexte" xfId="17444" builtinId="8" hidden="1"/>
    <cellStyle name="Lien hypertexte" xfId="16030" builtinId="8" hidden="1"/>
    <cellStyle name="Lien hypertexte" xfId="18543" builtinId="8" hidden="1"/>
    <cellStyle name="Lien hypertexte" xfId="14584" builtinId="8" hidden="1"/>
    <cellStyle name="Lien hypertexte" xfId="22659" builtinId="8" hidden="1"/>
    <cellStyle name="Lien hypertexte" xfId="23443" builtinId="8" hidden="1"/>
    <cellStyle name="Lien hypertexte" xfId="19215" builtinId="8" hidden="1"/>
    <cellStyle name="Lien hypertexte" xfId="21497" builtinId="8" hidden="1"/>
    <cellStyle name="Lien hypertexte" xfId="24067" builtinId="8" hidden="1"/>
    <cellStyle name="Lien hypertexte" xfId="16770" builtinId="8" hidden="1"/>
    <cellStyle name="Lien hypertexte" xfId="15510" builtinId="8" hidden="1"/>
    <cellStyle name="Lien hypertexte" xfId="17438" builtinId="8" hidden="1"/>
    <cellStyle name="Lien hypertexte" xfId="16038" builtinId="8" hidden="1"/>
    <cellStyle name="Lien hypertexte" xfId="18551" builtinId="8" hidden="1"/>
    <cellStyle name="Lien hypertexte" xfId="14590" builtinId="8" hidden="1"/>
    <cellStyle name="Lien hypertexte" xfId="22665" builtinId="8" hidden="1"/>
    <cellStyle name="Lien hypertexte" xfId="23333" builtinId="8" hidden="1"/>
    <cellStyle name="Lien hypertexte" xfId="19223" builtinId="8" hidden="1"/>
    <cellStyle name="Lien hypertexte" xfId="21491" builtinId="8" hidden="1"/>
    <cellStyle name="Lien hypertexte" xfId="24057" builtinId="8" hidden="1"/>
    <cellStyle name="Lien hypertexte" xfId="16822" builtinId="8" hidden="1"/>
    <cellStyle name="Lien hypertexte" xfId="15502" builtinId="8" hidden="1"/>
    <cellStyle name="Lien hypertexte" xfId="17430" builtinId="8" hidden="1"/>
    <cellStyle name="Lien hypertexte" xfId="16006" builtinId="8" hidden="1"/>
    <cellStyle name="Lien hypertexte" xfId="18557" builtinId="8" hidden="1"/>
    <cellStyle name="Lien hypertexte" xfId="14598" builtinId="8" hidden="1"/>
    <cellStyle name="Lien hypertexte" xfId="22671" builtinId="8" hidden="1"/>
    <cellStyle name="Lien hypertexte" xfId="23223" builtinId="8" hidden="1"/>
    <cellStyle name="Lien hypertexte" xfId="19229" builtinId="8" hidden="1"/>
    <cellStyle name="Lien hypertexte" xfId="21483" builtinId="8" hidden="1"/>
    <cellStyle name="Lien hypertexte" xfId="24051" builtinId="8" hidden="1"/>
    <cellStyle name="Lien hypertexte" xfId="16872" builtinId="8" hidden="1"/>
    <cellStyle name="Lien hypertexte" xfId="15496" builtinId="8" hidden="1"/>
    <cellStyle name="Lien hypertexte" xfId="17422" builtinId="8" hidden="1"/>
    <cellStyle name="Lien hypertexte" xfId="16052" builtinId="8" hidden="1"/>
    <cellStyle name="Lien hypertexte" xfId="18567" builtinId="8" hidden="1"/>
    <cellStyle name="Lien hypertexte" xfId="14604" builtinId="8" hidden="1"/>
    <cellStyle name="Lien hypertexte" xfId="22681" builtinId="8" hidden="1"/>
    <cellStyle name="Lien hypertexte" xfId="23113" builtinId="8" hidden="1"/>
    <cellStyle name="Lien hypertexte" xfId="19237" builtinId="8" hidden="1"/>
    <cellStyle name="Lien hypertexte" xfId="21477" builtinId="8" hidden="1"/>
    <cellStyle name="Lien hypertexte" xfId="24043" builtinId="8" hidden="1"/>
    <cellStyle name="Lien hypertexte" xfId="16924" builtinId="8" hidden="1"/>
    <cellStyle name="Lien hypertexte" xfId="15490" builtinId="8" hidden="1"/>
    <cellStyle name="Lien hypertexte" xfId="17414" builtinId="8" hidden="1"/>
    <cellStyle name="Lien hypertexte" xfId="16060" builtinId="8" hidden="1"/>
    <cellStyle name="Lien hypertexte" xfId="18573" builtinId="8" hidden="1"/>
    <cellStyle name="Lien hypertexte" xfId="14610" builtinId="8" hidden="1"/>
    <cellStyle name="Lien hypertexte" xfId="22687" builtinId="8" hidden="1"/>
    <cellStyle name="Lien hypertexte" xfId="23003" builtinId="8" hidden="1"/>
    <cellStyle name="Lien hypertexte" xfId="19243" builtinId="8" hidden="1"/>
    <cellStyle name="Lien hypertexte" xfId="21469" builtinId="8" hidden="1"/>
    <cellStyle name="Lien hypertexte" xfId="24037" builtinId="8" hidden="1"/>
    <cellStyle name="Lien hypertexte" xfId="16974" builtinId="8" hidden="1"/>
    <cellStyle name="Lien hypertexte" xfId="15482" builtinId="8" hidden="1"/>
    <cellStyle name="Lien hypertexte" xfId="17408" builtinId="8" hidden="1"/>
    <cellStyle name="Lien hypertexte" xfId="16066" builtinId="8" hidden="1"/>
    <cellStyle name="Lien hypertexte" xfId="18581" builtinId="8" hidden="1"/>
    <cellStyle name="Lien hypertexte" xfId="14618" builtinId="8" hidden="1"/>
    <cellStyle name="Lien hypertexte" xfId="22695" builtinId="8" hidden="1"/>
    <cellStyle name="Lien hypertexte" xfId="22893" builtinId="8" hidden="1"/>
    <cellStyle name="Lien hypertexte" xfId="19251" builtinId="8" hidden="1"/>
    <cellStyle name="Lien hypertexte" xfId="21463" builtinId="8" hidden="1"/>
    <cellStyle name="Lien hypertexte" xfId="24029" builtinId="8" hidden="1"/>
    <cellStyle name="Lien hypertexte" xfId="17026" builtinId="8" hidden="1"/>
    <cellStyle name="Lien hypertexte" xfId="15476" builtinId="8" hidden="1"/>
    <cellStyle name="Lien hypertexte" xfId="17752" builtinId="8" hidden="1"/>
    <cellStyle name="Lien hypertexte" xfId="17166" builtinId="8" hidden="1"/>
    <cellStyle name="Lien hypertexte" xfId="18587" builtinId="8" hidden="1"/>
    <cellStyle name="Lien hypertexte" xfId="14624" builtinId="8" hidden="1"/>
    <cellStyle name="Lien hypertexte" xfId="22701" builtinId="8" hidden="1"/>
    <cellStyle name="Lien hypertexte" xfId="22783" builtinId="8" hidden="1"/>
    <cellStyle name="Lien hypertexte" xfId="19257" builtinId="8" hidden="1"/>
    <cellStyle name="Lien hypertexte" xfId="21455" builtinId="8" hidden="1"/>
    <cellStyle name="Lien hypertexte" xfId="24021" builtinId="8" hidden="1"/>
    <cellStyle name="Lien hypertexte" xfId="17078" builtinId="8" hidden="1"/>
    <cellStyle name="Lien hypertexte" xfId="15466" builtinId="8" hidden="1"/>
    <cellStyle name="Lien hypertexte" xfId="17394" builtinId="8" hidden="1"/>
    <cellStyle name="Lien hypertexte" xfId="16082" builtinId="8" hidden="1"/>
    <cellStyle name="Lien hypertexte" xfId="18595" builtinId="8" hidden="1"/>
    <cellStyle name="Lien hypertexte" xfId="966" builtinId="8" hidden="1"/>
    <cellStyle name="Lien hypertexte" xfId="22709" builtinId="8" hidden="1"/>
    <cellStyle name="Lien hypertexte" xfId="22675" builtinId="8" hidden="1"/>
    <cellStyle name="Lien hypertexte" xfId="19263" builtinId="8" hidden="1"/>
    <cellStyle name="Lien hypertexte" xfId="21449" builtinId="8" hidden="1"/>
    <cellStyle name="Lien hypertexte" xfId="24013" builtinId="8" hidden="1"/>
    <cellStyle name="Lien hypertexte" xfId="17128" builtinId="8" hidden="1"/>
    <cellStyle name="Lien hypertexte" xfId="15460" builtinId="8" hidden="1"/>
    <cellStyle name="Lien hypertexte" xfId="17386" builtinId="8" hidden="1"/>
    <cellStyle name="Lien hypertexte" xfId="16090" builtinId="8" hidden="1"/>
    <cellStyle name="Lien hypertexte" xfId="18603" builtinId="8" hidden="1"/>
    <cellStyle name="Lien hypertexte" xfId="348" builtinId="8" hidden="1"/>
    <cellStyle name="Lien hypertexte" xfId="22717" builtinId="8" hidden="1"/>
    <cellStyle name="Lien hypertexte" xfId="22565" builtinId="8" hidden="1"/>
    <cellStyle name="Lien hypertexte" xfId="19271" builtinId="8" hidden="1"/>
    <cellStyle name="Lien hypertexte" xfId="21443" builtinId="8" hidden="1"/>
    <cellStyle name="Lien hypertexte" xfId="24007" builtinId="8" hidden="1"/>
    <cellStyle name="Lien hypertexte" xfId="17180" builtinId="8" hidden="1"/>
    <cellStyle name="Lien hypertexte" xfId="15452" builtinId="8" hidden="1"/>
    <cellStyle name="Lien hypertexte" xfId="17378" builtinId="8" hidden="1"/>
    <cellStyle name="Lien hypertexte" xfId="16096" builtinId="8" hidden="1"/>
    <cellStyle name="Lien hypertexte" xfId="18609" builtinId="8" hidden="1"/>
    <cellStyle name="Lien hypertexte" xfId="356" builtinId="8" hidden="1"/>
    <cellStyle name="Lien hypertexte" xfId="22725" builtinId="8" hidden="1"/>
    <cellStyle name="Lien hypertexte" xfId="22455" builtinId="8" hidden="1"/>
    <cellStyle name="Lien hypertexte" xfId="19277" builtinId="8" hidden="1"/>
    <cellStyle name="Lien hypertexte" xfId="21435" builtinId="8" hidden="1"/>
    <cellStyle name="Lien hypertexte" xfId="23999" builtinId="8" hidden="1"/>
    <cellStyle name="Lien hypertexte" xfId="17230" builtinId="8" hidden="1"/>
    <cellStyle name="Lien hypertexte" xfId="15446" builtinId="8" hidden="1"/>
    <cellStyle name="Lien hypertexte" xfId="17372" builtinId="8" hidden="1"/>
    <cellStyle name="Lien hypertexte" xfId="15966" builtinId="8" hidden="1"/>
    <cellStyle name="Lien hypertexte" xfId="18617" builtinId="8" hidden="1"/>
    <cellStyle name="Lien hypertexte" xfId="362" builtinId="8" hidden="1"/>
    <cellStyle name="Lien hypertexte" xfId="22731" builtinId="8" hidden="1"/>
    <cellStyle name="Lien hypertexte" xfId="22345" builtinId="8" hidden="1"/>
    <cellStyle name="Lien hypertexte" xfId="19285" builtinId="8" hidden="1"/>
    <cellStyle name="Lien hypertexte" xfId="21427" builtinId="8" hidden="1"/>
    <cellStyle name="Lien hypertexte" xfId="23993" builtinId="8" hidden="1"/>
    <cellStyle name="Lien hypertexte" xfId="17282" builtinId="8" hidden="1"/>
    <cellStyle name="Lien hypertexte" xfId="15440" builtinId="8" hidden="1"/>
    <cellStyle name="Lien hypertexte" xfId="17364" builtinId="8" hidden="1"/>
    <cellStyle name="Lien hypertexte" xfId="16110" builtinId="8" hidden="1"/>
    <cellStyle name="Lien hypertexte" xfId="18623" builtinId="8" hidden="1"/>
    <cellStyle name="Lien hypertexte" xfId="368" builtinId="8" hidden="1"/>
    <cellStyle name="Lien hypertexte" xfId="22739" builtinId="8" hidden="1"/>
    <cellStyle name="Lien hypertexte" xfId="22235" builtinId="8" hidden="1"/>
    <cellStyle name="Lien hypertexte" xfId="19291" builtinId="8" hidden="1"/>
    <cellStyle name="Lien hypertexte" xfId="21419" builtinId="8" hidden="1"/>
    <cellStyle name="Lien hypertexte" xfId="23983" builtinId="8" hidden="1"/>
    <cellStyle name="Lien hypertexte" xfId="17334" builtinId="8" hidden="1"/>
    <cellStyle name="Lien hypertexte" xfId="15432" builtinId="8" hidden="1"/>
    <cellStyle name="Lien hypertexte" xfId="17356" builtinId="8" hidden="1"/>
    <cellStyle name="Lien hypertexte" xfId="16118" builtinId="8" hidden="1"/>
    <cellStyle name="Lien hypertexte" xfId="18633" builtinId="8" hidden="1"/>
    <cellStyle name="Lien hypertexte" xfId="376" builtinId="8" hidden="1"/>
    <cellStyle name="Lien hypertexte" xfId="22745" builtinId="8" hidden="1"/>
    <cellStyle name="Lien hypertexte" xfId="22125" builtinId="8" hidden="1"/>
    <cellStyle name="Lien hypertexte" xfId="19299" builtinId="8" hidden="1"/>
    <cellStyle name="Lien hypertexte" xfId="21413" builtinId="8" hidden="1"/>
    <cellStyle name="Lien hypertexte" xfId="23977" builtinId="8" hidden="1"/>
    <cellStyle name="Lien hypertexte" xfId="17384" builtinId="8" hidden="1"/>
    <cellStyle name="Lien hypertexte" xfId="15426" builtinId="8" hidden="1"/>
    <cellStyle name="Lien hypertexte" xfId="17348" builtinId="8" hidden="1"/>
    <cellStyle name="Lien hypertexte" xfId="16126" builtinId="8" hidden="1"/>
    <cellStyle name="Lien hypertexte" xfId="18639" builtinId="8" hidden="1"/>
    <cellStyle name="Lien hypertexte" xfId="382" builtinId="8" hidden="1"/>
    <cellStyle name="Lien hypertexte" xfId="22755" builtinId="8" hidden="1"/>
    <cellStyle name="Lien hypertexte" xfId="22015" builtinId="8" hidden="1"/>
    <cellStyle name="Lien hypertexte" xfId="19305" builtinId="8" hidden="1"/>
    <cellStyle name="Lien hypertexte" xfId="21405" builtinId="8" hidden="1"/>
    <cellStyle name="Lien hypertexte" xfId="23971" builtinId="8" hidden="1"/>
    <cellStyle name="Lien hypertexte" xfId="17436" builtinId="8" hidden="1"/>
    <cellStyle name="Lien hypertexte" xfId="15418" builtinId="8" hidden="1"/>
    <cellStyle name="Lien hypertexte" xfId="17342" builtinId="8" hidden="1"/>
    <cellStyle name="Lien hypertexte" xfId="16796" builtinId="8" hidden="1"/>
    <cellStyle name="Lien hypertexte" xfId="18645" builtinId="8" hidden="1"/>
    <cellStyle name="Lien hypertexte" xfId="390" builtinId="8" hidden="1"/>
    <cellStyle name="Lien hypertexte" xfId="22761" builtinId="8" hidden="1"/>
    <cellStyle name="Lien hypertexte" xfId="21907" builtinId="8" hidden="1"/>
    <cellStyle name="Lien hypertexte" xfId="19315" builtinId="8" hidden="1"/>
    <cellStyle name="Lien hypertexte" xfId="21399" builtinId="8" hidden="1"/>
    <cellStyle name="Lien hypertexte" xfId="23963" builtinId="8" hidden="1"/>
    <cellStyle name="Lien hypertexte" xfId="17486" builtinId="8" hidden="1"/>
    <cellStyle name="Lien hypertexte" xfId="15412" builtinId="8" hidden="1"/>
    <cellStyle name="Lien hypertexte" xfId="17336" builtinId="8" hidden="1"/>
    <cellStyle name="Lien hypertexte" xfId="16140" builtinId="8" hidden="1"/>
    <cellStyle name="Lien hypertexte" xfId="18653" builtinId="8" hidden="1"/>
    <cellStyle name="Lien hypertexte" xfId="396" builtinId="8" hidden="1"/>
    <cellStyle name="Lien hypertexte" xfId="22767" builtinId="8" hidden="1"/>
    <cellStyle name="Lien hypertexte" xfId="21797" builtinId="8" hidden="1"/>
    <cellStyle name="Lien hypertexte" xfId="19321" builtinId="8" hidden="1"/>
    <cellStyle name="Lien hypertexte" xfId="21391" builtinId="8" hidden="1"/>
    <cellStyle name="Lien hypertexte" xfId="23957" builtinId="8" hidden="1"/>
    <cellStyle name="Lien hypertexte" xfId="17538" builtinId="8" hidden="1"/>
    <cellStyle name="Lien hypertexte" xfId="15402" builtinId="8" hidden="1"/>
    <cellStyle name="Lien hypertexte" xfId="17326" builtinId="8" hidden="1"/>
    <cellStyle name="Lien hypertexte" xfId="16148" builtinId="8" hidden="1"/>
    <cellStyle name="Lien hypertexte" xfId="18661" builtinId="8" hidden="1"/>
    <cellStyle name="Lien hypertexte" xfId="404" builtinId="8" hidden="1"/>
    <cellStyle name="Lien hypertexte" xfId="22775" builtinId="8" hidden="1"/>
    <cellStyle name="Lien hypertexte" xfId="20249" builtinId="8" hidden="1"/>
    <cellStyle name="Lien hypertexte" xfId="19327" builtinId="8" hidden="1"/>
    <cellStyle name="Lien hypertexte" xfId="21385" builtinId="8" hidden="1"/>
    <cellStyle name="Lien hypertexte" xfId="23947" builtinId="8" hidden="1"/>
    <cellStyle name="Lien hypertexte" xfId="17590" builtinId="8" hidden="1"/>
    <cellStyle name="Lien hypertexte" xfId="15396" builtinId="8" hidden="1"/>
    <cellStyle name="Lien hypertexte" xfId="17320" builtinId="8" hidden="1"/>
    <cellStyle name="Lien hypertexte" xfId="16154" builtinId="8" hidden="1"/>
    <cellStyle name="Lien hypertexte" xfId="18669" builtinId="8" hidden="1"/>
    <cellStyle name="Lien hypertexte" xfId="410" builtinId="8" hidden="1"/>
    <cellStyle name="Lien hypertexte" xfId="22781" builtinId="8" hidden="1"/>
    <cellStyle name="Lien hypertexte" xfId="20255" builtinId="8" hidden="1"/>
    <cellStyle name="Lien hypertexte" xfId="19335" builtinId="8" hidden="1"/>
    <cellStyle name="Lien hypertexte" xfId="21379" builtinId="8" hidden="1"/>
    <cellStyle name="Lien hypertexte" xfId="23941" builtinId="8" hidden="1"/>
    <cellStyle name="Lien hypertexte" xfId="17640" builtinId="8" hidden="1"/>
    <cellStyle name="Lien hypertexte" xfId="15390" builtinId="8" hidden="1"/>
    <cellStyle name="Lien hypertexte" xfId="17312" builtinId="8" hidden="1"/>
    <cellStyle name="Lien hypertexte" xfId="16162" builtinId="8" hidden="1"/>
    <cellStyle name="Lien hypertexte" xfId="18675" builtinId="8" hidden="1"/>
    <cellStyle name="Lien hypertexte" xfId="416" builtinId="8" hidden="1"/>
    <cellStyle name="Lien hypertexte" xfId="22791" builtinId="8" hidden="1"/>
    <cellStyle name="Lien hypertexte" xfId="20265" builtinId="8" hidden="1"/>
    <cellStyle name="Lien hypertexte" xfId="19341" builtinId="8" hidden="1"/>
    <cellStyle name="Lien hypertexte" xfId="21371" builtinId="8" hidden="1"/>
    <cellStyle name="Lien hypertexte" xfId="23933" builtinId="8" hidden="1"/>
    <cellStyle name="Lien hypertexte" xfId="17692" builtinId="8" hidden="1"/>
    <cellStyle name="Lien hypertexte" xfId="15382" builtinId="8" hidden="1"/>
    <cellStyle name="Lien hypertexte" xfId="17306" builtinId="8" hidden="1"/>
    <cellStyle name="Lien hypertexte" xfId="16168" builtinId="8" hidden="1"/>
    <cellStyle name="Lien hypertexte" xfId="18683" builtinId="8" hidden="1"/>
    <cellStyle name="Lien hypertexte" xfId="424" builtinId="8" hidden="1"/>
    <cellStyle name="Lien hypertexte" xfId="22797" builtinId="8" hidden="1"/>
    <cellStyle name="Lien hypertexte" xfId="20271" builtinId="8" hidden="1"/>
    <cellStyle name="Lien hypertexte" xfId="19349" builtinId="8" hidden="1"/>
    <cellStyle name="Lien hypertexte" xfId="21365" builtinId="8" hidden="1"/>
    <cellStyle name="Lien hypertexte" xfId="23927" builtinId="8" hidden="1"/>
    <cellStyle name="Lien hypertexte" xfId="17742" builtinId="8" hidden="1"/>
    <cellStyle name="Lien hypertexte" xfId="15376" builtinId="8" hidden="1"/>
    <cellStyle name="Lien hypertexte" xfId="17298" builtinId="8" hidden="1"/>
    <cellStyle name="Lien hypertexte" xfId="16178" builtinId="8" hidden="1"/>
    <cellStyle name="Lien hypertexte" xfId="18691" builtinId="8" hidden="1"/>
    <cellStyle name="Lien hypertexte" xfId="430" builtinId="8" hidden="1"/>
    <cellStyle name="Lien hypertexte" xfId="22805" builtinId="8" hidden="1"/>
    <cellStyle name="Lien hypertexte" xfId="20279" builtinId="8" hidden="1"/>
    <cellStyle name="Lien hypertexte" xfId="19355" builtinId="8" hidden="1"/>
    <cellStyle name="Lien hypertexte" xfId="21355" builtinId="8" hidden="1"/>
    <cellStyle name="Lien hypertexte" xfId="23919" builtinId="8" hidden="1"/>
    <cellStyle name="Lien hypertexte" xfId="17794" builtinId="8" hidden="1"/>
    <cellStyle name="Lien hypertexte" xfId="15368" builtinId="8" hidden="1"/>
    <cellStyle name="Lien hypertexte" xfId="17290" builtinId="8" hidden="1"/>
    <cellStyle name="Lien hypertexte" xfId="16184" builtinId="8" hidden="1"/>
    <cellStyle name="Lien hypertexte" xfId="18697" builtinId="8" hidden="1"/>
    <cellStyle name="Lien hypertexte" xfId="438" builtinId="8" hidden="1"/>
    <cellStyle name="Lien hypertexte" xfId="22811" builtinId="8" hidden="1"/>
    <cellStyle name="Lien hypertexte" xfId="20285" builtinId="8" hidden="1"/>
    <cellStyle name="Lien hypertexte" xfId="19363" builtinId="8" hidden="1"/>
    <cellStyle name="Lien hypertexte" xfId="21349" builtinId="8" hidden="1"/>
    <cellStyle name="Lien hypertexte" xfId="23911" builtinId="8" hidden="1"/>
    <cellStyle name="Lien hypertexte" xfId="17846" builtinId="8" hidden="1"/>
    <cellStyle name="Lien hypertexte" xfId="15286" builtinId="8" hidden="1"/>
    <cellStyle name="Lien hypertexte" xfId="14756" builtinId="8" hidden="1"/>
    <cellStyle name="Lien hypertexte" xfId="18549" builtinId="8" hidden="1"/>
    <cellStyle name="Lien hypertexte" xfId="714" builtinId="8" hidden="1"/>
    <cellStyle name="Lien hypertexte" xfId="444" builtinId="8" hidden="1"/>
    <cellStyle name="Lien hypertexte" xfId="22819" builtinId="8" hidden="1"/>
    <cellStyle name="Lien hypertexte" xfId="20293" builtinId="8" hidden="1"/>
    <cellStyle name="Lien hypertexte" xfId="19369" builtinId="8" hidden="1"/>
    <cellStyle name="Lien hypertexte" xfId="21341" builtinId="8" hidden="1"/>
    <cellStyle name="Lien hypertexte" xfId="23903" builtinId="8" hidden="1"/>
    <cellStyle name="Lien hypertexte" xfId="17896" builtinId="8" hidden="1"/>
    <cellStyle name="Lien hypertexte" xfId="15354" builtinId="8" hidden="1"/>
    <cellStyle name="Lien hypertexte" xfId="17276" builtinId="8" hidden="1"/>
    <cellStyle name="Lien hypertexte" xfId="16198" builtinId="8" hidden="1"/>
    <cellStyle name="Lien hypertexte" xfId="18711" builtinId="8" hidden="1"/>
    <cellStyle name="Lien hypertexte" xfId="452" builtinId="8" hidden="1"/>
    <cellStyle name="Lien hypertexte" xfId="22827" builtinId="8" hidden="1"/>
    <cellStyle name="Lien hypertexte" xfId="20299" builtinId="8" hidden="1"/>
    <cellStyle name="Lien hypertexte" xfId="19375" builtinId="8" hidden="1"/>
    <cellStyle name="Lien hypertexte" xfId="21335" builtinId="8" hidden="1"/>
    <cellStyle name="Lien hypertexte" xfId="23897" builtinId="8" hidden="1"/>
    <cellStyle name="Lien hypertexte" xfId="17948" builtinId="8" hidden="1"/>
    <cellStyle name="Lien hypertexte" xfId="15348" builtinId="8" hidden="1"/>
    <cellStyle name="Lien hypertexte" xfId="17270" builtinId="8" hidden="1"/>
    <cellStyle name="Lien hypertexte" xfId="16204" builtinId="8" hidden="1"/>
    <cellStyle name="Lien hypertexte" xfId="18719" builtinId="8" hidden="1"/>
    <cellStyle name="Lien hypertexte" xfId="460" builtinId="8" hidden="1"/>
    <cellStyle name="Lien hypertexte" xfId="22835" builtinId="8" hidden="1"/>
    <cellStyle name="Lien hypertexte" xfId="20307" builtinId="8" hidden="1"/>
    <cellStyle name="Lien hypertexte" xfId="19383" builtinId="8" hidden="1"/>
    <cellStyle name="Lien hypertexte" xfId="21327" builtinId="8" hidden="1"/>
    <cellStyle name="Lien hypertexte" xfId="23891" builtinId="8" hidden="1"/>
    <cellStyle name="Lien hypertexte" xfId="17998" builtinId="8" hidden="1"/>
    <cellStyle name="Lien hypertexte" xfId="15340" builtinId="8" hidden="1"/>
    <cellStyle name="Lien hypertexte" xfId="17260" builtinId="8" hidden="1"/>
    <cellStyle name="Lien hypertexte" xfId="16214" builtinId="8" hidden="1"/>
    <cellStyle name="Lien hypertexte" xfId="18727" builtinId="8" hidden="1"/>
    <cellStyle name="Lien hypertexte" xfId="466" builtinId="8" hidden="1"/>
    <cellStyle name="Lien hypertexte" xfId="22841" builtinId="8" hidden="1"/>
    <cellStyle name="Lien hypertexte" xfId="20313" builtinId="8" hidden="1"/>
    <cellStyle name="Lien hypertexte" xfId="19389" builtinId="8" hidden="1"/>
    <cellStyle name="Lien hypertexte" xfId="21321" builtinId="8" hidden="1"/>
    <cellStyle name="Lien hypertexte" xfId="23883" builtinId="8" hidden="1"/>
    <cellStyle name="Lien hypertexte" xfId="18050" builtinId="8" hidden="1"/>
    <cellStyle name="Lien hypertexte" xfId="15332" builtinId="8" hidden="1"/>
    <cellStyle name="Lien hypertexte" xfId="17254" builtinId="8" hidden="1"/>
    <cellStyle name="Lien hypertexte" xfId="16220" builtinId="8" hidden="1"/>
    <cellStyle name="Lien hypertexte" xfId="18735" builtinId="8" hidden="1"/>
    <cellStyle name="Lien hypertexte" xfId="474" builtinId="8" hidden="1"/>
    <cellStyle name="Lien hypertexte" xfId="22847" builtinId="8" hidden="1"/>
    <cellStyle name="Lien hypertexte" xfId="20319" builtinId="8" hidden="1"/>
    <cellStyle name="Lien hypertexte" xfId="19397" builtinId="8" hidden="1"/>
    <cellStyle name="Lien hypertexte" xfId="21315" builtinId="8" hidden="1"/>
    <cellStyle name="Lien hypertexte" xfId="23875" builtinId="8" hidden="1"/>
    <cellStyle name="Lien hypertexte" xfId="18102" builtinId="8" hidden="1"/>
    <cellStyle name="Lien hypertexte" xfId="15326" builtinId="8" hidden="1"/>
    <cellStyle name="Lien hypertexte" xfId="17246" builtinId="8" hidden="1"/>
    <cellStyle name="Lien hypertexte" xfId="16228" builtinId="8" hidden="1"/>
    <cellStyle name="Lien hypertexte" xfId="18741" builtinId="8" hidden="1"/>
    <cellStyle name="Lien hypertexte" xfId="480" builtinId="8" hidden="1"/>
    <cellStyle name="Lien hypertexte" xfId="22855" builtinId="8" hidden="1"/>
    <cellStyle name="Lien hypertexte" xfId="20327" builtinId="8" hidden="1"/>
    <cellStyle name="Lien hypertexte" xfId="19403" builtinId="8" hidden="1"/>
    <cellStyle name="Lien hypertexte" xfId="21307" builtinId="8" hidden="1"/>
    <cellStyle name="Lien hypertexte" xfId="23867" builtinId="8" hidden="1"/>
    <cellStyle name="Lien hypertexte" xfId="18152" builtinId="8" hidden="1"/>
    <cellStyle name="Lien hypertexte" xfId="15318" builtinId="8" hidden="1"/>
    <cellStyle name="Lien hypertexte" xfId="17240" builtinId="8" hidden="1"/>
    <cellStyle name="Lien hypertexte" xfId="16234" builtinId="8" hidden="1"/>
    <cellStyle name="Lien hypertexte" xfId="18747" builtinId="8" hidden="1"/>
    <cellStyle name="Lien hypertexte" xfId="488" builtinId="8" hidden="1"/>
    <cellStyle name="Lien hypertexte" xfId="22863" builtinId="8" hidden="1"/>
    <cellStyle name="Lien hypertexte" xfId="20335" builtinId="8" hidden="1"/>
    <cellStyle name="Lien hypertexte" xfId="19411" builtinId="8" hidden="1"/>
    <cellStyle name="Lien hypertexte" xfId="21301" builtinId="8" hidden="1"/>
    <cellStyle name="Lien hypertexte" xfId="23861" builtinId="8" hidden="1"/>
    <cellStyle name="Lien hypertexte" xfId="18204" builtinId="8" hidden="1"/>
    <cellStyle name="Lien hypertexte" xfId="15312" builtinId="8" hidden="1"/>
    <cellStyle name="Lien hypertexte" xfId="17234" builtinId="8" hidden="1"/>
    <cellStyle name="Lien hypertexte" xfId="16244" builtinId="8" hidden="1"/>
    <cellStyle name="Lien hypertexte" xfId="18757" builtinId="8" hidden="1"/>
    <cellStyle name="Lien hypertexte" xfId="494" builtinId="8" hidden="1"/>
    <cellStyle name="Lien hypertexte" xfId="22871" builtinId="8" hidden="1"/>
    <cellStyle name="Lien hypertexte" xfId="20343" builtinId="8" hidden="1"/>
    <cellStyle name="Lien hypertexte" xfId="19417" builtinId="8" hidden="1"/>
    <cellStyle name="Lien hypertexte" xfId="21293" builtinId="8" hidden="1"/>
    <cellStyle name="Lien hypertexte" xfId="23853" builtinId="8" hidden="1"/>
    <cellStyle name="Lien hypertexte" xfId="18254" builtinId="8" hidden="1"/>
    <cellStyle name="Lien hypertexte" xfId="15304" builtinId="8" hidden="1"/>
    <cellStyle name="Lien hypertexte" xfId="17224" builtinId="8" hidden="1"/>
    <cellStyle name="Lien hypertexte" xfId="16758" builtinId="8" hidden="1"/>
    <cellStyle name="Lien hypertexte" xfId="18763" builtinId="8" hidden="1"/>
    <cellStyle name="Lien hypertexte" xfId="502" builtinId="8" hidden="1"/>
    <cellStyle name="Lien hypertexte" xfId="22877" builtinId="8" hidden="1"/>
    <cellStyle name="Lien hypertexte" xfId="20349" builtinId="8" hidden="1"/>
    <cellStyle name="Lien hypertexte" xfId="19423" builtinId="8" hidden="1"/>
    <cellStyle name="Lien hypertexte" xfId="21287" builtinId="8" hidden="1"/>
    <cellStyle name="Lien hypertexte" xfId="23847" builtinId="8" hidden="1"/>
    <cellStyle name="Lien hypertexte" xfId="18306" builtinId="8" hidden="1"/>
    <cellStyle name="Lien hypertexte" xfId="15298" builtinId="8" hidden="1"/>
    <cellStyle name="Lien hypertexte" xfId="17218" builtinId="8" hidden="1"/>
    <cellStyle name="Lien hypertexte" xfId="16256" builtinId="8" hidden="1"/>
    <cellStyle name="Lien hypertexte" xfId="18771" builtinId="8" hidden="1"/>
    <cellStyle name="Lien hypertexte" xfId="508" builtinId="8" hidden="1"/>
    <cellStyle name="Lien hypertexte" xfId="22885" builtinId="8" hidden="1"/>
    <cellStyle name="Lien hypertexte" xfId="20357" builtinId="8" hidden="1"/>
    <cellStyle name="Lien hypertexte" xfId="19431" builtinId="8" hidden="1"/>
    <cellStyle name="Lien hypertexte" xfId="21277" builtinId="8" hidden="1"/>
    <cellStyle name="Lien hypertexte" xfId="23837" builtinId="8" hidden="1"/>
    <cellStyle name="Lien hypertexte" xfId="18375" builtinId="8" hidden="1"/>
    <cellStyle name="Lien hypertexte" xfId="15292" builtinId="8" hidden="1"/>
    <cellStyle name="Lien hypertexte" xfId="17210" builtinId="8" hidden="1"/>
    <cellStyle name="Lien hypertexte" xfId="16264" builtinId="8" hidden="1"/>
    <cellStyle name="Lien hypertexte" xfId="18777" builtinId="8" hidden="1"/>
    <cellStyle name="Lien hypertexte" xfId="514" builtinId="8" hidden="1"/>
    <cellStyle name="Lien hypertexte" xfId="22891" builtinId="8" hidden="1"/>
    <cellStyle name="Lien hypertexte" xfId="20363" builtinId="8" hidden="1"/>
    <cellStyle name="Lien hypertexte" xfId="19437" builtinId="8" hidden="1"/>
    <cellStyle name="Lien hypertexte" xfId="21271" builtinId="8" hidden="1"/>
    <cellStyle name="Lien hypertexte" xfId="23831" builtinId="8" hidden="1"/>
    <cellStyle name="Lien hypertexte" xfId="18425" builtinId="8" hidden="1"/>
    <cellStyle name="Lien hypertexte" xfId="15284" builtinId="8" hidden="1"/>
    <cellStyle name="Lien hypertexte" xfId="17204" builtinId="8" hidden="1"/>
    <cellStyle name="Lien hypertexte" xfId="16270" builtinId="8" hidden="1"/>
    <cellStyle name="Lien hypertexte" xfId="18787" builtinId="8" hidden="1"/>
    <cellStyle name="Lien hypertexte" xfId="522" builtinId="8" hidden="1"/>
    <cellStyle name="Lien hypertexte" xfId="22901" builtinId="8" hidden="1"/>
    <cellStyle name="Lien hypertexte" xfId="20371" builtinId="8" hidden="1"/>
    <cellStyle name="Lien hypertexte" xfId="19445" builtinId="8" hidden="1"/>
    <cellStyle name="Lien hypertexte" xfId="21263" builtinId="8" hidden="1"/>
    <cellStyle name="Lien hypertexte" xfId="23823" builtinId="8" hidden="1"/>
    <cellStyle name="Lien hypertexte" xfId="18477" builtinId="8" hidden="1"/>
    <cellStyle name="Lien hypertexte" xfId="15276" builtinId="8" hidden="1"/>
    <cellStyle name="Lien hypertexte" xfId="17194" builtinId="8" hidden="1"/>
    <cellStyle name="Lien hypertexte" xfId="16280" builtinId="8" hidden="1"/>
    <cellStyle name="Lien hypertexte" xfId="18793" builtinId="8" hidden="1"/>
    <cellStyle name="Lien hypertexte" xfId="528" builtinId="8" hidden="1"/>
    <cellStyle name="Lien hypertexte" xfId="22907" builtinId="8" hidden="1"/>
    <cellStyle name="Lien hypertexte" xfId="20377" builtinId="8" hidden="1"/>
    <cellStyle name="Lien hypertexte" xfId="19451" builtinId="8" hidden="1"/>
    <cellStyle name="Lien hypertexte" xfId="21257" builtinId="8" hidden="1"/>
    <cellStyle name="Lien hypertexte" xfId="23817" builtinId="8" hidden="1"/>
    <cellStyle name="Lien hypertexte" xfId="18527" builtinId="8" hidden="1"/>
    <cellStyle name="Lien hypertexte" xfId="15268" builtinId="8" hidden="1"/>
    <cellStyle name="Lien hypertexte" xfId="17188" builtinId="8" hidden="1"/>
    <cellStyle name="Lien hypertexte" xfId="16286" builtinId="8" hidden="1"/>
    <cellStyle name="Lien hypertexte" xfId="18799" builtinId="8" hidden="1"/>
    <cellStyle name="Lien hypertexte" xfId="536" builtinId="8" hidden="1"/>
    <cellStyle name="Lien hypertexte" xfId="22915" builtinId="8" hidden="1"/>
    <cellStyle name="Lien hypertexte" xfId="20383" builtinId="8" hidden="1"/>
    <cellStyle name="Lien hypertexte" xfId="19459" builtinId="8" hidden="1"/>
    <cellStyle name="Lien hypertexte" xfId="21251" builtinId="8" hidden="1"/>
    <cellStyle name="Lien hypertexte" xfId="23811" builtinId="8" hidden="1"/>
    <cellStyle name="Lien hypertexte" xfId="18579" builtinId="8" hidden="1"/>
    <cellStyle name="Lien hypertexte" xfId="15262" builtinId="8" hidden="1"/>
    <cellStyle name="Lien hypertexte" xfId="17182" builtinId="8" hidden="1"/>
    <cellStyle name="Lien hypertexte" xfId="16294" builtinId="8" hidden="1"/>
    <cellStyle name="Lien hypertexte" xfId="18807" builtinId="8" hidden="1"/>
    <cellStyle name="Lien hypertexte" xfId="542" builtinId="8" hidden="1"/>
    <cellStyle name="Lien hypertexte" xfId="22921" builtinId="8" hidden="1"/>
    <cellStyle name="Lien hypertexte" xfId="20391" builtinId="8" hidden="1"/>
    <cellStyle name="Lien hypertexte" xfId="19465" builtinId="8" hidden="1"/>
    <cellStyle name="Lien hypertexte" xfId="21243" builtinId="8" hidden="1"/>
    <cellStyle name="Lien hypertexte" xfId="23801" builtinId="8" hidden="1"/>
    <cellStyle name="Lien hypertexte" xfId="18631" builtinId="8" hidden="1"/>
    <cellStyle name="Lien hypertexte" xfId="15254" builtinId="8" hidden="1"/>
    <cellStyle name="Lien hypertexte" xfId="17174" builtinId="8" hidden="1"/>
    <cellStyle name="Lien hypertexte" xfId="16300" builtinId="8" hidden="1"/>
    <cellStyle name="Lien hypertexte" xfId="18813" builtinId="8" hidden="1"/>
    <cellStyle name="Lien hypertexte" xfId="550" builtinId="8" hidden="1"/>
    <cellStyle name="Lien hypertexte" xfId="22927" builtinId="8" hidden="1"/>
    <cellStyle name="Lien hypertexte" xfId="20397" builtinId="8" hidden="1"/>
    <cellStyle name="Lien hypertexte" xfId="19471" builtinId="8" hidden="1"/>
    <cellStyle name="Lien hypertexte" xfId="21237" builtinId="8" hidden="1"/>
    <cellStyle name="Lien hypertexte" xfId="23795" builtinId="8" hidden="1"/>
    <cellStyle name="Lien hypertexte" xfId="18681" builtinId="8" hidden="1"/>
    <cellStyle name="Lien hypertexte" xfId="15248" builtinId="8" hidden="1"/>
    <cellStyle name="Lien hypertexte" xfId="17908" builtinId="8" hidden="1"/>
    <cellStyle name="Lien hypertexte" xfId="17050" builtinId="8" hidden="1"/>
    <cellStyle name="Lien hypertexte" xfId="18823" builtinId="8" hidden="1"/>
    <cellStyle name="Lien hypertexte" xfId="556" builtinId="8" hidden="1"/>
    <cellStyle name="Lien hypertexte" xfId="22937" builtinId="8" hidden="1"/>
    <cellStyle name="Lien hypertexte" xfId="20405" builtinId="8" hidden="1"/>
    <cellStyle name="Lien hypertexte" xfId="19479" builtinId="8" hidden="1"/>
    <cellStyle name="Lien hypertexte" xfId="21229" builtinId="8" hidden="1"/>
    <cellStyle name="Lien hypertexte" xfId="23787" builtinId="8" hidden="1"/>
    <cellStyle name="Lien hypertexte" xfId="18733" builtinId="8" hidden="1"/>
    <cellStyle name="Lien hypertexte" xfId="15242" builtinId="8" hidden="1"/>
    <cellStyle name="Lien hypertexte" xfId="17158" builtinId="8" hidden="1"/>
    <cellStyle name="Lien hypertexte" xfId="16316" builtinId="8" hidden="1"/>
    <cellStyle name="Lien hypertexte" xfId="18829" builtinId="8" hidden="1"/>
    <cellStyle name="Lien hypertexte" xfId="562" builtinId="8" hidden="1"/>
    <cellStyle name="Lien hypertexte" xfId="22943" builtinId="8" hidden="1"/>
    <cellStyle name="Lien hypertexte" xfId="20413" builtinId="8" hidden="1"/>
    <cellStyle name="Lien hypertexte" xfId="19485" builtinId="8" hidden="1"/>
    <cellStyle name="Lien hypertexte" xfId="21223" builtinId="8" hidden="1"/>
    <cellStyle name="Lien hypertexte" xfId="23781" builtinId="8" hidden="1"/>
    <cellStyle name="Lien hypertexte" xfId="18783" builtinId="8" hidden="1"/>
    <cellStyle name="Lien hypertexte" xfId="15234" builtinId="8" hidden="1"/>
    <cellStyle name="Lien hypertexte" xfId="17152" builtinId="8" hidden="1"/>
    <cellStyle name="Lien hypertexte" xfId="16322" builtinId="8" hidden="1"/>
    <cellStyle name="Lien hypertexte" xfId="18837" builtinId="8" hidden="1"/>
    <cellStyle name="Lien hypertexte" xfId="570" builtinId="8" hidden="1"/>
    <cellStyle name="Lien hypertexte" xfId="22951" builtinId="8" hidden="1"/>
    <cellStyle name="Lien hypertexte" xfId="20421" builtinId="8" hidden="1"/>
    <cellStyle name="Lien hypertexte" xfId="19493" builtinId="8" hidden="1"/>
    <cellStyle name="Lien hypertexte" xfId="21215" builtinId="8" hidden="1"/>
    <cellStyle name="Lien hypertexte" xfId="23773" builtinId="8" hidden="1"/>
    <cellStyle name="Lien hypertexte" xfId="18835" builtinId="8" hidden="1"/>
    <cellStyle name="Lien hypertexte" xfId="15228" builtinId="8" hidden="1"/>
    <cellStyle name="Lien hypertexte" xfId="17144" builtinId="8" hidden="1"/>
    <cellStyle name="Lien hypertexte" xfId="16330" builtinId="8" hidden="1"/>
    <cellStyle name="Lien hypertexte" xfId="18843" builtinId="8" hidden="1"/>
    <cellStyle name="Lien hypertexte" xfId="576" builtinId="8" hidden="1"/>
    <cellStyle name="Lien hypertexte" xfId="22957" builtinId="8" hidden="1"/>
    <cellStyle name="Lien hypertexte" xfId="20427" builtinId="8" hidden="1"/>
    <cellStyle name="Lien hypertexte" xfId="19499" builtinId="8" hidden="1"/>
    <cellStyle name="Lien hypertexte" xfId="21207" builtinId="8" hidden="1"/>
    <cellStyle name="Lien hypertexte" xfId="23765" builtinId="8" hidden="1"/>
    <cellStyle name="Lien hypertexte" xfId="18224" builtinId="8" hidden="1"/>
    <cellStyle name="Lien hypertexte" xfId="15220" builtinId="8" hidden="1"/>
    <cellStyle name="Lien hypertexte" xfId="17138" builtinId="8" hidden="1"/>
    <cellStyle name="Lien hypertexte" xfId="16338" builtinId="8" hidden="1"/>
    <cellStyle name="Lien hypertexte" xfId="18785" builtinId="8" hidden="1"/>
    <cellStyle name="Lien hypertexte" xfId="584" builtinId="8" hidden="1"/>
    <cellStyle name="Lien hypertexte" xfId="22965" builtinId="8" hidden="1"/>
    <cellStyle name="Lien hypertexte" xfId="20435" builtinId="8" hidden="1"/>
    <cellStyle name="Lien hypertexte" xfId="19507" builtinId="8" hidden="1"/>
    <cellStyle name="Lien hypertexte" xfId="21199" builtinId="8" hidden="1"/>
    <cellStyle name="Lien hypertexte" xfId="23757" builtinId="8" hidden="1"/>
    <cellStyle name="Lien hypertexte" xfId="17456" builtinId="8" hidden="1"/>
    <cellStyle name="Lien hypertexte" xfId="15212" builtinId="8" hidden="1"/>
    <cellStyle name="Lien hypertexte" xfId="17130" builtinId="8" hidden="1"/>
    <cellStyle name="Lien hypertexte" xfId="16346" builtinId="8" hidden="1"/>
    <cellStyle name="Lien hypertexte" xfId="18657" builtinId="8" hidden="1"/>
    <cellStyle name="Lien hypertexte" xfId="590" builtinId="8" hidden="1"/>
    <cellStyle name="Lien hypertexte" xfId="22973" builtinId="8" hidden="1"/>
    <cellStyle name="Lien hypertexte" xfId="20441" builtinId="8" hidden="1"/>
    <cellStyle name="Lien hypertexte" xfId="19513" builtinId="8" hidden="1"/>
    <cellStyle name="Lien hypertexte" xfId="21193" builtinId="8" hidden="1"/>
    <cellStyle name="Lien hypertexte" xfId="23751" builtinId="8" hidden="1"/>
    <cellStyle name="Lien hypertexte" xfId="16688" builtinId="8" hidden="1"/>
    <cellStyle name="Lien hypertexte" xfId="15204" builtinId="8" hidden="1"/>
    <cellStyle name="Lien hypertexte" xfId="17122" builtinId="8" hidden="1"/>
    <cellStyle name="Lien hypertexte" xfId="16352" builtinId="8" hidden="1"/>
    <cellStyle name="Lien hypertexte" xfId="18561" builtinId="8" hidden="1"/>
    <cellStyle name="Lien hypertexte" xfId="598" builtinId="8" hidden="1"/>
    <cellStyle name="Lien hypertexte" xfId="22981" builtinId="8" hidden="1"/>
    <cellStyle name="Lien hypertexte" xfId="20447" builtinId="8" hidden="1"/>
    <cellStyle name="Lien hypertexte" xfId="19519" builtinId="8" hidden="1"/>
    <cellStyle name="Lien hypertexte" xfId="21187" builtinId="8" hidden="1"/>
    <cellStyle name="Lien hypertexte" xfId="23743" builtinId="8" hidden="1"/>
    <cellStyle name="Lien hypertexte" xfId="14628" builtinId="8" hidden="1"/>
    <cellStyle name="Lien hypertexte" xfId="15198" builtinId="8" hidden="1"/>
    <cellStyle name="Lien hypertexte" xfId="17116" builtinId="8" hidden="1"/>
    <cellStyle name="Lien hypertexte" xfId="16358" builtinId="8" hidden="1"/>
    <cellStyle name="Lien hypertexte" xfId="18433" builtinId="8" hidden="1"/>
    <cellStyle name="Lien hypertexte" xfId="604" builtinId="8" hidden="1"/>
    <cellStyle name="Lien hypertexte" xfId="22987" builtinId="8" hidden="1"/>
    <cellStyle name="Lien hypertexte" xfId="20455" builtinId="8" hidden="1"/>
    <cellStyle name="Lien hypertexte" xfId="19527" builtinId="8" hidden="1"/>
    <cellStyle name="Lien hypertexte" xfId="21179" builtinId="8" hidden="1"/>
    <cellStyle name="Lien hypertexte" xfId="23737" builtinId="8" hidden="1"/>
    <cellStyle name="Lien hypertexte" xfId="14678" builtinId="8" hidden="1"/>
    <cellStyle name="Lien hypertexte" xfId="15192" builtinId="8" hidden="1"/>
    <cellStyle name="Lien hypertexte" xfId="17108" builtinId="8" hidden="1"/>
    <cellStyle name="Lien hypertexte" xfId="16678" builtinId="8" hidden="1"/>
    <cellStyle name="Lien hypertexte" xfId="18337" builtinId="8" hidden="1"/>
    <cellStyle name="Lien hypertexte" xfId="610" builtinId="8" hidden="1"/>
    <cellStyle name="Lien hypertexte" xfId="22995" builtinId="8" hidden="1"/>
    <cellStyle name="Lien hypertexte" xfId="20461" builtinId="8" hidden="1"/>
    <cellStyle name="Lien hypertexte" xfId="19533" builtinId="8" hidden="1"/>
    <cellStyle name="Lien hypertexte" xfId="21173" builtinId="8" hidden="1"/>
    <cellStyle name="Lien hypertexte" xfId="23727" builtinId="8" hidden="1"/>
    <cellStyle name="Lien hypertexte" xfId="14728" builtinId="8" hidden="1"/>
    <cellStyle name="Lien hypertexte" xfId="15184" builtinId="8" hidden="1"/>
    <cellStyle name="Lien hypertexte" xfId="17100" builtinId="8" hidden="1"/>
    <cellStyle name="Lien hypertexte" xfId="16374" builtinId="8" hidden="1"/>
    <cellStyle name="Lien hypertexte" xfId="18192" builtinId="8" hidden="1"/>
    <cellStyle name="Lien hypertexte" xfId="618" builtinId="8" hidden="1"/>
    <cellStyle name="Lien hypertexte" xfId="23001" builtinId="8" hidden="1"/>
    <cellStyle name="Lien hypertexte" xfId="20469" builtinId="8" hidden="1"/>
    <cellStyle name="Lien hypertexte" xfId="19019" builtinId="8" hidden="1"/>
    <cellStyle name="Lien hypertexte" xfId="21165" builtinId="8" hidden="1"/>
    <cellStyle name="Lien hypertexte" xfId="23721" builtinId="8" hidden="1"/>
    <cellStyle name="Lien hypertexte" xfId="14778" builtinId="8" hidden="1"/>
    <cellStyle name="Lien hypertexte" xfId="15178" builtinId="8" hidden="1"/>
    <cellStyle name="Lien hypertexte" xfId="17092" builtinId="8" hidden="1"/>
    <cellStyle name="Lien hypertexte" xfId="16382" builtinId="8" hidden="1"/>
    <cellStyle name="Lien hypertexte" xfId="18096" builtinId="8" hidden="1"/>
    <cellStyle name="Lien hypertexte" xfId="624" builtinId="8" hidden="1"/>
    <cellStyle name="Lien hypertexte" xfId="23011" builtinId="8" hidden="1"/>
    <cellStyle name="Lien hypertexte" xfId="20475" builtinId="8" hidden="1"/>
    <cellStyle name="Lien hypertexte" xfId="19027" builtinId="8" hidden="1"/>
    <cellStyle name="Lien hypertexte" xfId="21159" builtinId="8" hidden="1"/>
    <cellStyle name="Lien hypertexte" xfId="23715" builtinId="8" hidden="1"/>
    <cellStyle name="Lien hypertexte" xfId="14826" builtinId="8" hidden="1"/>
    <cellStyle name="Lien hypertexte" xfId="15170" builtinId="8" hidden="1"/>
    <cellStyle name="Lien hypertexte" xfId="17086" builtinId="8" hidden="1"/>
    <cellStyle name="Lien hypertexte" xfId="16388" builtinId="8" hidden="1"/>
    <cellStyle name="Lien hypertexte" xfId="18000" builtinId="8" hidden="1"/>
    <cellStyle name="Lien hypertexte" xfId="632" builtinId="8" hidden="1"/>
    <cellStyle name="Lien hypertexte" xfId="23017" builtinId="8" hidden="1"/>
    <cellStyle name="Lien hypertexte" xfId="20485" builtinId="8" hidden="1"/>
    <cellStyle name="Lien hypertexte" xfId="19033" builtinId="8" hidden="1"/>
    <cellStyle name="Lien hypertexte" xfId="21151" builtinId="8" hidden="1"/>
    <cellStyle name="Lien hypertexte" xfId="23707" builtinId="8" hidden="1"/>
    <cellStyle name="Lien hypertexte" xfId="14876" builtinId="8" hidden="1"/>
    <cellStyle name="Lien hypertexte" xfId="15164" builtinId="8" hidden="1"/>
    <cellStyle name="Lien hypertexte" xfId="17080" builtinId="8" hidden="1"/>
    <cellStyle name="Lien hypertexte" xfId="16396" builtinId="8" hidden="1"/>
    <cellStyle name="Lien hypertexte" xfId="17872" builtinId="8" hidden="1"/>
    <cellStyle name="Lien hypertexte" xfId="638" builtinId="8" hidden="1"/>
    <cellStyle name="Lien hypertexte" xfId="23023" builtinId="8" hidden="1"/>
    <cellStyle name="Lien hypertexte" xfId="20491" builtinId="8" hidden="1"/>
    <cellStyle name="Lien hypertexte" xfId="19039" builtinId="8" hidden="1"/>
    <cellStyle name="Lien hypertexte" xfId="21145" builtinId="8" hidden="1"/>
    <cellStyle name="Lien hypertexte" xfId="23701" builtinId="8" hidden="1"/>
    <cellStyle name="Lien hypertexte" xfId="14926" builtinId="8" hidden="1"/>
    <cellStyle name="Lien hypertexte" xfId="15156" builtinId="8" hidden="1"/>
    <cellStyle name="Lien hypertexte" xfId="17070" builtinId="8" hidden="1"/>
    <cellStyle name="Lien hypertexte" xfId="16404" builtinId="8" hidden="1"/>
    <cellStyle name="Lien hypertexte" xfId="17776" builtinId="8" hidden="1"/>
    <cellStyle name="Lien hypertexte" xfId="646" builtinId="8" hidden="1"/>
    <cellStyle name="Lien hypertexte" xfId="23031" builtinId="8" hidden="1"/>
    <cellStyle name="Lien hypertexte" xfId="20499" builtinId="8" hidden="1"/>
    <cellStyle name="Lien hypertexte" xfId="19047" builtinId="8" hidden="1"/>
    <cellStyle name="Lien hypertexte" xfId="21135" builtinId="8" hidden="1"/>
    <cellStyle name="Lien hypertexte" xfId="23691" builtinId="8" hidden="1"/>
    <cellStyle name="Lien hypertexte" xfId="14976" builtinId="8" hidden="1"/>
    <cellStyle name="Lien hypertexte" xfId="15148" builtinId="8" hidden="1"/>
    <cellStyle name="Lien hypertexte" xfId="17064" builtinId="8" hidden="1"/>
    <cellStyle name="Lien hypertexte" xfId="16410" builtinId="8" hidden="1"/>
    <cellStyle name="Lien hypertexte" xfId="17648" builtinId="8" hidden="1"/>
    <cellStyle name="Lien hypertexte" xfId="454" builtinId="8" hidden="1"/>
    <cellStyle name="Lien hypertexte" xfId="23037" builtinId="8" hidden="1"/>
    <cellStyle name="Lien hypertexte" xfId="20505" builtinId="8" hidden="1"/>
    <cellStyle name="Lien hypertexte" xfId="19053" builtinId="8" hidden="1"/>
    <cellStyle name="Lien hypertexte" xfId="21129" builtinId="8" hidden="1"/>
    <cellStyle name="Lien hypertexte" xfId="23685" builtinId="8" hidden="1"/>
    <cellStyle name="Lien hypertexte" xfId="15026" builtinId="8" hidden="1"/>
    <cellStyle name="Lien hypertexte" xfId="15142" builtinId="8" hidden="1"/>
    <cellStyle name="Lien hypertexte" xfId="17056" builtinId="8" hidden="1"/>
    <cellStyle name="Lien hypertexte" xfId="16418" builtinId="8" hidden="1"/>
    <cellStyle name="Lien hypertexte" xfId="17552" builtinId="8" hidden="1"/>
    <cellStyle name="Lien hypertexte" xfId="202" builtinId="8" hidden="1"/>
    <cellStyle name="Lien hypertexte" xfId="21417" builtinId="8" hidden="1"/>
    <cellStyle name="Lien hypertexte" xfId="24605" builtinId="8" hidden="1"/>
    <cellStyle name="Lien hypertexte" xfId="23047" builtinId="8" hidden="1"/>
    <cellStyle name="Lien hypertexte" xfId="17350" builtinId="8" hidden="1"/>
    <cellStyle name="Lien hypertexte" xfId="23671" builtinId="8" hidden="1"/>
    <cellStyle name="Lien hypertexte" xfId="19771" builtinId="8" hidden="1"/>
    <cellStyle name="Lien hypertexte" xfId="18851" builtinId="8" hidden="1"/>
    <cellStyle name="Lien hypertexte" xfId="21423" builtinId="8" hidden="1"/>
    <cellStyle name="Lien hypertexte" xfId="20821" builtinId="8" hidden="1"/>
    <cellStyle name="Lien hypertexte" xfId="19061" builtinId="8" hidden="1"/>
    <cellStyle name="Lien hypertexte" xfId="20069" builtinId="8" hidden="1"/>
    <cellStyle name="Lien hypertexte" xfId="22465" builtinId="8" hidden="1"/>
    <cellStyle name="Lien hypertexte" xfId="52" builtinId="8" hidden="1"/>
    <cellStyle name="Lien hypertexte" xfId="22733" builtinId="8" hidden="1"/>
    <cellStyle name="Lien hypertexte" xfId="24295" builtinId="8" hidden="1"/>
    <cellStyle name="Lien hypertexte" xfId="20813" builtinId="8" hidden="1"/>
    <cellStyle name="Lien hypertexte" xfId="19287" builtinId="8" hidden="1"/>
    <cellStyle name="Lien hypertexte" xfId="15128" builtinId="8" hidden="1"/>
    <cellStyle name="Lien hypertexte" xfId="17042" builtinId="8" hidden="1"/>
    <cellStyle name="Lien hypertexte" xfId="16434" builtinId="8" hidden="1"/>
    <cellStyle name="Lien hypertexte" xfId="17328" builtinId="8" hidden="1"/>
    <cellStyle name="Lien hypertexte" xfId="216" builtinId="8" hidden="1"/>
    <cellStyle name="Lien hypertexte" xfId="23061" builtinId="8" hidden="1"/>
    <cellStyle name="Lien hypertexte" xfId="20525" builtinId="8" hidden="1"/>
    <cellStyle name="Lien hypertexte" xfId="19075" builtinId="8" hidden="1"/>
    <cellStyle name="Lien hypertexte" xfId="21109" builtinId="8" hidden="1"/>
    <cellStyle name="Lien hypertexte" xfId="23663" builtinId="8" hidden="1"/>
    <cellStyle name="Lien hypertexte" xfId="15174" builtinId="8" hidden="1"/>
    <cellStyle name="Lien hypertexte" xfId="15120" builtinId="8" hidden="1"/>
    <cellStyle name="Lien hypertexte" xfId="17034" builtinId="8" hidden="1"/>
    <cellStyle name="Lien hypertexte" xfId="16440" builtinId="8" hidden="1"/>
    <cellStyle name="Lien hypertexte" xfId="17232" builtinId="8" hidden="1"/>
    <cellStyle name="Lien hypertexte" xfId="224" builtinId="8" hidden="1"/>
    <cellStyle name="Lien hypertexte" xfId="23067" builtinId="8" hidden="1"/>
    <cellStyle name="Lien hypertexte" xfId="20533" builtinId="8" hidden="1"/>
    <cellStyle name="Lien hypertexte" xfId="19081" builtinId="8" hidden="1"/>
    <cellStyle name="Lien hypertexte" xfId="21101" builtinId="8" hidden="1"/>
    <cellStyle name="Lien hypertexte" xfId="23655" builtinId="8" hidden="1"/>
    <cellStyle name="Lien hypertexte" xfId="15224" builtinId="8" hidden="1"/>
    <cellStyle name="Lien hypertexte" xfId="15114" builtinId="8" hidden="1"/>
    <cellStyle name="Lien hypertexte" xfId="17028" builtinId="8" hidden="1"/>
    <cellStyle name="Lien hypertexte" xfId="16448" builtinId="8" hidden="1"/>
    <cellStyle name="Lien hypertexte" xfId="17104" builtinId="8" hidden="1"/>
    <cellStyle name="Lien hypertexte" xfId="230" builtinId="8" hidden="1"/>
    <cellStyle name="Lien hypertexte" xfId="23075" builtinId="8" hidden="1"/>
    <cellStyle name="Lien hypertexte" xfId="20539" builtinId="8" hidden="1"/>
    <cellStyle name="Lien hypertexte" xfId="19087" builtinId="8" hidden="1"/>
    <cellStyle name="Lien hypertexte" xfId="21095" builtinId="8" hidden="1"/>
    <cellStyle name="Lien hypertexte" xfId="23647" builtinId="8" hidden="1"/>
    <cellStyle name="Lien hypertexte" xfId="15272" builtinId="8" hidden="1"/>
    <cellStyle name="Lien hypertexte" xfId="15106" builtinId="8" hidden="1"/>
    <cellStyle name="Lien hypertexte" xfId="17020" builtinId="8" hidden="1"/>
    <cellStyle name="Lien hypertexte" xfId="16454" builtinId="8" hidden="1"/>
    <cellStyle name="Lien hypertexte" xfId="17008" builtinId="8" hidden="1"/>
    <cellStyle name="Lien hypertexte" xfId="238" builtinId="8" hidden="1"/>
    <cellStyle name="Lien hypertexte" xfId="23083" builtinId="8" hidden="1"/>
    <cellStyle name="Lien hypertexte" xfId="20547" builtinId="8" hidden="1"/>
    <cellStyle name="Lien hypertexte" xfId="19095" builtinId="8" hidden="1"/>
    <cellStyle name="Lien hypertexte" xfId="21087" builtinId="8" hidden="1"/>
    <cellStyle name="Lien hypertexte" xfId="23641" builtinId="8" hidden="1"/>
    <cellStyle name="Lien hypertexte" xfId="15322" builtinId="8" hidden="1"/>
    <cellStyle name="Lien hypertexte" xfId="15100" builtinId="8" hidden="1"/>
    <cellStyle name="Lien hypertexte" xfId="17014" builtinId="8" hidden="1"/>
    <cellStyle name="Lien hypertexte" xfId="16460" builtinId="8" hidden="1"/>
    <cellStyle name="Lien hypertexte" xfId="16880" builtinId="8" hidden="1"/>
    <cellStyle name="Lien hypertexte" xfId="244" builtinId="8" hidden="1"/>
    <cellStyle name="Lien hypertexte" xfId="23091" builtinId="8" hidden="1"/>
    <cellStyle name="Lien hypertexte" xfId="20555" builtinId="8" hidden="1"/>
    <cellStyle name="Lien hypertexte" xfId="19101" builtinId="8" hidden="1"/>
    <cellStyle name="Lien hypertexte" xfId="21081" builtinId="8" hidden="1"/>
    <cellStyle name="Lien hypertexte" xfId="23635" builtinId="8" hidden="1"/>
    <cellStyle name="Lien hypertexte" xfId="15372" builtinId="8" hidden="1"/>
    <cellStyle name="Lien hypertexte" xfId="15094" builtinId="8" hidden="1"/>
    <cellStyle name="Lien hypertexte" xfId="17004" builtinId="8" hidden="1"/>
    <cellStyle name="Lien hypertexte" xfId="16470" builtinId="8" hidden="1"/>
    <cellStyle name="Lien hypertexte" xfId="16784" builtinId="8" hidden="1"/>
    <cellStyle name="Lien hypertexte" xfId="250" builtinId="8" hidden="1"/>
    <cellStyle name="Lien hypertexte" xfId="23097" builtinId="8" hidden="1"/>
    <cellStyle name="Lien hypertexte" xfId="20563" builtinId="8" hidden="1"/>
    <cellStyle name="Lien hypertexte" xfId="19109" builtinId="8" hidden="1"/>
    <cellStyle name="Lien hypertexte" xfId="21075" builtinId="8" hidden="1"/>
    <cellStyle name="Lien hypertexte" xfId="23627" builtinId="8" hidden="1"/>
    <cellStyle name="Lien hypertexte" xfId="15422" builtinId="8" hidden="1"/>
    <cellStyle name="Lien hypertexte" xfId="15084" builtinId="8" hidden="1"/>
    <cellStyle name="Lien hypertexte" xfId="16998" builtinId="8" hidden="1"/>
    <cellStyle name="Lien hypertexte" xfId="16476" builtinId="8" hidden="1"/>
    <cellStyle name="Lien hypertexte" xfId="16656" builtinId="8" hidden="1"/>
    <cellStyle name="Lien hypertexte" xfId="258" builtinId="8" hidden="1"/>
    <cellStyle name="Lien hypertexte" xfId="23103" builtinId="8" hidden="1"/>
    <cellStyle name="Lien hypertexte" xfId="20569" builtinId="8" hidden="1"/>
    <cellStyle name="Lien hypertexte" xfId="19115" builtinId="8" hidden="1"/>
    <cellStyle name="Lien hypertexte" xfId="21067" builtinId="8" hidden="1"/>
    <cellStyle name="Lien hypertexte" xfId="23619" builtinId="8" hidden="1"/>
    <cellStyle name="Lien hypertexte" xfId="15470" builtinId="8" hidden="1"/>
    <cellStyle name="Lien hypertexte" xfId="15078" builtinId="8" hidden="1"/>
    <cellStyle name="Lien hypertexte" xfId="16990" builtinId="8" hidden="1"/>
    <cellStyle name="Lien hypertexte" xfId="16602" builtinId="8" hidden="1"/>
    <cellStyle name="Lien hypertexte" xfId="16560" builtinId="8" hidden="1"/>
    <cellStyle name="Lien hypertexte" xfId="264" builtinId="8" hidden="1"/>
    <cellStyle name="Lien hypertexte" xfId="23111" builtinId="8" hidden="1"/>
    <cellStyle name="Lien hypertexte" xfId="20575" builtinId="8" hidden="1"/>
    <cellStyle name="Lien hypertexte" xfId="19123" builtinId="8" hidden="1"/>
    <cellStyle name="Lien hypertexte" xfId="21059" builtinId="8" hidden="1"/>
    <cellStyle name="Lien hypertexte" xfId="23611" builtinId="8" hidden="1"/>
    <cellStyle name="Lien hypertexte" xfId="15520" builtinId="8" hidden="1"/>
    <cellStyle name="Lien hypertexte" xfId="15070" builtinId="8" hidden="1"/>
    <cellStyle name="Lien hypertexte" xfId="16984" builtinId="8" hidden="1"/>
    <cellStyle name="Lien hypertexte" xfId="16490" builtinId="8" hidden="1"/>
    <cellStyle name="Lien hypertexte" xfId="16464" builtinId="8" hidden="1"/>
    <cellStyle name="Lien hypertexte" xfId="272" builtinId="8" hidden="1"/>
    <cellStyle name="Lien hypertexte" xfId="23119" builtinId="8" hidden="1"/>
    <cellStyle name="Lien hypertexte" xfId="20583" builtinId="8" hidden="1"/>
    <cellStyle name="Lien hypertexte" xfId="19129" builtinId="8" hidden="1"/>
    <cellStyle name="Lien hypertexte" xfId="21051" builtinId="8" hidden="1"/>
    <cellStyle name="Lien hypertexte" xfId="23605" builtinId="8" hidden="1"/>
    <cellStyle name="Lien hypertexte" xfId="15570" builtinId="8" hidden="1"/>
    <cellStyle name="Lien hypertexte" xfId="15064" builtinId="8" hidden="1"/>
    <cellStyle name="Lien hypertexte" xfId="16978" builtinId="8" hidden="1"/>
    <cellStyle name="Lien hypertexte" xfId="16500" builtinId="8" hidden="1"/>
    <cellStyle name="Lien hypertexte" xfId="16336" builtinId="8" hidden="1"/>
    <cellStyle name="Lien hypertexte" xfId="278" builtinId="8" hidden="1"/>
    <cellStyle name="Lien hypertexte" xfId="23127" builtinId="8" hidden="1"/>
    <cellStyle name="Lien hypertexte" xfId="20589" builtinId="8" hidden="1"/>
    <cellStyle name="Lien hypertexte" xfId="19135" builtinId="8" hidden="1"/>
    <cellStyle name="Lien hypertexte" xfId="21045" builtinId="8" hidden="1"/>
    <cellStyle name="Lien hypertexte" xfId="23597" builtinId="8" hidden="1"/>
    <cellStyle name="Lien hypertexte" xfId="15620" builtinId="8" hidden="1"/>
    <cellStyle name="Lien hypertexte" xfId="15056" builtinId="8" hidden="1"/>
    <cellStyle name="Lien hypertexte" xfId="16968" builtinId="8" hidden="1"/>
    <cellStyle name="Lien hypertexte" xfId="16506" builtinId="8" hidden="1"/>
    <cellStyle name="Lien hypertexte" xfId="16240" builtinId="8" hidden="1"/>
    <cellStyle name="Lien hypertexte" xfId="286" builtinId="8" hidden="1"/>
    <cellStyle name="Lien hypertexte" xfId="23133" builtinId="8" hidden="1"/>
    <cellStyle name="Lien hypertexte" xfId="20597" builtinId="8" hidden="1"/>
    <cellStyle name="Lien hypertexte" xfId="19143" builtinId="8" hidden="1"/>
    <cellStyle name="Lien hypertexte" xfId="21037" builtinId="8" hidden="1"/>
    <cellStyle name="Lien hypertexte" xfId="23591" builtinId="8" hidden="1"/>
    <cellStyle name="Lien hypertexte" xfId="15670" builtinId="8" hidden="1"/>
    <cellStyle name="Lien hypertexte" xfId="15050" builtinId="8" hidden="1"/>
    <cellStyle name="Lien hypertexte" xfId="16962" builtinId="8" hidden="1"/>
    <cellStyle name="Lien hypertexte" xfId="16512" builtinId="8" hidden="1"/>
    <cellStyle name="Lien hypertexte" xfId="16112" builtinId="8" hidden="1"/>
    <cellStyle name="Lien hypertexte" xfId="292" builtinId="8" hidden="1"/>
    <cellStyle name="Lien hypertexte" xfId="23141" builtinId="8" hidden="1"/>
    <cellStyle name="Lien hypertexte" xfId="20603" builtinId="8" hidden="1"/>
    <cellStyle name="Lien hypertexte" xfId="19149" builtinId="8" hidden="1"/>
    <cellStyle name="Lien hypertexte" xfId="21031" builtinId="8" hidden="1"/>
    <cellStyle name="Lien hypertexte" xfId="23581" builtinId="8" hidden="1"/>
    <cellStyle name="Lien hypertexte" xfId="15718" builtinId="8" hidden="1"/>
    <cellStyle name="Lien hypertexte" xfId="15044" builtinId="8" hidden="1"/>
    <cellStyle name="Lien hypertexte" xfId="16954" builtinId="8" hidden="1"/>
    <cellStyle name="Lien hypertexte" xfId="16520" builtinId="8" hidden="1"/>
    <cellStyle name="Lien hypertexte" xfId="16016" builtinId="8" hidden="1"/>
    <cellStyle name="Lien hypertexte" xfId="298" builtinId="8" hidden="1"/>
    <cellStyle name="Lien hypertexte" xfId="23147" builtinId="8" hidden="1"/>
    <cellStyle name="Lien hypertexte" xfId="20611" builtinId="8" hidden="1"/>
    <cellStyle name="Lien hypertexte" xfId="19157" builtinId="8" hidden="1"/>
    <cellStyle name="Lien hypertexte" xfId="21023" builtinId="8" hidden="1"/>
    <cellStyle name="Lien hypertexte" xfId="23575" builtinId="8" hidden="1"/>
    <cellStyle name="Lien hypertexte" xfId="15768" builtinId="8" hidden="1"/>
    <cellStyle name="Lien hypertexte" xfId="15036" builtinId="8" hidden="1"/>
    <cellStyle name="Lien hypertexte" xfId="16948" builtinId="8" hidden="1"/>
    <cellStyle name="Lien hypertexte" xfId="16526" builtinId="8" hidden="1"/>
    <cellStyle name="Lien hypertexte" xfId="14630" builtinId="8" hidden="1"/>
    <cellStyle name="Lien hypertexte" xfId="306" builtinId="8" hidden="1"/>
    <cellStyle name="Lien hypertexte" xfId="23157" builtinId="8" hidden="1"/>
    <cellStyle name="Lien hypertexte" xfId="20617" builtinId="8" hidden="1"/>
    <cellStyle name="Lien hypertexte" xfId="19163" builtinId="8" hidden="1"/>
    <cellStyle name="Lien hypertexte" xfId="21017" builtinId="8" hidden="1"/>
    <cellStyle name="Lien hypertexte" xfId="23567" builtinId="8" hidden="1"/>
    <cellStyle name="Lien hypertexte" xfId="15818" builtinId="8" hidden="1"/>
    <cellStyle name="Lien hypertexte" xfId="15030" builtinId="8" hidden="1"/>
    <cellStyle name="Lien hypertexte" xfId="16938" builtinId="8" hidden="1"/>
    <cellStyle name="Lien hypertexte" xfId="16536" builtinId="8" hidden="1"/>
    <cellStyle name="Lien hypertexte" xfId="14636" builtinId="8" hidden="1"/>
    <cellStyle name="Lien hypertexte" xfId="312" builtinId="8" hidden="1"/>
    <cellStyle name="Lien hypertexte" xfId="23163" builtinId="8" hidden="1"/>
    <cellStyle name="Lien hypertexte" xfId="20623" builtinId="8" hidden="1"/>
    <cellStyle name="Lien hypertexte" xfId="19171" builtinId="8" hidden="1"/>
    <cellStyle name="Lien hypertexte" xfId="21011" builtinId="8" hidden="1"/>
    <cellStyle name="Lien hypertexte" xfId="23561" builtinId="8" hidden="1"/>
    <cellStyle name="Lien hypertexte" xfId="15868" builtinId="8" hidden="1"/>
    <cellStyle name="Lien hypertexte" xfId="15020" builtinId="8" hidden="1"/>
    <cellStyle name="Lien hypertexte" xfId="18062" builtinId="8" hidden="1"/>
    <cellStyle name="Lien hypertexte" xfId="17634" builtinId="8" hidden="1"/>
    <cellStyle name="Lien hypertexte" xfId="14644" builtinId="8" hidden="1"/>
    <cellStyle name="Lien hypertexte" xfId="320" builtinId="8" hidden="1"/>
    <cellStyle name="Lien hypertexte" xfId="23171" builtinId="8" hidden="1"/>
    <cellStyle name="Lien hypertexte" xfId="20633" builtinId="8" hidden="1"/>
    <cellStyle name="Lien hypertexte" xfId="19177" builtinId="8" hidden="1"/>
    <cellStyle name="Lien hypertexte" xfId="21003" builtinId="8" hidden="1"/>
    <cellStyle name="Lien hypertexte" xfId="23555" builtinId="8" hidden="1"/>
    <cellStyle name="Lien hypertexte" xfId="15916" builtinId="8" hidden="1"/>
    <cellStyle name="Lien hypertexte" xfId="15014" builtinId="8" hidden="1"/>
    <cellStyle name="Lien hypertexte" xfId="16926" builtinId="8" hidden="1"/>
    <cellStyle name="Lien hypertexte" xfId="16550" builtinId="8" hidden="1"/>
    <cellStyle name="Lien hypertexte" xfId="14652" builtinId="8" hidden="1"/>
    <cellStyle name="Lien hypertexte" xfId="326" builtinId="8" hidden="1"/>
    <cellStyle name="Lien hypertexte" xfId="23177" builtinId="8" hidden="1"/>
    <cellStyle name="Lien hypertexte" xfId="20639" builtinId="8" hidden="1"/>
    <cellStyle name="Lien hypertexte" xfId="19183" builtinId="8" hidden="1"/>
    <cellStyle name="Lien hypertexte" xfId="20997" builtinId="8" hidden="1"/>
    <cellStyle name="Lien hypertexte" xfId="23545" builtinId="8" hidden="1"/>
    <cellStyle name="Lien hypertexte" xfId="14960" builtinId="8" hidden="1"/>
    <cellStyle name="Lien hypertexte" xfId="15006" builtinId="8" hidden="1"/>
    <cellStyle name="Lien hypertexte" xfId="16918" builtinId="8" hidden="1"/>
    <cellStyle name="Lien hypertexte" xfId="16556" builtinId="8" hidden="1"/>
    <cellStyle name="Lien hypertexte" xfId="14658" builtinId="8" hidden="1"/>
    <cellStyle name="Lien hypertexte" xfId="334" builtinId="8" hidden="1"/>
    <cellStyle name="Lien hypertexte" xfId="23183" builtinId="8" hidden="1"/>
    <cellStyle name="Lien hypertexte" xfId="20647" builtinId="8" hidden="1"/>
    <cellStyle name="Lien hypertexte" xfId="18935" builtinId="8" hidden="1"/>
    <cellStyle name="Lien hypertexte" xfId="20987" builtinId="8" hidden="1"/>
    <cellStyle name="Lien hypertexte" xfId="23539" builtinId="8" hidden="1"/>
    <cellStyle name="Lien hypertexte" xfId="688" builtinId="8" hidden="1"/>
    <cellStyle name="Lien hypertexte" xfId="15000" builtinId="8" hidden="1"/>
    <cellStyle name="Lien hypertexte" xfId="16910" builtinId="8" hidden="1"/>
    <cellStyle name="Lien hypertexte" xfId="16564" builtinId="8" hidden="1"/>
    <cellStyle name="Lien hypertexte" xfId="14666" builtinId="8" hidden="1"/>
    <cellStyle name="Lien hypertexte" xfId="340" builtinId="8" hidden="1"/>
    <cellStyle name="Lien hypertexte" xfId="23193" builtinId="8" hidden="1"/>
    <cellStyle name="Lien hypertexte" xfId="20653" builtinId="8" hidden="1"/>
    <cellStyle name="Lien hypertexte" xfId="18941" builtinId="8" hidden="1"/>
    <cellStyle name="Lien hypertexte" xfId="20981" builtinId="8" hidden="1"/>
    <cellStyle name="Lien hypertexte" xfId="23531" builtinId="8" hidden="1"/>
    <cellStyle name="Lien hypertexte" xfId="738" builtinId="8" hidden="1"/>
    <cellStyle name="Lien hypertexte" xfId="14994" builtinId="8" hidden="1"/>
    <cellStyle name="Lien hypertexte" xfId="16902" builtinId="8" hidden="1"/>
    <cellStyle name="Lien hypertexte" xfId="16572" builtinId="8" hidden="1"/>
    <cellStyle name="Lien hypertexte" xfId="14672" builtinId="8" hidden="1"/>
    <cellStyle name="Lien hypertexte" xfId="346" builtinId="8" hidden="1"/>
    <cellStyle name="Lien hypertexte" xfId="23199" builtinId="8" hidden="1"/>
    <cellStyle name="Lien hypertexte" xfId="20661" builtinId="8" hidden="1"/>
    <cellStyle name="Lien hypertexte" xfId="18949" builtinId="8" hidden="1"/>
    <cellStyle name="Lien hypertexte" xfId="20973" builtinId="8" hidden="1"/>
    <cellStyle name="Lien hypertexte" xfId="23525" builtinId="8" hidden="1"/>
    <cellStyle name="Lien hypertexte" xfId="786" builtinId="8" hidden="1"/>
    <cellStyle name="Lien hypertexte" xfId="14986" builtinId="8" hidden="1"/>
    <cellStyle name="Lien hypertexte" xfId="16896" builtinId="8" hidden="1"/>
    <cellStyle name="Lien hypertexte" xfId="16578" builtinId="8" hidden="1"/>
    <cellStyle name="Lien hypertexte" xfId="14680" builtinId="8" hidden="1"/>
    <cellStyle name="Lien hypertexte" xfId="130" builtinId="8" hidden="1"/>
    <cellStyle name="Lien hypertexte" xfId="23207" builtinId="8" hidden="1"/>
    <cellStyle name="Lien hypertexte" xfId="20667" builtinId="8" hidden="1"/>
    <cellStyle name="Lien hypertexte" xfId="18955" builtinId="8" hidden="1"/>
    <cellStyle name="Lien hypertexte" xfId="20967" builtinId="8" hidden="1"/>
    <cellStyle name="Lien hypertexte" xfId="23517" builtinId="8" hidden="1"/>
    <cellStyle name="Lien hypertexte" xfId="834" builtinId="8" hidden="1"/>
    <cellStyle name="Lien hypertexte" xfId="14980" builtinId="8" hidden="1"/>
    <cellStyle name="Lien hypertexte" xfId="16888" builtinId="8" hidden="1"/>
    <cellStyle name="Lien hypertexte" xfId="16586" builtinId="8" hidden="1"/>
    <cellStyle name="Lien hypertexte" xfId="14686" builtinId="8" hidden="1"/>
    <cellStyle name="Lien hypertexte" xfId="136" builtinId="8" hidden="1"/>
    <cellStyle name="Lien hypertexte" xfId="23213" builtinId="8" hidden="1"/>
    <cellStyle name="Lien hypertexte" xfId="20675" builtinId="8" hidden="1"/>
    <cellStyle name="Lien hypertexte" xfId="18963" builtinId="8" hidden="1"/>
    <cellStyle name="Lien hypertexte" xfId="20959" builtinId="8" hidden="1"/>
    <cellStyle name="Lien hypertexte" xfId="23509" builtinId="8" hidden="1"/>
    <cellStyle name="Lien hypertexte" xfId="884" builtinId="8" hidden="1"/>
    <cellStyle name="Lien hypertexte" xfId="14972" builtinId="8" hidden="1"/>
    <cellStyle name="Lien hypertexte" xfId="16882" builtinId="8" hidden="1"/>
    <cellStyle name="Lien hypertexte" xfId="16594" builtinId="8" hidden="1"/>
    <cellStyle name="Lien hypertexte" xfId="14692" builtinId="8" hidden="1"/>
    <cellStyle name="Lien hypertexte" xfId="144" builtinId="8" hidden="1"/>
    <cellStyle name="Lien hypertexte" xfId="23221" builtinId="8" hidden="1"/>
    <cellStyle name="Lien hypertexte" xfId="20681" builtinId="8" hidden="1"/>
    <cellStyle name="Lien hypertexte" xfId="18969" builtinId="8" hidden="1"/>
    <cellStyle name="Lien hypertexte" xfId="20953" builtinId="8" hidden="1"/>
    <cellStyle name="Lien hypertexte" xfId="23501" builtinId="8" hidden="1"/>
    <cellStyle name="Lien hypertexte" xfId="932" builtinId="8" hidden="1"/>
    <cellStyle name="Lien hypertexte" xfId="14966" builtinId="8" hidden="1"/>
    <cellStyle name="Lien hypertexte" xfId="16874" builtinId="8" hidden="1"/>
    <cellStyle name="Lien hypertexte" xfId="16522" builtinId="8" hidden="1"/>
    <cellStyle name="Lien hypertexte" xfId="14700" builtinId="8" hidden="1"/>
    <cellStyle name="Lien hypertexte" xfId="150" builtinId="8" hidden="1"/>
    <cellStyle name="Lien hypertexte" xfId="23229" builtinId="8" hidden="1"/>
    <cellStyle name="Lien hypertexte" xfId="20687" builtinId="8" hidden="1"/>
    <cellStyle name="Lien hypertexte" xfId="18975" builtinId="8" hidden="1"/>
    <cellStyle name="Lien hypertexte" xfId="20947" builtinId="8" hidden="1"/>
    <cellStyle name="Lien hypertexte" xfId="23495" builtinId="8" hidden="1"/>
    <cellStyle name="Lien hypertexte" xfId="982" builtinId="8" hidden="1"/>
    <cellStyle name="Lien hypertexte" xfId="14956" builtinId="8" hidden="1"/>
    <cellStyle name="Lien hypertexte" xfId="16866" builtinId="8" hidden="1"/>
    <cellStyle name="Lien hypertexte" xfId="16608" builtinId="8" hidden="1"/>
    <cellStyle name="Lien hypertexte" xfId="14708" builtinId="8" hidden="1"/>
    <cellStyle name="Lien hypertexte" xfId="158" builtinId="8" hidden="1"/>
    <cellStyle name="Lien hypertexte" xfId="23237" builtinId="8" hidden="1"/>
    <cellStyle name="Lien hypertexte" xfId="20695" builtinId="8" hidden="1"/>
    <cellStyle name="Lien hypertexte" xfId="18983" builtinId="8" hidden="1"/>
    <cellStyle name="Lien hypertexte" xfId="20939" builtinId="8" hidden="1"/>
    <cellStyle name="Lien hypertexte" xfId="23487" builtinId="8" hidden="1"/>
    <cellStyle name="Lien hypertexte" xfId="1030" builtinId="8" hidden="1"/>
    <cellStyle name="Lien hypertexte" xfId="14950" builtinId="8" hidden="1"/>
    <cellStyle name="Lien hypertexte" xfId="16860" builtinId="8" hidden="1"/>
    <cellStyle name="Lien hypertexte" xfId="16614" builtinId="8" hidden="1"/>
    <cellStyle name="Lien hypertexte" xfId="14716" builtinId="8" hidden="1"/>
    <cellStyle name="Lien hypertexte" xfId="164" builtinId="8" hidden="1"/>
    <cellStyle name="Lien hypertexte" xfId="23243" builtinId="8" hidden="1"/>
    <cellStyle name="Lien hypertexte" xfId="20703" builtinId="8" hidden="1"/>
    <cellStyle name="Lien hypertexte" xfId="18989" builtinId="8" hidden="1"/>
    <cellStyle name="Lien hypertexte" xfId="20933" builtinId="8" hidden="1"/>
    <cellStyle name="Lien hypertexte" xfId="23481" builtinId="8" hidden="1"/>
    <cellStyle name="Lien hypertexte" xfId="1078" builtinId="8" hidden="1"/>
    <cellStyle name="Lien hypertexte" xfId="14944" builtinId="8" hidden="1"/>
    <cellStyle name="Lien hypertexte" xfId="16852" builtinId="8" hidden="1"/>
    <cellStyle name="Lien hypertexte" xfId="16622" builtinId="8" hidden="1"/>
    <cellStyle name="Lien hypertexte" xfId="14722" builtinId="8" hidden="1"/>
    <cellStyle name="Lien hypertexte" xfId="170" builtinId="8" hidden="1"/>
    <cellStyle name="Lien hypertexte" xfId="23251" builtinId="8" hidden="1"/>
    <cellStyle name="Lien hypertexte" xfId="20711" builtinId="8" hidden="1"/>
    <cellStyle name="Lien hypertexte" xfId="18997" builtinId="8" hidden="1"/>
    <cellStyle name="Lien hypertexte" xfId="20925" builtinId="8" hidden="1"/>
    <cellStyle name="Lien hypertexte" xfId="23471" builtinId="8" hidden="1"/>
    <cellStyle name="Lien hypertexte" xfId="1128" builtinId="8" hidden="1"/>
    <cellStyle name="Lien hypertexte" xfId="14936" builtinId="8" hidden="1"/>
    <cellStyle name="Lien hypertexte" xfId="16844" builtinId="8" hidden="1"/>
    <cellStyle name="Lien hypertexte" xfId="16630" builtinId="8" hidden="1"/>
    <cellStyle name="Lien hypertexte" xfId="14730" builtinId="8" hidden="1"/>
    <cellStyle name="Lien hypertexte" xfId="178" builtinId="8" hidden="1"/>
    <cellStyle name="Lien hypertexte" xfId="23257" builtinId="8" hidden="1"/>
    <cellStyle name="Lien hypertexte" xfId="20717" builtinId="8" hidden="1"/>
    <cellStyle name="Lien hypertexte" xfId="19003" builtinId="8" hidden="1"/>
    <cellStyle name="Lien hypertexte" xfId="20917" builtinId="8" hidden="1"/>
    <cellStyle name="Lien hypertexte" xfId="23465" builtinId="8" hidden="1"/>
    <cellStyle name="Lien hypertexte" xfId="14530" builtinId="8" hidden="1"/>
    <cellStyle name="Lien hypertexte" xfId="14930" builtinId="8" hidden="1"/>
    <cellStyle name="Lien hypertexte" xfId="16836" builtinId="8" hidden="1"/>
    <cellStyle name="Lien hypertexte" xfId="16638" builtinId="8" hidden="1"/>
    <cellStyle name="Lien hypertexte" xfId="14736" builtinId="8" hidden="1"/>
    <cellStyle name="Lien hypertexte" xfId="184" builtinId="8" hidden="1"/>
    <cellStyle name="Lien hypertexte" xfId="23267" builtinId="8" hidden="1"/>
    <cellStyle name="Lien hypertexte" xfId="20725" builtinId="8" hidden="1"/>
    <cellStyle name="Lien hypertexte" xfId="19011" builtinId="8" hidden="1"/>
    <cellStyle name="Lien hypertexte" xfId="20909" builtinId="8" hidden="1"/>
    <cellStyle name="Lien hypertexte" xfId="23459" builtinId="8" hidden="1"/>
    <cellStyle name="Lien hypertexte" xfId="14580" builtinId="8" hidden="1"/>
    <cellStyle name="Lien hypertexte" xfId="14922" builtinId="8" hidden="1"/>
    <cellStyle name="Lien hypertexte" xfId="16830" builtinId="8" hidden="1"/>
    <cellStyle name="Lien hypertexte" xfId="16644" builtinId="8" hidden="1"/>
    <cellStyle name="Lien hypertexte" xfId="14742" builtinId="8" hidden="1"/>
    <cellStyle name="Lien hypertexte" xfId="192" builtinId="8" hidden="1"/>
    <cellStyle name="Lien hypertexte" xfId="23273" builtinId="8" hidden="1"/>
    <cellStyle name="Lien hypertexte" xfId="20731" builtinId="8" hidden="1"/>
    <cellStyle name="Lien hypertexte" xfId="18889" builtinId="8" hidden="1"/>
    <cellStyle name="Lien hypertexte" xfId="20903" builtinId="8" hidden="1"/>
    <cellStyle name="Lien hypertexte" xfId="23451" builtinId="8" hidden="1"/>
    <cellStyle name="Lien hypertexte" xfId="14576" builtinId="8" hidden="1"/>
    <cellStyle name="Lien hypertexte" xfId="14916" builtinId="8" hidden="1"/>
    <cellStyle name="Lien hypertexte" xfId="16824" builtinId="8" hidden="1"/>
    <cellStyle name="Lien hypertexte" xfId="16652" builtinId="8" hidden="1"/>
    <cellStyle name="Lien hypertexte" xfId="14750" builtinId="8" hidden="1"/>
    <cellStyle name="Lien hypertexte" xfId="86" builtinId="8" hidden="1"/>
    <cellStyle name="Lien hypertexte" xfId="23279" builtinId="8" hidden="1"/>
    <cellStyle name="Lien hypertexte" xfId="20739" builtinId="8" hidden="1"/>
    <cellStyle name="Lien hypertexte" xfId="18895" builtinId="8" hidden="1"/>
    <cellStyle name="Lien hypertexte" xfId="20895" builtinId="8" hidden="1"/>
    <cellStyle name="Lien hypertexte" xfId="23445" builtinId="8" hidden="1"/>
    <cellStyle name="Lien hypertexte" xfId="386" builtinId="8" hidden="1"/>
    <cellStyle name="Lien hypertexte" xfId="15588" builtinId="8" hidden="1"/>
    <cellStyle name="Lien hypertexte" xfId="18781" builtinId="8" hidden="1"/>
    <cellStyle name="Lien hypertexte" xfId="18625" builtinId="8" hidden="1"/>
    <cellStyle name="Lien hypertexte" xfId="15740" builtinId="8" hidden="1"/>
    <cellStyle name="Lien hypertexte" xfId="94" builtinId="8" hidden="1"/>
    <cellStyle name="Lien hypertexte" xfId="23287" builtinId="8" hidden="1"/>
    <cellStyle name="Lien hypertexte" xfId="20745" builtinId="8" hidden="1"/>
    <cellStyle name="Lien hypertexte" xfId="18903" builtinId="8" hidden="1"/>
    <cellStyle name="Lien hypertexte" xfId="20889" builtinId="8" hidden="1"/>
    <cellStyle name="Lien hypertexte" xfId="23435" builtinId="8" hidden="1"/>
    <cellStyle name="Lien hypertexte" xfId="434" builtinId="8" hidden="1"/>
    <cellStyle name="Lien hypertexte" xfId="14902" builtinId="8" hidden="1"/>
    <cellStyle name="Lien hypertexte" xfId="16808" builtinId="8" hidden="1"/>
    <cellStyle name="Lien hypertexte" xfId="16666" builtinId="8" hidden="1"/>
    <cellStyle name="Lien hypertexte" xfId="14764" builtinId="8" hidden="1"/>
    <cellStyle name="Lien hypertexte" xfId="100" builtinId="8" hidden="1"/>
    <cellStyle name="Lien hypertexte" xfId="23293" builtinId="8" hidden="1"/>
    <cellStyle name="Lien hypertexte" xfId="20751" builtinId="8" hidden="1"/>
    <cellStyle name="Lien hypertexte" xfId="18909" builtinId="8" hidden="1"/>
    <cellStyle name="Lien hypertexte" xfId="20883" builtinId="8" hidden="1"/>
    <cellStyle name="Lien hypertexte" xfId="23429" builtinId="8" hidden="1"/>
    <cellStyle name="Lien hypertexte" xfId="484" builtinId="8" hidden="1"/>
    <cellStyle name="Lien hypertexte" xfId="14894" builtinId="8" hidden="1"/>
    <cellStyle name="Lien hypertexte" xfId="16800" builtinId="8" hidden="1"/>
    <cellStyle name="Lien hypertexte" xfId="16674" builtinId="8" hidden="1"/>
    <cellStyle name="Lien hypertexte" xfId="14772" builtinId="8" hidden="1"/>
    <cellStyle name="Lien hypertexte" xfId="106" builtinId="8" hidden="1"/>
    <cellStyle name="Lien hypertexte" xfId="23303" builtinId="8" hidden="1"/>
    <cellStyle name="Lien hypertexte" xfId="20759" builtinId="8" hidden="1"/>
    <cellStyle name="Lien hypertexte" xfId="18917" builtinId="8" hidden="1"/>
    <cellStyle name="Lien hypertexte" xfId="20875" builtinId="8" hidden="1"/>
    <cellStyle name="Lien hypertexte" xfId="23421" builtinId="8" hidden="1"/>
    <cellStyle name="Lien hypertexte" xfId="532" builtinId="8" hidden="1"/>
    <cellStyle name="Lien hypertexte" xfId="14886" builtinId="8" hidden="1"/>
    <cellStyle name="Lien hypertexte" xfId="16794" builtinId="8" hidden="1"/>
    <cellStyle name="Lien hypertexte" xfId="16680" builtinId="8" hidden="1"/>
    <cellStyle name="Lien hypertexte" xfId="14780" builtinId="8" hidden="1"/>
    <cellStyle name="Lien hypertexte" xfId="114" builtinId="8" hidden="1"/>
    <cellStyle name="Lien hypertexte" xfId="23309" builtinId="8" hidden="1"/>
    <cellStyle name="Lien hypertexte" xfId="20765" builtinId="8" hidden="1"/>
    <cellStyle name="Lien hypertexte" xfId="18923" builtinId="8" hidden="1"/>
    <cellStyle name="Lien hypertexte" xfId="20869" builtinId="8" hidden="1"/>
    <cellStyle name="Lien hypertexte" xfId="23415" builtinId="8" hidden="1"/>
    <cellStyle name="Lien hypertexte" xfId="580" builtinId="8" hidden="1"/>
    <cellStyle name="Lien hypertexte" xfId="14880" builtinId="8" hidden="1"/>
    <cellStyle name="Lien hypertexte" xfId="16786" builtinId="8" hidden="1"/>
    <cellStyle name="Lien hypertexte" xfId="16690" builtinId="8" hidden="1"/>
    <cellStyle name="Lien hypertexte" xfId="14786" builtinId="8" hidden="1"/>
    <cellStyle name="Lien hypertexte" xfId="120" builtinId="8" hidden="1"/>
    <cellStyle name="Lien hypertexte" xfId="23317" builtinId="8" hidden="1"/>
    <cellStyle name="Lien hypertexte" xfId="20775" builtinId="8" hidden="1"/>
    <cellStyle name="Lien hypertexte" xfId="18931" builtinId="8" hidden="1"/>
    <cellStyle name="Lien hypertexte" xfId="20861" builtinId="8" hidden="1"/>
    <cellStyle name="Lien hypertexte" xfId="23407" builtinId="8" hidden="1"/>
    <cellStyle name="Lien hypertexte" xfId="628" builtinId="8" hidden="1"/>
    <cellStyle name="Lien hypertexte" xfId="14872" builtinId="8" hidden="1"/>
    <cellStyle name="Lien hypertexte" xfId="16778" builtinId="8" hidden="1"/>
    <cellStyle name="Lien hypertexte" xfId="16696" builtinId="8" hidden="1"/>
    <cellStyle name="Lien hypertexte" xfId="14792" builtinId="8" hidden="1"/>
    <cellStyle name="Lien hypertexte" xfId="72" builtinId="8" hidden="1"/>
    <cellStyle name="Lien hypertexte" xfId="23323" builtinId="8" hidden="1"/>
    <cellStyle name="Lien hypertexte" xfId="20781" builtinId="8" hidden="1"/>
    <cellStyle name="Lien hypertexte" xfId="18873" builtinId="8" hidden="1"/>
    <cellStyle name="Lien hypertexte" xfId="20855" builtinId="8" hidden="1"/>
    <cellStyle name="Lien hypertexte" xfId="23399" builtinId="8" hidden="1"/>
    <cellStyle name="Lien hypertexte" xfId="220" builtinId="8" hidden="1"/>
    <cellStyle name="Lien hypertexte" xfId="14866" builtinId="8" hidden="1"/>
    <cellStyle name="Lien hypertexte" xfId="16772" builtinId="8" hidden="1"/>
    <cellStyle name="Lien hypertexte" xfId="16704" builtinId="8" hidden="1"/>
    <cellStyle name="Lien hypertexte" xfId="14800" builtinId="8" hidden="1"/>
    <cellStyle name="Lien hypertexte" xfId="78" builtinId="8" hidden="1"/>
    <cellStyle name="Lien hypertexte" xfId="23331" builtinId="8" hidden="1"/>
    <cellStyle name="Lien hypertexte" xfId="20789" builtinId="8" hidden="1"/>
    <cellStyle name="Lien hypertexte" xfId="18879" builtinId="8" hidden="1"/>
    <cellStyle name="Lien hypertexte" xfId="20847" builtinId="8" hidden="1"/>
    <cellStyle name="Lien hypertexte" xfId="23391" builtinId="8" hidden="1"/>
    <cellStyle name="Lien hypertexte" xfId="268" builtinId="8" hidden="1"/>
    <cellStyle name="Lien hypertexte" xfId="14858" builtinId="8" hidden="1"/>
    <cellStyle name="Lien hypertexte" xfId="16764" builtinId="8" hidden="1"/>
    <cellStyle name="Lien hypertexte" xfId="16710" builtinId="8" hidden="1"/>
    <cellStyle name="Lien hypertexte" xfId="14806" builtinId="8" hidden="1"/>
    <cellStyle name="Lien hypertexte" xfId="58" builtinId="8" hidden="1"/>
    <cellStyle name="Lien hypertexte" xfId="23339" builtinId="8" hidden="1"/>
    <cellStyle name="Lien hypertexte" xfId="20795" builtinId="8" hidden="1"/>
    <cellStyle name="Lien hypertexte" xfId="18887" builtinId="8" hidden="1"/>
    <cellStyle name="Lien hypertexte" xfId="20839" builtinId="8" hidden="1"/>
    <cellStyle name="Lien hypertexte" xfId="23385" builtinId="8" hidden="1"/>
    <cellStyle name="Lien hypertexte" xfId="316" builtinId="8" hidden="1"/>
    <cellStyle name="Lien hypertexte" xfId="14852" builtinId="8" hidden="1"/>
    <cellStyle name="Lien hypertexte" xfId="16424" builtinId="8" hidden="1"/>
    <cellStyle name="Lien hypertexte" xfId="16444" builtinId="8" hidden="1"/>
    <cellStyle name="Lien hypertexte" xfId="14814" builtinId="8" hidden="1"/>
    <cellStyle name="Lien hypertexte" xfId="64" builtinId="8" hidden="1"/>
    <cellStyle name="Lien hypertexte" xfId="23347" builtinId="8" hidden="1"/>
    <cellStyle name="Lien hypertexte" xfId="20803" builtinId="8" hidden="1"/>
    <cellStyle name="Lien hypertexte" xfId="18861" builtinId="8" hidden="1"/>
    <cellStyle name="Lien hypertexte" xfId="20831" builtinId="8" hidden="1"/>
    <cellStyle name="Lien hypertexte" xfId="23379" builtinId="8" hidden="1"/>
    <cellStyle name="Lien hypertexte" xfId="140" builtinId="8" hidden="1"/>
    <cellStyle name="Lien hypertexte" xfId="14846" builtinId="8" hidden="1"/>
    <cellStyle name="Lien hypertexte" xfId="16748" builtinId="8" hidden="1"/>
    <cellStyle name="Lien hypertexte" xfId="16726" builtinId="8" hidden="1"/>
    <cellStyle name="Lien hypertexte" xfId="14820" builtinId="8" hidden="1"/>
    <cellStyle name="Lien hypertexte" xfId="56" builtinId="8" hidden="1"/>
    <cellStyle name="Lien hypertexte" xfId="23353" builtinId="8" hidden="1"/>
    <cellStyle name="Lien hypertexte" xfId="20809" builtinId="8" hidden="1"/>
    <cellStyle name="Lien hypertexte" xfId="18853" builtinId="8" hidden="1"/>
    <cellStyle name="Lien hypertexte" xfId="20825" builtinId="8" hidden="1"/>
    <cellStyle name="Lien hypertexte" xfId="23371" builtinId="8" hidden="1"/>
    <cellStyle name="Lien hypertexte" xfId="188" builtinId="8" hidden="1"/>
    <cellStyle name="Lien hypertexte" xfId="14838" builtinId="8" hidden="1"/>
    <cellStyle name="Lien hypertexte" xfId="16742" builtinId="8" hidden="1"/>
    <cellStyle name="Lien hypertexte" xfId="16732" builtinId="8" hidden="1"/>
    <cellStyle name="Lien hypertexte" xfId="14828" builtinId="8" hidden="1"/>
    <cellStyle name="Lien hypertexte" xfId="84" builtinId="8" hidden="1"/>
    <cellStyle name="Lien hypertexte" xfId="23359" builtinId="8" hidden="1"/>
    <cellStyle name="Lien hypertexte" xfId="20815" builtinId="8" hidden="1"/>
    <cellStyle name="Lien hypertexte" xfId="18847" builtinId="8" hidden="1"/>
    <cellStyle name="Lien hypertexte" xfId="20819" builtinId="8" hidden="1"/>
    <cellStyle name="Lien hypertexte" xfId="23363" builtinId="8" hidden="1"/>
    <cellStyle name="Lien hypertexte" xfId="68" builtinId="8" hidden="1"/>
    <cellStyle name="Lien hypertexte" xfId="14830" builtinId="8" hidden="1"/>
    <cellStyle name="Lien hypertexte" xfId="16734" builtinId="8" hidden="1"/>
    <cellStyle name="Lien hypertexte" xfId="16740" builtinId="8" hidden="1"/>
    <cellStyle name="Lien hypertexte" xfId="14836" builtinId="8" hidden="1"/>
    <cellStyle name="Lien hypertexte" xfId="92" builtinId="8" hidden="1"/>
    <cellStyle name="Lien hypertexte" xfId="23367" builtinId="8" hidden="1"/>
    <cellStyle name="Lien hypertexte" xfId="20823" builtinId="8" hidden="1"/>
    <cellStyle name="Lien hypertexte" xfId="18855" builtinId="8" hidden="1"/>
    <cellStyle name="Lien hypertexte" xfId="20811" builtinId="8" hidden="1"/>
    <cellStyle name="Lien hypertexte" xfId="23355" builtinId="8" hidden="1"/>
    <cellStyle name="Lien hypertexte" xfId="3" builtinId="8" hidden="1"/>
    <cellStyle name="Lien hypertexte" xfId="14822" builtinId="8" hidden="1"/>
    <cellStyle name="Lien hypertexte" xfId="16728" builtinId="8" hidden="1"/>
    <cellStyle name="Lien hypertexte" xfId="16746" builtinId="8" hidden="1"/>
    <cellStyle name="Lien hypertexte" xfId="14842" builtinId="8" hidden="1"/>
    <cellStyle name="Lien hypertexte" xfId="156" builtinId="8" hidden="1"/>
    <cellStyle name="Lien hypertexte" xfId="23375" builtinId="8" hidden="1"/>
    <cellStyle name="Lien hypertexte" xfId="20829" builtinId="8" hidden="1"/>
    <cellStyle name="Lien hypertexte" xfId="18863" builtinId="8" hidden="1"/>
    <cellStyle name="Lien hypertexte" xfId="20805" builtinId="8" hidden="1"/>
    <cellStyle name="Lien hypertexte" xfId="23349" builtinId="8" hidden="1"/>
    <cellStyle name="Lien hypertexte" xfId="66" builtinId="8" hidden="1"/>
    <cellStyle name="Lien hypertexte" xfId="14816" builtinId="8" hidden="1"/>
    <cellStyle name="Lien hypertexte" xfId="16722" builtinId="8" hidden="1"/>
    <cellStyle name="Lien hypertexte" xfId="16756" builtinId="8" hidden="1"/>
    <cellStyle name="Lien hypertexte" xfId="14850" builtinId="8" hidden="1"/>
    <cellStyle name="Lien hypertexte" xfId="332" builtinId="8" hidden="1"/>
    <cellStyle name="Lien hypertexte" xfId="23383" builtinId="8" hidden="1"/>
    <cellStyle name="Lien hypertexte" xfId="20837" builtinId="8" hidden="1"/>
    <cellStyle name="Lien hypertexte" xfId="18857" builtinId="8" hidden="1"/>
    <cellStyle name="Lien hypertexte" xfId="20797" builtinId="8" hidden="1"/>
    <cellStyle name="Lien hypertexte" xfId="23341" builtinId="8" hidden="1"/>
    <cellStyle name="Lien hypertexte" xfId="60" builtinId="8" hidden="1"/>
    <cellStyle name="Lien hypertexte" xfId="14808" builtinId="8" hidden="1"/>
    <cellStyle name="Lien hypertexte" xfId="16712" builtinId="8" hidden="1"/>
    <cellStyle name="Lien hypertexte" xfId="16762" builtinId="8" hidden="1"/>
    <cellStyle name="Lien hypertexte" xfId="14856" builtinId="8" hidden="1"/>
    <cellStyle name="Lien hypertexte" xfId="284" builtinId="8" hidden="1"/>
    <cellStyle name="Lien hypertexte" xfId="23389" builtinId="8" hidden="1"/>
    <cellStyle name="Lien hypertexte" xfId="20843" builtinId="8" hidden="1"/>
    <cellStyle name="Lien hypertexte" xfId="18883" builtinId="8" hidden="1"/>
    <cellStyle name="Lien hypertexte" xfId="20791" builtinId="8" hidden="1"/>
    <cellStyle name="Lien hypertexte" xfId="23335" builtinId="8" hidden="1"/>
    <cellStyle name="Lien hypertexte" xfId="80" builtinId="8" hidden="1"/>
    <cellStyle name="Lien hypertexte" xfId="14802" builtinId="8" hidden="1"/>
    <cellStyle name="Lien hypertexte" xfId="16706" builtinId="8" hidden="1"/>
    <cellStyle name="Lien hypertexte" xfId="16768" builtinId="8" hidden="1"/>
    <cellStyle name="Lien hypertexte" xfId="14864" builtinId="8" hidden="1"/>
    <cellStyle name="Lien hypertexte" xfId="236" builtinId="8" hidden="1"/>
    <cellStyle name="Lien hypertexte" xfId="23397" builtinId="8" hidden="1"/>
    <cellStyle name="Lien hypertexte" xfId="20853" builtinId="8" hidden="1"/>
    <cellStyle name="Lien hypertexte" xfId="18875" builtinId="8" hidden="1"/>
    <cellStyle name="Lien hypertexte" xfId="20783" builtinId="8" hidden="1"/>
    <cellStyle name="Lien hypertexte" xfId="23325" builtinId="8" hidden="1"/>
    <cellStyle name="Lien hypertexte" xfId="74" builtinId="8" hidden="1"/>
    <cellStyle name="Lien hypertexte" xfId="14796" builtinId="8" hidden="1"/>
    <cellStyle name="Lien hypertexte" xfId="17946" builtinId="8" hidden="1"/>
    <cellStyle name="Lien hypertexte" xfId="18104" builtinId="8" hidden="1"/>
    <cellStyle name="Lien hypertexte" xfId="14870" builtinId="8" hidden="1"/>
    <cellStyle name="Lien hypertexte" xfId="644" builtinId="8" hidden="1"/>
    <cellStyle name="Lien hypertexte" xfId="23403" builtinId="8" hidden="1"/>
    <cellStyle name="Lien hypertexte" xfId="20859" builtinId="8" hidden="1"/>
    <cellStyle name="Lien hypertexte" xfId="18869" builtinId="8" hidden="1"/>
    <cellStyle name="Lien hypertexte" xfId="20777" builtinId="8" hidden="1"/>
    <cellStyle name="Lien hypertexte" xfId="23319" builtinId="8" hidden="1"/>
    <cellStyle name="Lien hypertexte" xfId="122" builtinId="8" hidden="1"/>
    <cellStyle name="Lien hypertexte" xfId="14788" builtinId="8" hidden="1"/>
    <cellStyle name="Lien hypertexte" xfId="16692" builtinId="8" hidden="1"/>
    <cellStyle name="Lien hypertexte" xfId="16782" builtinId="8" hidden="1"/>
    <cellStyle name="Lien hypertexte" xfId="14878" builtinId="8" hidden="1"/>
    <cellStyle name="Lien hypertexte" xfId="596" builtinId="8" hidden="1"/>
    <cellStyle name="Lien hypertexte" xfId="23413" builtinId="8" hidden="1"/>
    <cellStyle name="Lien hypertexte" xfId="20867" builtinId="8" hidden="1"/>
    <cellStyle name="Lien hypertexte" xfId="18925" builtinId="8" hidden="1"/>
    <cellStyle name="Lien hypertexte" xfId="20767" builtinId="8" hidden="1"/>
    <cellStyle name="Lien hypertexte" xfId="23311" builtinId="8" hidden="1"/>
    <cellStyle name="Lien hypertexte" xfId="116" builtinId="8" hidden="1"/>
    <cellStyle name="Lien hypertexte" xfId="14782" builtinId="8" hidden="1"/>
    <cellStyle name="Lien hypertexte" xfId="16682" builtinId="8" hidden="1"/>
    <cellStyle name="Lien hypertexte" xfId="16792" builtinId="8" hidden="1"/>
    <cellStyle name="Lien hypertexte" xfId="14884" builtinId="8" hidden="1"/>
    <cellStyle name="Lien hypertexte" xfId="548" builtinId="8" hidden="1"/>
    <cellStyle name="Lien hypertexte" xfId="23419" builtinId="8" hidden="1"/>
    <cellStyle name="Lien hypertexte" xfId="20873" builtinId="8" hidden="1"/>
    <cellStyle name="Lien hypertexte" xfId="18919" builtinId="8" hidden="1"/>
    <cellStyle name="Lien hypertexte" xfId="20761" builtinId="8" hidden="1"/>
    <cellStyle name="Lien hypertexte" xfId="23305" builtinId="8" hidden="1"/>
    <cellStyle name="Lien hypertexte" xfId="110" builtinId="8" hidden="1"/>
    <cellStyle name="Lien hypertexte" xfId="14774" builtinId="8" hidden="1"/>
    <cellStyle name="Lien hypertexte" xfId="16676" builtinId="8" hidden="1"/>
    <cellStyle name="Lien hypertexte" xfId="16798" builtinId="8" hidden="1"/>
    <cellStyle name="Lien hypertexte" xfId="14890" builtinId="8" hidden="1"/>
    <cellStyle name="Lien hypertexte" xfId="500" builtinId="8" hidden="1"/>
    <cellStyle name="Lien hypertexte" xfId="23427" builtinId="8" hidden="1"/>
    <cellStyle name="Lien hypertexte" xfId="20879" builtinId="8" hidden="1"/>
    <cellStyle name="Lien hypertexte" xfId="18911" builtinId="8" hidden="1"/>
    <cellStyle name="Lien hypertexte" xfId="20755" builtinId="8" hidden="1"/>
    <cellStyle name="Lien hypertexte" xfId="23299" builtinId="8" hidden="1"/>
    <cellStyle name="Lien hypertexte" xfId="102" builtinId="8" hidden="1"/>
    <cellStyle name="Lien hypertexte" xfId="14766" builtinId="8" hidden="1"/>
    <cellStyle name="Lien hypertexte" xfId="16670" builtinId="8" hidden="1"/>
    <cellStyle name="Lien hypertexte" xfId="16806" builtinId="8" hidden="1"/>
    <cellStyle name="Lien hypertexte" xfId="14900" builtinId="8" hidden="1"/>
    <cellStyle name="Lien hypertexte" xfId="450" builtinId="8" hidden="1"/>
    <cellStyle name="Lien hypertexte" xfId="23433" builtinId="8" hidden="1"/>
    <cellStyle name="Lien hypertexte" xfId="20887" builtinId="8" hidden="1"/>
    <cellStyle name="Lien hypertexte" xfId="18905" builtinId="8" hidden="1"/>
    <cellStyle name="Lien hypertexte" xfId="20747" builtinId="8" hidden="1"/>
    <cellStyle name="Lien hypertexte" xfId="23289" builtinId="8" hidden="1"/>
    <cellStyle name="Lien hypertexte" xfId="96" builtinId="8" hidden="1"/>
    <cellStyle name="Lien hypertexte" xfId="14758" builtinId="8" hidden="1"/>
    <cellStyle name="Lien hypertexte" xfId="16662" builtinId="8" hidden="1"/>
    <cellStyle name="Lien hypertexte" xfId="16812" builtinId="8" hidden="1"/>
    <cellStyle name="Lien hypertexte" xfId="14906" builtinId="8" hidden="1"/>
    <cellStyle name="Lien hypertexte" xfId="402" builtinId="8" hidden="1"/>
    <cellStyle name="Lien hypertexte" xfId="23439" builtinId="8" hidden="1"/>
    <cellStyle name="Lien hypertexte" xfId="20893" builtinId="8" hidden="1"/>
    <cellStyle name="Lien hypertexte" xfId="18899" builtinId="8" hidden="1"/>
    <cellStyle name="Lien hypertexte" xfId="20741" builtinId="8" hidden="1"/>
    <cellStyle name="Lien hypertexte" xfId="23283" builtinId="8" hidden="1"/>
    <cellStyle name="Lien hypertexte" xfId="88" builtinId="8" hidden="1"/>
    <cellStyle name="Lien hypertexte" xfId="14752" builtinId="8" hidden="1"/>
    <cellStyle name="Lien hypertexte" xfId="16654" builtinId="8" hidden="1"/>
    <cellStyle name="Lien hypertexte" xfId="16820" builtinId="8" hidden="1"/>
    <cellStyle name="Lien hypertexte" xfId="14914" builtinId="8" hidden="1"/>
    <cellStyle name="Lien hypertexte" xfId="354" builtinId="8" hidden="1"/>
    <cellStyle name="Lien hypertexte" xfId="23449" builtinId="8" hidden="1"/>
    <cellStyle name="Lien hypertexte" xfId="20901" builtinId="8" hidden="1"/>
    <cellStyle name="Lien hypertexte" xfId="18891" builtinId="8" hidden="1"/>
    <cellStyle name="Lien hypertexte" xfId="20733" builtinId="8" hidden="1"/>
    <cellStyle name="Lien hypertexte" xfId="23275" builtinId="8" hidden="1"/>
    <cellStyle name="Lien hypertexte" xfId="194" builtinId="8" hidden="1"/>
    <cellStyle name="Lien hypertexte" xfId="14746" builtinId="8" hidden="1"/>
    <cellStyle name="Lien hypertexte" xfId="16646" builtinId="8" hidden="1"/>
    <cellStyle name="Lien hypertexte" xfId="16828" builtinId="8" hidden="1"/>
    <cellStyle name="Lien hypertexte" xfId="14920" builtinId="8" hidden="1"/>
    <cellStyle name="Lien hypertexte" xfId="14596" builtinId="8" hidden="1"/>
    <cellStyle name="Lien hypertexte" xfId="23455" builtinId="8" hidden="1"/>
    <cellStyle name="Lien hypertexte" xfId="20907" builtinId="8" hidden="1"/>
    <cellStyle name="Lien hypertexte" xfId="19013" builtinId="8" hidden="1"/>
    <cellStyle name="Lien hypertexte" xfId="20727" builtinId="8" hidden="1"/>
    <cellStyle name="Lien hypertexte" xfId="23269" builtinId="8" hidden="1"/>
    <cellStyle name="Lien hypertexte" xfId="186" builtinId="8" hidden="1"/>
    <cellStyle name="Lien hypertexte" xfId="14738" builtinId="8" hidden="1"/>
    <cellStyle name="Lien hypertexte" xfId="16504" builtinId="8" hidden="1"/>
    <cellStyle name="Lien hypertexte" xfId="16834" builtinId="8" hidden="1"/>
    <cellStyle name="Lien hypertexte" xfId="14928" builtinId="8" hidden="1"/>
    <cellStyle name="Lien hypertexte" xfId="14546" builtinId="8" hidden="1"/>
    <cellStyle name="Lien hypertexte" xfId="23463" builtinId="8" hidden="1"/>
    <cellStyle name="Lien hypertexte" xfId="20915" builtinId="8" hidden="1"/>
    <cellStyle name="Lien hypertexte" xfId="19005" builtinId="8" hidden="1"/>
    <cellStyle name="Lien hypertexte" xfId="20719" builtinId="8" hidden="1"/>
    <cellStyle name="Lien hypertexte" xfId="23261" builtinId="8" hidden="1"/>
    <cellStyle name="Lien hypertexte" xfId="180" builtinId="8" hidden="1"/>
    <cellStyle name="Lien hypertexte" xfId="14732" builtinId="8" hidden="1"/>
    <cellStyle name="Lien hypertexte" xfId="16632" builtinId="8" hidden="1"/>
    <cellStyle name="Lien hypertexte" xfId="16842" builtinId="8" hidden="1"/>
    <cellStyle name="Lien hypertexte" xfId="14934" builtinId="8" hidden="1"/>
    <cellStyle name="Lien hypertexte" xfId="1144" builtinId="8" hidden="1"/>
    <cellStyle name="Lien hypertexte" xfId="23469" builtinId="8" hidden="1"/>
    <cellStyle name="Lien hypertexte" xfId="20923" builtinId="8" hidden="1"/>
    <cellStyle name="Lien hypertexte" xfId="18999" builtinId="8" hidden="1"/>
    <cellStyle name="Lien hypertexte" xfId="20713" builtinId="8" hidden="1"/>
    <cellStyle name="Lien hypertexte" xfId="23253" builtinId="8" hidden="1"/>
    <cellStyle name="Lien hypertexte" xfId="174" builtinId="8" hidden="1"/>
    <cellStyle name="Lien hypertexte" xfId="14724" builtinId="8" hidden="1"/>
    <cellStyle name="Lien hypertexte" xfId="16626" builtinId="8" hidden="1"/>
    <cellStyle name="Lien hypertexte" xfId="16850" builtinId="8" hidden="1"/>
    <cellStyle name="Lien hypertexte" xfId="14940" builtinId="8" hidden="1"/>
    <cellStyle name="Lien hypertexte" xfId="1096" builtinId="8" hidden="1"/>
    <cellStyle name="Lien hypertexte" xfId="23477" builtinId="8" hidden="1"/>
    <cellStyle name="Lien hypertexte" xfId="20931" builtinId="8" hidden="1"/>
    <cellStyle name="Lien hypertexte" xfId="18991" builtinId="8" hidden="1"/>
    <cellStyle name="Lien hypertexte" xfId="20707" builtinId="8" hidden="1"/>
    <cellStyle name="Lien hypertexte" xfId="23245" builtinId="8" hidden="1"/>
    <cellStyle name="Lien hypertexte" xfId="166" builtinId="8" hidden="1"/>
    <cellStyle name="Lien hypertexte" xfId="14718" builtinId="8" hidden="1"/>
    <cellStyle name="Lien hypertexte" xfId="16618" builtinId="8" hidden="1"/>
    <cellStyle name="Lien hypertexte" xfId="16858" builtinId="8" hidden="1"/>
    <cellStyle name="Lien hypertexte" xfId="14948" builtinId="8" hidden="1"/>
    <cellStyle name="Lien hypertexte" xfId="1046" builtinId="8" hidden="1"/>
    <cellStyle name="Lien hypertexte" xfId="23485" builtinId="8" hidden="1"/>
    <cellStyle name="Lien hypertexte" xfId="20937" builtinId="8" hidden="1"/>
    <cellStyle name="Lien hypertexte" xfId="18985" builtinId="8" hidden="1"/>
    <cellStyle name="Lien hypertexte" xfId="20697" builtinId="8" hidden="1"/>
    <cellStyle name="Lien hypertexte" xfId="23239" builtinId="8" hidden="1"/>
    <cellStyle name="Lien hypertexte" xfId="160" builtinId="8" hidden="1"/>
    <cellStyle name="Lien hypertexte" xfId="14710" builtinId="8" hidden="1"/>
    <cellStyle name="Lien hypertexte" xfId="16610" builtinId="8" hidden="1"/>
    <cellStyle name="Lien hypertexte" xfId="16864" builtinId="8" hidden="1"/>
    <cellStyle name="Lien hypertexte" xfId="14954" builtinId="8" hidden="1"/>
    <cellStyle name="Lien hypertexte" xfId="998" builtinId="8" hidden="1"/>
    <cellStyle name="Lien hypertexte" xfId="23493" builtinId="8" hidden="1"/>
    <cellStyle name="Lien hypertexte" xfId="20943" builtinId="8" hidden="1"/>
    <cellStyle name="Lien hypertexte" xfId="18979" builtinId="8" hidden="1"/>
    <cellStyle name="Lien hypertexte" xfId="20691" builtinId="8" hidden="1"/>
    <cellStyle name="Lien hypertexte" xfId="23231" builtinId="8" hidden="1"/>
    <cellStyle name="Lien hypertexte" xfId="152" builtinId="8" hidden="1"/>
    <cellStyle name="Lien hypertexte" xfId="14702" builtinId="8" hidden="1"/>
    <cellStyle name="Lien hypertexte" xfId="16604" builtinId="8" hidden="1"/>
    <cellStyle name="Lien hypertexte" xfId="16870" builtinId="8" hidden="1"/>
    <cellStyle name="Lien hypertexte" xfId="14964" builtinId="8" hidden="1"/>
    <cellStyle name="Lien hypertexte" xfId="948" builtinId="8" hidden="1"/>
    <cellStyle name="Lien hypertexte" xfId="23499" builtinId="8" hidden="1"/>
    <cellStyle name="Lien hypertexte" xfId="20951" builtinId="8" hidden="1"/>
    <cellStyle name="Lien hypertexte" xfId="18971" builtinId="8" hidden="1"/>
    <cellStyle name="Lien hypertexte" xfId="20683" builtinId="8" hidden="1"/>
    <cellStyle name="Lien hypertexte" xfId="23225" builtinId="8" hidden="1"/>
    <cellStyle name="Lien hypertexte" xfId="146" builtinId="8" hidden="1"/>
    <cellStyle name="Lien hypertexte" xfId="14696" builtinId="8" hidden="1"/>
    <cellStyle name="Lien hypertexte" xfId="16596" builtinId="8" hidden="1"/>
    <cellStyle name="Lien hypertexte" xfId="16878" builtinId="8" hidden="1"/>
    <cellStyle name="Lien hypertexte" xfId="14970" builtinId="8" hidden="1"/>
    <cellStyle name="Lien hypertexte" xfId="900" builtinId="8" hidden="1"/>
    <cellStyle name="Lien hypertexte" xfId="23507" builtinId="8" hidden="1"/>
    <cellStyle name="Lien hypertexte" xfId="20957" builtinId="8" hidden="1"/>
    <cellStyle name="Lien hypertexte" xfId="18965" builtinId="8" hidden="1"/>
    <cellStyle name="Lien hypertexte" xfId="20677" builtinId="8" hidden="1"/>
    <cellStyle name="Lien hypertexte" xfId="23215" builtinId="8" hidden="1"/>
    <cellStyle name="Lien hypertexte" xfId="138" builtinId="8" hidden="1"/>
    <cellStyle name="Lien hypertexte" xfId="14688" builtinId="8" hidden="1"/>
    <cellStyle name="Lien hypertexte" xfId="16588" builtinId="8" hidden="1"/>
    <cellStyle name="Lien hypertexte" xfId="16886" builtinId="8" hidden="1"/>
    <cellStyle name="Lien hypertexte" xfId="14978" builtinId="8" hidden="1"/>
    <cellStyle name="Lien hypertexte" xfId="852" builtinId="8" hidden="1"/>
    <cellStyle name="Lien hypertexte" xfId="23513" builtinId="8" hidden="1"/>
    <cellStyle name="Lien hypertexte" xfId="20965" builtinId="8" hidden="1"/>
    <cellStyle name="Lien hypertexte" xfId="18957" builtinId="8" hidden="1"/>
    <cellStyle name="Lien hypertexte" xfId="20669" builtinId="8" hidden="1"/>
    <cellStyle name="Lien hypertexte" xfId="23053" builtinId="8" hidden="1"/>
    <cellStyle name="Lien hypertexte" xfId="23505" builtinId="8" hidden="1"/>
    <cellStyle name="Lien hypertexte" xfId="21961" builtinId="8" hidden="1"/>
    <cellStyle name="Lien hypertexte" xfId="520" builtinId="8" hidden="1"/>
    <cellStyle name="Lien hypertexte" xfId="132" builtinId="8" hidden="1"/>
    <cellStyle name="Lien hypertexte" xfId="22585" builtinId="8" hidden="1"/>
    <cellStyle name="Lien hypertexte" xfId="24593" builtinId="8" hidden="1"/>
    <cellStyle name="Lien hypertexte" xfId="22899" builtinId="8" hidden="1"/>
    <cellStyle name="Lien hypertexte" xfId="20971" builtinId="8" hidden="1"/>
    <cellStyle name="Lien hypertexte" xfId="18951" builtinId="8" hidden="1"/>
    <cellStyle name="Lien hypertexte" xfId="20663" builtinId="8" hidden="1"/>
    <cellStyle name="Lien hypertexte" xfId="23203" builtinId="8" hidden="1"/>
    <cellStyle name="Lien hypertexte" xfId="126" builtinId="8" hidden="1"/>
    <cellStyle name="Lien hypertexte" xfId="14674" builtinId="8" hidden="1"/>
    <cellStyle name="Lien hypertexte" xfId="16574" builtinId="8" hidden="1"/>
    <cellStyle name="Lien hypertexte" xfId="16900" builtinId="8" hidden="1"/>
    <cellStyle name="Lien hypertexte" xfId="14990" builtinId="8" hidden="1"/>
    <cellStyle name="Lien hypertexte" xfId="754" builtinId="8" hidden="1"/>
    <cellStyle name="Lien hypertexte" xfId="23529" builtinId="8" hidden="1"/>
    <cellStyle name="Lien hypertexte" xfId="20979" builtinId="8" hidden="1"/>
    <cellStyle name="Lien hypertexte" xfId="18943" builtinId="8" hidden="1"/>
    <cellStyle name="Lien hypertexte" xfId="20655" builtinId="8" hidden="1"/>
    <cellStyle name="Lien hypertexte" xfId="23195" builtinId="8" hidden="1"/>
    <cellStyle name="Lien hypertexte" xfId="342" builtinId="8" hidden="1"/>
    <cellStyle name="Lien hypertexte" xfId="14668" builtinId="8" hidden="1"/>
    <cellStyle name="Lien hypertexte" xfId="16568" builtinId="8" hidden="1"/>
    <cellStyle name="Lien hypertexte" xfId="16908" builtinId="8" hidden="1"/>
    <cellStyle name="Lien hypertexte" xfId="14998" builtinId="8" hidden="1"/>
    <cellStyle name="Lien hypertexte" xfId="704" builtinId="8" hidden="1"/>
    <cellStyle name="Lien hypertexte" xfId="23535" builtinId="8" hidden="1"/>
    <cellStyle name="Lien hypertexte" xfId="20985" builtinId="8" hidden="1"/>
    <cellStyle name="Lien hypertexte" xfId="18937" builtinId="8" hidden="1"/>
    <cellStyle name="Lien hypertexte" xfId="20649" builtinId="8" hidden="1"/>
    <cellStyle name="Lien hypertexte" xfId="23189" builtinId="8" hidden="1"/>
    <cellStyle name="Lien hypertexte" xfId="336" builtinId="8" hidden="1"/>
    <cellStyle name="Lien hypertexte" xfId="14660" builtinId="8" hidden="1"/>
    <cellStyle name="Lien hypertexte" xfId="16558" builtinId="8" hidden="1"/>
    <cellStyle name="Lien hypertexte" xfId="16916" builtinId="8" hidden="1"/>
    <cellStyle name="Lien hypertexte" xfId="15004" builtinId="8" hidden="1"/>
    <cellStyle name="Lien hypertexte" xfId="656" builtinId="8" hidden="1"/>
    <cellStyle name="Lien hypertexte" xfId="23543" builtinId="8" hidden="1"/>
    <cellStyle name="Lien hypertexte" xfId="20995" builtinId="8" hidden="1"/>
    <cellStyle name="Lien hypertexte" xfId="19187" builtinId="8" hidden="1"/>
    <cellStyle name="Lien hypertexte" xfId="20643" builtinId="8" hidden="1"/>
    <cellStyle name="Lien hypertexte" xfId="23179" builtinId="8" hidden="1"/>
    <cellStyle name="Lien hypertexte" xfId="328" builtinId="8" hidden="1"/>
    <cellStyle name="Lien hypertexte" xfId="14654" builtinId="8" hidden="1"/>
    <cellStyle name="Lien hypertexte" xfId="16552" builtinId="8" hidden="1"/>
    <cellStyle name="Lien hypertexte" xfId="16922" builtinId="8" hidden="1"/>
    <cellStyle name="Lien hypertexte" xfId="15012" builtinId="8" hidden="1"/>
    <cellStyle name="Lien hypertexte" xfId="15934" builtinId="8" hidden="1"/>
    <cellStyle name="Lien hypertexte" xfId="23549" builtinId="8" hidden="1"/>
    <cellStyle name="Lien hypertexte" xfId="21001" builtinId="8" hidden="1"/>
    <cellStyle name="Lien hypertexte" xfId="19179" builtinId="8" hidden="1"/>
    <cellStyle name="Lien hypertexte" xfId="20635" builtinId="8" hidden="1"/>
    <cellStyle name="Lien hypertexte" xfId="23173" builtinId="8" hidden="1"/>
    <cellStyle name="Lien hypertexte" xfId="322" builtinId="8" hidden="1"/>
    <cellStyle name="Lien hypertexte" xfId="14648" builtinId="8" hidden="1"/>
    <cellStyle name="Lien hypertexte" xfId="16544" builtinId="8" hidden="1"/>
    <cellStyle name="Lien hypertexte" xfId="16930" builtinId="8" hidden="1"/>
    <cellStyle name="Lien hypertexte" xfId="15018" builtinId="8" hidden="1"/>
    <cellStyle name="Lien hypertexte" xfId="15884" builtinId="8" hidden="1"/>
    <cellStyle name="Lien hypertexte" xfId="23559" builtinId="8" hidden="1"/>
    <cellStyle name="Lien hypertexte" xfId="21007" builtinId="8" hidden="1"/>
    <cellStyle name="Lien hypertexte" xfId="19173" builtinId="8" hidden="1"/>
    <cellStyle name="Lien hypertexte" xfId="20629" builtinId="8" hidden="1"/>
    <cellStyle name="Lien hypertexte" xfId="23165" builtinId="8" hidden="1"/>
    <cellStyle name="Lien hypertexte" xfId="314" builtinId="8" hidden="1"/>
    <cellStyle name="Lien hypertexte" xfId="14638" builtinId="8" hidden="1"/>
    <cellStyle name="Lien hypertexte" xfId="16538" builtinId="8" hidden="1"/>
    <cellStyle name="Lien hypertexte" xfId="16936" builtinId="8" hidden="1"/>
    <cellStyle name="Lien hypertexte" xfId="15028" builtinId="8" hidden="1"/>
    <cellStyle name="Lien hypertexte" xfId="15834" builtinId="8" hidden="1"/>
    <cellStyle name="Lien hypertexte" xfId="23565" builtinId="8" hidden="1"/>
    <cellStyle name="Lien hypertexte" xfId="21015" builtinId="8" hidden="1"/>
    <cellStyle name="Lien hypertexte" xfId="19165" builtinId="8" hidden="1"/>
    <cellStyle name="Lien hypertexte" xfId="20619" builtinId="8" hidden="1"/>
    <cellStyle name="Lien hypertexte" xfId="23159" builtinId="8" hidden="1"/>
    <cellStyle name="Lien hypertexte" xfId="308" builtinId="8" hidden="1"/>
    <cellStyle name="Lien hypertexte" xfId="14632" builtinId="8" hidden="1"/>
    <cellStyle name="Lien hypertexte" xfId="16530" builtinId="8" hidden="1"/>
    <cellStyle name="Lien hypertexte" xfId="16946" builtinId="8" hidden="1"/>
    <cellStyle name="Lien hypertexte" xfId="15034" builtinId="8" hidden="1"/>
    <cellStyle name="Lien hypertexte" xfId="15784" builtinId="8" hidden="1"/>
    <cellStyle name="Lien hypertexte" xfId="23573" builtinId="8" hidden="1"/>
    <cellStyle name="Lien hypertexte" xfId="21021" builtinId="8" hidden="1"/>
    <cellStyle name="Lien hypertexte" xfId="19159" builtinId="8" hidden="1"/>
    <cellStyle name="Lien hypertexte" xfId="20613" builtinId="8" hidden="1"/>
    <cellStyle name="Lien hypertexte" xfId="23151" builtinId="8" hidden="1"/>
    <cellStyle name="Lien hypertexte" xfId="302" builtinId="8" hidden="1"/>
    <cellStyle name="Lien hypertexte" xfId="15984" builtinId="8" hidden="1"/>
    <cellStyle name="Lien hypertexte" xfId="16580" builtinId="8" hidden="1"/>
    <cellStyle name="Lien hypertexte" xfId="16952" builtinId="8" hidden="1"/>
    <cellStyle name="Lien hypertexte" xfId="15040" builtinId="8" hidden="1"/>
    <cellStyle name="Lien hypertexte" xfId="15736" builtinId="8" hidden="1"/>
    <cellStyle name="Lien hypertexte" xfId="23579" builtinId="8" hidden="1"/>
    <cellStyle name="Lien hypertexte" xfId="21029" builtinId="8" hidden="1"/>
    <cellStyle name="Lien hypertexte" xfId="19151" builtinId="8" hidden="1"/>
    <cellStyle name="Lien hypertexte" xfId="20605" builtinId="8" hidden="1"/>
    <cellStyle name="Lien hypertexte" xfId="23143" builtinId="8" hidden="1"/>
    <cellStyle name="Lien hypertexte" xfId="294" builtinId="8" hidden="1"/>
    <cellStyle name="Lien hypertexte" xfId="16080" builtinId="8" hidden="1"/>
    <cellStyle name="Lien hypertexte" xfId="16516" builtinId="8" hidden="1"/>
    <cellStyle name="Lien hypertexte" xfId="16960" builtinId="8" hidden="1"/>
    <cellStyle name="Lien hypertexte" xfId="15048" builtinId="8" hidden="1"/>
    <cellStyle name="Lien hypertexte" xfId="15686" builtinId="8" hidden="1"/>
    <cellStyle name="Lien hypertexte" xfId="23587" builtinId="8" hidden="1"/>
    <cellStyle name="Lien hypertexte" xfId="21035" builtinId="8" hidden="1"/>
    <cellStyle name="Lien hypertexte" xfId="19145" builtinId="8" hidden="1"/>
    <cellStyle name="Lien hypertexte" xfId="20599" builtinId="8" hidden="1"/>
    <cellStyle name="Lien hypertexte" xfId="23135" builtinId="8" hidden="1"/>
    <cellStyle name="Lien hypertexte" xfId="288" builtinId="8" hidden="1"/>
    <cellStyle name="Lien hypertexte" xfId="16208" builtinId="8" hidden="1"/>
    <cellStyle name="Lien hypertexte" xfId="16508" builtinId="8" hidden="1"/>
    <cellStyle name="Lien hypertexte" xfId="16966" builtinId="8" hidden="1"/>
    <cellStyle name="Lien hypertexte" xfId="15054" builtinId="8" hidden="1"/>
    <cellStyle name="Lien hypertexte" xfId="15636" builtinId="8" hidden="1"/>
    <cellStyle name="Lien hypertexte" xfId="23595" builtinId="8" hidden="1"/>
    <cellStyle name="Lien hypertexte" xfId="21043" builtinId="8" hidden="1"/>
    <cellStyle name="Lien hypertexte" xfId="19139" builtinId="8" hidden="1"/>
    <cellStyle name="Lien hypertexte" xfId="20591" builtinId="8" hidden="1"/>
    <cellStyle name="Lien hypertexte" xfId="23129" builtinId="8" hidden="1"/>
    <cellStyle name="Lien hypertexte" xfId="280" builtinId="8" hidden="1"/>
    <cellStyle name="Lien hypertexte" xfId="16304" builtinId="8" hidden="1"/>
    <cellStyle name="Lien hypertexte" xfId="16502" builtinId="8" hidden="1"/>
    <cellStyle name="Lien hypertexte" xfId="16972" builtinId="8" hidden="1"/>
    <cellStyle name="Lien hypertexte" xfId="15062" builtinId="8" hidden="1"/>
    <cellStyle name="Lien hypertexte" xfId="15586" builtinId="8" hidden="1"/>
    <cellStyle name="Lien hypertexte" xfId="23603" builtinId="8" hidden="1"/>
    <cellStyle name="Lien hypertexte" xfId="21049" builtinId="8" hidden="1"/>
    <cellStyle name="Lien hypertexte" xfId="19131" builtinId="8" hidden="1"/>
    <cellStyle name="Lien hypertexte" xfId="20585" builtinId="8" hidden="1"/>
    <cellStyle name="Lien hypertexte" xfId="23123" builtinId="8" hidden="1"/>
    <cellStyle name="Lien hypertexte" xfId="274" builtinId="8" hidden="1"/>
    <cellStyle name="Lien hypertexte" xfId="16400" builtinId="8" hidden="1"/>
    <cellStyle name="Lien hypertexte" xfId="16492" builtinId="8" hidden="1"/>
    <cellStyle name="Lien hypertexte" xfId="16982" builtinId="8" hidden="1"/>
    <cellStyle name="Lien hypertexte" xfId="15068" builtinId="8" hidden="1"/>
    <cellStyle name="Lien hypertexte" xfId="15538" builtinId="8" hidden="1"/>
    <cellStyle name="Lien hypertexte" xfId="23609" builtinId="8" hidden="1"/>
    <cellStyle name="Lien hypertexte" xfId="21055" builtinId="8" hidden="1"/>
    <cellStyle name="Lien hypertexte" xfId="19125" builtinId="8" hidden="1"/>
    <cellStyle name="Lien hypertexte" xfId="20579" builtinId="8" hidden="1"/>
    <cellStyle name="Lien hypertexte" xfId="23115" builtinId="8" hidden="1"/>
    <cellStyle name="Lien hypertexte" xfId="266" builtinId="8" hidden="1"/>
    <cellStyle name="Lien hypertexte" xfId="16528" builtinId="8" hidden="1"/>
    <cellStyle name="Lien hypertexte" xfId="16486" builtinId="8" hidden="1"/>
    <cellStyle name="Lien hypertexte" xfId="16988" builtinId="8" hidden="1"/>
    <cellStyle name="Lien hypertexte" xfId="15076" builtinId="8" hidden="1"/>
    <cellStyle name="Lien hypertexte" xfId="15488" builtinId="8" hidden="1"/>
    <cellStyle name="Lien hypertexte" xfId="23615" builtinId="8" hidden="1"/>
    <cellStyle name="Lien hypertexte" xfId="21063" builtinId="8" hidden="1"/>
    <cellStyle name="Lien hypertexte" xfId="19117" builtinId="8" hidden="1"/>
    <cellStyle name="Lien hypertexte" xfId="20571" builtinId="8" hidden="1"/>
    <cellStyle name="Lien hypertexte" xfId="23107" builtinId="8" hidden="1"/>
    <cellStyle name="Lien hypertexte" xfId="260" builtinId="8" hidden="1"/>
    <cellStyle name="Lien hypertexte" xfId="16624" builtinId="8" hidden="1"/>
    <cellStyle name="Lien hypertexte" xfId="16478" builtinId="8" hidden="1"/>
    <cellStyle name="Lien hypertexte" xfId="16996" builtinId="8" hidden="1"/>
    <cellStyle name="Lien hypertexte" xfId="15082" builtinId="8" hidden="1"/>
    <cellStyle name="Lien hypertexte" xfId="15438" builtinId="8" hidden="1"/>
    <cellStyle name="Lien hypertexte" xfId="23623" builtinId="8" hidden="1"/>
    <cellStyle name="Lien hypertexte" xfId="21071" builtinId="8" hidden="1"/>
    <cellStyle name="Lien hypertexte" xfId="19111" builtinId="8" hidden="1"/>
    <cellStyle name="Lien hypertexte" xfId="20565" builtinId="8" hidden="1"/>
    <cellStyle name="Lien hypertexte" xfId="23099" builtinId="8" hidden="1"/>
    <cellStyle name="Lien hypertexte" xfId="254" builtinId="8" hidden="1"/>
    <cellStyle name="Lien hypertexte" xfId="16752" builtinId="8" hidden="1"/>
    <cellStyle name="Lien hypertexte" xfId="16472" builtinId="8" hidden="1"/>
    <cellStyle name="Lien hypertexte" xfId="17002" builtinId="8" hidden="1"/>
    <cellStyle name="Lien hypertexte" xfId="15090" builtinId="8" hidden="1"/>
    <cellStyle name="Lien hypertexte" xfId="15388" builtinId="8" hidden="1"/>
    <cellStyle name="Lien hypertexte" xfId="23631" builtinId="8" hidden="1"/>
    <cellStyle name="Lien hypertexte" xfId="21079" builtinId="8" hidden="1"/>
    <cellStyle name="Lien hypertexte" xfId="19103" builtinId="8" hidden="1"/>
    <cellStyle name="Lien hypertexte" xfId="20557" builtinId="8" hidden="1"/>
    <cellStyle name="Lien hypertexte" xfId="23093" builtinId="8" hidden="1"/>
    <cellStyle name="Lien hypertexte" xfId="246" builtinId="8" hidden="1"/>
    <cellStyle name="Lien hypertexte" xfId="16848" builtinId="8" hidden="1"/>
    <cellStyle name="Lien hypertexte" xfId="17478" builtinId="8" hidden="1"/>
    <cellStyle name="Lien hypertexte" xfId="18024" builtinId="8" hidden="1"/>
    <cellStyle name="Lien hypertexte" xfId="15098" builtinId="8" hidden="1"/>
    <cellStyle name="Lien hypertexte" xfId="15338" builtinId="8" hidden="1"/>
    <cellStyle name="Lien hypertexte" xfId="23639" builtinId="8" hidden="1"/>
    <cellStyle name="Lien hypertexte" xfId="21085" builtinId="8" hidden="1"/>
    <cellStyle name="Lien hypertexte" xfId="19097" builtinId="8" hidden="1"/>
    <cellStyle name="Lien hypertexte" xfId="20549" builtinId="8" hidden="1"/>
    <cellStyle name="Lien hypertexte" xfId="23085" builtinId="8" hidden="1"/>
    <cellStyle name="Lien hypertexte" xfId="240" builtinId="8" hidden="1"/>
    <cellStyle name="Lien hypertexte" xfId="16976" builtinId="8" hidden="1"/>
    <cellStyle name="Lien hypertexte" xfId="16456" builtinId="8" hidden="1"/>
    <cellStyle name="Lien hypertexte" xfId="17018" builtinId="8" hidden="1"/>
    <cellStyle name="Lien hypertexte" xfId="15104" builtinId="8" hidden="1"/>
    <cellStyle name="Lien hypertexte" xfId="15290" builtinId="8" hidden="1"/>
    <cellStyle name="Lien hypertexte" xfId="23645" builtinId="8" hidden="1"/>
    <cellStyle name="Lien hypertexte" xfId="21093" builtinId="8" hidden="1"/>
    <cellStyle name="Lien hypertexte" xfId="19091" builtinId="8" hidden="1"/>
    <cellStyle name="Lien hypertexte" xfId="20541" builtinId="8" hidden="1"/>
    <cellStyle name="Lien hypertexte" xfId="23079" builtinId="8" hidden="1"/>
    <cellStyle name="Lien hypertexte" xfId="232" builtinId="8" hidden="1"/>
    <cellStyle name="Lien hypertexte" xfId="17072" builtinId="8" hidden="1"/>
    <cellStyle name="Lien hypertexte" xfId="16450" builtinId="8" hidden="1"/>
    <cellStyle name="Lien hypertexte" xfId="17024" builtinId="8" hidden="1"/>
    <cellStyle name="Lien hypertexte" xfId="15112" builtinId="8" hidden="1"/>
    <cellStyle name="Lien hypertexte" xfId="15240" builtinId="8" hidden="1"/>
    <cellStyle name="Lien hypertexte" xfId="23653" builtinId="8" hidden="1"/>
    <cellStyle name="Lien hypertexte" xfId="21099" builtinId="8" hidden="1"/>
    <cellStyle name="Lien hypertexte" xfId="19083" builtinId="8" hidden="1"/>
    <cellStyle name="Lien hypertexte" xfId="20535" builtinId="8" hidden="1"/>
    <cellStyle name="Lien hypertexte" xfId="23069" builtinId="8" hidden="1"/>
    <cellStyle name="Lien hypertexte" xfId="226" builtinId="8" hidden="1"/>
    <cellStyle name="Lien hypertexte" xfId="17168" builtinId="8" hidden="1"/>
    <cellStyle name="Lien hypertexte" xfId="16442" builtinId="8" hidden="1"/>
    <cellStyle name="Lien hypertexte" xfId="17032" builtinId="8" hidden="1"/>
    <cellStyle name="Lien hypertexte" xfId="15118" builtinId="8" hidden="1"/>
    <cellStyle name="Lien hypertexte" xfId="15190" builtinId="8" hidden="1"/>
    <cellStyle name="Lien hypertexte" xfId="23659" builtinId="8" hidden="1"/>
    <cellStyle name="Lien hypertexte" xfId="21107" builtinId="8" hidden="1"/>
    <cellStyle name="Lien hypertexte" xfId="19077" builtinId="8" hidden="1"/>
    <cellStyle name="Lien hypertexte" xfId="20527" builtinId="8" hidden="1"/>
    <cellStyle name="Lien hypertexte" xfId="23063" builtinId="8" hidden="1"/>
    <cellStyle name="Lien hypertexte" xfId="218" builtinId="8" hidden="1"/>
    <cellStyle name="Lien hypertexte" xfId="17296" builtinId="8" hidden="1"/>
    <cellStyle name="Lien hypertexte" xfId="16436" builtinId="8" hidden="1"/>
    <cellStyle name="Lien hypertexte" xfId="17038" builtinId="8" hidden="1"/>
    <cellStyle name="Lien hypertexte" xfId="15126" builtinId="8" hidden="1"/>
    <cellStyle name="Lien hypertexte" xfId="15140" builtinId="8" hidden="1"/>
    <cellStyle name="Lien hypertexte" xfId="23669" builtinId="8" hidden="1"/>
    <cellStyle name="Lien hypertexte" xfId="21113" builtinId="8" hidden="1"/>
    <cellStyle name="Lien hypertexte" xfId="19069" builtinId="8" hidden="1"/>
    <cellStyle name="Lien hypertexte" xfId="20521" builtinId="8" hidden="1"/>
    <cellStyle name="Lien hypertexte" xfId="23055" builtinId="8" hidden="1"/>
    <cellStyle name="Lien hypertexte" xfId="212" builtinId="8" hidden="1"/>
    <cellStyle name="Lien hypertexte" xfId="17392" builtinId="8" hidden="1"/>
    <cellStyle name="Lien hypertexte" xfId="16426" builtinId="8" hidden="1"/>
    <cellStyle name="Lien hypertexte" xfId="17048" builtinId="8" hidden="1"/>
    <cellStyle name="Lien hypertexte" xfId="15132" builtinId="8" hidden="1"/>
    <cellStyle name="Lien hypertexte" xfId="15092" builtinId="8" hidden="1"/>
    <cellStyle name="Lien hypertexte" xfId="23675" builtinId="8" hidden="1"/>
    <cellStyle name="Lien hypertexte" xfId="21119" builtinId="8" hidden="1"/>
    <cellStyle name="Lien hypertexte" xfId="19063" builtinId="8" hidden="1"/>
    <cellStyle name="Lien hypertexte" xfId="20515" builtinId="8" hidden="1"/>
    <cellStyle name="Lien hypertexte" xfId="23049" builtinId="8" hidden="1"/>
    <cellStyle name="Lien hypertexte" xfId="206" builtinId="8" hidden="1"/>
    <cellStyle name="Lien hypertexte" xfId="17520" builtinId="8" hidden="1"/>
    <cellStyle name="Lien hypertexte" xfId="16420" builtinId="8" hidden="1"/>
    <cellStyle name="Lien hypertexte" xfId="17054" builtinId="8" hidden="1"/>
    <cellStyle name="Lien hypertexte" xfId="15138" builtinId="8" hidden="1"/>
    <cellStyle name="Lien hypertexte" xfId="15042" builtinId="8" hidden="1"/>
    <cellStyle name="Lien hypertexte" xfId="23683" builtinId="8" hidden="1"/>
    <cellStyle name="Lien hypertexte" xfId="21127" builtinId="8" hidden="1"/>
    <cellStyle name="Lien hypertexte" xfId="19055" builtinId="8" hidden="1"/>
    <cellStyle name="Lien hypertexte" xfId="20507" builtinId="8" hidden="1"/>
    <cellStyle name="Lien hypertexte" xfId="23043" builtinId="8" hidden="1"/>
    <cellStyle name="Lien hypertexte" xfId="198" builtinId="8" hidden="1"/>
    <cellStyle name="Lien hypertexte" xfId="17616" builtinId="8" hidden="1"/>
    <cellStyle name="Lien hypertexte" xfId="16414" builtinId="8" hidden="1"/>
    <cellStyle name="Lien hypertexte" xfId="17062" builtinId="8" hidden="1"/>
    <cellStyle name="Lien hypertexte" xfId="15146" builtinId="8" hidden="1"/>
    <cellStyle name="Lien hypertexte" xfId="14992" builtinId="8" hidden="1"/>
    <cellStyle name="Lien hypertexte" xfId="23689" builtinId="8" hidden="1"/>
    <cellStyle name="Lien hypertexte" xfId="21133" builtinId="8" hidden="1"/>
    <cellStyle name="Lien hypertexte" xfId="19049" builtinId="8" hidden="1"/>
    <cellStyle name="Lien hypertexte" xfId="20501" builtinId="8" hidden="1"/>
    <cellStyle name="Lien hypertexte" xfId="23033" builtinId="8" hidden="1"/>
    <cellStyle name="Lien hypertexte" xfId="648" builtinId="8" hidden="1"/>
    <cellStyle name="Lien hypertexte" xfId="17744" builtinId="8" hidden="1"/>
    <cellStyle name="Lien hypertexte" xfId="16660" builtinId="8" hidden="1"/>
    <cellStyle name="Lien hypertexte" xfId="17068" builtinId="8" hidden="1"/>
    <cellStyle name="Lien hypertexte" xfId="15154" builtinId="8" hidden="1"/>
    <cellStyle name="Lien hypertexte" xfId="14942" builtinId="8" hidden="1"/>
    <cellStyle name="Lien hypertexte" xfId="23695" builtinId="8" hidden="1"/>
    <cellStyle name="Lien hypertexte" xfId="21143" builtinId="8" hidden="1"/>
    <cellStyle name="Lien hypertexte" xfId="19043" builtinId="8" hidden="1"/>
    <cellStyle name="Lien hypertexte" xfId="20493" builtinId="8" hidden="1"/>
    <cellStyle name="Lien hypertexte" xfId="23027" builtinId="8" hidden="1"/>
    <cellStyle name="Lien hypertexte" xfId="640" builtinId="8" hidden="1"/>
    <cellStyle name="Lien hypertexte" xfId="17840" builtinId="8" hidden="1"/>
    <cellStyle name="Lien hypertexte" xfId="16398" builtinId="8" hidden="1"/>
    <cellStyle name="Lien hypertexte" xfId="17076" builtinId="8" hidden="1"/>
    <cellStyle name="Lien hypertexte" xfId="15162" builtinId="8" hidden="1"/>
    <cellStyle name="Lien hypertexte" xfId="14892" builtinId="8" hidden="1"/>
    <cellStyle name="Lien hypertexte" xfId="23705" builtinId="8" hidden="1"/>
    <cellStyle name="Lien hypertexte" xfId="21149" builtinId="8" hidden="1"/>
    <cellStyle name="Lien hypertexte" xfId="19035" builtinId="8" hidden="1"/>
    <cellStyle name="Lien hypertexte" xfId="20487" builtinId="8" hidden="1"/>
    <cellStyle name="Lien hypertexte" xfId="23019" builtinId="8" hidden="1"/>
    <cellStyle name="Lien hypertexte" xfId="634" builtinId="8" hidden="1"/>
    <cellStyle name="Lien hypertexte" xfId="17936" builtinId="8" hidden="1"/>
    <cellStyle name="Lien hypertexte" xfId="16390" builtinId="8" hidden="1"/>
    <cellStyle name="Lien hypertexte" xfId="17084" builtinId="8" hidden="1"/>
    <cellStyle name="Lien hypertexte" xfId="15168" builtinId="8" hidden="1"/>
    <cellStyle name="Lien hypertexte" xfId="14844" builtinId="8" hidden="1"/>
    <cellStyle name="Lien hypertexte" xfId="23711" builtinId="8" hidden="1"/>
    <cellStyle name="Lien hypertexte" xfId="21157" builtinId="8" hidden="1"/>
    <cellStyle name="Lien hypertexte" xfId="19029" builtinId="8" hidden="1"/>
    <cellStyle name="Lien hypertexte" xfId="20477" builtinId="8" hidden="1"/>
    <cellStyle name="Lien hypertexte" xfId="23013" builtinId="8" hidden="1"/>
    <cellStyle name="Lien hypertexte" xfId="626" builtinId="8" hidden="1"/>
    <cellStyle name="Lien hypertexte" xfId="18064" builtinId="8" hidden="1"/>
    <cellStyle name="Lien hypertexte" xfId="16384" builtinId="8" hidden="1"/>
    <cellStyle name="Lien hypertexte" xfId="17090" builtinId="8" hidden="1"/>
    <cellStyle name="Lien hypertexte" xfId="15176" builtinId="8" hidden="1"/>
    <cellStyle name="Lien hypertexte" xfId="14794" builtinId="8" hidden="1"/>
    <cellStyle name="Lien hypertexte" xfId="23719" builtinId="8" hidden="1"/>
    <cellStyle name="Lien hypertexte" xfId="21163" builtinId="8" hidden="1"/>
    <cellStyle name="Lien hypertexte" xfId="19021" builtinId="8" hidden="1"/>
    <cellStyle name="Lien hypertexte" xfId="20471" builtinId="8" hidden="1"/>
    <cellStyle name="Lien hypertexte" xfId="23005" builtinId="8" hidden="1"/>
    <cellStyle name="Lien hypertexte" xfId="620" builtinId="8" hidden="1"/>
    <cellStyle name="Lien hypertexte" xfId="18160" builtinId="8" hidden="1"/>
    <cellStyle name="Lien hypertexte" xfId="16376" builtinId="8" hidden="1"/>
    <cellStyle name="Lien hypertexte" xfId="17098" builtinId="8" hidden="1"/>
    <cellStyle name="Lien hypertexte" xfId="15182" builtinId="8" hidden="1"/>
    <cellStyle name="Lien hypertexte" xfId="14744" builtinId="8" hidden="1"/>
    <cellStyle name="Lien hypertexte" xfId="23725" builtinId="8" hidden="1"/>
    <cellStyle name="Lien hypertexte" xfId="21171" builtinId="8" hidden="1"/>
    <cellStyle name="Lien hypertexte" xfId="19309" builtinId="8" hidden="1"/>
    <cellStyle name="Lien hypertexte" xfId="20463" builtinId="8" hidden="1"/>
    <cellStyle name="Lien hypertexte" xfId="22997" builtinId="8" hidden="1"/>
    <cellStyle name="Lien hypertexte" xfId="614" builtinId="8" hidden="1"/>
    <cellStyle name="Lien hypertexte" xfId="18288" builtinId="8" hidden="1"/>
    <cellStyle name="Lien hypertexte" xfId="16370" builtinId="8" hidden="1"/>
    <cellStyle name="Lien hypertexte" xfId="17106" builtinId="8" hidden="1"/>
    <cellStyle name="Lien hypertexte" xfId="15188" builtinId="8" hidden="1"/>
    <cellStyle name="Lien hypertexte" xfId="14694" builtinId="8" hidden="1"/>
    <cellStyle name="Lien hypertexte" xfId="23733" builtinId="8" hidden="1"/>
    <cellStyle name="Lien hypertexte" xfId="21177" builtinId="8" hidden="1"/>
    <cellStyle name="Lien hypertexte" xfId="19529" builtinId="8" hidden="1"/>
    <cellStyle name="Lien hypertexte" xfId="20457" builtinId="8" hidden="1"/>
    <cellStyle name="Lien hypertexte" xfId="22989" builtinId="8" hidden="1"/>
    <cellStyle name="Lien hypertexte" xfId="606" builtinId="8" hidden="1"/>
    <cellStyle name="Lien hypertexte" xfId="18401" builtinId="8" hidden="1"/>
    <cellStyle name="Lien hypertexte" xfId="16362" builtinId="8" hidden="1"/>
    <cellStyle name="Lien hypertexte" xfId="17114" builtinId="8" hidden="1"/>
    <cellStyle name="Lien hypertexte" xfId="15196" builtinId="8" hidden="1"/>
    <cellStyle name="Lien hypertexte" xfId="14646" builtinId="8" hidden="1"/>
    <cellStyle name="Lien hypertexte" xfId="23741" builtinId="8" hidden="1"/>
    <cellStyle name="Lien hypertexte" xfId="21183" builtinId="8" hidden="1"/>
    <cellStyle name="Lien hypertexte" xfId="19523" builtinId="8" hidden="1"/>
    <cellStyle name="Lien hypertexte" xfId="20451" builtinId="8" hidden="1"/>
    <cellStyle name="Lien hypertexte" xfId="22983" builtinId="8" hidden="1"/>
    <cellStyle name="Lien hypertexte" xfId="600" builtinId="8" hidden="1"/>
    <cellStyle name="Lien hypertexte" xfId="18529" builtinId="8" hidden="1"/>
    <cellStyle name="Lien hypertexte" xfId="16354" builtinId="8" hidden="1"/>
    <cellStyle name="Lien hypertexte" xfId="17120" builtinId="8" hidden="1"/>
    <cellStyle name="Lien hypertexte" xfId="15202" builtinId="8" hidden="1"/>
    <cellStyle name="Lien hypertexte" xfId="16432" builtinId="8" hidden="1"/>
    <cellStyle name="Lien hypertexte" xfId="23749" builtinId="8" hidden="1"/>
    <cellStyle name="Lien hypertexte" xfId="21191" builtinId="8" hidden="1"/>
    <cellStyle name="Lien hypertexte" xfId="19515" builtinId="8" hidden="1"/>
    <cellStyle name="Lien hypertexte" xfId="20443" builtinId="8" hidden="1"/>
    <cellStyle name="Lien hypertexte" xfId="22975" builtinId="8" hidden="1"/>
    <cellStyle name="Lien hypertexte" xfId="592" builtinId="8" hidden="1"/>
    <cellStyle name="Lien hypertexte" xfId="15890" builtinId="8" hidden="1"/>
    <cellStyle name="Lien hypertexte" xfId="16272" builtinId="8" hidden="1"/>
    <cellStyle name="Lien hypertexte" xfId="18627" builtinId="8" hidden="1"/>
    <cellStyle name="Lien hypertexte" xfId="15436" builtinId="8" hidden="1"/>
    <cellStyle name="Lien hypertexte" xfId="17200" builtinId="8" hidden="1"/>
    <cellStyle name="Lien hypertexte" xfId="23755" builtinId="8" hidden="1"/>
    <cellStyle name="Lien hypertexte" xfId="21197" builtinId="8" hidden="1"/>
    <cellStyle name="Lien hypertexte" xfId="19509" builtinId="8" hidden="1"/>
    <cellStyle name="Lien hypertexte" xfId="20437" builtinId="8" hidden="1"/>
    <cellStyle name="Lien hypertexte" xfId="22969" builtinId="8" hidden="1"/>
    <cellStyle name="Lien hypertexte" xfId="586" builtinId="8" hidden="1"/>
    <cellStyle name="Lien hypertexte" xfId="18721" builtinId="8" hidden="1"/>
    <cellStyle name="Lien hypertexte" xfId="16340" builtinId="8" hidden="1"/>
    <cellStyle name="Lien hypertexte" xfId="17134" builtinId="8" hidden="1"/>
    <cellStyle name="Lien hypertexte" xfId="15218" builtinId="8" hidden="1"/>
    <cellStyle name="Lien hypertexte" xfId="17968" builtinId="8" hidden="1"/>
    <cellStyle name="Lien hypertexte" xfId="23763" builtinId="8" hidden="1"/>
    <cellStyle name="Lien hypertexte" xfId="21205" builtinId="8" hidden="1"/>
    <cellStyle name="Lien hypertexte" xfId="19501" builtinId="8" hidden="1"/>
    <cellStyle name="Lien hypertexte" xfId="20429" builtinId="8" hidden="1"/>
    <cellStyle name="Lien hypertexte" xfId="22959" builtinId="8" hidden="1"/>
    <cellStyle name="Lien hypertexte" xfId="578" builtinId="8" hidden="1"/>
    <cellStyle name="Lien hypertexte" xfId="18845" builtinId="8" hidden="1"/>
    <cellStyle name="Lien hypertexte" xfId="16332" builtinId="8" hidden="1"/>
    <cellStyle name="Lien hypertexte" xfId="17142" builtinId="8" hidden="1"/>
    <cellStyle name="Lien hypertexte" xfId="15226" builtinId="8" hidden="1"/>
    <cellStyle name="Lien hypertexte" xfId="18753" builtinId="8" hidden="1"/>
    <cellStyle name="Lien hypertexte" xfId="23769" builtinId="8" hidden="1"/>
    <cellStyle name="Lien hypertexte" xfId="21213" builtinId="8" hidden="1"/>
    <cellStyle name="Lien hypertexte" xfId="19495" builtinId="8" hidden="1"/>
    <cellStyle name="Lien hypertexte" xfId="20423" builtinId="8" hidden="1"/>
    <cellStyle name="Lien hypertexte" xfId="22953" builtinId="8" hidden="1"/>
    <cellStyle name="Lien hypertexte" xfId="572" builtinId="8" hidden="1"/>
    <cellStyle name="Lien hypertexte" xfId="18839" builtinId="8" hidden="1"/>
    <cellStyle name="Lien hypertexte" xfId="16324" builtinId="8" hidden="1"/>
    <cellStyle name="Lien hypertexte" xfId="17150" builtinId="8" hidden="1"/>
    <cellStyle name="Lien hypertexte" xfId="15232" builtinId="8" hidden="1"/>
    <cellStyle name="Lien hypertexte" xfId="18801" builtinId="8" hidden="1"/>
    <cellStyle name="Lien hypertexte" xfId="23779" builtinId="8" hidden="1"/>
    <cellStyle name="Lien hypertexte" xfId="21221" builtinId="8" hidden="1"/>
    <cellStyle name="Lien hypertexte" xfId="19487" builtinId="8" hidden="1"/>
    <cellStyle name="Lien hypertexte" xfId="20415" builtinId="8" hidden="1"/>
    <cellStyle name="Lien hypertexte" xfId="22947" builtinId="8" hidden="1"/>
    <cellStyle name="Lien hypertexte" xfId="566" builtinId="8" hidden="1"/>
    <cellStyle name="Lien hypertexte" xfId="18831" builtinId="8" hidden="1"/>
    <cellStyle name="Lien hypertexte" xfId="16318" builtinId="8" hidden="1"/>
    <cellStyle name="Lien hypertexte" xfId="17156" builtinId="8" hidden="1"/>
    <cellStyle name="Lien hypertexte" xfId="15238" builtinId="8" hidden="1"/>
    <cellStyle name="Lien hypertexte" xfId="18749" builtinId="8" hidden="1"/>
    <cellStyle name="Lien hypertexte" xfId="23785" builtinId="8" hidden="1"/>
    <cellStyle name="Lien hypertexte" xfId="21227" builtinId="8" hidden="1"/>
    <cellStyle name="Lien hypertexte" xfId="19481" builtinId="8" hidden="1"/>
    <cellStyle name="Lien hypertexte" xfId="20409" builtinId="8" hidden="1"/>
    <cellStyle name="Lien hypertexte" xfId="22939" builtinId="8" hidden="1"/>
    <cellStyle name="Lien hypertexte" xfId="558" builtinId="8" hidden="1"/>
    <cellStyle name="Lien hypertexte" xfId="18825" builtinId="8" hidden="1"/>
    <cellStyle name="Lien hypertexte" xfId="16312" builtinId="8" hidden="1"/>
    <cellStyle name="Lien hypertexte" xfId="17164" builtinId="8" hidden="1"/>
    <cellStyle name="Lien hypertexte" xfId="15246" builtinId="8" hidden="1"/>
    <cellStyle name="Lien hypertexte" xfId="18699" builtinId="8" hidden="1"/>
    <cellStyle name="Lien hypertexte" xfId="23791" builtinId="8" hidden="1"/>
    <cellStyle name="Lien hypertexte" xfId="21235" builtinId="8" hidden="1"/>
    <cellStyle name="Lien hypertexte" xfId="19475" builtinId="8" hidden="1"/>
    <cellStyle name="Lien hypertexte" xfId="20399" builtinId="8" hidden="1"/>
    <cellStyle name="Lien hypertexte" xfId="22933" builtinId="8" hidden="1"/>
    <cellStyle name="Lien hypertexte" xfId="552" builtinId="8" hidden="1"/>
    <cellStyle name="Lien hypertexte" xfId="18815" builtinId="8" hidden="1"/>
    <cellStyle name="Lien hypertexte" xfId="16302" builtinId="8" hidden="1"/>
    <cellStyle name="Lien hypertexte" xfId="17172" builtinId="8" hidden="1"/>
    <cellStyle name="Lien hypertexte" xfId="15252" builtinId="8" hidden="1"/>
    <cellStyle name="Lien hypertexte" xfId="18647" builtinId="8" hidden="1"/>
    <cellStyle name="Lien hypertexte" xfId="23799" builtinId="8" hidden="1"/>
    <cellStyle name="Lien hypertexte" xfId="21241" builtinId="8" hidden="1"/>
    <cellStyle name="Lien hypertexte" xfId="19467" builtinId="8" hidden="1"/>
    <cellStyle name="Lien hypertexte" xfId="20393" builtinId="8" hidden="1"/>
    <cellStyle name="Lien hypertexte" xfId="22923" builtinId="8" hidden="1"/>
    <cellStyle name="Lien hypertexte" xfId="544" builtinId="8" hidden="1"/>
    <cellStyle name="Lien hypertexte" xfId="18809" builtinId="8" hidden="1"/>
    <cellStyle name="Lien hypertexte" xfId="16296" builtinId="8" hidden="1"/>
    <cellStyle name="Lien hypertexte" xfId="17178" builtinId="8" hidden="1"/>
    <cellStyle name="Lien hypertexte" xfId="15260" builtinId="8" hidden="1"/>
    <cellStyle name="Lien hypertexte" xfId="18597" builtinId="8" hidden="1"/>
    <cellStyle name="Lien hypertexte" xfId="23805" builtinId="8" hidden="1"/>
    <cellStyle name="Lien hypertexte" xfId="21247" builtinId="8" hidden="1"/>
    <cellStyle name="Lien hypertexte" xfId="19461" builtinId="8" hidden="1"/>
    <cellStyle name="Lien hypertexte" xfId="20387" builtinId="8" hidden="1"/>
    <cellStyle name="Lien hypertexte" xfId="22917" builtinId="8" hidden="1"/>
    <cellStyle name="Lien hypertexte" xfId="538" builtinId="8" hidden="1"/>
    <cellStyle name="Lien hypertexte" xfId="18803" builtinId="8" hidden="1"/>
    <cellStyle name="Lien hypertexte" xfId="16738" builtinId="8" hidden="1"/>
    <cellStyle name="Lien hypertexte" xfId="17186" builtinId="8" hidden="1"/>
    <cellStyle name="Lien hypertexte" xfId="15266" builtinId="8" hidden="1"/>
    <cellStyle name="Lien hypertexte" xfId="18545" builtinId="8" hidden="1"/>
    <cellStyle name="Lien hypertexte" xfId="23815" builtinId="8" hidden="1"/>
    <cellStyle name="Lien hypertexte" xfId="21255" builtinId="8" hidden="1"/>
    <cellStyle name="Lien hypertexte" xfId="19453" builtinId="8" hidden="1"/>
    <cellStyle name="Lien hypertexte" xfId="20379" builtinId="8" hidden="1"/>
    <cellStyle name="Lien hypertexte" xfId="22909" builtinId="8" hidden="1"/>
    <cellStyle name="Lien hypertexte" xfId="530" builtinId="8" hidden="1"/>
    <cellStyle name="Lien hypertexte" xfId="18795" builtinId="8" hidden="1"/>
    <cellStyle name="Lien hypertexte" xfId="16282" builtinId="8" hidden="1"/>
    <cellStyle name="Lien hypertexte" xfId="17192" builtinId="8" hidden="1"/>
    <cellStyle name="Lien hypertexte" xfId="15274" builtinId="8" hidden="1"/>
    <cellStyle name="Lien hypertexte" xfId="18493" builtinId="8" hidden="1"/>
    <cellStyle name="Lien hypertexte" xfId="23821" builtinId="8" hidden="1"/>
    <cellStyle name="Lien hypertexte" xfId="21261" builtinId="8" hidden="1"/>
    <cellStyle name="Lien hypertexte" xfId="19447" builtinId="8" hidden="1"/>
    <cellStyle name="Lien hypertexte" xfId="20373" builtinId="8" hidden="1"/>
    <cellStyle name="Lien hypertexte" xfId="22903" builtinId="8" hidden="1"/>
    <cellStyle name="Lien hypertexte" xfId="524" builtinId="8" hidden="1"/>
    <cellStyle name="Lien hypertexte" xfId="18789" builtinId="8" hidden="1"/>
    <cellStyle name="Lien hypertexte" xfId="16274" builtinId="8" hidden="1"/>
    <cellStyle name="Lien hypertexte" xfId="17202" builtinId="8" hidden="1"/>
    <cellStyle name="Lien hypertexte" xfId="15282" builtinId="8" hidden="1"/>
    <cellStyle name="Lien hypertexte" xfId="18443" builtinId="8" hidden="1"/>
    <cellStyle name="Lien hypertexte" xfId="23829" builtinId="8" hidden="1"/>
    <cellStyle name="Lien hypertexte" xfId="21269" builtinId="8" hidden="1"/>
    <cellStyle name="Lien hypertexte" xfId="19439" builtinId="8" hidden="1"/>
    <cellStyle name="Lien hypertexte" xfId="20365" builtinId="8" hidden="1"/>
    <cellStyle name="Lien hypertexte" xfId="22895" builtinId="8" hidden="1"/>
    <cellStyle name="Lien hypertexte" xfId="518" builtinId="8" hidden="1"/>
    <cellStyle name="Lien hypertexte" xfId="18779" builtinId="8" hidden="1"/>
    <cellStyle name="Lien hypertexte" xfId="16266" builtinId="8" hidden="1"/>
    <cellStyle name="Lien hypertexte" xfId="17208" builtinId="8" hidden="1"/>
    <cellStyle name="Lien hypertexte" xfId="15288" builtinId="8" hidden="1"/>
    <cellStyle name="Lien hypertexte" xfId="18391" builtinId="8" hidden="1"/>
    <cellStyle name="Lien hypertexte" xfId="23835" builtinId="8" hidden="1"/>
    <cellStyle name="Lien hypertexte" xfId="21275" builtinId="8" hidden="1"/>
    <cellStyle name="Lien hypertexte" xfId="19433" builtinId="8" hidden="1"/>
    <cellStyle name="Lien hypertexte" xfId="20359" builtinId="8" hidden="1"/>
    <cellStyle name="Lien hypertexte" xfId="22887" builtinId="8" hidden="1"/>
    <cellStyle name="Lien hypertexte" xfId="510" builtinId="8" hidden="1"/>
    <cellStyle name="Lien hypertexte" xfId="18773" builtinId="8" hidden="1"/>
    <cellStyle name="Lien hypertexte" xfId="16260" builtinId="8" hidden="1"/>
    <cellStyle name="Lien hypertexte" xfId="17216" builtinId="8" hidden="1"/>
    <cellStyle name="Lien hypertexte" xfId="15296" builtinId="8" hidden="1"/>
    <cellStyle name="Lien hypertexte" xfId="18341" builtinId="8" hidden="1"/>
    <cellStyle name="Lien hypertexte" xfId="23843" builtinId="8" hidden="1"/>
    <cellStyle name="Lien hypertexte" xfId="21283" builtinId="8" hidden="1"/>
    <cellStyle name="Lien hypertexte" xfId="19427" builtinId="8" hidden="1"/>
    <cellStyle name="Lien hypertexte" xfId="20351" builtinId="8" hidden="1"/>
    <cellStyle name="Lien hypertexte" xfId="22879" builtinId="8" hidden="1"/>
    <cellStyle name="Lien hypertexte" xfId="504" builtinId="8" hidden="1"/>
    <cellStyle name="Lien hypertexte" xfId="18765" builtinId="8" hidden="1"/>
    <cellStyle name="Lien hypertexte" xfId="16252" builtinId="8" hidden="1"/>
    <cellStyle name="Lien hypertexte" xfId="17222" builtinId="8" hidden="1"/>
    <cellStyle name="Lien hypertexte" xfId="15302" builtinId="8" hidden="1"/>
    <cellStyle name="Lien hypertexte" xfId="18272" builtinId="8" hidden="1"/>
    <cellStyle name="Lien hypertexte" xfId="23851" builtinId="8" hidden="1"/>
    <cellStyle name="Lien hypertexte" xfId="21291" builtinId="8" hidden="1"/>
    <cellStyle name="Lien hypertexte" xfId="19419" builtinId="8" hidden="1"/>
    <cellStyle name="Lien hypertexte" xfId="20345" builtinId="8" hidden="1"/>
    <cellStyle name="Lien hypertexte" xfId="22873" builtinId="8" hidden="1"/>
    <cellStyle name="Lien hypertexte" xfId="496" builtinId="8" hidden="1"/>
    <cellStyle name="Lien hypertexte" xfId="18759" builtinId="8" hidden="1"/>
    <cellStyle name="Lien hypertexte" xfId="16246" builtinId="8" hidden="1"/>
    <cellStyle name="Lien hypertexte" xfId="17228" builtinId="8" hidden="1"/>
    <cellStyle name="Lien hypertexte" xfId="15310" builtinId="8" hidden="1"/>
    <cellStyle name="Lien hypertexte" xfId="18220" builtinId="8" hidden="1"/>
    <cellStyle name="Lien hypertexte" xfId="23859" builtinId="8" hidden="1"/>
    <cellStyle name="Lien hypertexte" xfId="21299" builtinId="8" hidden="1"/>
    <cellStyle name="Lien hypertexte" xfId="19413" builtinId="8" hidden="1"/>
    <cellStyle name="Lien hypertexte" xfId="20339" builtinId="8" hidden="1"/>
    <cellStyle name="Lien hypertexte" xfId="22867" builtinId="8" hidden="1"/>
    <cellStyle name="Lien hypertexte" xfId="490" builtinId="8" hidden="1"/>
    <cellStyle name="Lien hypertexte" xfId="18751" builtinId="8" hidden="1"/>
    <cellStyle name="Lien hypertexte" xfId="16236" builtinId="8" hidden="1"/>
    <cellStyle name="Lien hypertexte" xfId="17238" builtinId="8" hidden="1"/>
    <cellStyle name="Lien hypertexte" xfId="15316" builtinId="8" hidden="1"/>
    <cellStyle name="Lien hypertexte" xfId="18170" builtinId="8" hidden="1"/>
    <cellStyle name="Lien hypertexte" xfId="23865" builtinId="8" hidden="1"/>
    <cellStyle name="Lien hypertexte" xfId="21305" builtinId="8" hidden="1"/>
    <cellStyle name="Lien hypertexte" xfId="19405" builtinId="8" hidden="1"/>
    <cellStyle name="Lien hypertexte" xfId="20329" builtinId="8" hidden="1"/>
    <cellStyle name="Lien hypertexte" xfId="22859" builtinId="8" hidden="1"/>
    <cellStyle name="Lien hypertexte" xfId="482" builtinId="8" hidden="1"/>
    <cellStyle name="Lien hypertexte" xfId="18743" builtinId="8" hidden="1"/>
    <cellStyle name="Lien hypertexte" xfId="17088" builtinId="8" hidden="1"/>
    <cellStyle name="Lien hypertexte" xfId="17868" builtinId="8" hidden="1"/>
    <cellStyle name="Lien hypertexte" xfId="15324" builtinId="8" hidden="1"/>
    <cellStyle name="Lien hypertexte" xfId="18118" builtinId="8" hidden="1"/>
    <cellStyle name="Lien hypertexte" xfId="23871" builtinId="8" hidden="1"/>
    <cellStyle name="Lien hypertexte" xfId="21311" builtinId="8" hidden="1"/>
    <cellStyle name="Lien hypertexte" xfId="19399" builtinId="8" hidden="1"/>
    <cellStyle name="Lien hypertexte" xfId="20323" builtinId="8" hidden="1"/>
    <cellStyle name="Lien hypertexte" xfId="22851" builtinId="8" hidden="1"/>
    <cellStyle name="Lien hypertexte" xfId="476" builtinId="8" hidden="1"/>
    <cellStyle name="Lien hypertexte" xfId="18737" builtinId="8" hidden="1"/>
    <cellStyle name="Lien hypertexte" xfId="16222" builtinId="8" hidden="1"/>
    <cellStyle name="Lien hypertexte" xfId="17252" builtinId="8" hidden="1"/>
    <cellStyle name="Lien hypertexte" xfId="15330" builtinId="8" hidden="1"/>
    <cellStyle name="Lien hypertexte" xfId="18068" builtinId="8" hidden="1"/>
    <cellStyle name="Lien hypertexte" xfId="23879" builtinId="8" hidden="1"/>
    <cellStyle name="Lien hypertexte" xfId="21319" builtinId="8" hidden="1"/>
    <cellStyle name="Lien hypertexte" xfId="19391" builtinId="8" hidden="1"/>
    <cellStyle name="Lien hypertexte" xfId="20315" builtinId="8" hidden="1"/>
    <cellStyle name="Lien hypertexte" xfId="22843" builtinId="8" hidden="1"/>
    <cellStyle name="Lien hypertexte" xfId="470" builtinId="8" hidden="1"/>
    <cellStyle name="Lien hypertexte" xfId="18729" builtinId="8" hidden="1"/>
    <cellStyle name="Lien hypertexte" xfId="16216" builtinId="8" hidden="1"/>
    <cellStyle name="Lien hypertexte" xfId="17258" builtinId="8" hidden="1"/>
    <cellStyle name="Lien hypertexte" xfId="15336" builtinId="8" hidden="1"/>
    <cellStyle name="Lien hypertexte" xfId="18016" builtinId="8" hidden="1"/>
    <cellStyle name="Lien hypertexte" xfId="23887" builtinId="8" hidden="1"/>
    <cellStyle name="Lien hypertexte" xfId="21325" builtinId="8" hidden="1"/>
    <cellStyle name="Lien hypertexte" xfId="19385" builtinId="8" hidden="1"/>
    <cellStyle name="Lien hypertexte" xfId="20309" builtinId="8" hidden="1"/>
    <cellStyle name="Lien hypertexte" xfId="22837" builtinId="8" hidden="1"/>
    <cellStyle name="Lien hypertexte" xfId="462" builtinId="8" hidden="1"/>
    <cellStyle name="Lien hypertexte" xfId="18723" builtinId="8" hidden="1"/>
    <cellStyle name="Lien hypertexte" xfId="16210" builtinId="8" hidden="1"/>
    <cellStyle name="Lien hypertexte" xfId="17268" builtinId="8" hidden="1"/>
    <cellStyle name="Lien hypertexte" xfId="15346" builtinId="8" hidden="1"/>
    <cellStyle name="Lien hypertexte" xfId="17964" builtinId="8" hidden="1"/>
    <cellStyle name="Lien hypertexte" xfId="23895" builtinId="8" hidden="1"/>
    <cellStyle name="Lien hypertexte" xfId="21333" builtinId="8" hidden="1"/>
    <cellStyle name="Lien hypertexte" xfId="19379" builtinId="8" hidden="1"/>
    <cellStyle name="Lien hypertexte" xfId="20301" builtinId="8" hidden="1"/>
    <cellStyle name="Lien hypertexte" xfId="22829" builtinId="8" hidden="1"/>
    <cellStyle name="Lien hypertexte" xfId="456" builtinId="8" hidden="1"/>
    <cellStyle name="Lien hypertexte" xfId="18713" builtinId="8" hidden="1"/>
    <cellStyle name="Lien hypertexte" xfId="16200" builtinId="8" hidden="1"/>
    <cellStyle name="Lien hypertexte" xfId="17274" builtinId="8" hidden="1"/>
    <cellStyle name="Lien hypertexte" xfId="15352" builtinId="8" hidden="1"/>
    <cellStyle name="Lien hypertexte" xfId="17914" builtinId="8" hidden="1"/>
    <cellStyle name="Lien hypertexte" xfId="23901" builtinId="8" hidden="1"/>
    <cellStyle name="Lien hypertexte" xfId="21339" builtinId="8" hidden="1"/>
    <cellStyle name="Lien hypertexte" xfId="19371" builtinId="8" hidden="1"/>
    <cellStyle name="Lien hypertexte" xfId="20295" builtinId="8" hidden="1"/>
    <cellStyle name="Lien hypertexte" xfId="22823" builtinId="8" hidden="1"/>
    <cellStyle name="Lien hypertexte" xfId="446" builtinId="8" hidden="1"/>
    <cellStyle name="Lien hypertexte" xfId="18707" builtinId="8" hidden="1"/>
    <cellStyle name="Lien hypertexte" xfId="16194" builtinId="8" hidden="1"/>
    <cellStyle name="Lien hypertexte" xfId="17280" builtinId="8" hidden="1"/>
    <cellStyle name="Lien hypertexte" xfId="15360" builtinId="8" hidden="1"/>
    <cellStyle name="Lien hypertexte" xfId="17862" builtinId="8" hidden="1"/>
    <cellStyle name="Lien hypertexte" xfId="23909" builtinId="8" hidden="1"/>
    <cellStyle name="Lien hypertexte" xfId="21347" builtinId="8" hidden="1"/>
    <cellStyle name="Lien hypertexte" xfId="19365" builtinId="8" hidden="1"/>
    <cellStyle name="Lien hypertexte" xfId="20287" builtinId="8" hidden="1"/>
    <cellStyle name="Lien hypertexte" xfId="22813" builtinId="8" hidden="1"/>
    <cellStyle name="Lien hypertexte" xfId="440" builtinId="8" hidden="1"/>
    <cellStyle name="Lien hypertexte" xfId="18701" builtinId="8" hidden="1"/>
    <cellStyle name="Lien hypertexte" xfId="16186" builtinId="8" hidden="1"/>
    <cellStyle name="Lien hypertexte" xfId="17288" builtinId="8" hidden="1"/>
    <cellStyle name="Lien hypertexte" xfId="15366" builtinId="8" hidden="1"/>
    <cellStyle name="Lien hypertexte" xfId="17812" builtinId="8" hidden="1"/>
    <cellStyle name="Lien hypertexte" xfId="23915" builtinId="8" hidden="1"/>
    <cellStyle name="Lien hypertexte" xfId="21353" builtinId="8" hidden="1"/>
    <cellStyle name="Lien hypertexte" xfId="19357" builtinId="8" hidden="1"/>
    <cellStyle name="Lien hypertexte" xfId="20281" builtinId="8" hidden="1"/>
    <cellStyle name="Lien hypertexte" xfId="22807" builtinId="8" hidden="1"/>
    <cellStyle name="Lien hypertexte" xfId="432" builtinId="8" hidden="1"/>
    <cellStyle name="Lien hypertexte" xfId="18693" builtinId="8" hidden="1"/>
    <cellStyle name="Lien hypertexte" xfId="16180" builtinId="8" hidden="1"/>
    <cellStyle name="Lien hypertexte" xfId="17294" builtinId="8" hidden="1"/>
    <cellStyle name="Lien hypertexte" xfId="15374" builtinId="8" hidden="1"/>
    <cellStyle name="Lien hypertexte" xfId="17760" builtinId="8" hidden="1"/>
    <cellStyle name="Lien hypertexte" xfId="23925" builtinId="8" hidden="1"/>
    <cellStyle name="Lien hypertexte" xfId="21363" builtinId="8" hidden="1"/>
    <cellStyle name="Lien hypertexte" xfId="19351" builtinId="8" hidden="1"/>
    <cellStyle name="Lien hypertexte" xfId="20275" builtinId="8" hidden="1"/>
    <cellStyle name="Lien hypertexte" xfId="22799" builtinId="8" hidden="1"/>
    <cellStyle name="Lien hypertexte" xfId="426" builtinId="8" hidden="1"/>
    <cellStyle name="Lien hypertexte" xfId="18685" builtinId="8" hidden="1"/>
    <cellStyle name="Lien hypertexte" xfId="16814" builtinId="8" hidden="1"/>
    <cellStyle name="Lien hypertexte" xfId="17304" builtinId="8" hidden="1"/>
    <cellStyle name="Lien hypertexte" xfId="15380" builtinId="8" hidden="1"/>
    <cellStyle name="Lien hypertexte" xfId="17708" builtinId="8" hidden="1"/>
    <cellStyle name="Lien hypertexte" xfId="23931" builtinId="8" hidden="1"/>
    <cellStyle name="Lien hypertexte" xfId="21369" builtinId="8" hidden="1"/>
    <cellStyle name="Lien hypertexte" xfId="19343" builtinId="8" hidden="1"/>
    <cellStyle name="Lien hypertexte" xfId="20267" builtinId="8" hidden="1"/>
    <cellStyle name="Lien hypertexte" xfId="22793" builtinId="8" hidden="1"/>
    <cellStyle name="Lien hypertexte" xfId="420" builtinId="8" hidden="1"/>
    <cellStyle name="Lien hypertexte" xfId="18677" builtinId="8" hidden="1"/>
    <cellStyle name="Lien hypertexte" xfId="16164" builtinId="8" hidden="1"/>
    <cellStyle name="Lien hypertexte" xfId="17310" builtinId="8" hidden="1"/>
    <cellStyle name="Lien hypertexte" xfId="15386" builtinId="8" hidden="1"/>
    <cellStyle name="Lien hypertexte" xfId="17658" builtinId="8" hidden="1"/>
    <cellStyle name="Lien hypertexte" xfId="23939" builtinId="8" hidden="1"/>
    <cellStyle name="Lien hypertexte" xfId="21375" builtinId="8" hidden="1"/>
    <cellStyle name="Lien hypertexte" xfId="19337" builtinId="8" hidden="1"/>
    <cellStyle name="Lien hypertexte" xfId="20259" builtinId="8" hidden="1"/>
    <cellStyle name="Lien hypertexte" xfId="22787" builtinId="8" hidden="1"/>
    <cellStyle name="Lien hypertexte" xfId="412" builtinId="8" hidden="1"/>
    <cellStyle name="Lien hypertexte" xfId="18671" builtinId="8" hidden="1"/>
    <cellStyle name="Lien hypertexte" xfId="16158" builtinId="8" hidden="1"/>
    <cellStyle name="Lien hypertexte" xfId="17318" builtinId="8" hidden="1"/>
    <cellStyle name="Lien hypertexte" xfId="15394" builtinId="8" hidden="1"/>
    <cellStyle name="Lien hypertexte" xfId="17606" builtinId="8" hidden="1"/>
    <cellStyle name="Lien hypertexte" xfId="23945" builtinId="8" hidden="1"/>
    <cellStyle name="Lien hypertexte" xfId="21383" builtinId="8" hidden="1"/>
    <cellStyle name="Lien hypertexte" xfId="19331" builtinId="8" hidden="1"/>
    <cellStyle name="Lien hypertexte" xfId="20251" builtinId="8" hidden="1"/>
    <cellStyle name="Lien hypertexte" xfId="22777" builtinId="8" hidden="1"/>
    <cellStyle name="Lien hypertexte" xfId="406" builtinId="8" hidden="1"/>
    <cellStyle name="Lien hypertexte" xfId="18663" builtinId="8" hidden="1"/>
    <cellStyle name="Lien hypertexte" xfId="16150" builtinId="8" hidden="1"/>
    <cellStyle name="Lien hypertexte" xfId="17324" builtinId="8" hidden="1"/>
    <cellStyle name="Lien hypertexte" xfId="15400" builtinId="8" hidden="1"/>
    <cellStyle name="Lien hypertexte" xfId="17556" builtinId="8" hidden="1"/>
    <cellStyle name="Lien hypertexte" xfId="23951" builtinId="8" hidden="1"/>
    <cellStyle name="Lien hypertexte" xfId="21389" builtinId="8" hidden="1"/>
    <cellStyle name="Lien hypertexte" xfId="19323" builtinId="8" hidden="1"/>
    <cellStyle name="Lien hypertexte" xfId="21759" builtinId="8" hidden="1"/>
    <cellStyle name="Lien hypertexte" xfId="22771" builtinId="8" hidden="1"/>
    <cellStyle name="Lien hypertexte" xfId="398" builtinId="8" hidden="1"/>
    <cellStyle name="Lien hypertexte" xfId="18655" builtinId="8" hidden="1"/>
    <cellStyle name="Lien hypertexte" xfId="15938" builtinId="8" hidden="1"/>
    <cellStyle name="Lien hypertexte" xfId="17332" builtinId="8" hidden="1"/>
    <cellStyle name="Lien hypertexte" xfId="15410" builtinId="8" hidden="1"/>
    <cellStyle name="Lien hypertexte" xfId="17504" builtinId="8" hidden="1"/>
    <cellStyle name="Lien hypertexte" xfId="23961" builtinId="8" hidden="1"/>
    <cellStyle name="Lien hypertexte" xfId="21397" builtinId="8" hidden="1"/>
    <cellStyle name="Lien hypertexte" xfId="19317" builtinId="8" hidden="1"/>
    <cellStyle name="Lien hypertexte" xfId="21869" builtinId="8" hidden="1"/>
    <cellStyle name="Lien hypertexte" xfId="22763" builtinId="8" hidden="1"/>
    <cellStyle name="Lien hypertexte" xfId="392" builtinId="8" hidden="1"/>
    <cellStyle name="Lien hypertexte" xfId="18649" builtinId="8" hidden="1"/>
    <cellStyle name="Lien hypertexte" xfId="16134" builtinId="8" hidden="1"/>
    <cellStyle name="Lien hypertexte" xfId="17340" builtinId="8" hidden="1"/>
    <cellStyle name="Lien hypertexte" xfId="15416" builtinId="8" hidden="1"/>
    <cellStyle name="Lien hypertexte" xfId="17452" builtinId="8" hidden="1"/>
    <cellStyle name="Lien hypertexte" xfId="23967" builtinId="8" hidden="1"/>
    <cellStyle name="Lien hypertexte" xfId="21403" builtinId="8" hidden="1"/>
    <cellStyle name="Lien hypertexte" xfId="19307" builtinId="8" hidden="1"/>
    <cellStyle name="Lien hypertexte" xfId="21979" builtinId="8" hidden="1"/>
    <cellStyle name="Lien hypertexte" xfId="22757" builtinId="8" hidden="1"/>
    <cellStyle name="Lien hypertexte" xfId="384" builtinId="8" hidden="1"/>
    <cellStyle name="Lien hypertexte" xfId="18641" builtinId="8" hidden="1"/>
    <cellStyle name="Lien hypertexte" xfId="16128" builtinId="8" hidden="1"/>
    <cellStyle name="Lien hypertexte" xfId="17346" builtinId="8" hidden="1"/>
    <cellStyle name="Lien hypertexte" xfId="15424" builtinId="8" hidden="1"/>
    <cellStyle name="Lien hypertexte" xfId="17402" builtinId="8" hidden="1"/>
    <cellStyle name="Lien hypertexte" xfId="23975" builtinId="8" hidden="1"/>
    <cellStyle name="Lien hypertexte" xfId="21411" builtinId="8" hidden="1"/>
    <cellStyle name="Lien hypertexte" xfId="17992" builtinId="8" hidden="1"/>
    <cellStyle name="Lien hypertexte" xfId="14840" builtinId="8" hidden="1"/>
    <cellStyle name="Lien hypertexte" xfId="378" builtinId="8" hidden="1"/>
    <cellStyle name="Lien hypertexte" xfId="22123" builtinId="8" hidden="1"/>
    <cellStyle name="Lien hypertexte" xfId="23373" builtinId="8" hidden="1"/>
    <cellStyle name="Lien hypertexte" xfId="22089" builtinId="8" hidden="1"/>
    <cellStyle name="Lien hypertexte" xfId="19779" builtinId="8" hidden="1"/>
    <cellStyle name="Lien hypertexte" xfId="18867" builtinId="8" hidden="1"/>
    <cellStyle name="Lien hypertexte" xfId="19279" builtinId="8" hidden="1"/>
    <cellStyle name="Lien hypertexte" xfId="23997" builtinId="8" hidden="1"/>
    <cellStyle name="Lien hypertexte" xfId="15444" builtinId="8" hidden="1"/>
    <cellStyle name="Lien hypertexte" xfId="17978" builtinId="8" hidden="1"/>
    <cellStyle name="Lien hypertexte" xfId="16730" builtinId="8" hidden="1"/>
    <cellStyle name="Lien hypertexte" xfId="21521" builtinId="8" hidden="1"/>
    <cellStyle name="Lien hypertexte" xfId="18619" builtinId="8" hidden="1"/>
    <cellStyle name="Lien hypertexte" xfId="14824" builtinId="8" hidden="1"/>
    <cellStyle name="Lien hypertexte" xfId="364" builtinId="8" hidden="1"/>
    <cellStyle name="Lien hypertexte" xfId="706" builtinId="8" hidden="1"/>
    <cellStyle name="Lien hypertexte" xfId="15430" builtinId="8" hidden="1"/>
    <cellStyle name="Lien hypertexte" xfId="16120" builtinId="8" hidden="1"/>
    <cellStyle name="Lien hypertexte" xfId="16106" builtinId="8" hidden="1"/>
    <cellStyle name="Lien hypertexte" xfId="17354" builtinId="8" hidden="1"/>
    <cellStyle name="Lien hypertexte" xfId="17370" builtinId="8" hidden="1"/>
    <cellStyle name="Lien hypertexte" xfId="17248" builtinId="8" hidden="1"/>
    <cellStyle name="Lien hypertexte" xfId="21433" builtinId="8" hidden="1"/>
    <cellStyle name="Lien hypertexte" xfId="19757" builtinId="8" hidden="1"/>
    <cellStyle name="Lien hypertexte" xfId="19301" builtinId="8" hidden="1"/>
    <cellStyle name="Lien hypertexte" xfId="20827" builtinId="8" hidden="1"/>
    <cellStyle name="Lien hypertexte" xfId="24545" builtinId="8" hidden="1"/>
    <cellStyle name="Lien hypertexte" xfId="22749" builtinId="8" hidden="1"/>
    <cellStyle name="Lien hypertexte" xfId="172" builtinId="8" hidden="1"/>
    <cellStyle name="Lien hypertexte" xfId="720" builtinId="8" hidden="1"/>
    <cellStyle name="Lien hypertexte" xfId="18635" builtinId="8" hidden="1"/>
    <cellStyle name="Lien hypertexte" xfId="16744" builtinId="8" hidden="1"/>
    <cellStyle name="Lien hypertexte" xfId="22419" builtinId="8" hidden="1"/>
    <cellStyle name="Lien hypertexte" xfId="22727" builtinId="8" hidden="1"/>
    <cellStyle name="Lien hypertexte" xfId="358" builtinId="8" hidden="1"/>
    <cellStyle name="Lien hypertexte" xfId="18611" builtinId="8" hidden="1"/>
    <cellStyle name="Lien hypertexte" xfId="16098" builtinId="8" hidden="1"/>
    <cellStyle name="Lien hypertexte" xfId="17376" builtinId="8" hidden="1"/>
    <cellStyle name="Lien hypertexte" xfId="15450" builtinId="8" hidden="1"/>
    <cellStyle name="Lien hypertexte" xfId="17196" builtinId="8" hidden="1"/>
    <cellStyle name="Lien hypertexte" xfId="24005" builtinId="8" hidden="1"/>
    <cellStyle name="Lien hypertexte" xfId="21439" builtinId="8" hidden="1"/>
    <cellStyle name="Lien hypertexte" xfId="19273" builtinId="8" hidden="1"/>
    <cellStyle name="Lien hypertexte" xfId="22527" builtinId="8" hidden="1"/>
    <cellStyle name="Lien hypertexte" xfId="22719" builtinId="8" hidden="1"/>
    <cellStyle name="Lien hypertexte" xfId="350" builtinId="8" hidden="1"/>
    <cellStyle name="Lien hypertexte" xfId="18605" builtinId="8" hidden="1"/>
    <cellStyle name="Lien hypertexte" xfId="16092" builtinId="8" hidden="1"/>
    <cellStyle name="Lien hypertexte" xfId="17382" builtinId="8" hidden="1"/>
    <cellStyle name="Lien hypertexte" xfId="15458" builtinId="8" hidden="1"/>
    <cellStyle name="Lien hypertexte" xfId="17146" builtinId="8" hidden="1"/>
    <cellStyle name="Lien hypertexte" xfId="24011" builtinId="8" hidden="1"/>
    <cellStyle name="Lien hypertexte" xfId="21447" builtinId="8" hidden="1"/>
    <cellStyle name="Lien hypertexte" xfId="19267" builtinId="8" hidden="1"/>
    <cellStyle name="Lien hypertexte" xfId="22637" builtinId="8" hidden="1"/>
    <cellStyle name="Lien hypertexte" xfId="22713" builtinId="8" hidden="1"/>
    <cellStyle name="Lien hypertexte" xfId="838" builtinId="8" hidden="1"/>
    <cellStyle name="Lien hypertexte" xfId="18599" builtinId="8" hidden="1"/>
    <cellStyle name="Lien hypertexte" xfId="15976" builtinId="8" hidden="1"/>
    <cellStyle name="Lien hypertexte" xfId="17390" builtinId="8" hidden="1"/>
    <cellStyle name="Lien hypertexte" xfId="15464" builtinId="8" hidden="1"/>
    <cellStyle name="Lien hypertexte" xfId="17094" builtinId="8" hidden="1"/>
    <cellStyle name="Lien hypertexte" xfId="24019" builtinId="8" hidden="1"/>
    <cellStyle name="Lien hypertexte" xfId="21453" builtinId="8" hidden="1"/>
    <cellStyle name="Lien hypertexte" xfId="19259" builtinId="8" hidden="1"/>
    <cellStyle name="Lien hypertexte" xfId="22747" builtinId="8" hidden="1"/>
    <cellStyle name="Lien hypertexte" xfId="22703" builtinId="8" hidden="1"/>
    <cellStyle name="Lien hypertexte" xfId="14626" builtinId="8" hidden="1"/>
    <cellStyle name="Lien hypertexte" xfId="18589" builtinId="8" hidden="1"/>
    <cellStyle name="Lien hypertexte" xfId="16076" builtinId="8" hidden="1"/>
    <cellStyle name="Lien hypertexte" xfId="17398" builtinId="8" hidden="1"/>
    <cellStyle name="Lien hypertexte" xfId="15474" builtinId="8" hidden="1"/>
    <cellStyle name="Lien hypertexte" xfId="17044" builtinId="8" hidden="1"/>
    <cellStyle name="Lien hypertexte" xfId="24025" builtinId="8" hidden="1"/>
    <cellStyle name="Lien hypertexte" xfId="21461" builtinId="8" hidden="1"/>
    <cellStyle name="Lien hypertexte" xfId="19253" builtinId="8" hidden="1"/>
    <cellStyle name="Lien hypertexte" xfId="22857" builtinId="8" hidden="1"/>
    <cellStyle name="Lien hypertexte" xfId="22697" builtinId="8" hidden="1"/>
    <cellStyle name="Lien hypertexte" xfId="14620" builtinId="8" hidden="1"/>
    <cellStyle name="Lien hypertexte" xfId="18583" builtinId="8" hidden="1"/>
    <cellStyle name="Lien hypertexte" xfId="16068" builtinId="8" hidden="1"/>
    <cellStyle name="Lien hypertexte" xfId="17406" builtinId="8" hidden="1"/>
    <cellStyle name="Lien hypertexte" xfId="15480" builtinId="8" hidden="1"/>
    <cellStyle name="Lien hypertexte" xfId="16992" builtinId="8" hidden="1"/>
    <cellStyle name="Lien hypertexte" xfId="24035" builtinId="8" hidden="1"/>
    <cellStyle name="Lien hypertexte" xfId="21467" builtinId="8" hidden="1"/>
    <cellStyle name="Lien hypertexte" xfId="19245" builtinId="8" hidden="1"/>
    <cellStyle name="Lien hypertexte" xfId="22967" builtinId="8" hidden="1"/>
    <cellStyle name="Lien hypertexte" xfId="22691" builtinId="8" hidden="1"/>
    <cellStyle name="Lien hypertexte" xfId="14614" builtinId="8" hidden="1"/>
    <cellStyle name="Lien hypertexte" xfId="18575" builtinId="8" hidden="1"/>
    <cellStyle name="Lien hypertexte" xfId="16062" builtinId="8" hidden="1"/>
    <cellStyle name="Lien hypertexte" xfId="17412" builtinId="8" hidden="1"/>
    <cellStyle name="Lien hypertexte" xfId="15486" builtinId="8" hidden="1"/>
    <cellStyle name="Lien hypertexte" xfId="16940" builtinId="8" hidden="1"/>
    <cellStyle name="Lien hypertexte" xfId="24041" builtinId="8" hidden="1"/>
    <cellStyle name="Lien hypertexte" xfId="21475" builtinId="8" hidden="1"/>
    <cellStyle name="Lien hypertexte" xfId="19239" builtinId="8" hidden="1"/>
    <cellStyle name="Lien hypertexte" xfId="23077" builtinId="8" hidden="1"/>
    <cellStyle name="Lien hypertexte" xfId="22683" builtinId="8" hidden="1"/>
    <cellStyle name="Lien hypertexte" xfId="14606" builtinId="8" hidden="1"/>
    <cellStyle name="Lien hypertexte" xfId="18569" builtinId="8" hidden="1"/>
    <cellStyle name="Lien hypertexte" xfId="16640" builtinId="8" hidden="1"/>
    <cellStyle name="Lien hypertexte" xfId="17420" builtinId="8" hidden="1"/>
    <cellStyle name="Lien hypertexte" xfId="15494" builtinId="8" hidden="1"/>
    <cellStyle name="Lien hypertexte" xfId="16890" builtinId="8" hidden="1"/>
    <cellStyle name="Lien hypertexte" xfId="24047" builtinId="8" hidden="1"/>
    <cellStyle name="Lien hypertexte" xfId="21481" builtinId="8" hidden="1"/>
    <cellStyle name="Lien hypertexte" xfId="19231" builtinId="8" hidden="1"/>
    <cellStyle name="Lien hypertexte" xfId="23187" builtinId="8" hidden="1"/>
    <cellStyle name="Lien hypertexte" xfId="22677" builtinId="8" hidden="1"/>
    <cellStyle name="Lien hypertexte" xfId="14600" builtinId="8" hidden="1"/>
    <cellStyle name="Lien hypertexte" xfId="18559" builtinId="8" hidden="1"/>
    <cellStyle name="Lien hypertexte" xfId="16046" builtinId="8" hidden="1"/>
    <cellStyle name="Lien hypertexte" xfId="17428" builtinId="8" hidden="1"/>
    <cellStyle name="Lien hypertexte" xfId="15500" builtinId="8" hidden="1"/>
    <cellStyle name="Lien hypertexte" xfId="16838" builtinId="8" hidden="1"/>
    <cellStyle name="Lien hypertexte" xfId="24055" builtinId="8" hidden="1"/>
    <cellStyle name="Lien hypertexte" xfId="21487" builtinId="8" hidden="1"/>
    <cellStyle name="Lien hypertexte" xfId="19225" builtinId="8" hidden="1"/>
    <cellStyle name="Lien hypertexte" xfId="23295" builtinId="8" hidden="1"/>
    <cellStyle name="Lien hypertexte" xfId="22667" builtinId="8" hidden="1"/>
    <cellStyle name="Lien hypertexte" xfId="14592" builtinId="8" hidden="1"/>
    <cellStyle name="Lien hypertexte" xfId="18553" builtinId="8" hidden="1"/>
    <cellStyle name="Lien hypertexte" xfId="16040" builtinId="8" hidden="1"/>
    <cellStyle name="Lien hypertexte" xfId="17434" builtinId="8" hidden="1"/>
    <cellStyle name="Lien hypertexte" xfId="15508" builtinId="8" hidden="1"/>
    <cellStyle name="Lien hypertexte" xfId="16788" builtinId="8" hidden="1"/>
    <cellStyle name="Lien hypertexte" xfId="24061" builtinId="8" hidden="1"/>
    <cellStyle name="Lien hypertexte" xfId="21495" builtinId="8" hidden="1"/>
    <cellStyle name="Lien hypertexte" xfId="19219" builtinId="8" hidden="1"/>
    <cellStyle name="Lien hypertexte" xfId="23405" builtinId="8" hidden="1"/>
    <cellStyle name="Lien hypertexte" xfId="22661" builtinId="8" hidden="1"/>
    <cellStyle name="Lien hypertexte" xfId="14586" builtinId="8" hidden="1"/>
    <cellStyle name="Lien hypertexte" xfId="18547" builtinId="8" hidden="1"/>
    <cellStyle name="Lien hypertexte" xfId="16032" builtinId="8" hidden="1"/>
    <cellStyle name="Lien hypertexte" xfId="17442" builtinId="8" hidden="1"/>
    <cellStyle name="Lien hypertexte" xfId="15514" builtinId="8" hidden="1"/>
    <cellStyle name="Lien hypertexte" xfId="16736" builtinId="8" hidden="1"/>
    <cellStyle name="Lien hypertexte" xfId="24071" builtinId="8" hidden="1"/>
    <cellStyle name="Lien hypertexte" xfId="21501" builtinId="8" hidden="1"/>
    <cellStyle name="Lien hypertexte" xfId="19211" builtinId="8" hidden="1"/>
    <cellStyle name="Lien hypertexte" xfId="23515" builtinId="8" hidden="1"/>
    <cellStyle name="Lien hypertexte" xfId="22653" builtinId="8" hidden="1"/>
    <cellStyle name="Lien hypertexte" xfId="14578" builtinId="8" hidden="1"/>
    <cellStyle name="Lien hypertexte" xfId="18539" builtinId="8" hidden="1"/>
    <cellStyle name="Lien hypertexte" xfId="16014" builtinId="8" hidden="1"/>
    <cellStyle name="Lien hypertexte" xfId="17448" builtinId="8" hidden="1"/>
    <cellStyle name="Lien hypertexte" xfId="15522" builtinId="8" hidden="1"/>
    <cellStyle name="Lien hypertexte" xfId="16684" builtinId="8" hidden="1"/>
    <cellStyle name="Lien hypertexte" xfId="24077" builtinId="8" hidden="1"/>
    <cellStyle name="Lien hypertexte" xfId="21511" builtinId="8" hidden="1"/>
    <cellStyle name="Lien hypertexte" xfId="19205" builtinId="8" hidden="1"/>
    <cellStyle name="Lien hypertexte" xfId="23625" builtinId="8" hidden="1"/>
    <cellStyle name="Lien hypertexte" xfId="22647" builtinId="8" hidden="1"/>
    <cellStyle name="Lien hypertexte" xfId="14570" builtinId="8" hidden="1"/>
    <cellStyle name="Lien hypertexte" xfId="18533" builtinId="8" hidden="1"/>
    <cellStyle name="Lien hypertexte" xfId="16018" builtinId="8" hidden="1"/>
    <cellStyle name="Lien hypertexte" xfId="17458" builtinId="8" hidden="1"/>
    <cellStyle name="Lien hypertexte" xfId="15528" builtinId="8" hidden="1"/>
    <cellStyle name="Lien hypertexte" xfId="16634" builtinId="8" hidden="1"/>
    <cellStyle name="Lien hypertexte" xfId="24085" builtinId="8" hidden="1"/>
    <cellStyle name="Lien hypertexte" xfId="21517" builtinId="8" hidden="1"/>
    <cellStyle name="Lien hypertexte" xfId="19197" builtinId="8" hidden="1"/>
    <cellStyle name="Lien hypertexte" xfId="23735" builtinId="8" hidden="1"/>
    <cellStyle name="Lien hypertexte" xfId="22639" builtinId="8" hidden="1"/>
    <cellStyle name="Lien hypertexte" xfId="14564" builtinId="8" hidden="1"/>
    <cellStyle name="Lien hypertexte" xfId="18523" builtinId="8" hidden="1"/>
    <cellStyle name="Lien hypertexte" xfId="16010" builtinId="8" hidden="1"/>
    <cellStyle name="Lien hypertexte" xfId="17464" builtinId="8" hidden="1"/>
    <cellStyle name="Lien hypertexte" xfId="15534" builtinId="8" hidden="1"/>
    <cellStyle name="Lien hypertexte" xfId="16582" builtinId="8" hidden="1"/>
    <cellStyle name="Lien hypertexte" xfId="24091" builtinId="8" hidden="1"/>
    <cellStyle name="Lien hypertexte" xfId="21525" builtinId="8" hidden="1"/>
    <cellStyle name="Lien hypertexte" xfId="19191" builtinId="8" hidden="1"/>
    <cellStyle name="Lien hypertexte" xfId="23845" builtinId="8" hidden="1"/>
    <cellStyle name="Lien hypertexte" xfId="22631" builtinId="8" hidden="1"/>
    <cellStyle name="Lien hypertexte" xfId="14556" builtinId="8" hidden="1"/>
    <cellStyle name="Lien hypertexte" xfId="18517" builtinId="8" hidden="1"/>
    <cellStyle name="Lien hypertexte" xfId="16004" builtinId="8" hidden="1"/>
    <cellStyle name="Lien hypertexte" xfId="17472" builtinId="8" hidden="1"/>
    <cellStyle name="Lien hypertexte" xfId="15544" builtinId="8" hidden="1"/>
    <cellStyle name="Lien hypertexte" xfId="16532" builtinId="8" hidden="1"/>
    <cellStyle name="Lien hypertexte" xfId="24099" builtinId="8" hidden="1"/>
    <cellStyle name="Lien hypertexte" xfId="21531" builtinId="8" hidden="1"/>
    <cellStyle name="Lien hypertexte" xfId="19749" builtinId="8" hidden="1"/>
    <cellStyle name="Lien hypertexte" xfId="23955" builtinId="8" hidden="1"/>
    <cellStyle name="Lien hypertexte" xfId="22623" builtinId="8" hidden="1"/>
    <cellStyle name="Lien hypertexte" xfId="14550" builtinId="8" hidden="1"/>
    <cellStyle name="Lien hypertexte" xfId="18509" builtinId="8" hidden="1"/>
    <cellStyle name="Lien hypertexte" xfId="17206" builtinId="8" hidden="1"/>
    <cellStyle name="Lien hypertexte" xfId="17714" builtinId="8" hidden="1"/>
    <cellStyle name="Lien hypertexte" xfId="15550" builtinId="8" hidden="1"/>
    <cellStyle name="Lien hypertexte" xfId="16480" builtinId="8" hidden="1"/>
    <cellStyle name="Lien hypertexte" xfId="24107" builtinId="8" hidden="1"/>
    <cellStyle name="Lien hypertexte" xfId="21539" builtinId="8" hidden="1"/>
    <cellStyle name="Lien hypertexte" xfId="20187" builtinId="8" hidden="1"/>
    <cellStyle name="Lien hypertexte" xfId="24063" builtinId="8" hidden="1"/>
    <cellStyle name="Lien hypertexte" xfId="22617" builtinId="8" hidden="1"/>
    <cellStyle name="Lien hypertexte" xfId="14542" builtinId="8" hidden="1"/>
    <cellStyle name="Lien hypertexte" xfId="18503" builtinId="8" hidden="1"/>
    <cellStyle name="Lien hypertexte" xfId="15990" builtinId="8" hidden="1"/>
    <cellStyle name="Lien hypertexte" xfId="17484" builtinId="8" hidden="1"/>
    <cellStyle name="Lien hypertexte" xfId="15558" builtinId="8" hidden="1"/>
    <cellStyle name="Lien hypertexte" xfId="16428" builtinId="8" hidden="1"/>
    <cellStyle name="Lien hypertexte" xfId="24115" builtinId="8" hidden="1"/>
    <cellStyle name="Lien hypertexte" xfId="21545" builtinId="8" hidden="1"/>
    <cellStyle name="Lien hypertexte" xfId="20239" builtinId="8" hidden="1"/>
    <cellStyle name="Lien hypertexte" xfId="24173" builtinId="8" hidden="1"/>
    <cellStyle name="Lien hypertexte" xfId="22611" builtinId="8" hidden="1"/>
    <cellStyle name="Lien hypertexte" xfId="14536" builtinId="8" hidden="1"/>
    <cellStyle name="Lien hypertexte" xfId="18495" builtinId="8" hidden="1"/>
    <cellStyle name="Lien hypertexte" xfId="15980" builtinId="8" hidden="1"/>
    <cellStyle name="Lien hypertexte" xfId="17494" builtinId="8" hidden="1"/>
    <cellStyle name="Lien hypertexte" xfId="15564" builtinId="8" hidden="1"/>
    <cellStyle name="Lien hypertexte" xfId="16378" builtinId="8" hidden="1"/>
    <cellStyle name="Lien hypertexte" xfId="24121" builtinId="8" hidden="1"/>
    <cellStyle name="Lien hypertexte" xfId="21551" builtinId="8" hidden="1"/>
    <cellStyle name="Lien hypertexte" xfId="20233" builtinId="8" hidden="1"/>
    <cellStyle name="Lien hypertexte" xfId="24283" builtinId="8" hidden="1"/>
    <cellStyle name="Lien hypertexte" xfId="22603" builtinId="8" hidden="1"/>
    <cellStyle name="Lien hypertexte" xfId="14528" builtinId="8" hidden="1"/>
    <cellStyle name="Lien hypertexte" xfId="18487" builtinId="8" hidden="1"/>
    <cellStyle name="Lien hypertexte" xfId="15974" builtinId="8" hidden="1"/>
    <cellStyle name="Lien hypertexte" xfId="17500" builtinId="8" hidden="1"/>
    <cellStyle name="Lien hypertexte" xfId="15572" builtinId="8" hidden="1"/>
    <cellStyle name="Lien hypertexte" xfId="16326" builtinId="8" hidden="1"/>
    <cellStyle name="Lien hypertexte" xfId="24127" builtinId="8" hidden="1"/>
    <cellStyle name="Lien hypertexte" xfId="21559" builtinId="8" hidden="1"/>
    <cellStyle name="Lien hypertexte" xfId="20227" builtinId="8" hidden="1"/>
    <cellStyle name="Lien hypertexte" xfId="24393" builtinId="8" hidden="1"/>
    <cellStyle name="Lien hypertexte" xfId="22595" builtinId="8" hidden="1"/>
    <cellStyle name="Lien hypertexte" xfId="14522" builtinId="8" hidden="1"/>
    <cellStyle name="Lien hypertexte" xfId="18481" builtinId="8" hidden="1"/>
    <cellStyle name="Lien hypertexte" xfId="16056" builtinId="8" hidden="1"/>
    <cellStyle name="Lien hypertexte" xfId="17508" builtinId="8" hidden="1"/>
    <cellStyle name="Lien hypertexte" xfId="15578" builtinId="8" hidden="1"/>
    <cellStyle name="Lien hypertexte" xfId="16276" builtinId="8" hidden="1"/>
    <cellStyle name="Lien hypertexte" xfId="24135" builtinId="8" hidden="1"/>
    <cellStyle name="Lien hypertexte" xfId="21565" builtinId="8" hidden="1"/>
    <cellStyle name="Lien hypertexte" xfId="20219" builtinId="8" hidden="1"/>
    <cellStyle name="Lien hypertexte" xfId="24503" builtinId="8" hidden="1"/>
    <cellStyle name="Lien hypertexte" xfId="22587" builtinId="8" hidden="1"/>
    <cellStyle name="Lien hypertexte" xfId="14516" builtinId="8" hidden="1"/>
    <cellStyle name="Lien hypertexte" xfId="18473" builtinId="8" hidden="1"/>
    <cellStyle name="Lien hypertexte" xfId="15960" builtinId="8" hidden="1"/>
    <cellStyle name="Lien hypertexte" xfId="17514" builtinId="8" hidden="1"/>
    <cellStyle name="Lien hypertexte" xfId="15584" builtinId="8" hidden="1"/>
    <cellStyle name="Lien hypertexte" xfId="16224" builtinId="8" hidden="1"/>
    <cellStyle name="Lien hypertexte" xfId="24143" builtinId="8" hidden="1"/>
    <cellStyle name="Lien hypertexte" xfId="21573" builtinId="8" hidden="1"/>
    <cellStyle name="Lien hypertexte" xfId="20213" builtinId="8" hidden="1"/>
    <cellStyle name="Lien hypertexte" xfId="24609" builtinId="8" hidden="1"/>
    <cellStyle name="Lien hypertexte" xfId="22581" builtinId="8" hidden="1"/>
    <cellStyle name="Lien hypertexte" xfId="2201" builtinId="8" hidden="1"/>
    <cellStyle name="Lien hypertexte" xfId="18467" builtinId="8" hidden="1"/>
    <cellStyle name="Lien hypertexte" xfId="15954" builtinId="8" hidden="1"/>
    <cellStyle name="Lien hypertexte" xfId="17524" builtinId="8" hidden="1"/>
    <cellStyle name="Lien hypertexte" xfId="15592" builtinId="8" hidden="1"/>
    <cellStyle name="Lien hypertexte" xfId="16172" builtinId="8" hidden="1"/>
    <cellStyle name="Lien hypertexte" xfId="24151" builtinId="8" hidden="1"/>
    <cellStyle name="Lien hypertexte" xfId="21581" builtinId="8" hidden="1"/>
    <cellStyle name="Lien hypertexte" xfId="20205" builtinId="8" hidden="1"/>
    <cellStyle name="Lien hypertexte" xfId="23841" builtinId="8" hidden="1"/>
    <cellStyle name="Lien hypertexte" xfId="22573" builtinId="8" hidden="1"/>
    <cellStyle name="Lien hypertexte" xfId="1148" builtinId="8" hidden="1"/>
    <cellStyle name="Lien hypertexte" xfId="18457" builtinId="8" hidden="1"/>
    <cellStyle name="Lien hypertexte" xfId="15944" builtinId="8" hidden="1"/>
    <cellStyle name="Lien hypertexte" xfId="17530" builtinId="8" hidden="1"/>
    <cellStyle name="Lien hypertexte" xfId="15598" builtinId="8" hidden="1"/>
    <cellStyle name="Lien hypertexte" xfId="16122" builtinId="8" hidden="1"/>
    <cellStyle name="Lien hypertexte" xfId="24157" builtinId="8" hidden="1"/>
    <cellStyle name="Lien hypertexte" xfId="21589" builtinId="8" hidden="1"/>
    <cellStyle name="Lien hypertexte" xfId="20199" builtinId="8" hidden="1"/>
    <cellStyle name="Lien hypertexte" xfId="23073" builtinId="8" hidden="1"/>
    <cellStyle name="Lien hypertexte" xfId="22567" builtinId="8" hidden="1"/>
    <cellStyle name="Lien hypertexte" xfId="1140" builtinId="8" hidden="1"/>
    <cellStyle name="Lien hypertexte" xfId="18451" builtinId="8" hidden="1"/>
    <cellStyle name="Lien hypertexte" xfId="16406" builtinId="8" hidden="1"/>
    <cellStyle name="Lien hypertexte" xfId="17536" builtinId="8" hidden="1"/>
    <cellStyle name="Lien hypertexte" xfId="15608" builtinId="8" hidden="1"/>
    <cellStyle name="Lien hypertexte" xfId="16070" builtinId="8" hidden="1"/>
    <cellStyle name="Lien hypertexte" xfId="24165" builtinId="8" hidden="1"/>
    <cellStyle name="Lien hypertexte" xfId="21595" builtinId="8" hidden="1"/>
    <cellStyle name="Lien hypertexte" xfId="20191" builtinId="8" hidden="1"/>
    <cellStyle name="Lien hypertexte" xfId="22305" builtinId="8" hidden="1"/>
    <cellStyle name="Lien hypertexte" xfId="22557" builtinId="8" hidden="1"/>
    <cellStyle name="Lien hypertexte" xfId="1134" builtinId="8" hidden="1"/>
    <cellStyle name="Lien hypertexte" xfId="18445" builtinId="8" hidden="1"/>
    <cellStyle name="Lien hypertexte" xfId="18881" builtinId="8" hidden="1"/>
    <cellStyle name="Lien hypertexte" xfId="17544" builtinId="8" hidden="1"/>
    <cellStyle name="Lien hypertexte" xfId="15614" builtinId="8" hidden="1"/>
    <cellStyle name="Lien hypertexte" xfId="16020" builtinId="8" hidden="1"/>
    <cellStyle name="Lien hypertexte" xfId="24171" builtinId="8" hidden="1"/>
    <cellStyle name="Lien hypertexte" xfId="21603" builtinId="8" hidden="1"/>
    <cellStyle name="Lien hypertexte" xfId="20183" builtinId="8" hidden="1"/>
    <cellStyle name="Lien hypertexte" xfId="21569" builtinId="8" hidden="1"/>
    <cellStyle name="Lien hypertexte" xfId="22551" builtinId="8" hidden="1"/>
    <cellStyle name="Lien hypertexte" xfId="1126" builtinId="8" hidden="1"/>
    <cellStyle name="Lien hypertexte" xfId="18437" builtinId="8" hidden="1"/>
    <cellStyle name="Lien hypertexte" xfId="18929" builtinId="8" hidden="1"/>
    <cellStyle name="Lien hypertexte" xfId="17550" builtinId="8" hidden="1"/>
    <cellStyle name="Lien hypertexte" xfId="15622" builtinId="8" hidden="1"/>
    <cellStyle name="Lien hypertexte" xfId="15968" builtinId="8" hidden="1"/>
    <cellStyle name="Lien hypertexte" xfId="24181" builtinId="8" hidden="1"/>
    <cellStyle name="Lien hypertexte" xfId="21609" builtinId="8" hidden="1"/>
    <cellStyle name="Lien hypertexte" xfId="20175" builtinId="8" hidden="1"/>
    <cellStyle name="Lien hypertexte" xfId="21617" builtinId="8" hidden="1"/>
    <cellStyle name="Lien hypertexte" xfId="22543" builtinId="8" hidden="1"/>
    <cellStyle name="Lien hypertexte" xfId="1120" builtinId="8" hidden="1"/>
    <cellStyle name="Lien hypertexte" xfId="18429" builtinId="8" hidden="1"/>
    <cellStyle name="Lien hypertexte" xfId="18993" builtinId="8" hidden="1"/>
    <cellStyle name="Lien hypertexte" xfId="17560" builtinId="8" hidden="1"/>
    <cellStyle name="Lien hypertexte" xfId="15628" builtinId="8" hidden="1"/>
    <cellStyle name="Lien hypertexte" xfId="18977" builtinId="8" hidden="1"/>
    <cellStyle name="Lien hypertexte" xfId="24187" builtinId="8" hidden="1"/>
    <cellStyle name="Lien hypertexte" xfId="21615" builtinId="8" hidden="1"/>
    <cellStyle name="Lien hypertexte" xfId="20169" builtinId="8" hidden="1"/>
    <cellStyle name="Lien hypertexte" xfId="21665" builtinId="8" hidden="1"/>
    <cellStyle name="Lien hypertexte" xfId="22537" builtinId="8" hidden="1"/>
    <cellStyle name="Lien hypertexte" xfId="1114" builtinId="8" hidden="1"/>
    <cellStyle name="Lien hypertexte" xfId="18421" builtinId="8" hidden="1"/>
    <cellStyle name="Lien hypertexte" xfId="16094" builtinId="8" hidden="1"/>
    <cellStyle name="Lien hypertexte" xfId="17566" builtinId="8" hidden="1"/>
    <cellStyle name="Lien hypertexte" xfId="15634" builtinId="8" hidden="1"/>
    <cellStyle name="Lien hypertexte" xfId="19361" builtinId="8" hidden="1"/>
    <cellStyle name="Lien hypertexte" xfId="24195" builtinId="8" hidden="1"/>
    <cellStyle name="Lien hypertexte" xfId="21623" builtinId="8" hidden="1"/>
    <cellStyle name="Lien hypertexte" xfId="20163" builtinId="8" hidden="1"/>
    <cellStyle name="Lien hypertexte" xfId="21713" builtinId="8" hidden="1"/>
    <cellStyle name="Lien hypertexte" xfId="22531" builtinId="8" hidden="1"/>
    <cellStyle name="Lien hypertexte" xfId="1106" builtinId="8" hidden="1"/>
    <cellStyle name="Lien hypertexte" xfId="18415" builtinId="8" hidden="1"/>
    <cellStyle name="Lien hypertexte" xfId="19089" builtinId="8" hidden="1"/>
    <cellStyle name="Lien hypertexte" xfId="17574" builtinId="8" hidden="1"/>
    <cellStyle name="Lien hypertexte" xfId="15642" builtinId="8" hidden="1"/>
    <cellStyle name="Lien hypertexte" xfId="19745" builtinId="8" hidden="1"/>
    <cellStyle name="Lien hypertexte" xfId="24201" builtinId="8" hidden="1"/>
    <cellStyle name="Lien hypertexte" xfId="21629" builtinId="8" hidden="1"/>
    <cellStyle name="Lien hypertexte" xfId="20155" builtinId="8" hidden="1"/>
    <cellStyle name="Lien hypertexte" xfId="21761" builtinId="8" hidden="1"/>
    <cellStyle name="Lien hypertexte" xfId="22521" builtinId="8" hidden="1"/>
    <cellStyle name="Lien hypertexte" xfId="1100" builtinId="8" hidden="1"/>
    <cellStyle name="Lien hypertexte" xfId="18407" builtinId="8" hidden="1"/>
    <cellStyle name="Lien hypertexte" xfId="19153" builtinId="8" hidden="1"/>
    <cellStyle name="Lien hypertexte" xfId="17580" builtinId="8" hidden="1"/>
    <cellStyle name="Lien hypertexte" xfId="15648" builtinId="8" hidden="1"/>
    <cellStyle name="Lien hypertexte" xfId="20129" builtinId="8" hidden="1"/>
    <cellStyle name="Lien hypertexte" xfId="24207" builtinId="8" hidden="1"/>
    <cellStyle name="Lien hypertexte" xfId="21637" builtinId="8" hidden="1"/>
    <cellStyle name="Lien hypertexte" xfId="20149" builtinId="8" hidden="1"/>
    <cellStyle name="Lien hypertexte" xfId="21825" builtinId="8" hidden="1"/>
    <cellStyle name="Lien hypertexte" xfId="22515" builtinId="8" hidden="1"/>
    <cellStyle name="Lien hypertexte" xfId="1090" builtinId="8" hidden="1"/>
    <cellStyle name="Lien hypertexte" xfId="18399" builtinId="8" hidden="1"/>
    <cellStyle name="Lien hypertexte" xfId="19201" builtinId="8" hidden="1"/>
    <cellStyle name="Lien hypertexte" xfId="17588" builtinId="8" hidden="1"/>
    <cellStyle name="Lien hypertexte" xfId="15656" builtinId="8" hidden="1"/>
    <cellStyle name="Lien hypertexte" xfId="20513" builtinId="8" hidden="1"/>
    <cellStyle name="Lien hypertexte" xfId="24217" builtinId="8" hidden="1"/>
    <cellStyle name="Lien hypertexte" xfId="21643" builtinId="8" hidden="1"/>
    <cellStyle name="Lien hypertexte" xfId="20141" builtinId="8" hidden="1"/>
    <cellStyle name="Lien hypertexte" xfId="21873" builtinId="8" hidden="1"/>
    <cellStyle name="Lien hypertexte" xfId="22507" builtinId="8" hidden="1"/>
    <cellStyle name="Lien hypertexte" xfId="1084" builtinId="8" hidden="1"/>
    <cellStyle name="Lien hypertexte" xfId="862" builtinId="8" hidden="1"/>
    <cellStyle name="Lien hypertexte" xfId="18471" builtinId="8" hidden="1"/>
    <cellStyle name="Lien hypertexte" xfId="15362" builtinId="8" hidden="1"/>
    <cellStyle name="Lien hypertexte" xfId="15134" builtinId="8" hidden="1"/>
    <cellStyle name="Lien hypertexte" xfId="20897" builtinId="8" hidden="1"/>
    <cellStyle name="Lien hypertexte" xfId="24223" builtinId="8" hidden="1"/>
    <cellStyle name="Lien hypertexte" xfId="21653" builtinId="8" hidden="1"/>
    <cellStyle name="Lien hypertexte" xfId="20135" builtinId="8" hidden="1"/>
    <cellStyle name="Lien hypertexte" xfId="21921" builtinId="8" hidden="1"/>
    <cellStyle name="Lien hypertexte" xfId="22501" builtinId="8" hidden="1"/>
    <cellStyle name="Lien hypertexte" xfId="1076" builtinId="8" hidden="1"/>
    <cellStyle name="Lien hypertexte" xfId="18385" builtinId="8" hidden="1"/>
    <cellStyle name="Lien hypertexte" xfId="19313" builtinId="8" hidden="1"/>
    <cellStyle name="Lien hypertexte" xfId="17602" builtinId="8" hidden="1"/>
    <cellStyle name="Lien hypertexte" xfId="15672" builtinId="8" hidden="1"/>
    <cellStyle name="Lien hypertexte" xfId="21281" builtinId="8" hidden="1"/>
    <cellStyle name="Lien hypertexte" xfId="24231" builtinId="8" hidden="1"/>
    <cellStyle name="Lien hypertexte" xfId="21659" builtinId="8" hidden="1"/>
    <cellStyle name="Lien hypertexte" xfId="20127" builtinId="8" hidden="1"/>
    <cellStyle name="Lien hypertexte" xfId="21969" builtinId="8" hidden="1"/>
    <cellStyle name="Lien hypertexte" xfId="22493" builtinId="8" hidden="1"/>
    <cellStyle name="Lien hypertexte" xfId="1070" builtinId="8" hidden="1"/>
    <cellStyle name="Lien hypertexte" xfId="18379" builtinId="8" hidden="1"/>
    <cellStyle name="Lien hypertexte" xfId="19377" builtinId="8" hidden="1"/>
    <cellStyle name="Lien hypertexte" xfId="17610" builtinId="8" hidden="1"/>
    <cellStyle name="Lien hypertexte" xfId="15678" builtinId="8" hidden="1"/>
    <cellStyle name="Lien hypertexte" xfId="21741" builtinId="8" hidden="1"/>
    <cellStyle name="Lien hypertexte" xfId="24237" builtinId="8" hidden="1"/>
    <cellStyle name="Lien hypertexte" xfId="21667" builtinId="8" hidden="1"/>
    <cellStyle name="Lien hypertexte" xfId="20121" builtinId="8" hidden="1"/>
    <cellStyle name="Lien hypertexte" xfId="22017" builtinId="8" hidden="1"/>
    <cellStyle name="Lien hypertexte" xfId="22485" builtinId="8" hidden="1"/>
    <cellStyle name="Lien hypertexte" xfId="1064" builtinId="8" hidden="1"/>
    <cellStyle name="Lien hypertexte" xfId="18371" builtinId="8" hidden="1"/>
    <cellStyle name="Lien hypertexte" xfId="19425" builtinId="8" hidden="1"/>
    <cellStyle name="Lien hypertexte" xfId="17618" builtinId="8" hidden="1"/>
    <cellStyle name="Lien hypertexte" xfId="15684" builtinId="8" hidden="1"/>
    <cellStyle name="Lien hypertexte" xfId="21749" builtinId="8" hidden="1"/>
    <cellStyle name="Lien hypertexte" xfId="24245" builtinId="8" hidden="1"/>
    <cellStyle name="Lien hypertexte" xfId="21673" builtinId="8" hidden="1"/>
    <cellStyle name="Lien hypertexte" xfId="20115" builtinId="8" hidden="1"/>
    <cellStyle name="Lien hypertexte" xfId="22081" builtinId="8" hidden="1"/>
    <cellStyle name="Lien hypertexte" xfId="22477" builtinId="8" hidden="1"/>
    <cellStyle name="Lien hypertexte" xfId="1056" builtinId="8" hidden="1"/>
    <cellStyle name="Lien hypertexte" xfId="18363" builtinId="8" hidden="1"/>
    <cellStyle name="Lien hypertexte" xfId="16132" builtinId="8" hidden="1"/>
    <cellStyle name="Lien hypertexte" xfId="17626" builtinId="8" hidden="1"/>
    <cellStyle name="Lien hypertexte" xfId="15692" builtinId="8" hidden="1"/>
    <cellStyle name="Lien hypertexte" xfId="21755" builtinId="8" hidden="1"/>
    <cellStyle name="Lien hypertexte" xfId="24253" builtinId="8" hidden="1"/>
    <cellStyle name="Lien hypertexte" xfId="21679" builtinId="8" hidden="1"/>
    <cellStyle name="Lien hypertexte" xfId="20107" builtinId="8" hidden="1"/>
    <cellStyle name="Lien hypertexte" xfId="22129" builtinId="8" hidden="1"/>
    <cellStyle name="Lien hypertexte" xfId="22471" builtinId="8" hidden="1"/>
    <cellStyle name="Lien hypertexte" xfId="1050" builtinId="8" hidden="1"/>
    <cellStyle name="Lien hypertexte" xfId="18355" builtinId="8" hidden="1"/>
    <cellStyle name="Lien hypertexte" xfId="19537" builtinId="8" hidden="1"/>
    <cellStyle name="Lien hypertexte" xfId="17632" builtinId="8" hidden="1"/>
    <cellStyle name="Lien hypertexte" xfId="15698" builtinId="8" hidden="1"/>
    <cellStyle name="Lien hypertexte" xfId="21765" builtinId="8" hidden="1"/>
    <cellStyle name="Lien hypertexte" xfId="24261" builtinId="8" hidden="1"/>
    <cellStyle name="Lien hypertexte" xfId="21687" builtinId="8" hidden="1"/>
    <cellStyle name="Lien hypertexte" xfId="20101" builtinId="8" hidden="1"/>
    <cellStyle name="Lien hypertexte" xfId="22177" builtinId="8" hidden="1"/>
    <cellStyle name="Lien hypertexte" xfId="22463" builtinId="8" hidden="1"/>
    <cellStyle name="Lien hypertexte" xfId="1042" builtinId="8" hidden="1"/>
    <cellStyle name="Lien hypertexte" xfId="18349" builtinId="8" hidden="1"/>
    <cellStyle name="Lien hypertexte" xfId="19585" builtinId="8" hidden="1"/>
    <cellStyle name="Lien hypertexte" xfId="17638" builtinId="8" hidden="1"/>
    <cellStyle name="Lien hypertexte" xfId="15706" builtinId="8" hidden="1"/>
    <cellStyle name="Lien hypertexte" xfId="21771" builtinId="8" hidden="1"/>
    <cellStyle name="Lien hypertexte" xfId="24267" builtinId="8" hidden="1"/>
    <cellStyle name="Lien hypertexte" xfId="21693" builtinId="8" hidden="1"/>
    <cellStyle name="Lien hypertexte" xfId="20093" builtinId="8" hidden="1"/>
    <cellStyle name="Lien hypertexte" xfId="22225" builtinId="8" hidden="1"/>
    <cellStyle name="Lien hypertexte" xfId="22457" builtinId="8" hidden="1"/>
    <cellStyle name="Lien hypertexte" xfId="1036" builtinId="8" hidden="1"/>
    <cellStyle name="Lien hypertexte" xfId="18343" builtinId="8" hidden="1"/>
    <cellStyle name="Lien hypertexte" xfId="19649" builtinId="8" hidden="1"/>
    <cellStyle name="Lien hypertexte" xfId="17646" builtinId="8" hidden="1"/>
    <cellStyle name="Lien hypertexte" xfId="15712" builtinId="8" hidden="1"/>
    <cellStyle name="Lien hypertexte" xfId="21779" builtinId="8" hidden="1"/>
    <cellStyle name="Lien hypertexte" xfId="24275" builtinId="8" hidden="1"/>
    <cellStyle name="Lien hypertexte" xfId="21701" builtinId="8" hidden="1"/>
    <cellStyle name="Lien hypertexte" xfId="20087" builtinId="8" hidden="1"/>
    <cellStyle name="Lien hypertexte" xfId="22273" builtinId="8" hidden="1"/>
    <cellStyle name="Lien hypertexte" xfId="22447" builtinId="8" hidden="1"/>
    <cellStyle name="Lien hypertexte" xfId="1028" builtinId="8" hidden="1"/>
    <cellStyle name="Lien hypertexte" xfId="18333" builtinId="8" hidden="1"/>
    <cellStyle name="Lien hypertexte" xfId="16308" builtinId="8" hidden="1"/>
    <cellStyle name="Lien hypertexte" xfId="17654" builtinId="8" hidden="1"/>
    <cellStyle name="Lien hypertexte" xfId="15720" builtinId="8" hidden="1"/>
    <cellStyle name="Lien hypertexte" xfId="21785" builtinId="8" hidden="1"/>
    <cellStyle name="Lien hypertexte" xfId="24281" builtinId="8" hidden="1"/>
    <cellStyle name="Lien hypertexte" xfId="21707" builtinId="8" hidden="1"/>
    <cellStyle name="Lien hypertexte" xfId="20079" builtinId="8" hidden="1"/>
    <cellStyle name="Lien hypertexte" xfId="22337" builtinId="8" hidden="1"/>
    <cellStyle name="Lien hypertexte" xfId="22441" builtinId="8" hidden="1"/>
    <cellStyle name="Lien hypertexte" xfId="1022" builtinId="8" hidden="1"/>
    <cellStyle name="Lien hypertexte" xfId="18327" builtinId="8" hidden="1"/>
    <cellStyle name="Lien hypertexte" xfId="19761" builtinId="8" hidden="1"/>
    <cellStyle name="Lien hypertexte" xfId="17662" builtinId="8" hidden="1"/>
    <cellStyle name="Lien hypertexte" xfId="15726" builtinId="8" hidden="1"/>
    <cellStyle name="Lien hypertexte" xfId="21791" builtinId="8" hidden="1"/>
    <cellStyle name="Lien hypertexte" xfId="24291" builtinId="8" hidden="1"/>
    <cellStyle name="Lien hypertexte" xfId="21715" builtinId="8" hidden="1"/>
    <cellStyle name="Lien hypertexte" xfId="20073" builtinId="8" hidden="1"/>
    <cellStyle name="Lien hypertexte" xfId="22385" builtinId="8" hidden="1"/>
    <cellStyle name="Lien hypertexte" xfId="22435" builtinId="8" hidden="1"/>
    <cellStyle name="Lien hypertexte" xfId="1016" builtinId="8" hidden="1"/>
    <cellStyle name="Lien hypertexte" xfId="18302" builtinId="8" hidden="1"/>
    <cellStyle name="Lien hypertexte" xfId="20433" builtinId="8" hidden="1"/>
    <cellStyle name="Lien hypertexte" xfId="17668" builtinId="8" hidden="1"/>
    <cellStyle name="Lien hypertexte" xfId="15734" builtinId="8" hidden="1"/>
    <cellStyle name="Lien hypertexte" xfId="21801" builtinId="8" hidden="1"/>
    <cellStyle name="Lien hypertexte" xfId="24297" builtinId="8" hidden="1"/>
    <cellStyle name="Lien hypertexte" xfId="21721" builtinId="8" hidden="1"/>
    <cellStyle name="Lien hypertexte" xfId="20067" builtinId="8" hidden="1"/>
    <cellStyle name="Lien hypertexte" xfId="22433" builtinId="8" hidden="1"/>
    <cellStyle name="Lien hypertexte" xfId="22427" builtinId="8" hidden="1"/>
    <cellStyle name="Lien hypertexte" xfId="1008" builtinId="8" hidden="1"/>
    <cellStyle name="Lien hypertexte" xfId="18296" builtinId="8" hidden="1"/>
    <cellStyle name="Lien hypertexte" xfId="19857" builtinId="8" hidden="1"/>
    <cellStyle name="Lien hypertexte" xfId="17676" builtinId="8" hidden="1"/>
    <cellStyle name="Lien hypertexte" xfId="15742" builtinId="8" hidden="1"/>
    <cellStyle name="Lien hypertexte" xfId="21807" builtinId="8" hidden="1"/>
    <cellStyle name="Lien hypertexte" xfId="24303" builtinId="8" hidden="1"/>
    <cellStyle name="Lien hypertexte" xfId="21731" builtinId="8" hidden="1"/>
    <cellStyle name="Lien hypertexte" xfId="20059" builtinId="8" hidden="1"/>
    <cellStyle name="Lien hypertexte" xfId="22481" builtinId="8" hidden="1"/>
    <cellStyle name="Lien hypertexte" xfId="22421" builtinId="8" hidden="1"/>
    <cellStyle name="Lien hypertexte" xfId="1002" builtinId="8" hidden="1"/>
    <cellStyle name="Lien hypertexte" xfId="18286" builtinId="8" hidden="1"/>
    <cellStyle name="Lien hypertexte" xfId="16102" builtinId="8" hidden="1"/>
    <cellStyle name="Lien hypertexte" xfId="17684" builtinId="8" hidden="1"/>
    <cellStyle name="Lien hypertexte" xfId="15748" builtinId="8" hidden="1"/>
    <cellStyle name="Lien hypertexte" xfId="21815" builtinId="8" hidden="1"/>
    <cellStyle name="Lien hypertexte" xfId="24311" builtinId="8" hidden="1"/>
    <cellStyle name="Lien hypertexte" xfId="21737" builtinId="8" hidden="1"/>
    <cellStyle name="Lien hypertexte" xfId="20053" builtinId="8" hidden="1"/>
    <cellStyle name="Lien hypertexte" xfId="22529" builtinId="8" hidden="1"/>
    <cellStyle name="Lien hypertexte" xfId="22411" builtinId="8" hidden="1"/>
    <cellStyle name="Lien hypertexte" xfId="994" builtinId="8" hidden="1"/>
    <cellStyle name="Lien hypertexte" xfId="18280" builtinId="8" hidden="1"/>
    <cellStyle name="Lien hypertexte" xfId="19969" builtinId="8" hidden="1"/>
    <cellStyle name="Lien hypertexte" xfId="17690" builtinId="8" hidden="1"/>
    <cellStyle name="Lien hypertexte" xfId="15756" builtinId="8" hidden="1"/>
    <cellStyle name="Lien hypertexte" xfId="21821" builtinId="8" hidden="1"/>
    <cellStyle name="Lien hypertexte" xfId="24317" builtinId="8" hidden="1"/>
    <cellStyle name="Lien hypertexte" xfId="21651" builtinId="8" hidden="1"/>
    <cellStyle name="Lien hypertexte" xfId="20045" builtinId="8" hidden="1"/>
    <cellStyle name="Lien hypertexte" xfId="22593" builtinId="8" hidden="1"/>
    <cellStyle name="Lien hypertexte" xfId="22405" builtinId="8" hidden="1"/>
    <cellStyle name="Lien hypertexte" xfId="988" builtinId="8" hidden="1"/>
    <cellStyle name="Lien hypertexte" xfId="18274" builtinId="8" hidden="1"/>
    <cellStyle name="Lien hypertexte" xfId="20289" builtinId="8" hidden="1"/>
    <cellStyle name="Lien hypertexte" xfId="17698" builtinId="8" hidden="1"/>
    <cellStyle name="Lien hypertexte" xfId="15762" builtinId="8" hidden="1"/>
    <cellStyle name="Lien hypertexte" xfId="21829" builtinId="8" hidden="1"/>
    <cellStyle name="Lien hypertexte" xfId="24327" builtinId="8" hidden="1"/>
    <cellStyle name="Lien hypertexte" xfId="21431" builtinId="8" hidden="1"/>
    <cellStyle name="Lien hypertexte" xfId="20037" builtinId="8" hidden="1"/>
    <cellStyle name="Lien hypertexte" xfId="22641" builtinId="8" hidden="1"/>
    <cellStyle name="Lien hypertexte" xfId="22397" builtinId="8" hidden="1"/>
    <cellStyle name="Lien hypertexte" xfId="980" builtinId="8" hidden="1"/>
    <cellStyle name="Lien hypertexte" xfId="18266" builtinId="8" hidden="1"/>
    <cellStyle name="Lien hypertexte" xfId="20081" builtinId="8" hidden="1"/>
    <cellStyle name="Lien hypertexte" xfId="17704" builtinId="8" hidden="1"/>
    <cellStyle name="Lien hypertexte" xfId="15770" builtinId="8" hidden="1"/>
    <cellStyle name="Lien hypertexte" xfId="21837" builtinId="8" hidden="1"/>
    <cellStyle name="Lien hypertexte" xfId="24333" builtinId="8" hidden="1"/>
    <cellStyle name="Lien hypertexte" xfId="21211" builtinId="8" hidden="1"/>
    <cellStyle name="Lien hypertexte" xfId="20029" builtinId="8" hidden="1"/>
    <cellStyle name="Lien hypertexte" xfId="22689" builtinId="8" hidden="1"/>
    <cellStyle name="Lien hypertexte" xfId="22391" builtinId="8" hidden="1"/>
    <cellStyle name="Lien hypertexte" xfId="974" builtinId="8" hidden="1"/>
    <cellStyle name="Lien hypertexte" xfId="18260" builtinId="8" hidden="1"/>
    <cellStyle name="Lien hypertexte" xfId="16932" builtinId="8" hidden="1"/>
    <cellStyle name="Lien hypertexte" xfId="17558" builtinId="8" hidden="1"/>
    <cellStyle name="Lien hypertexte" xfId="15776" builtinId="8" hidden="1"/>
    <cellStyle name="Lien hypertexte" xfId="21845" builtinId="8" hidden="1"/>
    <cellStyle name="Lien hypertexte" xfId="24341" builtinId="8" hidden="1"/>
    <cellStyle name="Lien hypertexte" xfId="20991" builtinId="8" hidden="1"/>
    <cellStyle name="Lien hypertexte" xfId="20023" builtinId="8" hidden="1"/>
    <cellStyle name="Lien hypertexte" xfId="22737" builtinId="8" hidden="1"/>
    <cellStyle name="Lien hypertexte" xfId="22383" builtinId="8" hidden="1"/>
    <cellStyle name="Lien hypertexte" xfId="968" builtinId="8" hidden="1"/>
    <cellStyle name="Lien hypertexte" xfId="18250" builtinId="8" hidden="1"/>
    <cellStyle name="Lien hypertexte" xfId="20193" builtinId="8" hidden="1"/>
    <cellStyle name="Lien hypertexte" xfId="17720" builtinId="8" hidden="1"/>
    <cellStyle name="Lien hypertexte" xfId="15782" builtinId="8" hidden="1"/>
    <cellStyle name="Lien hypertexte" xfId="21851" builtinId="8" hidden="1"/>
    <cellStyle name="Lien hypertexte" xfId="24347" builtinId="8" hidden="1"/>
    <cellStyle name="Lien hypertexte" xfId="20773" builtinId="8" hidden="1"/>
    <cellStyle name="Lien hypertexte" xfId="20015" builtinId="8" hidden="1"/>
    <cellStyle name="Lien hypertexte" xfId="22785" builtinId="8" hidden="1"/>
    <cellStyle name="Lien hypertexte" xfId="22375" builtinId="8" hidden="1"/>
    <cellStyle name="Lien hypertexte" xfId="958" builtinId="8" hidden="1"/>
    <cellStyle name="Lien hypertexte" xfId="18244" builtinId="8" hidden="1"/>
    <cellStyle name="Lien hypertexte" xfId="20145" builtinId="8" hidden="1"/>
    <cellStyle name="Lien hypertexte" xfId="17728" builtinId="8" hidden="1"/>
    <cellStyle name="Lien hypertexte" xfId="15790" builtinId="8" hidden="1"/>
    <cellStyle name="Lien hypertexte" xfId="21859" builtinId="8" hidden="1"/>
    <cellStyle name="Lien hypertexte" xfId="24355" builtinId="8" hidden="1"/>
    <cellStyle name="Lien hypertexte" xfId="20553" builtinId="8" hidden="1"/>
    <cellStyle name="Lien hypertexte" xfId="20009" builtinId="8" hidden="1"/>
    <cellStyle name="Lien hypertexte" xfId="22849" builtinId="8" hidden="1"/>
    <cellStyle name="Lien hypertexte" xfId="22367" builtinId="8" hidden="1"/>
    <cellStyle name="Lien hypertexte" xfId="952" builtinId="8" hidden="1"/>
    <cellStyle name="Lien hypertexte" xfId="18236" builtinId="8" hidden="1"/>
    <cellStyle name="Lien hypertexte" xfId="20305" builtinId="8" hidden="1"/>
    <cellStyle name="Lien hypertexte" xfId="17734" builtinId="8" hidden="1"/>
    <cellStyle name="Lien hypertexte" xfId="15798" builtinId="8" hidden="1"/>
    <cellStyle name="Lien hypertexte" xfId="21865" builtinId="8" hidden="1"/>
    <cellStyle name="Lien hypertexte" xfId="24363" builtinId="8" hidden="1"/>
    <cellStyle name="Lien hypertexte" xfId="20333" builtinId="8" hidden="1"/>
    <cellStyle name="Lien hypertexte" xfId="20003" builtinId="8" hidden="1"/>
    <cellStyle name="Lien hypertexte" xfId="22897" builtinId="8" hidden="1"/>
    <cellStyle name="Lien hypertexte" xfId="22361" builtinId="8" hidden="1"/>
    <cellStyle name="Lien hypertexte" xfId="944" builtinId="8" hidden="1"/>
    <cellStyle name="Lien hypertexte" xfId="18230" builtinId="8" hidden="1"/>
    <cellStyle name="Lien hypertexte" xfId="15988" builtinId="8" hidden="1"/>
    <cellStyle name="Lien hypertexte" xfId="17740" builtinId="8" hidden="1"/>
    <cellStyle name="Lien hypertexte" xfId="15806" builtinId="8" hidden="1"/>
    <cellStyle name="Lien hypertexte" xfId="21875" builtinId="8" hidden="1"/>
    <cellStyle name="Lien hypertexte" xfId="24371" builtinId="8" hidden="1"/>
    <cellStyle name="Lien hypertexte" xfId="19539" builtinId="8" hidden="1"/>
    <cellStyle name="Lien hypertexte" xfId="19995" builtinId="8" hidden="1"/>
    <cellStyle name="Lien hypertexte" xfId="22945" builtinId="8" hidden="1"/>
    <cellStyle name="Lien hypertexte" xfId="22355" builtinId="8" hidden="1"/>
    <cellStyle name="Lien hypertexte" xfId="938" builtinId="8" hidden="1"/>
    <cellStyle name="Lien hypertexte" xfId="18222" builtinId="8" hidden="1"/>
    <cellStyle name="Lien hypertexte" xfId="20417" builtinId="8" hidden="1"/>
    <cellStyle name="Lien hypertexte" xfId="17750" builtinId="8" hidden="1"/>
    <cellStyle name="Lien hypertexte" xfId="15812" builtinId="8" hidden="1"/>
    <cellStyle name="Lien hypertexte" xfId="21881" builtinId="8" hidden="1"/>
    <cellStyle name="Lien hypertexte" xfId="24377" builtinId="8" hidden="1"/>
    <cellStyle name="Lien hypertexte" xfId="19545" builtinId="8" hidden="1"/>
    <cellStyle name="Lien hypertexte" xfId="19989" builtinId="8" hidden="1"/>
    <cellStyle name="Lien hypertexte" xfId="22993" builtinId="8" hidden="1"/>
    <cellStyle name="Lien hypertexte" xfId="22347" builtinId="8" hidden="1"/>
    <cellStyle name="Lien hypertexte" xfId="930" builtinId="8" hidden="1"/>
    <cellStyle name="Lien hypertexte" xfId="18214" builtinId="8" hidden="1"/>
    <cellStyle name="Lien hypertexte" xfId="19985" builtinId="8" hidden="1"/>
    <cellStyle name="Lien hypertexte" xfId="17756" builtinId="8" hidden="1"/>
    <cellStyle name="Lien hypertexte" xfId="15820" builtinId="8" hidden="1"/>
    <cellStyle name="Lien hypertexte" xfId="21887" builtinId="8" hidden="1"/>
    <cellStyle name="Lien hypertexte" xfId="24383" builtinId="8" hidden="1"/>
    <cellStyle name="Lien hypertexte" xfId="19551" builtinId="8" hidden="1"/>
    <cellStyle name="Lien hypertexte" xfId="19981" builtinId="8" hidden="1"/>
    <cellStyle name="Lien hypertexte" xfId="23041" builtinId="8" hidden="1"/>
    <cellStyle name="Lien hypertexte" xfId="22339" builtinId="8" hidden="1"/>
    <cellStyle name="Lien hypertexte" xfId="924" builtinId="8" hidden="1"/>
    <cellStyle name="Lien hypertexte" xfId="18208" builtinId="8" hidden="1"/>
    <cellStyle name="Lien hypertexte" xfId="20529" builtinId="8" hidden="1"/>
    <cellStyle name="Lien hypertexte" xfId="17764" builtinId="8" hidden="1"/>
    <cellStyle name="Lien hypertexte" xfId="15826" builtinId="8" hidden="1"/>
    <cellStyle name="Lien hypertexte" xfId="21895" builtinId="8" hidden="1"/>
    <cellStyle name="Lien hypertexte" xfId="24391" builtinId="8" hidden="1"/>
    <cellStyle name="Lien hypertexte" xfId="19559" builtinId="8" hidden="1"/>
    <cellStyle name="Lien hypertexte" xfId="19975" builtinId="8" hidden="1"/>
    <cellStyle name="Lien hypertexte" xfId="23105" builtinId="8" hidden="1"/>
    <cellStyle name="Lien hypertexte" xfId="22331" builtinId="8" hidden="1"/>
    <cellStyle name="Lien hypertexte" xfId="918" builtinId="8" hidden="1"/>
    <cellStyle name="Lien hypertexte" xfId="18200" builtinId="8" hidden="1"/>
    <cellStyle name="Lien hypertexte" xfId="16366" builtinId="8" hidden="1"/>
    <cellStyle name="Lien hypertexte" xfId="17770" builtinId="8" hidden="1"/>
    <cellStyle name="Lien hypertexte" xfId="15832" builtinId="8" hidden="1"/>
    <cellStyle name="Lien hypertexte" xfId="21901" builtinId="8" hidden="1"/>
    <cellStyle name="Lien hypertexte" xfId="24399" builtinId="8" hidden="1"/>
    <cellStyle name="Lien hypertexte" xfId="19565" builtinId="8" hidden="1"/>
    <cellStyle name="Lien hypertexte" xfId="19967" builtinId="8" hidden="1"/>
    <cellStyle name="Lien hypertexte" xfId="23153" builtinId="8" hidden="1"/>
    <cellStyle name="Lien hypertexte" xfId="22325" builtinId="8" hidden="1"/>
    <cellStyle name="Lien hypertexte" xfId="910" builtinId="8" hidden="1"/>
    <cellStyle name="Lien hypertexte" xfId="18194" builtinId="8" hidden="1"/>
    <cellStyle name="Lien hypertexte" xfId="20625" builtinId="8" hidden="1"/>
    <cellStyle name="Lien hypertexte" xfId="17780" builtinId="8" hidden="1"/>
    <cellStyle name="Lien hypertexte" xfId="15840" builtinId="8" hidden="1"/>
    <cellStyle name="Lien hypertexte" xfId="21911" builtinId="8" hidden="1"/>
    <cellStyle name="Lien hypertexte" xfId="24407" builtinId="8" hidden="1"/>
    <cellStyle name="Lien hypertexte" xfId="19573" builtinId="8" hidden="1"/>
    <cellStyle name="Lien hypertexte" xfId="19961" builtinId="8" hidden="1"/>
    <cellStyle name="Lien hypertexte" xfId="23201" builtinId="8" hidden="1"/>
    <cellStyle name="Lien hypertexte" xfId="22317" builtinId="8" hidden="1"/>
    <cellStyle name="Lien hypertexte" xfId="904" builtinId="8" hidden="1"/>
    <cellStyle name="Lien hypertexte" xfId="18184" builtinId="8" hidden="1"/>
    <cellStyle name="Lien hypertexte" xfId="19841" builtinId="8" hidden="1"/>
    <cellStyle name="Lien hypertexte" xfId="17786" builtinId="8" hidden="1"/>
    <cellStyle name="Lien hypertexte" xfId="15846" builtinId="8" hidden="1"/>
    <cellStyle name="Lien hypertexte" xfId="21917" builtinId="8" hidden="1"/>
    <cellStyle name="Lien hypertexte" xfId="24413" builtinId="8" hidden="1"/>
    <cellStyle name="Lien hypertexte" xfId="19579" builtinId="8" hidden="1"/>
    <cellStyle name="Lien hypertexte" xfId="19955" builtinId="8" hidden="1"/>
    <cellStyle name="Lien hypertexte" xfId="23249" builtinId="8" hidden="1"/>
    <cellStyle name="Lien hypertexte" xfId="22311" builtinId="8" hidden="1"/>
    <cellStyle name="Lien hypertexte" xfId="896" builtinId="8" hidden="1"/>
    <cellStyle name="Lien hypertexte" xfId="18178" builtinId="8" hidden="1"/>
    <cellStyle name="Lien hypertexte" xfId="20737" builtinId="8" hidden="1"/>
    <cellStyle name="Lien hypertexte" xfId="17792" builtinId="8" hidden="1"/>
    <cellStyle name="Lien hypertexte" xfId="15854" builtinId="8" hidden="1"/>
    <cellStyle name="Lien hypertexte" xfId="21925" builtinId="8" hidden="1"/>
    <cellStyle name="Lien hypertexte" xfId="24421" builtinId="8" hidden="1"/>
    <cellStyle name="Lien hypertexte" xfId="19587" builtinId="8" hidden="1"/>
    <cellStyle name="Lien hypertexte" xfId="19947" builtinId="8" hidden="1"/>
    <cellStyle name="Lien hypertexte" xfId="23297" builtinId="8" hidden="1"/>
    <cellStyle name="Lien hypertexte" xfId="22301" builtinId="8" hidden="1"/>
    <cellStyle name="Lien hypertexte" xfId="890" builtinId="8" hidden="1"/>
    <cellStyle name="Lien hypertexte" xfId="18172" builtinId="8" hidden="1"/>
    <cellStyle name="Lien hypertexte" xfId="19185" builtinId="8" hidden="1"/>
    <cellStyle name="Lien hypertexte" xfId="17800" builtinId="8" hidden="1"/>
    <cellStyle name="Lien hypertexte" xfId="15862" builtinId="8" hidden="1"/>
    <cellStyle name="Lien hypertexte" xfId="21931" builtinId="8" hidden="1"/>
    <cellStyle name="Lien hypertexte" xfId="24427" builtinId="8" hidden="1"/>
    <cellStyle name="Lien hypertexte" xfId="19593" builtinId="8" hidden="1"/>
    <cellStyle name="Lien hypertexte" xfId="19941" builtinId="8" hidden="1"/>
    <cellStyle name="Lien hypertexte" xfId="23361" builtinId="8" hidden="1"/>
    <cellStyle name="Lien hypertexte" xfId="22295" builtinId="8" hidden="1"/>
    <cellStyle name="Lien hypertexte" xfId="882" builtinId="8" hidden="1"/>
    <cellStyle name="Lien hypertexte" xfId="18164" builtinId="8" hidden="1"/>
    <cellStyle name="Lien hypertexte" xfId="20849" builtinId="8" hidden="1"/>
    <cellStyle name="Lien hypertexte" xfId="17806" builtinId="8" hidden="1"/>
    <cellStyle name="Lien hypertexte" xfId="15870" builtinId="8" hidden="1"/>
    <cellStyle name="Lien hypertexte" xfId="21939" builtinId="8" hidden="1"/>
    <cellStyle name="Lien hypertexte" xfId="24437" builtinId="8" hidden="1"/>
    <cellStyle name="Lien hypertexte" xfId="19599" builtinId="8" hidden="1"/>
    <cellStyle name="Lien hypertexte" xfId="19933" builtinId="8" hidden="1"/>
    <cellStyle name="Lien hypertexte" xfId="23409" builtinId="8" hidden="1"/>
    <cellStyle name="Lien hypertexte" xfId="22287" builtinId="8" hidden="1"/>
    <cellStyle name="Lien hypertexte" xfId="876" builtinId="8" hidden="1"/>
    <cellStyle name="Lien hypertexte" xfId="18156" builtinId="8" hidden="1"/>
    <cellStyle name="Lien hypertexte" xfId="19697" builtinId="8" hidden="1"/>
    <cellStyle name="Lien hypertexte" xfId="17816" builtinId="8" hidden="1"/>
    <cellStyle name="Lien hypertexte" xfId="15876" builtinId="8" hidden="1"/>
    <cellStyle name="Lien hypertexte" xfId="21947" builtinId="8" hidden="1"/>
    <cellStyle name="Lien hypertexte" xfId="24443" builtinId="8" hidden="1"/>
    <cellStyle name="Lien hypertexte" xfId="19609" builtinId="8" hidden="1"/>
    <cellStyle name="Lien hypertexte" xfId="19927" builtinId="8" hidden="1"/>
    <cellStyle name="Lien hypertexte" xfId="23457" builtinId="8" hidden="1"/>
    <cellStyle name="Lien hypertexte" xfId="22281" builtinId="8" hidden="1"/>
    <cellStyle name="Lien hypertexte" xfId="870" builtinId="8" hidden="1"/>
    <cellStyle name="Lien hypertexte" xfId="18148" builtinId="8" hidden="1"/>
    <cellStyle name="Lien hypertexte" xfId="21345" builtinId="8" hidden="1"/>
    <cellStyle name="Lien hypertexte" xfId="17822" builtinId="8" hidden="1"/>
    <cellStyle name="Lien hypertexte" xfId="15882" builtinId="8" hidden="1"/>
    <cellStyle name="Lien hypertexte" xfId="21955" builtinId="8" hidden="1"/>
    <cellStyle name="Lien hypertexte" xfId="24451" builtinId="8" hidden="1"/>
    <cellStyle name="Lien hypertexte" xfId="19615" builtinId="8" hidden="1"/>
    <cellStyle name="Lien hypertexte" xfId="19919" builtinId="8" hidden="1"/>
    <cellStyle name="Lien hypertexte" xfId="22117" builtinId="8" hidden="1"/>
    <cellStyle name="Lien hypertexte" xfId="23677" builtinId="8" hidden="1"/>
    <cellStyle name="Lien hypertexte" xfId="24539" builtinId="8" hidden="1"/>
    <cellStyle name="Lien hypertexte" xfId="15074" builtinId="8" hidden="1"/>
    <cellStyle name="Lien hypertexte" xfId="3661" builtinId="8" hidden="1"/>
    <cellStyle name="Lien hypertexte" xfId="18409" builtinId="8" hidden="1"/>
    <cellStyle name="Lien hypertexte" xfId="24457" builtinId="8" hidden="1"/>
    <cellStyle name="Lien hypertexte" xfId="23989" builtinId="8" hidden="1"/>
    <cellStyle name="Lien hypertexte" xfId="22275" builtinId="8" hidden="1"/>
    <cellStyle name="Lien hypertexte" xfId="19623" builtinId="8" hidden="1"/>
    <cellStyle name="Lien hypertexte" xfId="19913" builtinId="8" hidden="1"/>
    <cellStyle name="Lien hypertexte" xfId="23553" builtinId="8" hidden="1"/>
    <cellStyle name="Lien hypertexte" xfId="22265" builtinId="8" hidden="1"/>
    <cellStyle name="Lien hypertexte" xfId="856" builtinId="8" hidden="1"/>
    <cellStyle name="Lien hypertexte" xfId="18134" builtinId="8" hidden="1"/>
    <cellStyle name="Lien hypertexte" xfId="21265" builtinId="8" hidden="1"/>
    <cellStyle name="Lien hypertexte" xfId="17836" builtinId="8" hidden="1"/>
    <cellStyle name="Lien hypertexte" xfId="15896" builtinId="8" hidden="1"/>
    <cellStyle name="Lien hypertexte" xfId="21967" builtinId="8" hidden="1"/>
    <cellStyle name="Lien hypertexte" xfId="24463" builtinId="8" hidden="1"/>
    <cellStyle name="Lien hypertexte" xfId="19629" builtinId="8" hidden="1"/>
    <cellStyle name="Lien hypertexte" xfId="19907" builtinId="8" hidden="1"/>
    <cellStyle name="Lien hypertexte" xfId="23617" builtinId="8" hidden="1"/>
    <cellStyle name="Lien hypertexte" xfId="22259" builtinId="8" hidden="1"/>
    <cellStyle name="Lien hypertexte" xfId="848" builtinId="8" hidden="1"/>
    <cellStyle name="Lien hypertexte" xfId="18126" builtinId="8" hidden="1"/>
    <cellStyle name="Lien hypertexte" xfId="20033" builtinId="8" hidden="1"/>
    <cellStyle name="Lien hypertexte" xfId="17844" builtinId="8" hidden="1"/>
    <cellStyle name="Lien hypertexte" xfId="15904" builtinId="8" hidden="1"/>
    <cellStyle name="Lien hypertexte" xfId="21975" builtinId="8" hidden="1"/>
    <cellStyle name="Lien hypertexte" xfId="24473" builtinId="8" hidden="1"/>
    <cellStyle name="Lien hypertexte" xfId="19637" builtinId="8" hidden="1"/>
    <cellStyle name="Lien hypertexte" xfId="19899" builtinId="8" hidden="1"/>
    <cellStyle name="Lien hypertexte" xfId="23665" builtinId="8" hidden="1"/>
    <cellStyle name="Lien hypertexte" xfId="22251" builtinId="8" hidden="1"/>
    <cellStyle name="Lien hypertexte" xfId="842" builtinId="8" hidden="1"/>
    <cellStyle name="Lien hypertexte" xfId="18120" builtinId="8" hidden="1"/>
    <cellStyle name="Lien hypertexte" xfId="21201" builtinId="8" hidden="1"/>
    <cellStyle name="Lien hypertexte" xfId="17852" builtinId="8" hidden="1"/>
    <cellStyle name="Lien hypertexte" xfId="15910" builtinId="8" hidden="1"/>
    <cellStyle name="Lien hypertexte" xfId="21983" builtinId="8" hidden="1"/>
    <cellStyle name="Lien hypertexte" xfId="24479" builtinId="8" hidden="1"/>
    <cellStyle name="Lien hypertexte" xfId="19643" builtinId="8" hidden="1"/>
    <cellStyle name="Lien hypertexte" xfId="19891" builtinId="8" hidden="1"/>
    <cellStyle name="Lien hypertexte" xfId="23713" builtinId="8" hidden="1"/>
    <cellStyle name="Lien hypertexte" xfId="22245" builtinId="8" hidden="1"/>
    <cellStyle name="Lien hypertexte" xfId="832" builtinId="8" hidden="1"/>
    <cellStyle name="Lien hypertexte" xfId="18112" builtinId="8" hidden="1"/>
    <cellStyle name="Lien hypertexte" xfId="18961" builtinId="8" hidden="1"/>
    <cellStyle name="Lien hypertexte" xfId="17858" builtinId="8" hidden="1"/>
    <cellStyle name="Lien hypertexte" xfId="15918" builtinId="8" hidden="1"/>
    <cellStyle name="Lien hypertexte" xfId="21991" builtinId="8" hidden="1"/>
    <cellStyle name="Lien hypertexte" xfId="24487" builtinId="8" hidden="1"/>
    <cellStyle name="Lien hypertexte" xfId="19651" builtinId="8" hidden="1"/>
    <cellStyle name="Lien hypertexte" xfId="19883" builtinId="8" hidden="1"/>
    <cellStyle name="Lien hypertexte" xfId="23761" builtinId="8" hidden="1"/>
    <cellStyle name="Lien hypertexte" xfId="22237" builtinId="8" hidden="1"/>
    <cellStyle name="Lien hypertexte" xfId="826" builtinId="8" hidden="1"/>
    <cellStyle name="Lien hypertexte" xfId="18106" builtinId="8" hidden="1"/>
    <cellStyle name="Lien hypertexte" xfId="21121" builtinId="8" hidden="1"/>
    <cellStyle name="Lien hypertexte" xfId="17866" builtinId="8" hidden="1"/>
    <cellStyle name="Lien hypertexte" xfId="15926" builtinId="8" hidden="1"/>
    <cellStyle name="Lien hypertexte" xfId="21997" builtinId="8" hidden="1"/>
    <cellStyle name="Lien hypertexte" xfId="24493" builtinId="8" hidden="1"/>
    <cellStyle name="Lien hypertexte" xfId="19657" builtinId="8" hidden="1"/>
    <cellStyle name="Lien hypertexte" xfId="19877" builtinId="8" hidden="1"/>
    <cellStyle name="Lien hypertexte" xfId="23809" builtinId="8" hidden="1"/>
    <cellStyle name="Lien hypertexte" xfId="22229" builtinId="8" hidden="1"/>
    <cellStyle name="Lien hypertexte" xfId="820" builtinId="8" hidden="1"/>
    <cellStyle name="Lien hypertexte" xfId="18098" builtinId="8" hidden="1"/>
    <cellStyle name="Lien hypertexte" xfId="20465" builtinId="8" hidden="1"/>
    <cellStyle name="Lien hypertexte" xfId="17874" builtinId="8" hidden="1"/>
    <cellStyle name="Lien hypertexte" xfId="15932" builtinId="8" hidden="1"/>
    <cellStyle name="Lien hypertexte" xfId="22005" builtinId="8" hidden="1"/>
    <cellStyle name="Lien hypertexte" xfId="24501" builtinId="8" hidden="1"/>
    <cellStyle name="Lien hypertexte" xfId="19663" builtinId="8" hidden="1"/>
    <cellStyle name="Lien hypertexte" xfId="19869" builtinId="8" hidden="1"/>
    <cellStyle name="Lien hypertexte" xfId="23873" builtinId="8" hidden="1"/>
    <cellStyle name="Lien hypertexte" xfId="22221" builtinId="8" hidden="1"/>
    <cellStyle name="Lien hypertexte" xfId="812" builtinId="8" hidden="1"/>
    <cellStyle name="Lien hypertexte" xfId="18090" builtinId="8" hidden="1"/>
    <cellStyle name="Lien hypertexte" xfId="21057" builtinId="8" hidden="1"/>
    <cellStyle name="Lien hypertexte" xfId="17882" builtinId="8" hidden="1"/>
    <cellStyle name="Lien hypertexte" xfId="15792" builtinId="8" hidden="1"/>
    <cellStyle name="Lien hypertexte" xfId="22011" builtinId="8" hidden="1"/>
    <cellStyle name="Lien hypertexte" xfId="24509" builtinId="8" hidden="1"/>
    <cellStyle name="Lien hypertexte" xfId="19671" builtinId="8" hidden="1"/>
    <cellStyle name="Lien hypertexte" xfId="19863" builtinId="8" hidden="1"/>
    <cellStyle name="Lien hypertexte" xfId="23921" builtinId="8" hidden="1"/>
    <cellStyle name="Lien hypertexte" xfId="22215" builtinId="8" hidden="1"/>
    <cellStyle name="Lien hypertexte" xfId="806" builtinId="8" hidden="1"/>
    <cellStyle name="Lien hypertexte" xfId="18082" builtinId="8" hidden="1"/>
    <cellStyle name="Lien hypertexte" xfId="16230" builtinId="8" hidden="1"/>
    <cellStyle name="Lien hypertexte" xfId="17888" builtinId="8" hidden="1"/>
    <cellStyle name="Lien hypertexte" xfId="15600" builtinId="8" hidden="1"/>
    <cellStyle name="Lien hypertexte" xfId="22021" builtinId="8" hidden="1"/>
    <cellStyle name="Lien hypertexte" xfId="24517" builtinId="8" hidden="1"/>
    <cellStyle name="Lien hypertexte" xfId="19677" builtinId="8" hidden="1"/>
    <cellStyle name="Lien hypertexte" xfId="19855" builtinId="8" hidden="1"/>
    <cellStyle name="Lien hypertexte" xfId="23969" builtinId="8" hidden="1"/>
    <cellStyle name="Lien hypertexte" xfId="22207" builtinId="8" hidden="1"/>
    <cellStyle name="Lien hypertexte" xfId="798" builtinId="8" hidden="1"/>
    <cellStyle name="Lien hypertexte" xfId="18076" builtinId="8" hidden="1"/>
    <cellStyle name="Lien hypertexte" xfId="20977" builtinId="8" hidden="1"/>
    <cellStyle name="Lien hypertexte" xfId="17894" builtinId="8" hidden="1"/>
    <cellStyle name="Lien hypertexte" xfId="15344" builtinId="8" hidden="1"/>
    <cellStyle name="Lien hypertexte" xfId="22027" builtinId="8" hidden="1"/>
    <cellStyle name="Lien hypertexte" xfId="24523" builtinId="8" hidden="1"/>
    <cellStyle name="Lien hypertexte" xfId="19685" builtinId="8" hidden="1"/>
    <cellStyle name="Lien hypertexte" xfId="19849" builtinId="8" hidden="1"/>
    <cellStyle name="Lien hypertexte" xfId="24017" builtinId="8" hidden="1"/>
    <cellStyle name="Lien hypertexte" xfId="22201" builtinId="8" hidden="1"/>
    <cellStyle name="Lien hypertexte" xfId="792" builtinId="8" hidden="1"/>
    <cellStyle name="Lien hypertexte" xfId="18070" builtinId="8" hidden="1"/>
    <cellStyle name="Lien hypertexte" xfId="20657" builtinId="8" hidden="1"/>
    <cellStyle name="Lien hypertexte" xfId="17902" builtinId="8" hidden="1"/>
    <cellStyle name="Lien hypertexte" xfId="15152" builtinId="8" hidden="1"/>
    <cellStyle name="Lien hypertexte" xfId="22035" builtinId="8" hidden="1"/>
    <cellStyle name="Lien hypertexte" xfId="24531" builtinId="8" hidden="1"/>
    <cellStyle name="Lien hypertexte" xfId="19691" builtinId="8" hidden="1"/>
    <cellStyle name="Lien hypertexte" xfId="19843" builtinId="8" hidden="1"/>
    <cellStyle name="Lien hypertexte" xfId="24065" builtinId="8" hidden="1"/>
    <cellStyle name="Lien hypertexte" xfId="22191" builtinId="8" hidden="1"/>
    <cellStyle name="Lien hypertexte" xfId="784" builtinId="8" hidden="1"/>
    <cellStyle name="Lien hypertexte" xfId="18060" builtinId="8" hidden="1"/>
    <cellStyle name="Lien hypertexte" xfId="21041" builtinId="8" hidden="1"/>
    <cellStyle name="Lien hypertexte" xfId="17910" builtinId="8" hidden="1"/>
    <cellStyle name="Lien hypertexte" xfId="14896" builtinId="8" hidden="1"/>
    <cellStyle name="Lien hypertexte" xfId="22041" builtinId="8" hidden="1"/>
    <cellStyle name="Lien hypertexte" xfId="24537" builtinId="8" hidden="1"/>
    <cellStyle name="Lien hypertexte" xfId="19699" builtinId="8" hidden="1"/>
    <cellStyle name="Lien hypertexte" xfId="19835" builtinId="8" hidden="1"/>
    <cellStyle name="Lien hypertexte" xfId="24129" builtinId="8" hidden="1"/>
    <cellStyle name="Lien hypertexte" xfId="22185" builtinId="8" hidden="1"/>
    <cellStyle name="Lien hypertexte" xfId="778" builtinId="8" hidden="1"/>
    <cellStyle name="Lien hypertexte" xfId="18054" builtinId="8" hidden="1"/>
    <cellStyle name="Lien hypertexte" xfId="19473" builtinId="8" hidden="1"/>
    <cellStyle name="Lien hypertexte" xfId="17918" builtinId="8" hidden="1"/>
    <cellStyle name="Lien hypertexte" xfId="14704" builtinId="8" hidden="1"/>
    <cellStyle name="Lien hypertexte" xfId="22047" builtinId="8" hidden="1"/>
    <cellStyle name="Lien hypertexte" xfId="24547" builtinId="8" hidden="1"/>
    <cellStyle name="Lien hypertexte" xfId="19705" builtinId="8" hidden="1"/>
    <cellStyle name="Lien hypertexte" xfId="19829" builtinId="8" hidden="1"/>
    <cellStyle name="Lien hypertexte" xfId="24177" builtinId="8" hidden="1"/>
    <cellStyle name="Lien hypertexte" xfId="22179" builtinId="8" hidden="1"/>
    <cellStyle name="Lien hypertexte" xfId="772" builtinId="8" hidden="1"/>
    <cellStyle name="Lien hypertexte" xfId="18046" builtinId="8" hidden="1"/>
    <cellStyle name="Lien hypertexte" xfId="21249" builtinId="8" hidden="1"/>
    <cellStyle name="Lien hypertexte" xfId="17924" builtinId="8" hidden="1"/>
    <cellStyle name="Lien hypertexte" xfId="654" builtinId="8" hidden="1"/>
    <cellStyle name="Lien hypertexte" xfId="22057" builtinId="8" hidden="1"/>
    <cellStyle name="Lien hypertexte" xfId="24553" builtinId="8" hidden="1"/>
    <cellStyle name="Lien hypertexte" xfId="19711" builtinId="8" hidden="1"/>
    <cellStyle name="Lien hypertexte" xfId="19821" builtinId="8" hidden="1"/>
    <cellStyle name="Lien hypertexte" xfId="24225" builtinId="8" hidden="1"/>
    <cellStyle name="Lien hypertexte" xfId="22171" builtinId="8" hidden="1"/>
    <cellStyle name="Lien hypertexte" xfId="764" builtinId="8" hidden="1"/>
    <cellStyle name="Lien hypertexte" xfId="18040" builtinId="8" hidden="1"/>
    <cellStyle name="Lien hypertexte" xfId="20545" builtinId="8" hidden="1"/>
    <cellStyle name="Lien hypertexte" xfId="17932" builtinId="8" hidden="1"/>
    <cellStyle name="Lien hypertexte" xfId="662" builtinId="8" hidden="1"/>
    <cellStyle name="Lien hypertexte" xfId="22063" builtinId="8" hidden="1"/>
    <cellStyle name="Lien hypertexte" xfId="24559" builtinId="8" hidden="1"/>
    <cellStyle name="Lien hypertexte" xfId="19719" builtinId="8" hidden="1"/>
    <cellStyle name="Lien hypertexte" xfId="19815" builtinId="8" hidden="1"/>
    <cellStyle name="Lien hypertexte" xfId="24273" builtinId="8" hidden="1"/>
    <cellStyle name="Lien hypertexte" xfId="22165" builtinId="8" hidden="1"/>
    <cellStyle name="Lien hypertexte" xfId="758" builtinId="8" hidden="1"/>
    <cellStyle name="Lien hypertexte" xfId="18030" builtinId="8" hidden="1"/>
    <cellStyle name="Lien hypertexte" xfId="21441" builtinId="8" hidden="1"/>
    <cellStyle name="Lien hypertexte" xfId="17940" builtinId="8" hidden="1"/>
    <cellStyle name="Lien hypertexte" xfId="668" builtinId="8" hidden="1"/>
    <cellStyle name="Lien hypertexte" xfId="22071" builtinId="8" hidden="1"/>
    <cellStyle name="Lien hypertexte" xfId="24567" builtinId="8" hidden="1"/>
    <cellStyle name="Lien hypertexte" xfId="19725" builtinId="8" hidden="1"/>
    <cellStyle name="Lien hypertexte" xfId="19807" builtinId="8" hidden="1"/>
    <cellStyle name="Lien hypertexte" xfId="24321" builtinId="8" hidden="1"/>
    <cellStyle name="Lien hypertexte" xfId="22155" builtinId="8" hidden="1"/>
    <cellStyle name="Lien hypertexte" xfId="750" builtinId="8" hidden="1"/>
    <cellStyle name="Lien hypertexte" xfId="17362" builtinId="8" hidden="1"/>
    <cellStyle name="Lien hypertexte" xfId="16854" builtinId="8" hidden="1"/>
    <cellStyle name="Lien hypertexte" xfId="17400" builtinId="8" hidden="1"/>
    <cellStyle name="Lien hypertexte" xfId="676" builtinId="8" hidden="1"/>
    <cellStyle name="Lien hypertexte" xfId="22077" builtinId="8" hidden="1"/>
    <cellStyle name="Lien hypertexte" xfId="24573" builtinId="8" hidden="1"/>
    <cellStyle name="Lien hypertexte" xfId="19733" builtinId="8" hidden="1"/>
    <cellStyle name="Lien hypertexte" xfId="19801" builtinId="8" hidden="1"/>
    <cellStyle name="Lien hypertexte" xfId="24385" builtinId="8" hidden="1"/>
    <cellStyle name="Lien hypertexte" xfId="22149" builtinId="8" hidden="1"/>
    <cellStyle name="Lien hypertexte" xfId="744" builtinId="8" hidden="1"/>
    <cellStyle name="Lien hypertexte" xfId="18018" builtinId="8" hidden="1"/>
    <cellStyle name="Lien hypertexte" xfId="21377" builtinId="8" hidden="1"/>
    <cellStyle name="Lien hypertexte" xfId="17954" builtinId="8" hidden="1"/>
    <cellStyle name="Lien hypertexte" xfId="682" builtinId="8" hidden="1"/>
    <cellStyle name="Lien hypertexte" xfId="22085" builtinId="8" hidden="1"/>
    <cellStyle name="Lien hypertexte" xfId="24583" builtinId="8" hidden="1"/>
    <cellStyle name="Lien hypertexte" xfId="19739" builtinId="8" hidden="1"/>
    <cellStyle name="Lien hypertexte" xfId="19795" builtinId="8" hidden="1"/>
    <cellStyle name="Lien hypertexte" xfId="24433" builtinId="8" hidden="1"/>
    <cellStyle name="Lien hypertexte" xfId="22141" builtinId="8" hidden="1"/>
    <cellStyle name="Lien hypertexte" xfId="736" builtinId="8" hidden="1"/>
    <cellStyle name="Lien hypertexte" xfId="18010" builtinId="8" hidden="1"/>
    <cellStyle name="Lien hypertexte" xfId="20801" builtinId="8" hidden="1"/>
    <cellStyle name="Lien hypertexte" xfId="17960" builtinId="8" hidden="1"/>
    <cellStyle name="Lien hypertexte" xfId="690" builtinId="8" hidden="1"/>
    <cellStyle name="Lien hypertexte" xfId="22093" builtinId="8" hidden="1"/>
    <cellStyle name="Lien hypertexte" xfId="24589" builtinId="8" hidden="1"/>
    <cellStyle name="Lien hypertexte" xfId="19747" builtinId="8" hidden="1"/>
    <cellStyle name="Lien hypertexte" xfId="19787" builtinId="8" hidden="1"/>
    <cellStyle name="Lien hypertexte" xfId="24481" builtinId="8" hidden="1"/>
    <cellStyle name="Lien hypertexte" xfId="22135" builtinId="8" hidden="1"/>
    <cellStyle name="Lien hypertexte" xfId="730" builtinId="8" hidden="1"/>
    <cellStyle name="Lien hypertexte" xfId="18004" builtinId="8" hidden="1"/>
    <cellStyle name="Lien hypertexte" xfId="21505" builtinId="8" hidden="1"/>
    <cellStyle name="Lien hypertexte" xfId="17970" builtinId="8" hidden="1"/>
    <cellStyle name="Lien hypertexte" xfId="696" builtinId="8" hidden="1"/>
    <cellStyle name="Lien hypertexte" xfId="22101" builtinId="8" hidden="1"/>
    <cellStyle name="Lien hypertexte" xfId="24597" builtinId="8" hidden="1"/>
    <cellStyle name="Lien hypertexte" xfId="19755" builtinId="8" hidden="1"/>
    <cellStyle name="Lien hypertexte" xfId="19781" builtinId="8" hidden="1"/>
    <cellStyle name="Lien hypertexte" xfId="24529" builtinId="8" hidden="1"/>
    <cellStyle name="Lien hypertexte" xfId="22127" builtinId="8" hidden="1"/>
    <cellStyle name="Lien hypertexte" xfId="724" builtinId="8" hidden="1"/>
    <cellStyle name="Lien hypertexte" xfId="17994" builtinId="8" hidden="1"/>
    <cellStyle name="Lien hypertexte" xfId="19633" builtinId="8" hidden="1"/>
    <cellStyle name="Lien hypertexte" xfId="17976" builtinId="8" hidden="1"/>
    <cellStyle name="Lien hypertexte" xfId="702" builtinId="8" hidden="1"/>
    <cellStyle name="Lien hypertexte" xfId="22107" builtinId="8" hidden="1"/>
    <cellStyle name="Lien hypertexte" xfId="24603" builtinId="8" hidden="1"/>
    <cellStyle name="Lien hypertexte" xfId="19763" builtinId="8" hidden="1"/>
    <cellStyle name="Lien hypertexte" xfId="19773" builtinId="8" hidden="1"/>
    <cellStyle name="Lien hypertexte" xfId="24577" builtinId="8" hidden="1"/>
    <cellStyle name="Lien hypertexte" xfId="22119" builtinId="8" hidden="1"/>
    <cellStyle name="Lien hypertexte" xfId="716" builtinId="8" hidden="1"/>
    <cellStyle name="Lien hypertexte" xfId="17988" builtinId="8" hidden="1"/>
    <cellStyle name="Lien hypertexte" xfId="21553" builtinId="8" hidden="1"/>
    <cellStyle name="Lien hypertexte" xfId="17984" builtinId="8" hidden="1"/>
    <cellStyle name="Lien hypertexte" xfId="712" builtinId="8" hidden="1"/>
    <cellStyle name="Lien hypertexte" xfId="22115" builtinId="8" hidden="1"/>
    <cellStyle name="Lien hypertexte" xfId="24611" builtinId="8" hidden="1"/>
    <cellStyle name="Lien hypertexte" xfId="19769" builtinId="8" hidden="1"/>
    <cellStyle name="Lien hypertexte" xfId="19767" builtinId="8" hidden="1"/>
    <cellStyle name="Lien hypertexte" xfId="24607" builtinId="8" hidden="1"/>
    <cellStyle name="Lien hypertexte" xfId="22111" builtinId="8" hidden="1"/>
    <cellStyle name="Lien hypertexte" xfId="708" builtinId="8" hidden="1"/>
    <cellStyle name="Lien hypertexte" xfId="17980" builtinId="8" hidden="1"/>
    <cellStyle name="Lien hypertexte" xfId="20913" builtinId="8" hidden="1"/>
    <cellStyle name="Lien hypertexte" xfId="17990" builtinId="8" hidden="1"/>
    <cellStyle name="Lien hypertexte" xfId="718" builtinId="8" hidden="1"/>
    <cellStyle name="Lien hypertexte" xfId="22121" builtinId="8" hidden="1"/>
    <cellStyle name="Lien hypertexte" xfId="24561" builtinId="8" hidden="1"/>
    <cellStyle name="Lien hypertexte" xfId="19775" builtinId="8" hidden="1"/>
    <cellStyle name="Lien hypertexte" xfId="19759" builtinId="8" hidden="1"/>
    <cellStyle name="Lien hypertexte" xfId="24601" builtinId="8" hidden="1"/>
    <cellStyle name="Lien hypertexte" xfId="22105" builtinId="8" hidden="1"/>
    <cellStyle name="Lien hypertexte" xfId="700" builtinId="8" hidden="1"/>
    <cellStyle name="Lien hypertexte" xfId="17974" builtinId="8" hidden="1"/>
    <cellStyle name="Lien hypertexte" xfId="21489" builtinId="8" hidden="1"/>
    <cellStyle name="Lien hypertexte" xfId="17996" builtinId="8" hidden="1"/>
    <cellStyle name="Lien hypertexte" xfId="726" builtinId="8" hidden="1"/>
    <cellStyle name="Lien hypertexte" xfId="22131" builtinId="8" hidden="1"/>
    <cellStyle name="Lien hypertexte" xfId="24513" builtinId="8" hidden="1"/>
    <cellStyle name="Lien hypertexte" xfId="19783" builtinId="8" hidden="1"/>
    <cellStyle name="Lien hypertexte" xfId="19753" builtinId="8" hidden="1"/>
    <cellStyle name="Lien hypertexte" xfId="24595" builtinId="8" hidden="1"/>
    <cellStyle name="Lien hypertexte" xfId="22099" builtinId="8" hidden="1"/>
    <cellStyle name="Lien hypertexte" xfId="694" builtinId="8" hidden="1"/>
    <cellStyle name="Lien hypertexte" xfId="17966" builtinId="8" hidden="1"/>
    <cellStyle name="Lien hypertexte" xfId="16170" builtinId="8" hidden="1"/>
    <cellStyle name="Lien hypertexte" xfId="18006" builtinId="8" hidden="1"/>
    <cellStyle name="Lien hypertexte" xfId="732" builtinId="8" hidden="1"/>
    <cellStyle name="Lien hypertexte" xfId="22137" builtinId="8" hidden="1"/>
    <cellStyle name="Lien hypertexte" xfId="24465" builtinId="8" hidden="1"/>
    <cellStyle name="Lien hypertexte" xfId="19789" builtinId="8" hidden="1"/>
    <cellStyle name="Lien hypertexte" xfId="19743" builtinId="8" hidden="1"/>
    <cellStyle name="Lien hypertexte" xfId="24587" builtinId="8" hidden="1"/>
    <cellStyle name="Lien hypertexte" xfId="22091" builtinId="8" hidden="1"/>
    <cellStyle name="Lien hypertexte" xfId="686" builtinId="8" hidden="1"/>
    <cellStyle name="Lien hypertexte" xfId="17958" builtinId="8" hidden="1"/>
    <cellStyle name="Lien hypertexte" xfId="21361" builtinId="8" hidden="1"/>
    <cellStyle name="Lien hypertexte" xfId="18012" builtinId="8" hidden="1"/>
    <cellStyle name="Lien hypertexte" xfId="740" builtinId="8" hidden="1"/>
    <cellStyle name="Lien hypertexte" xfId="22143" builtinId="8" hidden="1"/>
    <cellStyle name="Lien hypertexte" xfId="24417" builtinId="8" hidden="1"/>
    <cellStyle name="Lien hypertexte" xfId="19797" builtinId="8" hidden="1"/>
    <cellStyle name="Lien hypertexte" xfId="19737" builtinId="8" hidden="1"/>
    <cellStyle name="Lien hypertexte" xfId="24581" builtinId="8" hidden="1"/>
    <cellStyle name="Lien hypertexte" xfId="22083" builtinId="8" hidden="1"/>
    <cellStyle name="Lien hypertexte" xfId="680" builtinId="8" hidden="1"/>
    <cellStyle name="Lien hypertexte" xfId="17952" builtinId="8" hidden="1"/>
    <cellStyle name="Lien hypertexte" xfId="20833" builtinId="8" hidden="1"/>
    <cellStyle name="Lien hypertexte" xfId="18020" builtinId="8" hidden="1"/>
    <cellStyle name="Lien hypertexte" xfId="746" builtinId="8" hidden="1"/>
    <cellStyle name="Lien hypertexte" xfId="22151" builtinId="8" hidden="1"/>
    <cellStyle name="Lien hypertexte" xfId="24369" builtinId="8" hidden="1"/>
    <cellStyle name="Lien hypertexte" xfId="19803" builtinId="8" hidden="1"/>
    <cellStyle name="Lien hypertexte" xfId="19731" builtinId="8" hidden="1"/>
    <cellStyle name="Lien hypertexte" xfId="24571" builtinId="8" hidden="1"/>
    <cellStyle name="Lien hypertexte" xfId="22075" builtinId="8" hidden="1"/>
    <cellStyle name="Lien hypertexte" xfId="674" builtinId="8" hidden="1"/>
    <cellStyle name="Lien hypertexte" xfId="17944" builtinId="8" hidden="1"/>
    <cellStyle name="Lien hypertexte" xfId="21425" builtinId="8" hidden="1"/>
    <cellStyle name="Lien hypertexte" xfId="18026" builtinId="8" hidden="1"/>
    <cellStyle name="Lien hypertexte" xfId="752" builtinId="8" hidden="1"/>
    <cellStyle name="Lien hypertexte" xfId="22157" builtinId="8" hidden="1"/>
    <cellStyle name="Lien hypertexte" xfId="24305" builtinId="8" hidden="1"/>
    <cellStyle name="Lien hypertexte" xfId="19811" builtinId="8" hidden="1"/>
    <cellStyle name="Lien hypertexte" xfId="19723" builtinId="8" hidden="1"/>
    <cellStyle name="Lien hypertexte" xfId="24565" builtinId="8" hidden="1"/>
    <cellStyle name="Lien hypertexte" xfId="22069" builtinId="8" hidden="1"/>
    <cellStyle name="Lien hypertexte" xfId="666" builtinId="8" hidden="1"/>
    <cellStyle name="Lien hypertexte" xfId="17938" builtinId="8" hidden="1"/>
    <cellStyle name="Lien hypertexte" xfId="19409" builtinId="8" hidden="1"/>
    <cellStyle name="Lien hypertexte" xfId="18036" builtinId="8" hidden="1"/>
    <cellStyle name="Lien hypertexte" xfId="760" builtinId="8" hidden="1"/>
    <cellStyle name="Lien hypertexte" xfId="22167" builtinId="8" hidden="1"/>
    <cellStyle name="Lien hypertexte" xfId="24257" builtinId="8" hidden="1"/>
    <cellStyle name="Lien hypertexte" xfId="19817" builtinId="8" hidden="1"/>
    <cellStyle name="Lien hypertexte" xfId="19717" builtinId="8" hidden="1"/>
    <cellStyle name="Lien hypertexte" xfId="24557" builtinId="8" hidden="1"/>
    <cellStyle name="Lien hypertexte" xfId="22061" builtinId="8" hidden="1"/>
    <cellStyle name="Lien hypertexte" xfId="660" builtinId="8" hidden="1"/>
    <cellStyle name="Lien hypertexte" xfId="17928" builtinId="8" hidden="1"/>
    <cellStyle name="Lien hypertexte" xfId="21329" builtinId="8" hidden="1"/>
    <cellStyle name="Lien hypertexte" xfId="18042" builtinId="8" hidden="1"/>
    <cellStyle name="Lien hypertexte" xfId="766" builtinId="8" hidden="1"/>
    <cellStyle name="Lien hypertexte" xfId="22173" builtinId="8" hidden="1"/>
    <cellStyle name="Lien hypertexte" xfId="24209" builtinId="8" hidden="1"/>
    <cellStyle name="Lien hypertexte" xfId="19823" builtinId="8" hidden="1"/>
    <cellStyle name="Lien hypertexte" xfId="19709" builtinId="8" hidden="1"/>
    <cellStyle name="Lien hypertexte" xfId="24551" builtinId="8" hidden="1"/>
    <cellStyle name="Lien hypertexte" xfId="22055" builtinId="8" hidden="1"/>
    <cellStyle name="Lien hypertexte" xfId="652" builtinId="8" hidden="1"/>
    <cellStyle name="Lien hypertexte" xfId="17922" builtinId="8" hidden="1"/>
    <cellStyle name="Lien hypertexte" xfId="20577" builtinId="8" hidden="1"/>
    <cellStyle name="Lien hypertexte" xfId="18048" builtinId="8" hidden="1"/>
    <cellStyle name="Lien hypertexte" xfId="774" builtinId="8" hidden="1"/>
    <cellStyle name="Lien hypertexte" xfId="22181" builtinId="8" hidden="1"/>
    <cellStyle name="Lien hypertexte" xfId="24161" builtinId="8" hidden="1"/>
    <cellStyle name="Lien hypertexte" xfId="19831" builtinId="8" hidden="1"/>
    <cellStyle name="Lien hypertexte" xfId="19703" builtinId="8" hidden="1"/>
    <cellStyle name="Lien hypertexte" xfId="24543" builtinId="8" hidden="1"/>
    <cellStyle name="Lien hypertexte" xfId="22045" builtinId="8" hidden="1"/>
    <cellStyle name="Lien hypertexte" xfId="14768" builtinId="8" hidden="1"/>
    <cellStyle name="Lien hypertexte" xfId="17916" builtinId="8" hidden="1"/>
    <cellStyle name="Lien hypertexte" xfId="21105" builtinId="8" hidden="1"/>
    <cellStyle name="Lien hypertexte" xfId="18056" builtinId="8" hidden="1"/>
    <cellStyle name="Lien hypertexte" xfId="780" builtinId="8" hidden="1"/>
    <cellStyle name="Lien hypertexte" xfId="22187" builtinId="8" hidden="1"/>
    <cellStyle name="Lien hypertexte" xfId="24113" builtinId="8" hidden="1"/>
    <cellStyle name="Lien hypertexte" xfId="19837" builtinId="8" hidden="1"/>
    <cellStyle name="Lien hypertexte" xfId="19695" builtinId="8" hidden="1"/>
    <cellStyle name="Lien hypertexte" xfId="24535" builtinId="8" hidden="1"/>
    <cellStyle name="Lien hypertexte" xfId="22039" builtinId="8" hidden="1"/>
    <cellStyle name="Lien hypertexte" xfId="14908" builtinId="8" hidden="1"/>
    <cellStyle name="Lien hypertexte" xfId="15024" builtinId="8" hidden="1"/>
    <cellStyle name="Lien hypertexte" xfId="18218" builtinId="8" hidden="1"/>
    <cellStyle name="Lien hypertexte" xfId="936" builtinId="8" hidden="1"/>
    <cellStyle name="Lien hypertexte" xfId="14834" builtinId="8" hidden="1"/>
    <cellStyle name="Lien hypertexte" xfId="22195" builtinId="8" hidden="1"/>
    <cellStyle name="Lien hypertexte" xfId="24049" builtinId="8" hidden="1"/>
    <cellStyle name="Lien hypertexte" xfId="19845" builtinId="8" hidden="1"/>
    <cellStyle name="Lien hypertexte" xfId="19689" builtinId="8" hidden="1"/>
    <cellStyle name="Lien hypertexte" xfId="24527" builtinId="8" hidden="1"/>
    <cellStyle name="Lien hypertexte" xfId="22031" builtinId="8" hidden="1"/>
    <cellStyle name="Lien hypertexte" xfId="15216" builtinId="8" hidden="1"/>
    <cellStyle name="Lien hypertexte" xfId="17900" builtinId="8" hidden="1"/>
    <cellStyle name="Lien hypertexte" xfId="20945" builtinId="8" hidden="1"/>
    <cellStyle name="Lien hypertexte" xfId="18072" builtinId="8" hidden="1"/>
    <cellStyle name="Lien hypertexte" xfId="794" builtinId="8" hidden="1"/>
    <cellStyle name="Lien hypertexte" xfId="22203" builtinId="8" hidden="1"/>
    <cellStyle name="Lien hypertexte" xfId="24001" builtinId="8" hidden="1"/>
    <cellStyle name="Lien hypertexte" xfId="19851" builtinId="8" hidden="1"/>
    <cellStyle name="Lien hypertexte" xfId="19683" builtinId="8" hidden="1"/>
    <cellStyle name="Lien hypertexte" xfId="24521" builtinId="8" hidden="1"/>
    <cellStyle name="Lien hypertexte" xfId="22025" builtinId="8" hidden="1"/>
    <cellStyle name="Lien hypertexte" xfId="15408" builtinId="8" hidden="1"/>
    <cellStyle name="Lien hypertexte" xfId="17892" builtinId="8" hidden="1"/>
    <cellStyle name="Lien hypertexte" xfId="20689" builtinId="8" hidden="1"/>
    <cellStyle name="Lien hypertexte" xfId="18078" builtinId="8" hidden="1"/>
    <cellStyle name="Lien hypertexte" xfId="800" builtinId="8" hidden="1"/>
    <cellStyle name="Lien hypertexte" xfId="22211" builtinId="8" hidden="1"/>
    <cellStyle name="Lien hypertexte" xfId="23953" builtinId="8" hidden="1"/>
    <cellStyle name="Lien hypertexte" xfId="19859" builtinId="8" hidden="1"/>
    <cellStyle name="Lien hypertexte" xfId="19675" builtinId="8" hidden="1"/>
    <cellStyle name="Lien hypertexte" xfId="24515" builtinId="8" hidden="1"/>
    <cellStyle name="Lien hypertexte" xfId="22019" builtinId="8" hidden="1"/>
    <cellStyle name="Lien hypertexte" xfId="15664" builtinId="8" hidden="1"/>
    <cellStyle name="Lien hypertexte" xfId="17886" builtinId="8" hidden="1"/>
    <cellStyle name="Lien hypertexte" xfId="21009" builtinId="8" hidden="1"/>
    <cellStyle name="Lien hypertexte" xfId="18086" builtinId="8" hidden="1"/>
    <cellStyle name="Lien hypertexte" xfId="808" builtinId="8" hidden="1"/>
    <cellStyle name="Lien hypertexte" xfId="22217" builtinId="8" hidden="1"/>
    <cellStyle name="Lien hypertexte" xfId="23905" builtinId="8" hidden="1"/>
    <cellStyle name="Lien hypertexte" xfId="19865" builtinId="8" hidden="1"/>
    <cellStyle name="Lien hypertexte" xfId="19669" builtinId="8" hidden="1"/>
    <cellStyle name="Lien hypertexte" xfId="24507" builtinId="8" hidden="1"/>
    <cellStyle name="Lien hypertexte" xfId="22009" builtinId="8" hidden="1"/>
    <cellStyle name="Lien hypertexte" xfId="15856" builtinId="8" hidden="1"/>
    <cellStyle name="Lien hypertexte" xfId="17878" builtinId="8" hidden="1"/>
    <cellStyle name="Lien hypertexte" xfId="18897" builtinId="8" hidden="1"/>
    <cellStyle name="Lien hypertexte" xfId="18092" builtinId="8" hidden="1"/>
    <cellStyle name="Lien hypertexte" xfId="814" builtinId="8" hidden="1"/>
    <cellStyle name="Lien hypertexte" xfId="22223" builtinId="8" hidden="1"/>
    <cellStyle name="Lien hypertexte" xfId="23857" builtinId="8" hidden="1"/>
    <cellStyle name="Lien hypertexte" xfId="19871" builtinId="8" hidden="1"/>
    <cellStyle name="Lien hypertexte" xfId="19661" builtinId="8" hidden="1"/>
    <cellStyle name="Lien hypertexte" xfId="24499" builtinId="8" hidden="1"/>
    <cellStyle name="Lien hypertexte" xfId="22003" builtinId="8" hidden="1"/>
    <cellStyle name="Lien hypertexte" xfId="15930" builtinId="8" hidden="1"/>
    <cellStyle name="Lien hypertexte" xfId="17870" builtinId="8" hidden="1"/>
    <cellStyle name="Lien hypertexte" xfId="21089" builtinId="8" hidden="1"/>
    <cellStyle name="Lien hypertexte" xfId="18100" builtinId="8" hidden="1"/>
    <cellStyle name="Lien hypertexte" xfId="822" builtinId="8" hidden="1"/>
    <cellStyle name="Lien hypertexte" xfId="22231" builtinId="8" hidden="1"/>
    <cellStyle name="Lien hypertexte" xfId="23793" builtinId="8" hidden="1"/>
    <cellStyle name="Lien hypertexte" xfId="19879" builtinId="8" hidden="1"/>
    <cellStyle name="Lien hypertexte" xfId="19655" builtinId="8" hidden="1"/>
    <cellStyle name="Lien hypertexte" xfId="24491" builtinId="8" hidden="1"/>
    <cellStyle name="Lien hypertexte" xfId="21995" builtinId="8" hidden="1"/>
    <cellStyle name="Lien hypertexte" xfId="15924" builtinId="8" hidden="1"/>
    <cellStyle name="Lien hypertexte" xfId="17864" builtinId="8" hidden="1"/>
    <cellStyle name="Lien hypertexte" xfId="20321" builtinId="8" hidden="1"/>
    <cellStyle name="Lien hypertexte" xfId="18108" builtinId="8" hidden="1"/>
    <cellStyle name="Lien hypertexte" xfId="828" builtinId="8" hidden="1"/>
    <cellStyle name="Lien hypertexte" xfId="22239" builtinId="8" hidden="1"/>
    <cellStyle name="Lien hypertexte" xfId="23745" builtinId="8" hidden="1"/>
    <cellStyle name="Lien hypertexte" xfId="19885" builtinId="8" hidden="1"/>
    <cellStyle name="Lien hypertexte" xfId="19647" builtinId="8" hidden="1"/>
    <cellStyle name="Lien hypertexte" xfId="24485" builtinId="8" hidden="1"/>
    <cellStyle name="Lien hypertexte" xfId="21989" builtinId="8" hidden="1"/>
    <cellStyle name="Lien hypertexte" xfId="15914" builtinId="8" hidden="1"/>
    <cellStyle name="Lien hypertexte" xfId="17856" builtinId="8" hidden="1"/>
    <cellStyle name="Lien hypertexte" xfId="21169" builtinId="8" hidden="1"/>
    <cellStyle name="Lien hypertexte" xfId="18114" builtinId="8" hidden="1"/>
    <cellStyle name="Lien hypertexte" xfId="836" builtinId="8" hidden="1"/>
    <cellStyle name="Lien hypertexte" xfId="22247" builtinId="8" hidden="1"/>
    <cellStyle name="Lien hypertexte" xfId="23697" builtinId="8" hidden="1"/>
    <cellStyle name="Lien hypertexte" xfId="19893" builtinId="8" hidden="1"/>
    <cellStyle name="Lien hypertexte" xfId="19641" builtinId="8" hidden="1"/>
    <cellStyle name="Lien hypertexte" xfId="24477" builtinId="8" hidden="1"/>
    <cellStyle name="Lien hypertexte" xfId="21981" builtinId="8" hidden="1"/>
    <cellStyle name="Lien hypertexte" xfId="15908" builtinId="8" hidden="1"/>
    <cellStyle name="Lien hypertexte" xfId="17850" builtinId="8" hidden="1"/>
    <cellStyle name="Lien hypertexte" xfId="16212" builtinId="8" hidden="1"/>
    <cellStyle name="Lien hypertexte" xfId="18122" builtinId="8" hidden="1"/>
    <cellStyle name="Lien hypertexte" xfId="844" builtinId="8" hidden="1"/>
    <cellStyle name="Lien hypertexte" xfId="22253" builtinId="8" hidden="1"/>
    <cellStyle name="Lien hypertexte" xfId="23649" builtinId="8" hidden="1"/>
    <cellStyle name="Lien hypertexte" xfId="19901" builtinId="8" hidden="1"/>
    <cellStyle name="Lien hypertexte" xfId="19635" builtinId="8" hidden="1"/>
    <cellStyle name="Lien hypertexte" xfId="24471" builtinId="8" hidden="1"/>
    <cellStyle name="Lien hypertexte" xfId="21973" builtinId="8" hidden="1"/>
    <cellStyle name="Lien hypertexte" xfId="15902" builtinId="8" hidden="1"/>
    <cellStyle name="Lien hypertexte" xfId="17842" builtinId="8" hidden="1"/>
    <cellStyle name="Lien hypertexte" xfId="21233" builtinId="8" hidden="1"/>
    <cellStyle name="Lien hypertexte" xfId="18130" builtinId="8" hidden="1"/>
    <cellStyle name="Lien hypertexte" xfId="850" builtinId="8" hidden="1"/>
    <cellStyle name="Lien hypertexte" xfId="22261" builtinId="8" hidden="1"/>
    <cellStyle name="Lien hypertexte" xfId="23601" builtinId="8" hidden="1"/>
    <cellStyle name="Lien hypertexte" xfId="19909" builtinId="8" hidden="1"/>
    <cellStyle name="Lien hypertexte" xfId="19627" builtinId="8" hidden="1"/>
    <cellStyle name="Lien hypertexte" xfId="24461" builtinId="8" hidden="1"/>
    <cellStyle name="Lien hypertexte" xfId="21965" builtinId="8" hidden="1"/>
    <cellStyle name="Lien hypertexte" xfId="15894" builtinId="8" hidden="1"/>
    <cellStyle name="Lien hypertexte" xfId="17834" builtinId="8" hidden="1"/>
    <cellStyle name="Lien hypertexte" xfId="19889" builtinId="8" hidden="1"/>
    <cellStyle name="Lien hypertexte" xfId="18138" builtinId="8" hidden="1"/>
    <cellStyle name="Lien hypertexte" xfId="858" builtinId="8" hidden="1"/>
    <cellStyle name="Lien hypertexte" xfId="22267" builtinId="8" hidden="1"/>
    <cellStyle name="Lien hypertexte" xfId="23537" builtinId="8" hidden="1"/>
    <cellStyle name="Lien hypertexte" xfId="19915" builtinId="8" hidden="1"/>
    <cellStyle name="Lien hypertexte" xfId="19621" builtinId="8" hidden="1"/>
    <cellStyle name="Lien hypertexte" xfId="24455" builtinId="8" hidden="1"/>
    <cellStyle name="Lien hypertexte" xfId="21959" builtinId="8" hidden="1"/>
    <cellStyle name="Lien hypertexte" xfId="15888" builtinId="8" hidden="1"/>
    <cellStyle name="Lien hypertexte" xfId="17826" builtinId="8" hidden="1"/>
    <cellStyle name="Lien hypertexte" xfId="21313" builtinId="8" hidden="1"/>
    <cellStyle name="Lien hypertexte" xfId="18144" builtinId="8" hidden="1"/>
    <cellStyle name="Lien hypertexte" xfId="864" builtinId="8" hidden="1"/>
    <cellStyle name="Lien hypertexte" xfId="22277" builtinId="8" hidden="1"/>
    <cellStyle name="Lien hypertexte" xfId="23489" builtinId="8" hidden="1"/>
    <cellStyle name="Lien hypertexte" xfId="19923" builtinId="8" hidden="1"/>
    <cellStyle name="Lien hypertexte" xfId="19613" builtinId="8" hidden="1"/>
    <cellStyle name="Lien hypertexte" xfId="24447" builtinId="8" hidden="1"/>
    <cellStyle name="Lien hypertexte" xfId="21951" builtinId="8" hidden="1"/>
    <cellStyle name="Lien hypertexte" xfId="15880" builtinId="8" hidden="1"/>
    <cellStyle name="Lien hypertexte" xfId="17820" builtinId="8" hidden="1"/>
    <cellStyle name="Lien hypertexte" xfId="19121" builtinId="8" hidden="1"/>
    <cellStyle name="Lien hypertexte" xfId="18150" builtinId="8" hidden="1"/>
    <cellStyle name="Lien hypertexte" xfId="872" builtinId="8" hidden="1"/>
    <cellStyle name="Lien hypertexte" xfId="22283" builtinId="8" hidden="1"/>
    <cellStyle name="Lien hypertexte" xfId="23441" builtinId="8" hidden="1"/>
    <cellStyle name="Lien hypertexte" xfId="19929" builtinId="8" hidden="1"/>
    <cellStyle name="Lien hypertexte" xfId="19607" builtinId="8" hidden="1"/>
    <cellStyle name="Lien hypertexte" xfId="24441" builtinId="8" hidden="1"/>
    <cellStyle name="Lien hypertexte" xfId="21945" builtinId="8" hidden="1"/>
    <cellStyle name="Lien hypertexte" xfId="15874" builtinId="8" hidden="1"/>
    <cellStyle name="Lien hypertexte" xfId="17814" builtinId="8" hidden="1"/>
    <cellStyle name="Lien hypertexte" xfId="20881" builtinId="8" hidden="1"/>
    <cellStyle name="Lien hypertexte" xfId="18158" builtinId="8" hidden="1"/>
    <cellStyle name="Lien hypertexte" xfId="878" builtinId="8" hidden="1"/>
    <cellStyle name="Lien hypertexte" xfId="22291" builtinId="8" hidden="1"/>
    <cellStyle name="Lien hypertexte" xfId="23393" builtinId="8" hidden="1"/>
    <cellStyle name="Lien hypertexte" xfId="19935" builtinId="8" hidden="1"/>
    <cellStyle name="Lien hypertexte" xfId="19597" builtinId="8" hidden="1"/>
    <cellStyle name="Lien hypertexte" xfId="24435" builtinId="8" hidden="1"/>
    <cellStyle name="Lien hypertexte" xfId="21935" builtinId="8" hidden="1"/>
    <cellStyle name="Lien hypertexte" xfId="15866" builtinId="8" hidden="1"/>
    <cellStyle name="Lien hypertexte" xfId="17804" builtinId="8" hidden="1"/>
    <cellStyle name="Lien hypertexte" xfId="19777" builtinId="8" hidden="1"/>
    <cellStyle name="Lien hypertexte" xfId="18166" builtinId="8" hidden="1"/>
    <cellStyle name="Lien hypertexte" xfId="886" builtinId="8" hidden="1"/>
    <cellStyle name="Lien hypertexte" xfId="22297" builtinId="8" hidden="1"/>
    <cellStyle name="Lien hypertexte" xfId="23345" builtinId="8" hidden="1"/>
    <cellStyle name="Lien hypertexte" xfId="19943" builtinId="8" hidden="1"/>
    <cellStyle name="Lien hypertexte" xfId="19591" builtinId="8" hidden="1"/>
    <cellStyle name="Lien hypertexte" xfId="24425" builtinId="8" hidden="1"/>
    <cellStyle name="Lien hypertexte" xfId="21929" builtinId="8" hidden="1"/>
    <cellStyle name="Lien hypertexte" xfId="15860" builtinId="8" hidden="1"/>
    <cellStyle name="Lien hypertexte" xfId="17798" builtinId="8" hidden="1"/>
    <cellStyle name="Lien hypertexte" xfId="20785" builtinId="8" hidden="1"/>
    <cellStyle name="Lien hypertexte" xfId="18174" builtinId="8" hidden="1"/>
    <cellStyle name="Lien hypertexte" xfId="892" builtinId="8" hidden="1"/>
    <cellStyle name="Lien hypertexte" xfId="22303" builtinId="8" hidden="1"/>
    <cellStyle name="Lien hypertexte" xfId="23281" builtinId="8" hidden="1"/>
    <cellStyle name="Lien hypertexte" xfId="19949" builtinId="8" hidden="1"/>
    <cellStyle name="Lien hypertexte" xfId="19583" builtinId="8" hidden="1"/>
    <cellStyle name="Lien hypertexte" xfId="24419" builtinId="8" hidden="1"/>
    <cellStyle name="Lien hypertexte" xfId="21923" builtinId="8" hidden="1"/>
    <cellStyle name="Lien hypertexte" xfId="15852" builtinId="8" hidden="1"/>
    <cellStyle name="Lien hypertexte" xfId="17516" builtinId="8" hidden="1"/>
    <cellStyle name="Lien hypertexte" xfId="16970" builtinId="8" hidden="1"/>
    <cellStyle name="Lien hypertexte" xfId="18180" builtinId="8" hidden="1"/>
    <cellStyle name="Lien hypertexte" xfId="898" builtinId="8" hidden="1"/>
    <cellStyle name="Lien hypertexte" xfId="22313" builtinId="8" hidden="1"/>
    <cellStyle name="Lien hypertexte" xfId="23233" builtinId="8" hidden="1"/>
    <cellStyle name="Lien hypertexte" xfId="19957" builtinId="8" hidden="1"/>
    <cellStyle name="Lien hypertexte" xfId="19577" builtinId="8" hidden="1"/>
    <cellStyle name="Lien hypertexte" xfId="24411" builtinId="8" hidden="1"/>
    <cellStyle name="Lien hypertexte" xfId="21915" builtinId="8" hidden="1"/>
    <cellStyle name="Lien hypertexte" xfId="15844" builtinId="8" hidden="1"/>
    <cellStyle name="Lien hypertexte" xfId="17784" builtinId="8" hidden="1"/>
    <cellStyle name="Lien hypertexte" xfId="20673" builtinId="8" hidden="1"/>
    <cellStyle name="Lien hypertexte" xfId="18188" builtinId="8" hidden="1"/>
    <cellStyle name="Lien hypertexte" xfId="906" builtinId="8" hidden="1"/>
    <cellStyle name="Lien hypertexte" xfId="22319" builtinId="8" hidden="1"/>
    <cellStyle name="Lien hypertexte" xfId="23185" builtinId="8" hidden="1"/>
    <cellStyle name="Lien hypertexte" xfId="19963" builtinId="8" hidden="1"/>
    <cellStyle name="Lien hypertexte" xfId="19571" builtinId="8" hidden="1"/>
    <cellStyle name="Lien hypertexte" xfId="24405" builtinId="8" hidden="1"/>
    <cellStyle name="Lien hypertexte" xfId="21909" builtinId="8" hidden="1"/>
    <cellStyle name="Lien hypertexte" xfId="15838" builtinId="8" hidden="1"/>
    <cellStyle name="Lien hypertexte" xfId="17774" builtinId="8" hidden="1"/>
    <cellStyle name="Lien hypertexte" xfId="19921" builtinId="8" hidden="1"/>
    <cellStyle name="Lien hypertexte" xfId="18196" builtinId="8" hidden="1"/>
    <cellStyle name="Lien hypertexte" xfId="912" builtinId="8" hidden="1"/>
    <cellStyle name="Lien hypertexte" xfId="22327" builtinId="8" hidden="1"/>
    <cellStyle name="Lien hypertexte" xfId="23137" builtinId="8" hidden="1"/>
    <cellStyle name="Lien hypertexte" xfId="19971" builtinId="8" hidden="1"/>
    <cellStyle name="Lien hypertexte" xfId="19563" builtinId="8" hidden="1"/>
    <cellStyle name="Lien hypertexte" xfId="24397" builtinId="8" hidden="1"/>
    <cellStyle name="Lien hypertexte" xfId="21899" builtinId="8" hidden="1"/>
    <cellStyle name="Lien hypertexte" xfId="15830" builtinId="8" hidden="1"/>
    <cellStyle name="Lien hypertexte" xfId="17768" builtinId="8" hidden="1"/>
    <cellStyle name="Lien hypertexte" xfId="20561" builtinId="8" hidden="1"/>
    <cellStyle name="Lien hypertexte" xfId="18202" builtinId="8" hidden="1"/>
    <cellStyle name="Lien hypertexte" xfId="920" builtinId="8" hidden="1"/>
    <cellStyle name="Lien hypertexte" xfId="22333" builtinId="8" hidden="1"/>
    <cellStyle name="Lien hypertexte" xfId="23089" builtinId="8" hidden="1"/>
    <cellStyle name="Lien hypertexte" xfId="19977" builtinId="8" hidden="1"/>
    <cellStyle name="Lien hypertexte" xfId="19557" builtinId="8" hidden="1"/>
    <cellStyle name="Lien hypertexte" xfId="24389" builtinId="8" hidden="1"/>
    <cellStyle name="Lien hypertexte" xfId="21893" builtinId="8" hidden="1"/>
    <cellStyle name="Lien hypertexte" xfId="15824" builtinId="8" hidden="1"/>
    <cellStyle name="Lien hypertexte" xfId="17762" builtinId="8" hidden="1"/>
    <cellStyle name="Lien hypertexte" xfId="15946" builtinId="8" hidden="1"/>
    <cellStyle name="Lien hypertexte" xfId="18210" builtinId="8" hidden="1"/>
    <cellStyle name="Lien hypertexte" xfId="926" builtinId="8" hidden="1"/>
    <cellStyle name="Lien hypertexte" xfId="22341" builtinId="8" hidden="1"/>
    <cellStyle name="Lien hypertexte" xfId="23025" builtinId="8" hidden="1"/>
    <cellStyle name="Lien hypertexte" xfId="19983" builtinId="8" hidden="1"/>
    <cellStyle name="Lien hypertexte" xfId="19549" builtinId="8" hidden="1"/>
    <cellStyle name="Lien hypertexte" xfId="24381" builtinId="8" hidden="1"/>
    <cellStyle name="Lien hypertexte" xfId="21885" builtinId="8" hidden="1"/>
    <cellStyle name="Lien hypertexte" xfId="15816" builtinId="8" hidden="1"/>
    <cellStyle name="Lien hypertexte" xfId="17754" builtinId="8" hidden="1"/>
    <cellStyle name="Lien hypertexte" xfId="20449" builtinId="8" hidden="1"/>
    <cellStyle name="Lien hypertexte" xfId="18216" builtinId="8" hidden="1"/>
    <cellStyle name="Lien hypertexte" xfId="934" builtinId="8" hidden="1"/>
    <cellStyle name="Lien hypertexte" xfId="22349" builtinId="8" hidden="1"/>
    <cellStyle name="Lien hypertexte" xfId="22977" builtinId="8" hidden="1"/>
    <cellStyle name="Lien hypertexte" xfId="19991" builtinId="8" hidden="1"/>
    <cellStyle name="Lien hypertexte" xfId="19543" builtinId="8" hidden="1"/>
    <cellStyle name="Lien hypertexte" xfId="24375" builtinId="8" hidden="1"/>
    <cellStyle name="Lien hypertexte" xfId="21879" builtinId="8" hidden="1"/>
    <cellStyle name="Lien hypertexte" xfId="15810" builtinId="8" hidden="1"/>
    <cellStyle name="Lien hypertexte" xfId="17748" builtinId="8" hidden="1"/>
    <cellStyle name="Lien hypertexte" xfId="20065" builtinId="8" hidden="1"/>
    <cellStyle name="Lien hypertexte" xfId="18226" builtinId="8" hidden="1"/>
    <cellStyle name="Lien hypertexte" xfId="940" builtinId="8" hidden="1"/>
    <cellStyle name="Lien hypertexte" xfId="22357" builtinId="8" hidden="1"/>
    <cellStyle name="Lien hypertexte" xfId="22929" builtinId="8" hidden="1"/>
    <cellStyle name="Lien hypertexte" xfId="19997" builtinId="8" hidden="1"/>
    <cellStyle name="Lien hypertexte" xfId="19535" builtinId="8" hidden="1"/>
    <cellStyle name="Lien hypertexte" xfId="24367" builtinId="8" hidden="1"/>
    <cellStyle name="Lien hypertexte" xfId="21871" builtinId="8" hidden="1"/>
    <cellStyle name="Lien hypertexte" xfId="15804" builtinId="8" hidden="1"/>
    <cellStyle name="Lien hypertexte" xfId="17738" builtinId="8" hidden="1"/>
    <cellStyle name="Lien hypertexte" xfId="20337" builtinId="8" hidden="1"/>
    <cellStyle name="Lien hypertexte" xfId="18232" builtinId="8" hidden="1"/>
    <cellStyle name="Lien hypertexte" xfId="946" builtinId="8" hidden="1"/>
    <cellStyle name="Lien hypertexte" xfId="22363" builtinId="8" hidden="1"/>
    <cellStyle name="Lien hypertexte" xfId="22881" builtinId="8" hidden="1"/>
    <cellStyle name="Lien hypertexte" xfId="20005" builtinId="8" hidden="1"/>
    <cellStyle name="Lien hypertexte" xfId="20407" builtinId="8" hidden="1"/>
    <cellStyle name="Lien hypertexte" xfId="24361" builtinId="8" hidden="1"/>
    <cellStyle name="Lien hypertexte" xfId="21863" builtinId="8" hidden="1"/>
    <cellStyle name="Lien hypertexte" xfId="15796" builtinId="8" hidden="1"/>
    <cellStyle name="Lien hypertexte" xfId="17732" builtinId="8" hidden="1"/>
    <cellStyle name="Lien hypertexte" xfId="16348" builtinId="8" hidden="1"/>
    <cellStyle name="Lien hypertexte" xfId="18240" builtinId="8" hidden="1"/>
    <cellStyle name="Lien hypertexte" xfId="954" builtinId="8" hidden="1"/>
    <cellStyle name="Lien hypertexte" xfId="22371" builtinId="8" hidden="1"/>
    <cellStyle name="Lien hypertexte" xfId="22833" builtinId="8" hidden="1"/>
    <cellStyle name="Lien hypertexte" xfId="20011" builtinId="8" hidden="1"/>
    <cellStyle name="Lien hypertexte" xfId="20627" builtinId="8" hidden="1"/>
    <cellStyle name="Lien hypertexte" xfId="24351" builtinId="8" hidden="1"/>
    <cellStyle name="Lien hypertexte" xfId="21855" builtinId="8" hidden="1"/>
    <cellStyle name="Lien hypertexte" xfId="15788" builtinId="8" hidden="1"/>
    <cellStyle name="Lien hypertexte" xfId="17724" builtinId="8" hidden="1"/>
    <cellStyle name="Lien hypertexte" xfId="20225" builtinId="8" hidden="1"/>
    <cellStyle name="Lien hypertexte" xfId="18246" builtinId="8" hidden="1"/>
    <cellStyle name="Lien hypertexte" xfId="960" builtinId="8" hidden="1"/>
    <cellStyle name="Lien hypertexte" xfId="22377" builtinId="8" hidden="1"/>
    <cellStyle name="Lien hypertexte" xfId="22769" builtinId="8" hidden="1"/>
    <cellStyle name="Lien hypertexte" xfId="20019" builtinId="8" hidden="1"/>
    <cellStyle name="Lien hypertexte" xfId="20845" builtinId="8" hidden="1"/>
    <cellStyle name="Lien hypertexte" xfId="24345" builtinId="8" hidden="1"/>
    <cellStyle name="Lien hypertexte" xfId="21849" builtinId="8" hidden="1"/>
    <cellStyle name="Lien hypertexte" xfId="15780" builtinId="8" hidden="1"/>
    <cellStyle name="Lien hypertexte" xfId="17718" builtinId="8" hidden="1"/>
    <cellStyle name="Lien hypertexte" xfId="20209" builtinId="8" hidden="1"/>
    <cellStyle name="Lien hypertexte" xfId="18252" builtinId="8" hidden="1"/>
    <cellStyle name="Lien hypertexte" xfId="970" builtinId="8" hidden="1"/>
    <cellStyle name="Lien hypertexte" xfId="22387" builtinId="8" hidden="1"/>
    <cellStyle name="Lien hypertexte" xfId="22721" builtinId="8" hidden="1"/>
    <cellStyle name="Lien hypertexte" xfId="20025" builtinId="8" hidden="1"/>
    <cellStyle name="Lien hypertexte" xfId="21065" builtinId="8" hidden="1"/>
    <cellStyle name="Lien hypertexte" xfId="24339" builtinId="8" hidden="1"/>
    <cellStyle name="Lien hypertexte" xfId="21843" builtinId="8" hidden="1"/>
    <cellStyle name="Lien hypertexte" xfId="15774" builtinId="8" hidden="1"/>
    <cellStyle name="Lien hypertexte" xfId="17710" builtinId="8" hidden="1"/>
    <cellStyle name="Lien hypertexte" xfId="20113" builtinId="8" hidden="1"/>
    <cellStyle name="Lien hypertexte" xfId="18262" builtinId="8" hidden="1"/>
    <cellStyle name="Lien hypertexte" xfId="976" builtinId="8" hidden="1"/>
    <cellStyle name="Lien hypertexte" xfId="22393" builtinId="8" hidden="1"/>
    <cellStyle name="Lien hypertexte" xfId="22673" builtinId="8" hidden="1"/>
    <cellStyle name="Lien hypertexte" xfId="20031" builtinId="8" hidden="1"/>
    <cellStyle name="Lien hypertexte" xfId="21285" builtinId="8" hidden="1"/>
    <cellStyle name="Lien hypertexte" xfId="24331" builtinId="8" hidden="1"/>
    <cellStyle name="Lien hypertexte" xfId="21835" builtinId="8" hidden="1"/>
    <cellStyle name="Lien hypertexte" xfId="15766" builtinId="8" hidden="1"/>
    <cellStyle name="Lien hypertexte" xfId="17702" builtinId="8" hidden="1"/>
    <cellStyle name="Lien hypertexte" xfId="16064" builtinId="8" hidden="1"/>
    <cellStyle name="Lien hypertexte" xfId="18268" builtinId="8" hidden="1"/>
    <cellStyle name="Lien hypertexte" xfId="984" builtinId="8" hidden="1"/>
    <cellStyle name="Lien hypertexte" xfId="22399" builtinId="8" hidden="1"/>
    <cellStyle name="Lien hypertexte" xfId="22625" builtinId="8" hidden="1"/>
    <cellStyle name="Lien hypertexte" xfId="20039" builtinId="8" hidden="1"/>
    <cellStyle name="Lien hypertexte" xfId="21503" builtinId="8" hidden="1"/>
    <cellStyle name="Lien hypertexte" xfId="24325" builtinId="8" hidden="1"/>
    <cellStyle name="Lien hypertexte" xfId="21827" builtinId="8" hidden="1"/>
    <cellStyle name="Lien hypertexte" xfId="15760" builtinId="8" hidden="1"/>
    <cellStyle name="Lien hypertexte" xfId="17696" builtinId="8" hidden="1"/>
    <cellStyle name="Lien hypertexte" xfId="20017" builtinId="8" hidden="1"/>
    <cellStyle name="Lien hypertexte" xfId="18276" builtinId="8" hidden="1"/>
    <cellStyle name="Lien hypertexte" xfId="990" builtinId="8" hidden="1"/>
    <cellStyle name="Lien hypertexte" xfId="22407" builtinId="8" hidden="1"/>
    <cellStyle name="Lien hypertexte" xfId="22577" builtinId="8" hidden="1"/>
    <cellStyle name="Lien hypertexte" xfId="20047" builtinId="8" hidden="1"/>
    <cellStyle name="Lien hypertexte" xfId="21723" builtinId="8" hidden="1"/>
    <cellStyle name="Lien hypertexte" xfId="24315" builtinId="8" hidden="1"/>
    <cellStyle name="Lien hypertexte" xfId="21819" builtinId="8" hidden="1"/>
    <cellStyle name="Lien hypertexte" xfId="15754" builtinId="8" hidden="1"/>
    <cellStyle name="Lien hypertexte" xfId="17688" builtinId="8" hidden="1"/>
    <cellStyle name="Lien hypertexte" xfId="20353" builtinId="8" hidden="1"/>
    <cellStyle name="Lien hypertexte" xfId="18282" builtinId="8" hidden="1"/>
    <cellStyle name="Lien hypertexte" xfId="996" builtinId="8" hidden="1"/>
    <cellStyle name="Lien hypertexte" xfId="22413" builtinId="8" hidden="1"/>
    <cellStyle name="Lien hypertexte" xfId="22513" builtinId="8" hidden="1"/>
    <cellStyle name="Lien hypertexte" xfId="20055" builtinId="8" hidden="1"/>
    <cellStyle name="Lien hypertexte" xfId="21735" builtinId="8" hidden="1"/>
    <cellStyle name="Lien hypertexte" xfId="24309" builtinId="8" hidden="1"/>
    <cellStyle name="Lien hypertexte" xfId="21813" builtinId="8" hidden="1"/>
    <cellStyle name="Lien hypertexte" xfId="15746" builtinId="8" hidden="1"/>
    <cellStyle name="Lien hypertexte" xfId="17682" builtinId="8" hidden="1"/>
    <cellStyle name="Lien hypertexte" xfId="19905" builtinId="8" hidden="1"/>
    <cellStyle name="Lien hypertexte" xfId="18292" builtinId="8" hidden="1"/>
    <cellStyle name="Lien hypertexte" xfId="1004" builtinId="8" hidden="1"/>
    <cellStyle name="Lien hypertexte" xfId="21719" builtinId="8" hidden="1"/>
    <cellStyle name="Lien hypertexte" xfId="22309" builtinId="8" hidden="1"/>
    <cellStyle name="Lien hypertexte" xfId="23357" builtinId="8" hidden="1"/>
    <cellStyle name="Lien hypertexte" xfId="21799" builtinId="8" hidden="1"/>
    <cellStyle name="Lien hypertexte" xfId="22423" builtinId="8" hidden="1"/>
    <cellStyle name="Lien hypertexte" xfId="20061" builtinId="8" hidden="1"/>
    <cellStyle name="Lien hypertexte" xfId="19067" builtinId="8" hidden="1"/>
    <cellStyle name="Lien hypertexte" xfId="21123" builtinId="8" hidden="1"/>
    <cellStyle name="Lien hypertexte" xfId="20519" builtinId="8" hidden="1"/>
    <cellStyle name="Lien hypertexte" xfId="21727" builtinId="8" hidden="1"/>
    <cellStyle name="Lien hypertexte" xfId="19293" builtinId="8" hidden="1"/>
    <cellStyle name="Lien hypertexte" xfId="21115" builtinId="8" hidden="1"/>
    <cellStyle name="Lien hypertexte" xfId="15124" builtinId="8" hidden="1"/>
    <cellStyle name="Lien hypertexte" xfId="22109" builtinId="8" hidden="1"/>
    <cellStyle name="Lien hypertexte" xfId="23981" builtinId="8" hidden="1"/>
    <cellStyle name="Lien hypertexte" xfId="20511" builtinId="8" hidden="1"/>
    <cellStyle name="Lien hypertexte" xfId="19765" builtinId="8" hidden="1"/>
    <cellStyle name="Lien hypertexte" xfId="15732" builtinId="8" hidden="1"/>
    <cellStyle name="Lien hypertexte" xfId="17666" builtinId="8" hidden="1"/>
    <cellStyle name="Lien hypertexte" xfId="19793" builtinId="8" hidden="1"/>
    <cellStyle name="Lien hypertexte" xfId="18304" builtinId="8" hidden="1"/>
    <cellStyle name="Lien hypertexte" xfId="1018" builtinId="8" hidden="1"/>
    <cellStyle name="Lien hypertexte" xfId="22437" builtinId="8" hidden="1"/>
    <cellStyle name="Lien hypertexte" xfId="22369" builtinId="8" hidden="1"/>
    <cellStyle name="Lien hypertexte" xfId="20075" builtinId="8" hidden="1"/>
    <cellStyle name="Lien hypertexte" xfId="21711" builtinId="8" hidden="1"/>
    <cellStyle name="Lien hypertexte" xfId="24287" builtinId="8" hidden="1"/>
    <cellStyle name="Lien hypertexte" xfId="21789" builtinId="8" hidden="1"/>
    <cellStyle name="Lien hypertexte" xfId="15724" builtinId="8" hidden="1"/>
    <cellStyle name="Lien hypertexte" xfId="17660" builtinId="8" hidden="1"/>
    <cellStyle name="Lien hypertexte" xfId="20497" builtinId="8" hidden="1"/>
    <cellStyle name="Lien hypertexte" xfId="18329" builtinId="8" hidden="1"/>
    <cellStyle name="Lien hypertexte" xfId="1024" builtinId="8" hidden="1"/>
    <cellStyle name="Lien hypertexte" xfId="22443" builtinId="8" hidden="1"/>
    <cellStyle name="Lien hypertexte" xfId="22321" builtinId="8" hidden="1"/>
    <cellStyle name="Lien hypertexte" xfId="20083" builtinId="8" hidden="1"/>
    <cellStyle name="Lien hypertexte" xfId="21705" builtinId="8" hidden="1"/>
    <cellStyle name="Lien hypertexte" xfId="24279" builtinId="8" hidden="1"/>
    <cellStyle name="Lien hypertexte" xfId="21783" builtinId="8" hidden="1"/>
    <cellStyle name="Lien hypertexte" xfId="15716" builtinId="8" hidden="1"/>
    <cellStyle name="Lien hypertexte" xfId="17652" builtinId="8" hidden="1"/>
    <cellStyle name="Lien hypertexte" xfId="19681" builtinId="8" hidden="1"/>
    <cellStyle name="Lien hypertexte" xfId="18335" builtinId="8" hidden="1"/>
    <cellStyle name="Lien hypertexte" xfId="1032" builtinId="8" hidden="1"/>
    <cellStyle name="Lien hypertexte" xfId="22451" builtinId="8" hidden="1"/>
    <cellStyle name="Lien hypertexte" xfId="22257" builtinId="8" hidden="1"/>
    <cellStyle name="Lien hypertexte" xfId="20089" builtinId="8" hidden="1"/>
    <cellStyle name="Lien hypertexte" xfId="21699" builtinId="8" hidden="1"/>
    <cellStyle name="Lien hypertexte" xfId="24271" builtinId="8" hidden="1"/>
    <cellStyle name="Lien hypertexte" xfId="21775" builtinId="8" hidden="1"/>
    <cellStyle name="Lien hypertexte" xfId="15710" builtinId="8" hidden="1"/>
    <cellStyle name="Lien hypertexte" xfId="17644" builtinId="8" hidden="1"/>
    <cellStyle name="Lien hypertexte" xfId="16152" builtinId="8" hidden="1"/>
    <cellStyle name="Lien hypertexte" xfId="18345" builtinId="8" hidden="1"/>
    <cellStyle name="Lien hypertexte" xfId="1038" builtinId="8" hidden="1"/>
    <cellStyle name="Lien hypertexte" xfId="22459" builtinId="8" hidden="1"/>
    <cellStyle name="Lien hypertexte" xfId="22209" builtinId="8" hidden="1"/>
    <cellStyle name="Lien hypertexte" xfId="20095" builtinId="8" hidden="1"/>
    <cellStyle name="Lien hypertexte" xfId="21691" builtinId="8" hidden="1"/>
    <cellStyle name="Lien hypertexte" xfId="24265" builtinId="8" hidden="1"/>
    <cellStyle name="Lien hypertexte" xfId="21769" builtinId="8" hidden="1"/>
    <cellStyle name="Lien hypertexte" xfId="15704" builtinId="8" hidden="1"/>
    <cellStyle name="Lien hypertexte" xfId="17636" builtinId="8" hidden="1"/>
    <cellStyle name="Lien hypertexte" xfId="19569" builtinId="8" hidden="1"/>
    <cellStyle name="Lien hypertexte" xfId="18351" builtinId="8" hidden="1"/>
    <cellStyle name="Lien hypertexte" xfId="1044" builtinId="8" hidden="1"/>
    <cellStyle name="Lien hypertexte" xfId="22467" builtinId="8" hidden="1"/>
    <cellStyle name="Lien hypertexte" xfId="22161" builtinId="8" hidden="1"/>
    <cellStyle name="Lien hypertexte" xfId="20103" builtinId="8" hidden="1"/>
    <cellStyle name="Lien hypertexte" xfId="21685" builtinId="8" hidden="1"/>
    <cellStyle name="Lien hypertexte" xfId="24259" builtinId="8" hidden="1"/>
    <cellStyle name="Lien hypertexte" xfId="21763" builtinId="8" hidden="1"/>
    <cellStyle name="Lien hypertexte" xfId="15696" builtinId="8" hidden="1"/>
    <cellStyle name="Lien hypertexte" xfId="17630" builtinId="8" hidden="1"/>
    <cellStyle name="Lien hypertexte" xfId="19521" builtinId="8" hidden="1"/>
    <cellStyle name="Lien hypertexte" xfId="18359" builtinId="8" hidden="1"/>
    <cellStyle name="Lien hypertexte" xfId="1052" builtinId="8" hidden="1"/>
    <cellStyle name="Lien hypertexte" xfId="22473" builtinId="8" hidden="1"/>
    <cellStyle name="Lien hypertexte" xfId="22113" builtinId="8" hidden="1"/>
    <cellStyle name="Lien hypertexte" xfId="20109" builtinId="8" hidden="1"/>
    <cellStyle name="Lien hypertexte" xfId="21677" builtinId="8" hidden="1"/>
    <cellStyle name="Lien hypertexte" xfId="24251" builtinId="8" hidden="1"/>
    <cellStyle name="Lien hypertexte" xfId="21753" builtinId="8" hidden="1"/>
    <cellStyle name="Lien hypertexte" xfId="15690" builtinId="8" hidden="1"/>
    <cellStyle name="Lien hypertexte" xfId="17622" builtinId="8" hidden="1"/>
    <cellStyle name="Lien hypertexte" xfId="19457" builtinId="8" hidden="1"/>
    <cellStyle name="Lien hypertexte" xfId="18365" builtinId="8" hidden="1"/>
    <cellStyle name="Lien hypertexte" xfId="1058" builtinId="8" hidden="1"/>
    <cellStyle name="Lien hypertexte" xfId="22479" builtinId="8" hidden="1"/>
    <cellStyle name="Lien hypertexte" xfId="22065" builtinId="8" hidden="1"/>
    <cellStyle name="Lien hypertexte" xfId="20117" builtinId="8" hidden="1"/>
    <cellStyle name="Lien hypertexte" xfId="21671" builtinId="8" hidden="1"/>
    <cellStyle name="Lien hypertexte" xfId="24243" builtinId="8" hidden="1"/>
    <cellStyle name="Lien hypertexte" xfId="21747" builtinId="8" hidden="1"/>
    <cellStyle name="Lien hypertexte" xfId="15682" builtinId="8" hidden="1"/>
    <cellStyle name="Lien hypertexte" xfId="17614" builtinId="8" hidden="1"/>
    <cellStyle name="Lien hypertexte" xfId="16288" builtinId="8" hidden="1"/>
    <cellStyle name="Lien hypertexte" xfId="18373" builtinId="8" hidden="1"/>
    <cellStyle name="Lien hypertexte" xfId="1066" builtinId="8" hidden="1"/>
    <cellStyle name="Lien hypertexte" xfId="22487" builtinId="8" hidden="1"/>
    <cellStyle name="Lien hypertexte" xfId="22001" builtinId="8" hidden="1"/>
    <cellStyle name="Lien hypertexte" xfId="20123" builtinId="8" hidden="1"/>
    <cellStyle name="Lien hypertexte" xfId="21663" builtinId="8" hidden="1"/>
    <cellStyle name="Lien hypertexte" xfId="24235" builtinId="8" hidden="1"/>
    <cellStyle name="Lien hypertexte" xfId="21537" builtinId="8" hidden="1"/>
    <cellStyle name="Lien hypertexte" xfId="15676" builtinId="8" hidden="1"/>
    <cellStyle name="Lien hypertexte" xfId="17608" builtinId="8" hidden="1"/>
    <cellStyle name="Lien hypertexte" xfId="19345" builtinId="8" hidden="1"/>
    <cellStyle name="Lien hypertexte" xfId="18381" builtinId="8" hidden="1"/>
    <cellStyle name="Lien hypertexte" xfId="1072" builtinId="8" hidden="1"/>
    <cellStyle name="Lien hypertexte" xfId="22495" builtinId="8" hidden="1"/>
    <cellStyle name="Lien hypertexte" xfId="21953" builtinId="8" hidden="1"/>
    <cellStyle name="Lien hypertexte" xfId="20131" builtinId="8" hidden="1"/>
    <cellStyle name="Lien hypertexte" xfId="21657" builtinId="8" hidden="1"/>
    <cellStyle name="Lien hypertexte" xfId="24229" builtinId="8" hidden="1"/>
    <cellStyle name="Lien hypertexte" xfId="21153" builtinId="8" hidden="1"/>
    <cellStyle name="Lien hypertexte" xfId="15668" builtinId="8" hidden="1"/>
    <cellStyle name="Lien hypertexte" xfId="17600" builtinId="8" hidden="1"/>
    <cellStyle name="Lien hypertexte" xfId="19297" builtinId="8" hidden="1"/>
    <cellStyle name="Lien hypertexte" xfId="18387" builtinId="8" hidden="1"/>
    <cellStyle name="Lien hypertexte" xfId="1080" builtinId="8" hidden="1"/>
    <cellStyle name="Lien hypertexte" xfId="22503" builtinId="8" hidden="1"/>
    <cellStyle name="Lien hypertexte" xfId="21905" builtinId="8" hidden="1"/>
    <cellStyle name="Lien hypertexte" xfId="20137" builtinId="8" hidden="1"/>
    <cellStyle name="Lien hypertexte" xfId="21647" builtinId="8" hidden="1"/>
    <cellStyle name="Lien hypertexte" xfId="24221" builtinId="8" hidden="1"/>
    <cellStyle name="Lien hypertexte" xfId="20769" builtinId="8" hidden="1"/>
    <cellStyle name="Lien hypertexte" xfId="15660" builtinId="8" hidden="1"/>
    <cellStyle name="Lien hypertexte" xfId="17594" builtinId="8" hidden="1"/>
    <cellStyle name="Lien hypertexte" xfId="19249" builtinId="8" hidden="1"/>
    <cellStyle name="Lien hypertexte" xfId="18395" builtinId="8" hidden="1"/>
    <cellStyle name="Lien hypertexte" xfId="1086" builtinId="8" hidden="1"/>
    <cellStyle name="Lien hypertexte" xfId="22509" builtinId="8" hidden="1"/>
    <cellStyle name="Lien hypertexte" xfId="21857" builtinId="8" hidden="1"/>
    <cellStyle name="Lien hypertexte" xfId="20143" builtinId="8" hidden="1"/>
    <cellStyle name="Lien hypertexte" xfId="21641" builtinId="8" hidden="1"/>
    <cellStyle name="Lien hypertexte" xfId="24215" builtinId="8" hidden="1"/>
    <cellStyle name="Lien hypertexte" xfId="20385" builtinId="8" hidden="1"/>
    <cellStyle name="Lien hypertexte" xfId="15654" builtinId="8" hidden="1"/>
    <cellStyle name="Lien hypertexte" xfId="17586" builtinId="8" hidden="1"/>
    <cellStyle name="Lien hypertexte" xfId="16114" builtinId="8" hidden="1"/>
    <cellStyle name="Lien hypertexte" xfId="18403" builtinId="8" hidden="1"/>
    <cellStyle name="Lien hypertexte" xfId="1092" builtinId="8" hidden="1"/>
    <cellStyle name="Lien hypertexte" xfId="22517" builtinId="8" hidden="1"/>
    <cellStyle name="Lien hypertexte" xfId="21809" builtinId="8" hidden="1"/>
    <cellStyle name="Lien hypertexte" xfId="20151" builtinId="8" hidden="1"/>
    <cellStyle name="Lien hypertexte" xfId="21635" builtinId="8" hidden="1"/>
    <cellStyle name="Lien hypertexte" xfId="24205" builtinId="8" hidden="1"/>
    <cellStyle name="Lien hypertexte" xfId="20001" builtinId="8" hidden="1"/>
    <cellStyle name="Lien hypertexte" xfId="15646" builtinId="8" hidden="1"/>
    <cellStyle name="Lien hypertexte" xfId="17578" builtinId="8" hidden="1"/>
    <cellStyle name="Lien hypertexte" xfId="19137" builtinId="8" hidden="1"/>
    <cellStyle name="Lien hypertexte" xfId="18411" builtinId="8" hidden="1"/>
    <cellStyle name="Lien hypertexte" xfId="1102" builtinId="8" hidden="1"/>
    <cellStyle name="Lien hypertexte" xfId="22523" builtinId="8" hidden="1"/>
    <cellStyle name="Lien hypertexte" xfId="21745" builtinId="8" hidden="1"/>
    <cellStyle name="Lien hypertexte" xfId="20157" builtinId="8" hidden="1"/>
    <cellStyle name="Lien hypertexte" xfId="21627" builtinId="8" hidden="1"/>
    <cellStyle name="Lien hypertexte" xfId="24199" builtinId="8" hidden="1"/>
    <cellStyle name="Lien hypertexte" xfId="19617" builtinId="8" hidden="1"/>
    <cellStyle name="Lien hypertexte" xfId="15640" builtinId="8" hidden="1"/>
    <cellStyle name="Lien hypertexte" xfId="17570" builtinId="8" hidden="1"/>
    <cellStyle name="Lien hypertexte" xfId="19073" builtinId="8" hidden="1"/>
    <cellStyle name="Lien hypertexte" xfId="18417" builtinId="8" hidden="1"/>
    <cellStyle name="Lien hypertexte" xfId="1108" builtinId="8" hidden="1"/>
    <cellStyle name="Lien hypertexte" xfId="22533" builtinId="8" hidden="1"/>
    <cellStyle name="Lien hypertexte" xfId="21697" builtinId="8" hidden="1"/>
    <cellStyle name="Lien hypertexte" xfId="20165" builtinId="8" hidden="1"/>
    <cellStyle name="Lien hypertexte" xfId="21621" builtinId="8" hidden="1"/>
    <cellStyle name="Lien hypertexte" xfId="24191" builtinId="8" hidden="1"/>
    <cellStyle name="Lien hypertexte" xfId="19233" builtinId="8" hidden="1"/>
    <cellStyle name="Lien hypertexte" xfId="15632" builtinId="8" hidden="1"/>
    <cellStyle name="Lien hypertexte" xfId="17564" builtinId="8" hidden="1"/>
    <cellStyle name="Lien hypertexte" xfId="19025" builtinId="8" hidden="1"/>
    <cellStyle name="Lien hypertexte" xfId="18423" builtinId="8" hidden="1"/>
    <cellStyle name="Lien hypertexte" xfId="1116" builtinId="8" hidden="1"/>
    <cellStyle name="Lien hypertexte" xfId="22539" builtinId="8" hidden="1"/>
    <cellStyle name="Lien hypertexte" xfId="21649" builtinId="8" hidden="1"/>
    <cellStyle name="Lien hypertexte" xfId="20171" builtinId="8" hidden="1"/>
    <cellStyle name="Lien hypertexte" xfId="21613" builtinId="8" hidden="1"/>
    <cellStyle name="Lien hypertexte" xfId="24185" builtinId="8" hidden="1"/>
    <cellStyle name="Lien hypertexte" xfId="18849" builtinId="8" hidden="1"/>
    <cellStyle name="Lien hypertexte" xfId="15626" builtinId="8" hidden="1"/>
    <cellStyle name="Lien hypertexte" xfId="17672" builtinId="8" hidden="1"/>
    <cellStyle name="Lien hypertexte" xfId="17244" builtinId="8" hidden="1"/>
    <cellStyle name="Lien hypertexte" xfId="18431" builtinId="8" hidden="1"/>
    <cellStyle name="Lien hypertexte" xfId="1122" builtinId="8" hidden="1"/>
    <cellStyle name="Lien hypertexte" xfId="22547" builtinId="8" hidden="1"/>
    <cellStyle name="Lien hypertexte" xfId="21601" builtinId="8" hidden="1"/>
    <cellStyle name="Lien hypertexte" xfId="20179" builtinId="8" hidden="1"/>
    <cellStyle name="Lien hypertexte" xfId="21607" builtinId="8" hidden="1"/>
    <cellStyle name="Lien hypertexte" xfId="24179" builtinId="8" hidden="1"/>
    <cellStyle name="Lien hypertexte" xfId="15986" builtinId="8" hidden="1"/>
    <cellStyle name="Lien hypertexte" xfId="15618" builtinId="8" hidden="1"/>
    <cellStyle name="Lien hypertexte" xfId="17548" builtinId="8" hidden="1"/>
    <cellStyle name="Lien hypertexte" xfId="18913" builtinId="8" hidden="1"/>
    <cellStyle name="Lien hypertexte" xfId="18439" builtinId="8" hidden="1"/>
    <cellStyle name="Lien hypertexte" xfId="1130" builtinId="8" hidden="1"/>
    <cellStyle name="Lien hypertexte" xfId="22553" builtinId="8" hidden="1"/>
    <cellStyle name="Lien hypertexte" xfId="21793" builtinId="8" hidden="1"/>
    <cellStyle name="Lien hypertexte" xfId="20185" builtinId="8" hidden="1"/>
    <cellStyle name="Lien hypertexte" xfId="21599" builtinId="8" hidden="1"/>
    <cellStyle name="Lien hypertexte" xfId="24169" builtinId="8" hidden="1"/>
    <cellStyle name="Lien hypertexte" xfId="16036" builtinId="8" hidden="1"/>
    <cellStyle name="Lien hypertexte" xfId="15612" builtinId="8" hidden="1"/>
    <cellStyle name="Lien hypertexte" xfId="17542" builtinId="8" hidden="1"/>
    <cellStyle name="Lien hypertexte" xfId="18865" builtinId="8" hidden="1"/>
    <cellStyle name="Lien hypertexte" xfId="18447" builtinId="8" hidden="1"/>
    <cellStyle name="Lien hypertexte" xfId="1136" builtinId="8" hidden="1"/>
    <cellStyle name="Lien hypertexte" xfId="22559" builtinId="8" hidden="1"/>
    <cellStyle name="Lien hypertexte" xfId="22561" builtinId="8" hidden="1"/>
    <cellStyle name="Lien hypertexte" xfId="20195" builtinId="8" hidden="1"/>
    <cellStyle name="Lien hypertexte" xfId="21593" builtinId="8" hidden="1"/>
    <cellStyle name="Lien hypertexte" xfId="24163" builtinId="8" hidden="1"/>
    <cellStyle name="Lien hypertexte" xfId="16088" builtinId="8" hidden="1"/>
    <cellStyle name="Lien hypertexte" xfId="15606" builtinId="8" hidden="1"/>
    <cellStyle name="Lien hypertexte" xfId="17534" builtinId="8" hidden="1"/>
    <cellStyle name="Lien hypertexte" xfId="15940" builtinId="8" hidden="1"/>
    <cellStyle name="Lien hypertexte" xfId="18453" builtinId="8" hidden="1"/>
    <cellStyle name="Lien hypertexte" xfId="1142" builtinId="8" hidden="1"/>
    <cellStyle name="Lien hypertexte" xfId="22569" builtinId="8" hidden="1"/>
    <cellStyle name="Lien hypertexte" xfId="23329" builtinId="8" hidden="1"/>
    <cellStyle name="Lien hypertexte" xfId="20201" builtinId="8" hidden="1"/>
    <cellStyle name="Lien hypertexte" xfId="21587" builtinId="8" hidden="1"/>
    <cellStyle name="Lien hypertexte" xfId="24155" builtinId="8" hidden="1"/>
    <cellStyle name="Lien hypertexte" xfId="16138" builtinId="8" hidden="1"/>
    <cellStyle name="Lien hypertexte" xfId="15596" builtinId="8" hidden="1"/>
    <cellStyle name="Lien hypertexte" xfId="17528" builtinId="8" hidden="1"/>
    <cellStyle name="Lien hypertexte" xfId="16074" builtinId="8" hidden="1"/>
    <cellStyle name="Lien hypertexte" xfId="18461" builtinId="8" hidden="1"/>
    <cellStyle name="Lien hypertexte" xfId="1150" builtinId="8" hidden="1" customBuiltin="1"/>
    <cellStyle name="Lien hypertexte" xfId="22575" builtinId="8" hidden="1"/>
    <cellStyle name="Lien hypertexte" xfId="24097" builtinId="8" hidden="1"/>
    <cellStyle name="Lien hypertexte" xfId="20207" builtinId="8" hidden="1"/>
    <cellStyle name="Lien hypertexte" xfId="21579" builtinId="8" hidden="1"/>
    <cellStyle name="Lien hypertexte" xfId="24149" builtinId="8" hidden="1"/>
    <cellStyle name="Lien hypertexte" xfId="16190" builtinId="8" hidden="1"/>
    <cellStyle name="Lien hypertexte" xfId="15590" builtinId="8" hidden="1"/>
    <cellStyle name="Lien hypertexte" xfId="17518" builtinId="8" hidden="1"/>
    <cellStyle name="Lien hypertexte" xfId="15956" builtinId="8" hidden="1"/>
    <cellStyle name="Lien hypertexte" xfId="18469" builtinId="8" hidden="1"/>
    <cellStyle name="Lien hypertexte" xfId="3655" builtinId="8" hidden="1"/>
    <cellStyle name="Lien hypertexte" xfId="22583" builtinId="8" hidden="1"/>
    <cellStyle name="Lien hypertexte" xfId="24575" builtinId="8" hidden="1"/>
    <cellStyle name="Lien hypertexte" xfId="20215" builtinId="8" hidden="1"/>
    <cellStyle name="Lien hypertexte" xfId="21571" builtinId="8" hidden="1"/>
    <cellStyle name="Lien hypertexte" xfId="24141" builtinId="8" hidden="1"/>
    <cellStyle name="Lien hypertexte" xfId="16242" builtinId="8" hidden="1"/>
    <cellStyle name="Lien hypertexte" xfId="15582" builtinId="8" hidden="1"/>
    <cellStyle name="Lien hypertexte" xfId="17512" builtinId="8" hidden="1"/>
    <cellStyle name="Lien hypertexte" xfId="15962" builtinId="8" hidden="1"/>
    <cellStyle name="Lien hypertexte" xfId="18475" builtinId="8" hidden="1"/>
    <cellStyle name="Lien hypertexte" xfId="14518" builtinId="8" hidden="1"/>
    <cellStyle name="Lien hypertexte" xfId="22589" builtinId="8" hidden="1"/>
    <cellStyle name="Lien hypertexte" xfId="24467" builtinId="8" hidden="1"/>
    <cellStyle name="Lien hypertexte" xfId="20221" builtinId="8" hidden="1"/>
    <cellStyle name="Lien hypertexte" xfId="21563" builtinId="8" hidden="1"/>
    <cellStyle name="Lien hypertexte" xfId="24133" builtinId="8" hidden="1"/>
    <cellStyle name="Lien hypertexte" xfId="16292" builtinId="8" hidden="1"/>
    <cellStyle name="Lien hypertexte" xfId="15576" builtinId="8" hidden="1"/>
    <cellStyle name="Lien hypertexte" xfId="17506" builtinId="8" hidden="1"/>
    <cellStyle name="Lien hypertexte" xfId="15970" builtinId="8" hidden="1"/>
    <cellStyle name="Lien hypertexte" xfId="18483" builtinId="8" hidden="1"/>
    <cellStyle name="Lien hypertexte" xfId="14524" builtinId="8" hidden="1"/>
    <cellStyle name="Lien hypertexte" xfId="22597" builtinId="8" hidden="1"/>
    <cellStyle name="Lien hypertexte" xfId="24357" builtinId="8" hidden="1"/>
    <cellStyle name="Lien hypertexte" xfId="20229" builtinId="8" hidden="1"/>
    <cellStyle name="Lien hypertexte" xfId="21557" builtinId="8" hidden="1"/>
    <cellStyle name="Lien hypertexte" xfId="24125" builtinId="8" hidden="1"/>
    <cellStyle name="Lien hypertexte" xfId="16344" builtinId="8" hidden="1"/>
    <cellStyle name="Lien hypertexte" xfId="15568" builtinId="8" hidden="1"/>
    <cellStyle name="Lien hypertexte" xfId="17498" builtinId="8" hidden="1"/>
    <cellStyle name="Lien hypertexte" xfId="16484" builtinId="8" hidden="1"/>
    <cellStyle name="Lien hypertexte" xfId="18489" builtinId="8" hidden="1"/>
    <cellStyle name="Lien hypertexte" xfId="14532" builtinId="8" hidden="1"/>
    <cellStyle name="Lien hypertexte" xfId="22605" builtinId="8" hidden="1"/>
    <cellStyle name="Lien hypertexte" xfId="24247" builtinId="8" hidden="1"/>
    <cellStyle name="Lien hypertexte" xfId="20235" builtinId="8" hidden="1"/>
    <cellStyle name="Lien hypertexte" xfId="21549" builtinId="8" hidden="1"/>
    <cellStyle name="Lien hypertexte" xfId="24119" builtinId="8" hidden="1"/>
    <cellStyle name="Lien hypertexte" xfId="16394" builtinId="8" hidden="1"/>
    <cellStyle name="Lien hypertexte" xfId="15562" builtinId="8" hidden="1"/>
    <cellStyle name="Lien hypertexte" xfId="17492" builtinId="8" hidden="1"/>
    <cellStyle name="Lien hypertexte" xfId="15982" builtinId="8" hidden="1"/>
    <cellStyle name="Lien hypertexte" xfId="18499" builtinId="8" hidden="1"/>
    <cellStyle name="Lien hypertexte" xfId="14538" builtinId="8" hidden="1"/>
    <cellStyle name="Lien hypertexte" xfId="22613" builtinId="8" hidden="1"/>
    <cellStyle name="Lien hypertexte" xfId="24137" builtinId="8" hidden="1"/>
    <cellStyle name="Lien hypertexte" xfId="20243" builtinId="8" hidden="1"/>
    <cellStyle name="Lien hypertexte" xfId="21543" builtinId="8" hidden="1"/>
    <cellStyle name="Lien hypertexte" xfId="24111" builtinId="8" hidden="1"/>
    <cellStyle name="Lien hypertexte" xfId="16446" builtinId="8" hidden="1"/>
    <cellStyle name="Lien hypertexte" xfId="15556" builtinId="8" hidden="1"/>
    <cellStyle name="Lien hypertexte" xfId="17482" builtinId="8" hidden="1"/>
    <cellStyle name="Lien hypertexte" xfId="15992" builtinId="8" hidden="1"/>
    <cellStyle name="Lien hypertexte" xfId="18505" builtinId="8" hidden="1"/>
    <cellStyle name="Lien hypertexte" xfId="14544" builtinId="8" hidden="1"/>
    <cellStyle name="Lien hypertexte" xfId="22619" builtinId="8" hidden="1"/>
    <cellStyle name="Lien hypertexte" xfId="24027" builtinId="8" hidden="1"/>
    <cellStyle name="Lien hypertexte" xfId="20041" builtinId="8" hidden="1"/>
    <cellStyle name="Lien hypertexte" xfId="21535" builtinId="8" hidden="1"/>
    <cellStyle name="Lien hypertexte" xfId="24105" builtinId="8" hidden="1"/>
    <cellStyle name="Lien hypertexte" xfId="16498" builtinId="8" hidden="1"/>
    <cellStyle name="Lien hypertexte" xfId="15548" builtinId="8" hidden="1"/>
    <cellStyle name="Lien hypertexte" xfId="17476" builtinId="8" hidden="1"/>
    <cellStyle name="Lien hypertexte" xfId="15998" builtinId="8" hidden="1"/>
    <cellStyle name="Lien hypertexte" xfId="18513" builtinId="8" hidden="1"/>
    <cellStyle name="Lien hypertexte" xfId="14552" builtinId="8" hidden="1"/>
    <cellStyle name="Lien hypertexte" xfId="22627" builtinId="8" hidden="1"/>
    <cellStyle name="Lien hypertexte" xfId="23917" builtinId="8" hidden="1"/>
    <cellStyle name="Lien hypertexte" xfId="19603" builtinId="8" hidden="1"/>
    <cellStyle name="Lien hypertexte" xfId="21529" builtinId="8" hidden="1"/>
    <cellStyle name="Lien hypertexte" xfId="24095" builtinId="8" hidden="1"/>
    <cellStyle name="Lien hypertexte" xfId="16548" builtinId="8" hidden="1"/>
    <cellStyle name="Lien hypertexte" xfId="15542" builtinId="8" hidden="1"/>
    <cellStyle name="Lien hypertexte" xfId="17468" builtinId="8" hidden="1"/>
    <cellStyle name="Lien hypertexte" xfId="16034" builtinId="8" hidden="1"/>
    <cellStyle name="Lien hypertexte" xfId="18519" builtinId="8" hidden="1"/>
    <cellStyle name="Lien hypertexte" xfId="14558" builtinId="8" hidden="1"/>
    <cellStyle name="Lien hypertexte" xfId="22633" builtinId="8" hidden="1"/>
    <cellStyle name="Lien hypertexte" xfId="23807" builtinId="8" hidden="1"/>
    <cellStyle name="Lien hypertexte" xfId="19193" builtinId="8" hidden="1"/>
    <cellStyle name="Lien hypertexte" xfId="21523" builtinId="8" hidden="1"/>
    <cellStyle name="Lien hypertexte" xfId="24089" builtinId="8" hidden="1"/>
    <cellStyle name="Lien hypertexte" xfId="16600" builtinId="8" hidden="1"/>
    <cellStyle name="Lien hypertexte" xfId="15532" builtinId="8" hidden="1"/>
    <cellStyle name="Lien hypertexte" xfId="17462" builtinId="8" hidden="1"/>
    <cellStyle name="Lien hypertexte" xfId="16012" builtinId="8" hidden="1"/>
    <cellStyle name="Lien hypertexte" xfId="18525" builtinId="8" hidden="1"/>
    <cellStyle name="Lien hypertexte" xfId="14566" builtinId="8" hidden="1"/>
    <cellStyle name="Lien hypertexte" xfId="22643" builtinId="8" hidden="1"/>
    <cellStyle name="Lien hypertexte" xfId="23699" builtinId="8" hidden="1"/>
    <cellStyle name="Lien hypertexte" xfId="19199" builtinId="8" hidden="1"/>
    <cellStyle name="Lien hypertexte" xfId="21515" builtinId="8" hidden="1"/>
    <cellStyle name="Lien hypertexte" xfId="24083" builtinId="8" hidden="1"/>
    <cellStyle name="Lien hypertexte" xfId="16650" builtinId="8" hidden="1"/>
    <cellStyle name="Lien hypertexte" xfId="15526" builtinId="8" hidden="1"/>
    <cellStyle name="Lien hypertexte" xfId="17454" builtinId="8" hidden="1"/>
    <cellStyle name="Lien hypertexte" xfId="16022" builtinId="8" hidden="1"/>
    <cellStyle name="Lien hypertexte" xfId="18535" builtinId="8" hidden="1"/>
    <cellStyle name="Lien hypertexte" xfId="14572" builtinId="8" hidden="1"/>
    <cellStyle name="Lien hypertexte" xfId="22649" builtinId="8" hidden="1"/>
    <cellStyle name="Lien hypertexte" xfId="23589" builtinId="8" hidden="1"/>
    <cellStyle name="Lien hypertexte" xfId="19207" builtinId="8" hidden="1"/>
    <cellStyle name="Lien hypertexte" xfId="21509" builtinId="8" hidden="1"/>
    <cellStyle name="Lien hypertexte" xfId="24075" builtinId="8" hidden="1"/>
    <cellStyle name="Lien hypertexte" xfId="16702" builtinId="8" hidden="1"/>
    <cellStyle name="Lien hypertexte" xfId="15518" builtinId="8" hidden="1"/>
    <cellStyle name="Lien hypertexte" xfId="17446" builtinId="8" hidden="1"/>
    <cellStyle name="Lien hypertexte" xfId="16028" builtinId="8" hidden="1"/>
    <cellStyle name="Lien hypertexte" xfId="18541" builtinId="8" hidden="1"/>
    <cellStyle name="Lien hypertexte" xfId="14582" builtinId="8" hidden="1"/>
    <cellStyle name="Lien hypertexte" xfId="22655" builtinId="8" hidden="1"/>
    <cellStyle name="Lien hypertexte" xfId="23479" builtinId="8" hidden="1"/>
    <cellStyle name="Lien hypertexte" xfId="19213" builtinId="8" hidden="1"/>
    <cellStyle name="Lien hypertexte" xfId="21499" builtinId="8" hidden="1"/>
    <cellStyle name="Lien hypertexte" xfId="24069" builtinId="8" hidden="1"/>
    <cellStyle name="Lien hypertexte" xfId="16754" builtinId="8" hidden="1"/>
    <cellStyle name="Lien hypertexte" xfId="15210" builtinId="8" hidden="1"/>
    <cellStyle name="Lien hypertexte" xfId="15060" builtinId="8" hidden="1"/>
    <cellStyle name="Lien hypertexte" xfId="18393" builtinId="8" hidden="1"/>
    <cellStyle name="Lien hypertexte" xfId="788" builtinId="8" hidden="1"/>
    <cellStyle name="Lien hypertexte" xfId="14588" builtinId="8" hidden="1"/>
    <cellStyle name="Lien hypertexte" xfId="22663" builtinId="8" hidden="1"/>
    <cellStyle name="Lien hypertexte" xfId="23369" builtinId="8" hidden="1"/>
    <cellStyle name="Lien hypertexte" xfId="19221" builtinId="8" hidden="1"/>
    <cellStyle name="Lien hypertexte" xfId="21493" builtinId="8" hidden="1"/>
    <cellStyle name="Lien hypertexte" xfId="24059" builtinId="8" hidden="1"/>
    <cellStyle name="Lien hypertexte" xfId="16804" builtinId="8" hidden="1"/>
    <cellStyle name="Lien hypertexte" xfId="15506" builtinId="8" hidden="1"/>
    <cellStyle name="Lien hypertexte" xfId="17432" builtinId="8" hidden="1"/>
    <cellStyle name="Lien hypertexte" xfId="16042" builtinId="8" hidden="1"/>
    <cellStyle name="Lien hypertexte" xfId="18555" builtinId="8" hidden="1"/>
    <cellStyle name="Lien hypertexte" xfId="14594" builtinId="8" hidden="1"/>
    <cellStyle name="Lien hypertexte" xfId="22669" builtinId="8" hidden="1"/>
    <cellStyle name="Lien hypertexte" xfId="23259" builtinId="8" hidden="1"/>
    <cellStyle name="Lien hypertexte" xfId="19227" builtinId="8" hidden="1"/>
    <cellStyle name="Lien hypertexte" xfId="21485" builtinId="8" hidden="1"/>
    <cellStyle name="Lien hypertexte" xfId="24053" builtinId="8" hidden="1"/>
    <cellStyle name="Lien hypertexte" xfId="16856" builtinId="8" hidden="1"/>
    <cellStyle name="Lien hypertexte" xfId="15498" builtinId="8" hidden="1"/>
    <cellStyle name="Lien hypertexte" xfId="17426" builtinId="8" hidden="1"/>
    <cellStyle name="Lien hypertexte" xfId="16050" builtinId="8" hidden="1"/>
    <cellStyle name="Lien hypertexte" xfId="18565" builtinId="8" hidden="1"/>
    <cellStyle name="Lien hypertexte" xfId="14602" builtinId="8" hidden="1"/>
    <cellStyle name="Lien hypertexte" xfId="22679" builtinId="8" hidden="1"/>
    <cellStyle name="Lien hypertexte" xfId="23149" builtinId="8" hidden="1"/>
    <cellStyle name="Lien hypertexte" xfId="19235" builtinId="8" hidden="1"/>
    <cellStyle name="Lien hypertexte" xfId="21479" builtinId="8" hidden="1"/>
    <cellStyle name="Lien hypertexte" xfId="24045" builtinId="8" hidden="1"/>
    <cellStyle name="Lien hypertexte" xfId="16906" builtinId="8" hidden="1"/>
    <cellStyle name="Lien hypertexte" xfId="15492" builtinId="8" hidden="1"/>
    <cellStyle name="Lien hypertexte" xfId="17416" builtinId="8" hidden="1"/>
    <cellStyle name="Lien hypertexte" xfId="16058" builtinId="8" hidden="1"/>
    <cellStyle name="Lien hypertexte" xfId="18571" builtinId="8" hidden="1"/>
    <cellStyle name="Lien hypertexte" xfId="14608" builtinId="8" hidden="1"/>
    <cellStyle name="Lien hypertexte" xfId="22685" builtinId="8" hidden="1"/>
    <cellStyle name="Lien hypertexte" xfId="23039" builtinId="8" hidden="1"/>
    <cellStyle name="Lien hypertexte" xfId="19241" builtinId="8" hidden="1"/>
    <cellStyle name="Lien hypertexte" xfId="21471" builtinId="8" hidden="1"/>
    <cellStyle name="Lien hypertexte" xfId="24039" builtinId="8" hidden="1"/>
    <cellStyle name="Lien hypertexte" xfId="16958" builtinId="8" hidden="1"/>
    <cellStyle name="Lien hypertexte" xfId="15484" builtinId="8" hidden="1"/>
    <cellStyle name="Lien hypertexte" xfId="17410" builtinId="8" hidden="1"/>
    <cellStyle name="Lien hypertexte" xfId="15996" builtinId="8" hidden="1"/>
    <cellStyle name="Lien hypertexte" xfId="18577" builtinId="8" hidden="1"/>
    <cellStyle name="Lien hypertexte" xfId="14616" builtinId="8" hidden="1"/>
    <cellStyle name="Lien hypertexte" xfId="22693" builtinId="8" hidden="1"/>
    <cellStyle name="Lien hypertexte" xfId="22931" builtinId="8" hidden="1"/>
    <cellStyle name="Lien hypertexte" xfId="19247" builtinId="8" hidden="1"/>
    <cellStyle name="Lien hypertexte" xfId="21465" builtinId="8" hidden="1"/>
    <cellStyle name="Lien hypertexte" xfId="24031" builtinId="8" hidden="1"/>
    <cellStyle name="Lien hypertexte" xfId="17010" builtinId="8" hidden="1"/>
    <cellStyle name="Lien hypertexte" xfId="15478" builtinId="8" hidden="1"/>
    <cellStyle name="Lien hypertexte" xfId="17404" builtinId="8" hidden="1"/>
    <cellStyle name="Lien hypertexte" xfId="16072" builtinId="8" hidden="1"/>
    <cellStyle name="Lien hypertexte" xfId="18585" builtinId="8" hidden="1"/>
    <cellStyle name="Lien hypertexte" xfId="14622" builtinId="8" hidden="1"/>
    <cellStyle name="Lien hypertexte" xfId="22699" builtinId="8" hidden="1"/>
    <cellStyle name="Lien hypertexte" xfId="22821" builtinId="8" hidden="1"/>
    <cellStyle name="Lien hypertexte" xfId="19255" builtinId="8" hidden="1"/>
    <cellStyle name="Lien hypertexte" xfId="21459" builtinId="8" hidden="1"/>
    <cellStyle name="Lien hypertexte" xfId="24023" builtinId="8" hidden="1"/>
    <cellStyle name="Lien hypertexte" xfId="17060" builtinId="8" hidden="1"/>
    <cellStyle name="Lien hypertexte" xfId="15468" builtinId="8" hidden="1"/>
    <cellStyle name="Lien hypertexte" xfId="17396" builtinId="8" hidden="1"/>
    <cellStyle name="Lien hypertexte" xfId="16078" builtinId="8" hidden="1"/>
    <cellStyle name="Lien hypertexte" xfId="18591" builtinId="8" hidden="1"/>
    <cellStyle name="Lien hypertexte" xfId="1094" builtinId="8" hidden="1"/>
    <cellStyle name="Lien hypertexte" xfId="22707" builtinId="8" hidden="1"/>
    <cellStyle name="Lien hypertexte" xfId="22711" builtinId="8" hidden="1"/>
    <cellStyle name="Lien hypertexte" xfId="19261" builtinId="8" hidden="1"/>
    <cellStyle name="Lien hypertexte" xfId="21451" builtinId="8" hidden="1"/>
    <cellStyle name="Lien hypertexte" xfId="24015" builtinId="8" hidden="1"/>
    <cellStyle name="Lien hypertexte" xfId="17112" builtinId="8" hidden="1"/>
    <cellStyle name="Lien hypertexte" xfId="15462" builtinId="8" hidden="1"/>
    <cellStyle name="Lien hypertexte" xfId="17388" builtinId="8" hidden="1"/>
    <cellStyle name="Lien hypertexte" xfId="16086" builtinId="8" hidden="1"/>
    <cellStyle name="Lien hypertexte" xfId="18601" builtinId="8" hidden="1"/>
    <cellStyle name="Lien hypertexte" xfId="710" builtinId="8" hidden="1"/>
    <cellStyle name="Lien hypertexte" xfId="22715" builtinId="8" hidden="1"/>
    <cellStyle name="Lien hypertexte" xfId="22601" builtinId="8" hidden="1"/>
    <cellStyle name="Lien hypertexte" xfId="19269" builtinId="8" hidden="1"/>
    <cellStyle name="Lien hypertexte" xfId="21445" builtinId="8" hidden="1"/>
    <cellStyle name="Lien hypertexte" xfId="24009" builtinId="8" hidden="1"/>
    <cellStyle name="Lien hypertexte" xfId="17162" builtinId="8" hidden="1"/>
    <cellStyle name="Lien hypertexte" xfId="15456" builtinId="8" hidden="1"/>
    <cellStyle name="Lien hypertexte" xfId="17380" builtinId="8" hidden="1"/>
    <cellStyle name="Lien hypertexte" xfId="16716" builtinId="8" hidden="1"/>
    <cellStyle name="Lien hypertexte" xfId="18607" builtinId="8" hidden="1"/>
    <cellStyle name="Lien hypertexte" xfId="352" builtinId="8" hidden="1"/>
    <cellStyle name="Lien hypertexte" xfId="22723" builtinId="8" hidden="1"/>
    <cellStyle name="Lien hypertexte" xfId="22491" builtinId="8" hidden="1"/>
    <cellStyle name="Lien hypertexte" xfId="19275" builtinId="8" hidden="1"/>
    <cellStyle name="Lien hypertexte" xfId="21437" builtinId="8" hidden="1"/>
    <cellStyle name="Lien hypertexte" xfId="24003" builtinId="8" hidden="1"/>
    <cellStyle name="Lien hypertexte" xfId="17214" builtinId="8" hidden="1"/>
    <cellStyle name="Lien hypertexte" xfId="15448" builtinId="8" hidden="1"/>
    <cellStyle name="Lien hypertexte" xfId="17374" builtinId="8" hidden="1"/>
    <cellStyle name="Lien hypertexte" xfId="16100" builtinId="8" hidden="1"/>
    <cellStyle name="Lien hypertexte" xfId="18615" builtinId="8" hidden="1"/>
    <cellStyle name="Lien hypertexte" xfId="360" builtinId="8" hidden="1"/>
    <cellStyle name="Lien hypertexte" xfId="22729" builtinId="8" hidden="1"/>
    <cellStyle name="Lien hypertexte" xfId="22381" builtinId="8" hidden="1"/>
    <cellStyle name="Lien hypertexte" xfId="19283" builtinId="8" hidden="1"/>
    <cellStyle name="Lien hypertexte" xfId="21429" builtinId="8" hidden="1"/>
    <cellStyle name="Lien hypertexte" xfId="23995" builtinId="8" hidden="1"/>
    <cellStyle name="Lien hypertexte" xfId="17266" builtinId="8" hidden="1"/>
    <cellStyle name="Lien hypertexte" xfId="15442" builtinId="8" hidden="1"/>
    <cellStyle name="Lien hypertexte" xfId="17366" builtinId="8" hidden="1"/>
    <cellStyle name="Lien hypertexte" xfId="16108" builtinId="8" hidden="1"/>
    <cellStyle name="Lien hypertexte" xfId="18621" builtinId="8" hidden="1"/>
    <cellStyle name="Lien hypertexte" xfId="366" builtinId="8" hidden="1"/>
    <cellStyle name="Lien hypertexte" xfId="22735" builtinId="8" hidden="1"/>
    <cellStyle name="Lien hypertexte" xfId="22271" builtinId="8" hidden="1"/>
    <cellStyle name="Lien hypertexte" xfId="19289" builtinId="8" hidden="1"/>
    <cellStyle name="Lien hypertexte" xfId="21421" builtinId="8" hidden="1"/>
    <cellStyle name="Lien hypertexte" xfId="23987" builtinId="8" hidden="1"/>
    <cellStyle name="Lien hypertexte" xfId="17316" builtinId="8" hidden="1"/>
    <cellStyle name="Lien hypertexte" xfId="15434" builtinId="8" hidden="1"/>
    <cellStyle name="Lien hypertexte" xfId="17358" builtinId="8" hidden="1"/>
    <cellStyle name="Lien hypertexte" xfId="16116" builtinId="8" hidden="1"/>
    <cellStyle name="Lien hypertexte" xfId="18629" builtinId="8" hidden="1"/>
    <cellStyle name="Lien hypertexte" xfId="374" builtinId="8" hidden="1"/>
    <cellStyle name="Lien hypertexte" xfId="22743" builtinId="8" hidden="1"/>
    <cellStyle name="Lien hypertexte" xfId="22163" builtinId="8" hidden="1"/>
    <cellStyle name="Lien hypertexte" xfId="19295" builtinId="8" hidden="1"/>
    <cellStyle name="Lien hypertexte" xfId="21415" builtinId="8" hidden="1"/>
    <cellStyle name="Lien hypertexte" xfId="23979" builtinId="8" hidden="1"/>
    <cellStyle name="Lien hypertexte" xfId="17368" builtinId="8" hidden="1"/>
    <cellStyle name="Lien hypertexte" xfId="15428" builtinId="8" hidden="1"/>
    <cellStyle name="Lien hypertexte" xfId="17352" builtinId="8" hidden="1"/>
    <cellStyle name="Lien hypertexte" xfId="15958" builtinId="8" hidden="1"/>
    <cellStyle name="Lien hypertexte" xfId="18637" builtinId="8" hidden="1"/>
    <cellStyle name="Lien hypertexte" xfId="380" builtinId="8" hidden="1"/>
    <cellStyle name="Lien hypertexte" xfId="22751" builtinId="8" hidden="1"/>
    <cellStyle name="Lien hypertexte" xfId="22053" builtinId="8" hidden="1"/>
    <cellStyle name="Lien hypertexte" xfId="19303" builtinId="8" hidden="1"/>
    <cellStyle name="Lien hypertexte" xfId="21407" builtinId="8" hidden="1"/>
    <cellStyle name="Lien hypertexte" xfId="23973" builtinId="8" hidden="1"/>
    <cellStyle name="Lien hypertexte" xfId="17418" builtinId="8" hidden="1"/>
    <cellStyle name="Lien hypertexte" xfId="15420" builtinId="8" hidden="1"/>
    <cellStyle name="Lien hypertexte" xfId="17344" builtinId="8" hidden="1"/>
    <cellStyle name="Lien hypertexte" xfId="16130" builtinId="8" hidden="1"/>
    <cellStyle name="Lien hypertexte" xfId="18643" builtinId="8" hidden="1"/>
    <cellStyle name="Lien hypertexte" xfId="388" builtinId="8" hidden="1"/>
    <cellStyle name="Lien hypertexte" xfId="22759" builtinId="8" hidden="1"/>
    <cellStyle name="Lien hypertexte" xfId="21943" builtinId="8" hidden="1"/>
    <cellStyle name="Lien hypertexte" xfId="19311" builtinId="8" hidden="1"/>
    <cellStyle name="Lien hypertexte" xfId="21401" builtinId="8" hidden="1"/>
    <cellStyle name="Lien hypertexte" xfId="23965" builtinId="8" hidden="1"/>
    <cellStyle name="Lien hypertexte" xfId="17470" builtinId="8" hidden="1"/>
    <cellStyle name="Lien hypertexte" xfId="15414" builtinId="8" hidden="1"/>
    <cellStyle name="Lien hypertexte" xfId="17338" builtinId="8" hidden="1"/>
    <cellStyle name="Lien hypertexte" xfId="16136" builtinId="8" hidden="1"/>
    <cellStyle name="Lien hypertexte" xfId="18651" builtinId="8" hidden="1"/>
    <cellStyle name="Lien hypertexte" xfId="394" builtinId="8" hidden="1"/>
    <cellStyle name="Lien hypertexte" xfId="22765" builtinId="8" hidden="1"/>
    <cellStyle name="Lien hypertexte" xfId="21833" builtinId="8" hidden="1"/>
    <cellStyle name="Lien hypertexte" xfId="19319" builtinId="8" hidden="1"/>
    <cellStyle name="Lien hypertexte" xfId="21395" builtinId="8" hidden="1"/>
    <cellStyle name="Lien hypertexte" xfId="23959" builtinId="8" hidden="1"/>
    <cellStyle name="Lien hypertexte" xfId="17522" builtinId="8" hidden="1"/>
    <cellStyle name="Lien hypertexte" xfId="15406" builtinId="8" hidden="1"/>
    <cellStyle name="Lien hypertexte" xfId="17330" builtinId="8" hidden="1"/>
    <cellStyle name="Lien hypertexte" xfId="16146" builtinId="8" hidden="1"/>
    <cellStyle name="Lien hypertexte" xfId="18659" builtinId="8" hidden="1"/>
    <cellStyle name="Lien hypertexte" xfId="400" builtinId="8" hidden="1"/>
    <cellStyle name="Lien hypertexte" xfId="22773" builtinId="8" hidden="1"/>
    <cellStyle name="Lien hypertexte" xfId="20247" builtinId="8" hidden="1"/>
    <cellStyle name="Lien hypertexte" xfId="19325" builtinId="8" hidden="1"/>
    <cellStyle name="Lien hypertexte" xfId="21387" builtinId="8" hidden="1"/>
    <cellStyle name="Lien hypertexte" xfId="23949" builtinId="8" hidden="1"/>
    <cellStyle name="Lien hypertexte" xfId="17572" builtinId="8" hidden="1"/>
    <cellStyle name="Lien hypertexte" xfId="15398" builtinId="8" hidden="1"/>
    <cellStyle name="Lien hypertexte" xfId="17830" builtinId="8" hidden="1"/>
    <cellStyle name="Lien hypertexte" xfId="17126" builtinId="8" hidden="1"/>
    <cellStyle name="Lien hypertexte" xfId="18667" builtinId="8" hidden="1"/>
    <cellStyle name="Lien hypertexte" xfId="408" builtinId="8" hidden="1"/>
    <cellStyle name="Lien hypertexte" xfId="22779" builtinId="8" hidden="1"/>
    <cellStyle name="Lien hypertexte" xfId="20253" builtinId="8" hidden="1"/>
    <cellStyle name="Lien hypertexte" xfId="19333" builtinId="8" hidden="1"/>
    <cellStyle name="Lien hypertexte" xfId="21381" builtinId="8" hidden="1"/>
    <cellStyle name="Lien hypertexte" xfId="23943" builtinId="8" hidden="1"/>
    <cellStyle name="Lien hypertexte" xfId="17624" builtinId="8" hidden="1"/>
    <cellStyle name="Lien hypertexte" xfId="15392" builtinId="8" hidden="1"/>
    <cellStyle name="Lien hypertexte" xfId="17314" builtinId="8" hidden="1"/>
    <cellStyle name="Lien hypertexte" xfId="16160" builtinId="8" hidden="1"/>
    <cellStyle name="Lien hypertexte" xfId="18673" builtinId="8" hidden="1"/>
    <cellStyle name="Lien hypertexte" xfId="414" builtinId="8" hidden="1"/>
    <cellStyle name="Lien hypertexte" xfId="22789" builtinId="8" hidden="1"/>
    <cellStyle name="Lien hypertexte" xfId="20263" builtinId="8" hidden="1"/>
    <cellStyle name="Lien hypertexte" xfId="19339" builtinId="8" hidden="1"/>
    <cellStyle name="Lien hypertexte" xfId="21373" builtinId="8" hidden="1"/>
    <cellStyle name="Lien hypertexte" xfId="23935" builtinId="8" hidden="1"/>
    <cellStyle name="Lien hypertexte" xfId="17674" builtinId="8" hidden="1"/>
    <cellStyle name="Lien hypertexte" xfId="15384" builtinId="8" hidden="1"/>
    <cellStyle name="Lien hypertexte" xfId="17308" builtinId="8" hidden="1"/>
    <cellStyle name="Lien hypertexte" xfId="16166" builtinId="8" hidden="1"/>
    <cellStyle name="Lien hypertexte" xfId="18679" builtinId="8" hidden="1"/>
    <cellStyle name="Lien hypertexte" xfId="422" builtinId="8" hidden="1"/>
    <cellStyle name="Lien hypertexte" xfId="22795" builtinId="8" hidden="1"/>
    <cellStyle name="Lien hypertexte" xfId="20269" builtinId="8" hidden="1"/>
    <cellStyle name="Lien hypertexte" xfId="19347" builtinId="8" hidden="1"/>
    <cellStyle name="Lien hypertexte" xfId="21367" builtinId="8" hidden="1"/>
    <cellStyle name="Lien hypertexte" xfId="23929" builtinId="8" hidden="1"/>
    <cellStyle name="Lien hypertexte" xfId="17726" builtinId="8" hidden="1"/>
    <cellStyle name="Lien hypertexte" xfId="15378" builtinId="8" hidden="1"/>
    <cellStyle name="Lien hypertexte" xfId="17302" builtinId="8" hidden="1"/>
    <cellStyle name="Lien hypertexte" xfId="16174" builtinId="8" hidden="1"/>
    <cellStyle name="Lien hypertexte" xfId="18687" builtinId="8" hidden="1"/>
    <cellStyle name="Lien hypertexte" xfId="428" builtinId="8" hidden="1"/>
    <cellStyle name="Lien hypertexte" xfId="22803" builtinId="8" hidden="1"/>
    <cellStyle name="Lien hypertexte" xfId="20277" builtinId="8" hidden="1"/>
    <cellStyle name="Lien hypertexte" xfId="19353" builtinId="8" hidden="1"/>
    <cellStyle name="Lien hypertexte" xfId="21359" builtinId="8" hidden="1"/>
    <cellStyle name="Lien hypertexte" xfId="23923" builtinId="8" hidden="1"/>
    <cellStyle name="Lien hypertexte" xfId="17778" builtinId="8" hidden="1"/>
    <cellStyle name="Lien hypertexte" xfId="15370" builtinId="8" hidden="1"/>
    <cellStyle name="Lien hypertexte" xfId="17292" builtinId="8" hidden="1"/>
    <cellStyle name="Lien hypertexte" xfId="16182" builtinId="8" hidden="1"/>
    <cellStyle name="Lien hypertexte" xfId="18695" builtinId="8" hidden="1"/>
    <cellStyle name="Lien hypertexte" xfId="436" builtinId="8" hidden="1"/>
    <cellStyle name="Lien hypertexte" xfId="22809" builtinId="8" hidden="1"/>
    <cellStyle name="Lien hypertexte" xfId="20283" builtinId="8" hidden="1"/>
    <cellStyle name="Lien hypertexte" xfId="19359" builtinId="8" hidden="1"/>
    <cellStyle name="Lien hypertexte" xfId="21351" builtinId="8" hidden="1"/>
    <cellStyle name="Lien hypertexte" xfId="23913" builtinId="8" hidden="1"/>
    <cellStyle name="Lien hypertexte" xfId="17828" builtinId="8" hidden="1"/>
    <cellStyle name="Lien hypertexte" xfId="15364" builtinId="8" hidden="1"/>
    <cellStyle name="Lien hypertexte" xfId="17286" builtinId="8" hidden="1"/>
    <cellStyle name="Lien hypertexte" xfId="16188" builtinId="8" hidden="1"/>
    <cellStyle name="Lien hypertexte" xfId="18703" builtinId="8" hidden="1"/>
    <cellStyle name="Lien hypertexte" xfId="442" builtinId="8" hidden="1"/>
    <cellStyle name="Lien hypertexte" xfId="22815" builtinId="8" hidden="1"/>
    <cellStyle name="Lien hypertexte" xfId="20291" builtinId="8" hidden="1"/>
    <cellStyle name="Lien hypertexte" xfId="19367" builtinId="8" hidden="1"/>
    <cellStyle name="Lien hypertexte" xfId="21343" builtinId="8" hidden="1"/>
    <cellStyle name="Lien hypertexte" xfId="23907" builtinId="8" hidden="1"/>
    <cellStyle name="Lien hypertexte" xfId="17880" builtinId="8" hidden="1"/>
    <cellStyle name="Lien hypertexte" xfId="15358" builtinId="8" hidden="1"/>
    <cellStyle name="Lien hypertexte" xfId="17278" builtinId="8" hidden="1"/>
    <cellStyle name="Lien hypertexte" xfId="16196" builtinId="8" hidden="1"/>
    <cellStyle name="Lien hypertexte" xfId="18709" builtinId="8" hidden="1"/>
    <cellStyle name="Lien hypertexte" xfId="448" builtinId="8" hidden="1"/>
    <cellStyle name="Lien hypertexte" xfId="22825" builtinId="8" hidden="1"/>
    <cellStyle name="Lien hypertexte" xfId="20297" builtinId="8" hidden="1"/>
    <cellStyle name="Lien hypertexte" xfId="19373" builtinId="8" hidden="1"/>
    <cellStyle name="Lien hypertexte" xfId="21337" builtinId="8" hidden="1"/>
    <cellStyle name="Lien hypertexte" xfId="23899" builtinId="8" hidden="1"/>
    <cellStyle name="Lien hypertexte" xfId="17930" builtinId="8" hidden="1"/>
    <cellStyle name="Lien hypertexte" xfId="15350" builtinId="8" hidden="1"/>
    <cellStyle name="Lien hypertexte" xfId="17272" builtinId="8" hidden="1"/>
    <cellStyle name="Lien hypertexte" xfId="16202" builtinId="8" hidden="1"/>
    <cellStyle name="Lien hypertexte" xfId="18717" builtinId="8" hidden="1"/>
    <cellStyle name="Lien hypertexte" xfId="458" builtinId="8" hidden="1"/>
    <cellStyle name="Lien hypertexte" xfId="22831" builtinId="8" hidden="1"/>
    <cellStyle name="Lien hypertexte" xfId="20303" builtinId="8" hidden="1"/>
    <cellStyle name="Lien hypertexte" xfId="19381" builtinId="8" hidden="1"/>
    <cellStyle name="Lien hypertexte" xfId="21331" builtinId="8" hidden="1"/>
    <cellStyle name="Lien hypertexte" xfId="23893" builtinId="8" hidden="1"/>
    <cellStyle name="Lien hypertexte" xfId="17982" builtinId="8" hidden="1"/>
    <cellStyle name="Lien hypertexte" xfId="15342" builtinId="8" hidden="1"/>
    <cellStyle name="Lien hypertexte" xfId="17262" builtinId="8" hidden="1"/>
    <cellStyle name="Lien hypertexte" xfId="16776" builtinId="8" hidden="1"/>
    <cellStyle name="Lien hypertexte" xfId="18725" builtinId="8" hidden="1"/>
    <cellStyle name="Lien hypertexte" xfId="464" builtinId="8" hidden="1"/>
    <cellStyle name="Lien hypertexte" xfId="22839" builtinId="8" hidden="1"/>
    <cellStyle name="Lien hypertexte" xfId="20311" builtinId="8" hidden="1"/>
    <cellStyle name="Lien hypertexte" xfId="19387" builtinId="8" hidden="1"/>
    <cellStyle name="Lien hypertexte" xfId="21323" builtinId="8" hidden="1"/>
    <cellStyle name="Lien hypertexte" xfId="23885" builtinId="8" hidden="1"/>
    <cellStyle name="Lien hypertexte" xfId="18034" builtinId="8" hidden="1"/>
    <cellStyle name="Lien hypertexte" xfId="15334" builtinId="8" hidden="1"/>
    <cellStyle name="Lien hypertexte" xfId="17256" builtinId="8" hidden="1"/>
    <cellStyle name="Lien hypertexte" xfId="16218" builtinId="8" hidden="1"/>
    <cellStyle name="Lien hypertexte" xfId="18731" builtinId="8" hidden="1"/>
    <cellStyle name="Lien hypertexte" xfId="472" builtinId="8" hidden="1"/>
    <cellStyle name="Lien hypertexte" xfId="22845" builtinId="8" hidden="1"/>
    <cellStyle name="Lien hypertexte" xfId="20317" builtinId="8" hidden="1"/>
    <cellStyle name="Lien hypertexte" xfId="19395" builtinId="8" hidden="1"/>
    <cellStyle name="Lien hypertexte" xfId="21317" builtinId="8" hidden="1"/>
    <cellStyle name="Lien hypertexte" xfId="23877" builtinId="8" hidden="1"/>
    <cellStyle name="Lien hypertexte" xfId="18084" builtinId="8" hidden="1"/>
    <cellStyle name="Lien hypertexte" xfId="15328" builtinId="8" hidden="1"/>
    <cellStyle name="Lien hypertexte" xfId="17250" builtinId="8" hidden="1"/>
    <cellStyle name="Lien hypertexte" xfId="16226" builtinId="8" hidden="1"/>
    <cellStyle name="Lien hypertexte" xfId="18739" builtinId="8" hidden="1"/>
    <cellStyle name="Lien hypertexte" xfId="478" builtinId="8" hidden="1"/>
    <cellStyle name="Lien hypertexte" xfId="22853" builtinId="8" hidden="1"/>
    <cellStyle name="Lien hypertexte" xfId="20325" builtinId="8" hidden="1"/>
    <cellStyle name="Lien hypertexte" xfId="19401" builtinId="8" hidden="1"/>
    <cellStyle name="Lien hypertexte" xfId="21309" builtinId="8" hidden="1"/>
    <cellStyle name="Lien hypertexte" xfId="23869" builtinId="8" hidden="1"/>
    <cellStyle name="Lien hypertexte" xfId="18136" builtinId="8" hidden="1"/>
    <cellStyle name="Lien hypertexte" xfId="15320" builtinId="8" hidden="1"/>
    <cellStyle name="Lien hypertexte" xfId="17242" builtinId="8" hidden="1"/>
    <cellStyle name="Lien hypertexte" xfId="16232" builtinId="8" hidden="1"/>
    <cellStyle name="Lien hypertexte" xfId="18745" builtinId="8" hidden="1"/>
    <cellStyle name="Lien hypertexte" xfId="486" builtinId="8" hidden="1"/>
    <cellStyle name="Lien hypertexte" xfId="22861" builtinId="8" hidden="1"/>
    <cellStyle name="Lien hypertexte" xfId="20331" builtinId="8" hidden="1"/>
    <cellStyle name="Lien hypertexte" xfId="19407" builtinId="8" hidden="1"/>
    <cellStyle name="Lien hypertexte" xfId="21303" builtinId="8" hidden="1"/>
    <cellStyle name="Lien hypertexte" xfId="23863" builtinId="8" hidden="1"/>
    <cellStyle name="Lien hypertexte" xfId="18186" builtinId="8" hidden="1"/>
    <cellStyle name="Lien hypertexte" xfId="15314" builtinId="8" hidden="1"/>
    <cellStyle name="Lien hypertexte" xfId="17236" builtinId="8" hidden="1"/>
    <cellStyle name="Lien hypertexte" xfId="16238" builtinId="8" hidden="1"/>
    <cellStyle name="Lien hypertexte" xfId="18755" builtinId="8" hidden="1"/>
    <cellStyle name="Lien hypertexte" xfId="492" builtinId="8" hidden="1"/>
    <cellStyle name="Lien hypertexte" xfId="22869" builtinId="8" hidden="1"/>
    <cellStyle name="Lien hypertexte" xfId="20341" builtinId="8" hidden="1"/>
    <cellStyle name="Lien hypertexte" xfId="19415" builtinId="8" hidden="1"/>
    <cellStyle name="Lien hypertexte" xfId="21295" builtinId="8" hidden="1"/>
    <cellStyle name="Lien hypertexte" xfId="23855" builtinId="8" hidden="1"/>
    <cellStyle name="Lien hypertexte" xfId="18238" builtinId="8" hidden="1"/>
    <cellStyle name="Lien hypertexte" xfId="15308" builtinId="8" hidden="1"/>
    <cellStyle name="Lien hypertexte" xfId="17226" builtinId="8" hidden="1"/>
    <cellStyle name="Lien hypertexte" xfId="16248" builtinId="8" hidden="1"/>
    <cellStyle name="Lien hypertexte" xfId="18761" builtinId="8" hidden="1"/>
    <cellStyle name="Lien hypertexte" xfId="498" builtinId="8" hidden="1"/>
    <cellStyle name="Lien hypertexte" xfId="22875" builtinId="8" hidden="1"/>
    <cellStyle name="Lien hypertexte" xfId="20347" builtinId="8" hidden="1"/>
    <cellStyle name="Lien hypertexte" xfId="19421" builtinId="8" hidden="1"/>
    <cellStyle name="Lien hypertexte" xfId="21289" builtinId="8" hidden="1"/>
    <cellStyle name="Lien hypertexte" xfId="23849" builtinId="8" hidden="1"/>
    <cellStyle name="Lien hypertexte" xfId="18290" builtinId="8" hidden="1"/>
    <cellStyle name="Lien hypertexte" xfId="15300" builtinId="8" hidden="1"/>
    <cellStyle name="Lien hypertexte" xfId="17220" builtinId="8" hidden="1"/>
    <cellStyle name="Lien hypertexte" xfId="16254" builtinId="8" hidden="1"/>
    <cellStyle name="Lien hypertexte" xfId="18769" builtinId="8" hidden="1"/>
    <cellStyle name="Lien hypertexte" xfId="506" builtinId="8" hidden="1"/>
    <cellStyle name="Lien hypertexte" xfId="22883" builtinId="8" hidden="1"/>
    <cellStyle name="Lien hypertexte" xfId="20355" builtinId="8" hidden="1"/>
    <cellStyle name="Lien hypertexte" xfId="19429" builtinId="8" hidden="1"/>
    <cellStyle name="Lien hypertexte" xfId="21279" builtinId="8" hidden="1"/>
    <cellStyle name="Lien hypertexte" xfId="23839" builtinId="8" hidden="1"/>
    <cellStyle name="Lien hypertexte" xfId="18357" builtinId="8" hidden="1"/>
    <cellStyle name="Lien hypertexte" xfId="15294" builtinId="8" hidden="1"/>
    <cellStyle name="Lien hypertexte" xfId="17212" builtinId="8" hidden="1"/>
    <cellStyle name="Lien hypertexte" xfId="16262" builtinId="8" hidden="1"/>
    <cellStyle name="Lien hypertexte" xfId="18775" builtinId="8" hidden="1"/>
    <cellStyle name="Lien hypertexte" xfId="512" builtinId="8" hidden="1"/>
    <cellStyle name="Lien hypertexte" xfId="22889" builtinId="8" hidden="1"/>
    <cellStyle name="Lien hypertexte" xfId="20361" builtinId="8" hidden="1"/>
    <cellStyle name="Lien hypertexte" xfId="19435" builtinId="8" hidden="1"/>
    <cellStyle name="Lien hypertexte" xfId="21273" builtinId="8" hidden="1"/>
    <cellStyle name="Lien hypertexte" xfId="22741" builtinId="8" hidden="1"/>
    <cellStyle name="Lien hypertexte" xfId="24301" builtinId="8" hidden="1"/>
    <cellStyle name="Lien hypertexte" xfId="23209" builtinId="8" hidden="1"/>
    <cellStyle name="Lien hypertexte" xfId="16206" builtinId="8" hidden="1"/>
    <cellStyle name="Lien hypertexte" xfId="210" builtinId="8" hidden="1"/>
    <cellStyle name="Lien hypertexte" xfId="108" builtinId="8" hidden="1"/>
    <cellStyle name="Lien hypertexte" xfId="22417" builtinId="8" hidden="1"/>
    <cellStyle name="Lien hypertexte" xfId="23365" builtinId="8" hidden="1"/>
    <cellStyle name="Lien hypertexte" xfId="20367" builtinId="8" hidden="1"/>
    <cellStyle name="Lien hypertexte" xfId="19443" builtinId="8" hidden="1"/>
    <cellStyle name="Lien hypertexte" xfId="21267" builtinId="8" hidden="1"/>
    <cellStyle name="Lien hypertexte" xfId="23827" builtinId="8" hidden="1"/>
    <cellStyle name="Lien hypertexte" xfId="18459" builtinId="8" hidden="1"/>
    <cellStyle name="Lien hypertexte" xfId="15278" builtinId="8" hidden="1"/>
    <cellStyle name="Lien hypertexte" xfId="17198" builtinId="8" hidden="1"/>
    <cellStyle name="Lien hypertexte" xfId="16278" builtinId="8" hidden="1"/>
    <cellStyle name="Lien hypertexte" xfId="18791" builtinId="8" hidden="1"/>
    <cellStyle name="Lien hypertexte" xfId="526" builtinId="8" hidden="1"/>
    <cellStyle name="Lien hypertexte" xfId="22905" builtinId="8" hidden="1"/>
    <cellStyle name="Lien hypertexte" xfId="20375" builtinId="8" hidden="1"/>
    <cellStyle name="Lien hypertexte" xfId="19449" builtinId="8" hidden="1"/>
    <cellStyle name="Lien hypertexte" xfId="21259" builtinId="8" hidden="1"/>
    <cellStyle name="Lien hypertexte" xfId="23819" builtinId="8" hidden="1"/>
    <cellStyle name="Lien hypertexte" xfId="18511" builtinId="8" hidden="1"/>
    <cellStyle name="Lien hypertexte" xfId="15270" builtinId="8" hidden="1"/>
    <cellStyle name="Lien hypertexte" xfId="17190" builtinId="8" hidden="1"/>
    <cellStyle name="Lien hypertexte" xfId="16284" builtinId="8" hidden="1"/>
    <cellStyle name="Lien hypertexte" xfId="18797" builtinId="8" hidden="1"/>
    <cellStyle name="Lien hypertexte" xfId="534" builtinId="8" hidden="1"/>
    <cellStyle name="Lien hypertexte" xfId="22911" builtinId="8" hidden="1"/>
    <cellStyle name="Lien hypertexte" xfId="20381" builtinId="8" hidden="1"/>
    <cellStyle name="Lien hypertexte" xfId="19455" builtinId="8" hidden="1"/>
    <cellStyle name="Lien hypertexte" xfId="21253" builtinId="8" hidden="1"/>
    <cellStyle name="Lien hypertexte" xfId="23813" builtinId="8" hidden="1"/>
    <cellStyle name="Lien hypertexte" xfId="18563" builtinId="8" hidden="1"/>
    <cellStyle name="Lien hypertexte" xfId="15264" builtinId="8" hidden="1"/>
    <cellStyle name="Lien hypertexte" xfId="17184" builtinId="8" hidden="1"/>
    <cellStyle name="Lien hypertexte" xfId="16290" builtinId="8" hidden="1"/>
    <cellStyle name="Lien hypertexte" xfId="18805" builtinId="8" hidden="1"/>
    <cellStyle name="Lien hypertexte" xfId="540" builtinId="8" hidden="1"/>
    <cellStyle name="Lien hypertexte" xfId="22919" builtinId="8" hidden="1"/>
    <cellStyle name="Lien hypertexte" xfId="20389" builtinId="8" hidden="1"/>
    <cellStyle name="Lien hypertexte" xfId="19463" builtinId="8" hidden="1"/>
    <cellStyle name="Lien hypertexte" xfId="21245" builtinId="8" hidden="1"/>
    <cellStyle name="Lien hypertexte" xfId="23803" builtinId="8" hidden="1"/>
    <cellStyle name="Lien hypertexte" xfId="18613" builtinId="8" hidden="1"/>
    <cellStyle name="Lien hypertexte" xfId="15258" builtinId="8" hidden="1"/>
    <cellStyle name="Lien hypertexte" xfId="17176" builtinId="8" hidden="1"/>
    <cellStyle name="Lien hypertexte" xfId="16298" builtinId="8" hidden="1"/>
    <cellStyle name="Lien hypertexte" xfId="18811" builtinId="8" hidden="1"/>
    <cellStyle name="Lien hypertexte" xfId="546" builtinId="8" hidden="1"/>
    <cellStyle name="Lien hypertexte" xfId="22925" builtinId="8" hidden="1"/>
    <cellStyle name="Lien hypertexte" xfId="20395" builtinId="8" hidden="1"/>
    <cellStyle name="Lien hypertexte" xfId="19469" builtinId="8" hidden="1"/>
    <cellStyle name="Lien hypertexte" xfId="21239" builtinId="8" hidden="1"/>
    <cellStyle name="Lien hypertexte" xfId="23797" builtinId="8" hidden="1"/>
    <cellStyle name="Lien hypertexte" xfId="18665" builtinId="8" hidden="1"/>
    <cellStyle name="Lien hypertexte" xfId="15250" builtinId="8" hidden="1"/>
    <cellStyle name="Lien hypertexte" xfId="17170" builtinId="8" hidden="1"/>
    <cellStyle name="Lien hypertexte" xfId="16306" builtinId="8" hidden="1"/>
    <cellStyle name="Lien hypertexte" xfId="18821" builtinId="8" hidden="1"/>
    <cellStyle name="Lien hypertexte" xfId="554" builtinId="8" hidden="1"/>
    <cellStyle name="Lien hypertexte" xfId="22935" builtinId="8" hidden="1"/>
    <cellStyle name="Lien hypertexte" xfId="20403" builtinId="8" hidden="1"/>
    <cellStyle name="Lien hypertexte" xfId="19477" builtinId="8" hidden="1"/>
    <cellStyle name="Lien hypertexte" xfId="21231" builtinId="8" hidden="1"/>
    <cellStyle name="Lien hypertexte" xfId="23789" builtinId="8" hidden="1"/>
    <cellStyle name="Lien hypertexte" xfId="18715" builtinId="8" hidden="1"/>
    <cellStyle name="Lien hypertexte" xfId="15244" builtinId="8" hidden="1"/>
    <cellStyle name="Lien hypertexte" xfId="17160" builtinId="8" hidden="1"/>
    <cellStyle name="Lien hypertexte" xfId="16314" builtinId="8" hidden="1"/>
    <cellStyle name="Lien hypertexte" xfId="18827" builtinId="8" hidden="1"/>
    <cellStyle name="Lien hypertexte" xfId="560" builtinId="8" hidden="1"/>
    <cellStyle name="Lien hypertexte" xfId="22941" builtinId="8" hidden="1"/>
    <cellStyle name="Lien hypertexte" xfId="20411" builtinId="8" hidden="1"/>
    <cellStyle name="Lien hypertexte" xfId="19483" builtinId="8" hidden="1"/>
    <cellStyle name="Lien hypertexte" xfId="21225" builtinId="8" hidden="1"/>
    <cellStyle name="Lien hypertexte" xfId="23783" builtinId="8" hidden="1"/>
    <cellStyle name="Lien hypertexte" xfId="18767" builtinId="8" hidden="1"/>
    <cellStyle name="Lien hypertexte" xfId="15236" builtinId="8" hidden="1"/>
    <cellStyle name="Lien hypertexte" xfId="17154" builtinId="8" hidden="1"/>
    <cellStyle name="Lien hypertexte" xfId="16320" builtinId="8" hidden="1"/>
    <cellStyle name="Lien hypertexte" xfId="18833" builtinId="8" hidden="1"/>
    <cellStyle name="Lien hypertexte" xfId="568" builtinId="8" hidden="1"/>
    <cellStyle name="Lien hypertexte" xfId="22949" builtinId="8" hidden="1"/>
    <cellStyle name="Lien hypertexte" xfId="20419" builtinId="8" hidden="1"/>
    <cellStyle name="Lien hypertexte" xfId="19491" builtinId="8" hidden="1"/>
    <cellStyle name="Lien hypertexte" xfId="21219" builtinId="8" hidden="1"/>
    <cellStyle name="Lien hypertexte" xfId="23775" builtinId="8" hidden="1"/>
    <cellStyle name="Lien hypertexte" xfId="18819" builtinId="8" hidden="1"/>
    <cellStyle name="Lien hypertexte" xfId="15230" builtinId="8" hidden="1"/>
    <cellStyle name="Lien hypertexte" xfId="17148" builtinId="8" hidden="1"/>
    <cellStyle name="Lien hypertexte" xfId="16698" builtinId="8" hidden="1"/>
    <cellStyle name="Lien hypertexte" xfId="18841" builtinId="8" hidden="1"/>
    <cellStyle name="Lien hypertexte" xfId="574" builtinId="8" hidden="1"/>
    <cellStyle name="Lien hypertexte" xfId="22955" builtinId="8" hidden="1"/>
    <cellStyle name="Lien hypertexte" xfId="20425" builtinId="8" hidden="1"/>
    <cellStyle name="Lien hypertexte" xfId="19497" builtinId="8" hidden="1"/>
    <cellStyle name="Lien hypertexte" xfId="21209" builtinId="8" hidden="1"/>
    <cellStyle name="Lien hypertexte" xfId="23767" builtinId="8" hidden="1"/>
    <cellStyle name="Lien hypertexte" xfId="18497" builtinId="8" hidden="1"/>
    <cellStyle name="Lien hypertexte" xfId="15222" builtinId="8" hidden="1"/>
    <cellStyle name="Lien hypertexte" xfId="17140" builtinId="8" hidden="1"/>
    <cellStyle name="Lien hypertexte" xfId="16334" builtinId="8" hidden="1"/>
    <cellStyle name="Lien hypertexte" xfId="18817" builtinId="8" hidden="1"/>
    <cellStyle name="Lien hypertexte" xfId="582" builtinId="8" hidden="1"/>
    <cellStyle name="Lien hypertexte" xfId="22963" builtinId="8" hidden="1"/>
    <cellStyle name="Lien hypertexte" xfId="20431" builtinId="8" hidden="1"/>
    <cellStyle name="Lien hypertexte" xfId="19503" builtinId="8" hidden="1"/>
    <cellStyle name="Lien hypertexte" xfId="21203" builtinId="8" hidden="1"/>
    <cellStyle name="Lien hypertexte" xfId="23759" builtinId="8" hidden="1"/>
    <cellStyle name="Lien hypertexte" xfId="17712" builtinId="8" hidden="1"/>
    <cellStyle name="Lien hypertexte" xfId="15214" builtinId="8" hidden="1"/>
    <cellStyle name="Lien hypertexte" xfId="17132" builtinId="8" hidden="1"/>
    <cellStyle name="Lien hypertexte" xfId="16342" builtinId="8" hidden="1"/>
    <cellStyle name="Lien hypertexte" xfId="18689" builtinId="8" hidden="1"/>
    <cellStyle name="Lien hypertexte" xfId="588" builtinId="8" hidden="1"/>
    <cellStyle name="Lien hypertexte" xfId="22971" builtinId="8" hidden="1"/>
    <cellStyle name="Lien hypertexte" xfId="20439" builtinId="8" hidden="1"/>
    <cellStyle name="Lien hypertexte" xfId="19511" builtinId="8" hidden="1"/>
    <cellStyle name="Lien hypertexte" xfId="21195" builtinId="8" hidden="1"/>
    <cellStyle name="Lien hypertexte" xfId="23753" builtinId="8" hidden="1"/>
    <cellStyle name="Lien hypertexte" xfId="16944" builtinId="8" hidden="1"/>
    <cellStyle name="Lien hypertexte" xfId="15208" builtinId="8" hidden="1"/>
    <cellStyle name="Lien hypertexte" xfId="17124" builtinId="8" hidden="1"/>
    <cellStyle name="Lien hypertexte" xfId="16350" builtinId="8" hidden="1"/>
    <cellStyle name="Lien hypertexte" xfId="18593" builtinId="8" hidden="1"/>
    <cellStyle name="Lien hypertexte" xfId="594" builtinId="8" hidden="1"/>
    <cellStyle name="Lien hypertexte" xfId="22979" builtinId="8" hidden="1"/>
    <cellStyle name="Lien hypertexte" xfId="20445" builtinId="8" hidden="1"/>
    <cellStyle name="Lien hypertexte" xfId="19517" builtinId="8" hidden="1"/>
    <cellStyle name="Lien hypertexte" xfId="21189" builtinId="8" hidden="1"/>
    <cellStyle name="Lien hypertexte" xfId="23747" builtinId="8" hidden="1"/>
    <cellStyle name="Lien hypertexte" xfId="16176" builtinId="8" hidden="1"/>
    <cellStyle name="Lien hypertexte" xfId="15200" builtinId="8" hidden="1"/>
    <cellStyle name="Lien hypertexte" xfId="17118" builtinId="8" hidden="1"/>
    <cellStyle name="Lien hypertexte" xfId="16356" builtinId="8" hidden="1"/>
    <cellStyle name="Lien hypertexte" xfId="18465" builtinId="8" hidden="1"/>
    <cellStyle name="Lien hypertexte" xfId="602" builtinId="8" hidden="1"/>
    <cellStyle name="Lien hypertexte" xfId="22985" builtinId="8" hidden="1"/>
    <cellStyle name="Lien hypertexte" xfId="20453" builtinId="8" hidden="1"/>
    <cellStyle name="Lien hypertexte" xfId="19525" builtinId="8" hidden="1"/>
    <cellStyle name="Lien hypertexte" xfId="21181" builtinId="8" hidden="1"/>
    <cellStyle name="Lien hypertexte" xfId="23739" builtinId="8" hidden="1"/>
    <cellStyle name="Lien hypertexte" xfId="14662" builtinId="8" hidden="1"/>
    <cellStyle name="Lien hypertexte" xfId="15194" builtinId="8" hidden="1"/>
    <cellStyle name="Lien hypertexte" xfId="17110" builtinId="8" hidden="1"/>
    <cellStyle name="Lien hypertexte" xfId="16364" builtinId="8" hidden="1"/>
    <cellStyle name="Lien hypertexte" xfId="18369" builtinId="8" hidden="1"/>
    <cellStyle name="Lien hypertexte" xfId="608" builtinId="8" hidden="1"/>
    <cellStyle name="Lien hypertexte" xfId="22991" builtinId="8" hidden="1"/>
    <cellStyle name="Lien hypertexte" xfId="20459" builtinId="8" hidden="1"/>
    <cellStyle name="Lien hypertexte" xfId="19531" builtinId="8" hidden="1"/>
    <cellStyle name="Lien hypertexte" xfId="21175" builtinId="8" hidden="1"/>
    <cellStyle name="Lien hypertexte" xfId="23731" builtinId="8" hidden="1"/>
    <cellStyle name="Lien hypertexte" xfId="14712" builtinId="8" hidden="1"/>
    <cellStyle name="Lien hypertexte" xfId="15186" builtinId="8" hidden="1"/>
    <cellStyle name="Lien hypertexte" xfId="17102" builtinId="8" hidden="1"/>
    <cellStyle name="Lien hypertexte" xfId="16372" builtinId="8" hidden="1"/>
    <cellStyle name="Lien hypertexte" xfId="18256" builtinId="8" hidden="1"/>
    <cellStyle name="Lien hypertexte" xfId="616" builtinId="8" hidden="1"/>
    <cellStyle name="Lien hypertexte" xfId="22999" builtinId="8" hidden="1"/>
    <cellStyle name="Lien hypertexte" xfId="20467" builtinId="8" hidden="1"/>
    <cellStyle name="Lien hypertexte" xfId="19017" builtinId="8" hidden="1"/>
    <cellStyle name="Lien hypertexte" xfId="21167" builtinId="8" hidden="1"/>
    <cellStyle name="Lien hypertexte" xfId="23723" builtinId="8" hidden="1"/>
    <cellStyle name="Lien hypertexte" xfId="14760" builtinId="8" hidden="1"/>
    <cellStyle name="Lien hypertexte" xfId="15180" builtinId="8" hidden="1"/>
    <cellStyle name="Lien hypertexte" xfId="17096" builtinId="8" hidden="1"/>
    <cellStyle name="Lien hypertexte" xfId="16380" builtinId="8" hidden="1"/>
    <cellStyle name="Lien hypertexte" xfId="18128" builtinId="8" hidden="1"/>
    <cellStyle name="Lien hypertexte" xfId="622" builtinId="8" hidden="1"/>
    <cellStyle name="Lien hypertexte" xfId="23007" builtinId="8" hidden="1"/>
    <cellStyle name="Lien hypertexte" xfId="20473" builtinId="8" hidden="1"/>
    <cellStyle name="Lien hypertexte" xfId="19023" builtinId="8" hidden="1"/>
    <cellStyle name="Lien hypertexte" xfId="21161" builtinId="8" hidden="1"/>
    <cellStyle name="Lien hypertexte" xfId="23717" builtinId="8" hidden="1"/>
    <cellStyle name="Lien hypertexte" xfId="14810" builtinId="8" hidden="1"/>
    <cellStyle name="Lien hypertexte" xfId="15172" builtinId="8" hidden="1"/>
    <cellStyle name="Lien hypertexte" xfId="17986" builtinId="8" hidden="1"/>
    <cellStyle name="Lien hypertexte" xfId="17322" builtinId="8" hidden="1"/>
    <cellStyle name="Lien hypertexte" xfId="18032" builtinId="8" hidden="1"/>
    <cellStyle name="Lien hypertexte" xfId="630" builtinId="8" hidden="1"/>
    <cellStyle name="Lien hypertexte" xfId="23015" builtinId="8" hidden="1"/>
    <cellStyle name="Lien hypertexte" xfId="20483" builtinId="8" hidden="1"/>
    <cellStyle name="Lien hypertexte" xfId="19031" builtinId="8" hidden="1"/>
    <cellStyle name="Lien hypertexte" xfId="21155" builtinId="8" hidden="1"/>
    <cellStyle name="Lien hypertexte" xfId="23709" builtinId="8" hidden="1"/>
    <cellStyle name="Lien hypertexte" xfId="14860" builtinId="8" hidden="1"/>
    <cellStyle name="Lien hypertexte" xfId="15166" builtinId="8" hidden="1"/>
    <cellStyle name="Lien hypertexte" xfId="17082" builtinId="8" hidden="1"/>
    <cellStyle name="Lien hypertexte" xfId="16392" builtinId="8" hidden="1"/>
    <cellStyle name="Lien hypertexte" xfId="17904" builtinId="8" hidden="1"/>
    <cellStyle name="Lien hypertexte" xfId="636" builtinId="8" hidden="1"/>
    <cellStyle name="Lien hypertexte" xfId="23021" builtinId="8" hidden="1"/>
    <cellStyle name="Lien hypertexte" xfId="20489" builtinId="8" hidden="1"/>
    <cellStyle name="Lien hypertexte" xfId="19037" builtinId="8" hidden="1"/>
    <cellStyle name="Lien hypertexte" xfId="21147" builtinId="8" hidden="1"/>
    <cellStyle name="Lien hypertexte" xfId="23703" builtinId="8" hidden="1"/>
    <cellStyle name="Lien hypertexte" xfId="14910" builtinId="8" hidden="1"/>
    <cellStyle name="Lien hypertexte" xfId="15160" builtinId="8" hidden="1"/>
    <cellStyle name="Lien hypertexte" xfId="17074" builtinId="8" hidden="1"/>
    <cellStyle name="Lien hypertexte" xfId="16402" builtinId="8" hidden="1"/>
    <cellStyle name="Lien hypertexte" xfId="17808" builtinId="8" hidden="1"/>
    <cellStyle name="Lien hypertexte" xfId="642" builtinId="8" hidden="1"/>
    <cellStyle name="Lien hypertexte" xfId="23029" builtinId="8" hidden="1"/>
    <cellStyle name="Lien hypertexte" xfId="20495" builtinId="8" hidden="1"/>
    <cellStyle name="Lien hypertexte" xfId="19045" builtinId="8" hidden="1"/>
    <cellStyle name="Lien hypertexte" xfId="21141" builtinId="8" hidden="1"/>
    <cellStyle name="Lien hypertexte" xfId="23693" builtinId="8" hidden="1"/>
    <cellStyle name="Lien hypertexte" xfId="14958" builtinId="8" hidden="1"/>
    <cellStyle name="Lien hypertexte" xfId="15150" builtinId="8" hidden="1"/>
    <cellStyle name="Lien hypertexte" xfId="17066" builtinId="8" hidden="1"/>
    <cellStyle name="Lien hypertexte" xfId="16408" builtinId="8" hidden="1"/>
    <cellStyle name="Lien hypertexte" xfId="17680" builtinId="8" hidden="1"/>
    <cellStyle name="Lien hypertexte" xfId="650" builtinId="8" hidden="1"/>
    <cellStyle name="Lien hypertexte" xfId="23035" builtinId="8" hidden="1"/>
    <cellStyle name="Lien hypertexte" xfId="20503" builtinId="8" hidden="1"/>
    <cellStyle name="Lien hypertexte" xfId="19051" builtinId="8" hidden="1"/>
    <cellStyle name="Lien hypertexte" xfId="21131" builtinId="8" hidden="1"/>
    <cellStyle name="Lien hypertexte" xfId="23687" builtinId="8" hidden="1"/>
    <cellStyle name="Lien hypertexte" xfId="15008" builtinId="8" hidden="1"/>
    <cellStyle name="Lien hypertexte" xfId="15144" builtinId="8" hidden="1"/>
    <cellStyle name="Lien hypertexte" xfId="17058" builtinId="8" hidden="1"/>
    <cellStyle name="Lien hypertexte" xfId="16416" builtinId="8" hidden="1"/>
    <cellStyle name="Lien hypertexte" xfId="17584" builtinId="8" hidden="1"/>
    <cellStyle name="Lien hypertexte" xfId="200" builtinId="8" hidden="1"/>
    <cellStyle name="Lien hypertexte" xfId="23045" builtinId="8" hidden="1"/>
    <cellStyle name="Lien hypertexte" xfId="20509" builtinId="8" hidden="1"/>
    <cellStyle name="Lien hypertexte" xfId="19059" builtinId="8" hidden="1"/>
    <cellStyle name="Lien hypertexte" xfId="21125" builtinId="8" hidden="1"/>
    <cellStyle name="Lien hypertexte" xfId="23679" builtinId="8" hidden="1"/>
    <cellStyle name="Lien hypertexte" xfId="15058" builtinId="8" hidden="1"/>
    <cellStyle name="Lien hypertexte" xfId="15136" builtinId="8" hidden="1"/>
    <cellStyle name="Lien hypertexte" xfId="17052" builtinId="8" hidden="1"/>
    <cellStyle name="Lien hypertexte" xfId="16422" builtinId="8" hidden="1"/>
    <cellStyle name="Lien hypertexte" xfId="17488" builtinId="8" hidden="1"/>
    <cellStyle name="Lien hypertexte" xfId="208" builtinId="8" hidden="1"/>
    <cellStyle name="Lien hypertexte" xfId="23051" builtinId="8" hidden="1"/>
    <cellStyle name="Lien hypertexte" xfId="20517" builtinId="8" hidden="1"/>
    <cellStyle name="Lien hypertexte" xfId="19065" builtinId="8" hidden="1"/>
    <cellStyle name="Lien hypertexte" xfId="21117" builtinId="8" hidden="1"/>
    <cellStyle name="Lien hypertexte" xfId="23673" builtinId="8" hidden="1"/>
    <cellStyle name="Lien hypertexte" xfId="15108" builtinId="8" hidden="1"/>
    <cellStyle name="Lien hypertexte" xfId="15130" builtinId="8" hidden="1"/>
    <cellStyle name="Lien hypertexte" xfId="17046" builtinId="8" hidden="1"/>
    <cellStyle name="Lien hypertexte" xfId="16430" builtinId="8" hidden="1"/>
    <cellStyle name="Lien hypertexte" xfId="17360" builtinId="8" hidden="1"/>
    <cellStyle name="Lien hypertexte" xfId="214" builtinId="8" hidden="1"/>
    <cellStyle name="Lien hypertexte" xfId="23059" builtinId="8" hidden="1"/>
    <cellStyle name="Lien hypertexte" xfId="20523" builtinId="8" hidden="1"/>
    <cellStyle name="Lien hypertexte" xfId="19071" builtinId="8" hidden="1"/>
    <cellStyle name="Lien hypertexte" xfId="21111" builtinId="8" hidden="1"/>
    <cellStyle name="Lien hypertexte" xfId="23667" builtinId="8" hidden="1"/>
    <cellStyle name="Lien hypertexte" xfId="15158" builtinId="8" hidden="1"/>
    <cellStyle name="Lien hypertexte" xfId="15122" builtinId="8" hidden="1"/>
    <cellStyle name="Lien hypertexte" xfId="17036" builtinId="8" hidden="1"/>
    <cellStyle name="Lien hypertexte" xfId="16438" builtinId="8" hidden="1"/>
    <cellStyle name="Lien hypertexte" xfId="17264" builtinId="8" hidden="1"/>
    <cellStyle name="Lien hypertexte" xfId="222" builtinId="8" hidden="1"/>
    <cellStyle name="Lien hypertexte" xfId="23065" builtinId="8" hidden="1"/>
    <cellStyle name="Lien hypertexte" xfId="20531" builtinId="8" hidden="1"/>
    <cellStyle name="Lien hypertexte" xfId="19079" builtinId="8" hidden="1"/>
    <cellStyle name="Lien hypertexte" xfId="21103" builtinId="8" hidden="1"/>
    <cellStyle name="Lien hypertexte" xfId="23657" builtinId="8" hidden="1"/>
    <cellStyle name="Lien hypertexte" xfId="15206" builtinId="8" hidden="1"/>
    <cellStyle name="Lien hypertexte" xfId="15116" builtinId="8" hidden="1"/>
    <cellStyle name="Lien hypertexte" xfId="17030" builtinId="8" hidden="1"/>
    <cellStyle name="Lien hypertexte" xfId="16620" builtinId="8" hidden="1"/>
    <cellStyle name="Lien hypertexte" xfId="17136" builtinId="8" hidden="1"/>
    <cellStyle name="Lien hypertexte" xfId="228" builtinId="8" hidden="1"/>
    <cellStyle name="Lien hypertexte" xfId="23071" builtinId="8" hidden="1"/>
    <cellStyle name="Lien hypertexte" xfId="20537" builtinId="8" hidden="1"/>
    <cellStyle name="Lien hypertexte" xfId="19085" builtinId="8" hidden="1"/>
    <cellStyle name="Lien hypertexte" xfId="21097" builtinId="8" hidden="1"/>
    <cellStyle name="Lien hypertexte" xfId="23651" builtinId="8" hidden="1"/>
    <cellStyle name="Lien hypertexte" xfId="15256" builtinId="8" hidden="1"/>
    <cellStyle name="Lien hypertexte" xfId="15110" builtinId="8" hidden="1"/>
    <cellStyle name="Lien hypertexte" xfId="17022" builtinId="8" hidden="1"/>
    <cellStyle name="Lien hypertexte" xfId="16452" builtinId="8" hidden="1"/>
    <cellStyle name="Lien hypertexte" xfId="17040" builtinId="8" hidden="1"/>
    <cellStyle name="Lien hypertexte" xfId="234" builtinId="8" hidden="1"/>
    <cellStyle name="Lien hypertexte" xfId="23081" builtinId="8" hidden="1"/>
    <cellStyle name="Lien hypertexte" xfId="20543" builtinId="8" hidden="1"/>
    <cellStyle name="Lien hypertexte" xfId="19093" builtinId="8" hidden="1"/>
    <cellStyle name="Lien hypertexte" xfId="21091" builtinId="8" hidden="1"/>
    <cellStyle name="Lien hypertexte" xfId="23643" builtinId="8" hidden="1"/>
    <cellStyle name="Lien hypertexte" xfId="15306" builtinId="8" hidden="1"/>
    <cellStyle name="Lien hypertexte" xfId="15102" builtinId="8" hidden="1"/>
    <cellStyle name="Lien hypertexte" xfId="17016" builtinId="8" hidden="1"/>
    <cellStyle name="Lien hypertexte" xfId="16458" builtinId="8" hidden="1"/>
    <cellStyle name="Lien hypertexte" xfId="16912" builtinId="8" hidden="1"/>
    <cellStyle name="Lien hypertexte" xfId="242" builtinId="8" hidden="1"/>
    <cellStyle name="Lien hypertexte" xfId="23087" builtinId="8" hidden="1"/>
    <cellStyle name="Lien hypertexte" xfId="20551" builtinId="8" hidden="1"/>
    <cellStyle name="Lien hypertexte" xfId="19099" builtinId="8" hidden="1"/>
    <cellStyle name="Lien hypertexte" xfId="21083" builtinId="8" hidden="1"/>
    <cellStyle name="Lien hypertexte" xfId="23637" builtinId="8" hidden="1"/>
    <cellStyle name="Lien hypertexte" xfId="15356" builtinId="8" hidden="1"/>
    <cellStyle name="Lien hypertexte" xfId="15096" builtinId="8" hidden="1"/>
    <cellStyle name="Lien hypertexte" xfId="17006" builtinId="8" hidden="1"/>
    <cellStyle name="Lien hypertexte" xfId="16468" builtinId="8" hidden="1"/>
    <cellStyle name="Lien hypertexte" xfId="16816" builtinId="8" hidden="1"/>
    <cellStyle name="Lien hypertexte" xfId="248" builtinId="8" hidden="1"/>
    <cellStyle name="Lien hypertexte" xfId="23095" builtinId="8" hidden="1"/>
    <cellStyle name="Lien hypertexte" xfId="20559" builtinId="8" hidden="1"/>
    <cellStyle name="Lien hypertexte" xfId="19107" builtinId="8" hidden="1"/>
    <cellStyle name="Lien hypertexte" xfId="21077" builtinId="8" hidden="1"/>
    <cellStyle name="Lien hypertexte" xfId="23629" builtinId="8" hidden="1"/>
    <cellStyle name="Lien hypertexte" xfId="15404" builtinId="8" hidden="1"/>
    <cellStyle name="Lien hypertexte" xfId="15086" builtinId="8" hidden="1"/>
    <cellStyle name="Lien hypertexte" xfId="17000" builtinId="8" hidden="1"/>
    <cellStyle name="Lien hypertexte" xfId="16474" builtinId="8" hidden="1"/>
    <cellStyle name="Lien hypertexte" xfId="16720" builtinId="8" hidden="1"/>
    <cellStyle name="Lien hypertexte" xfId="256" builtinId="8" hidden="1"/>
    <cellStyle name="Lien hypertexte" xfId="23101" builtinId="8" hidden="1"/>
    <cellStyle name="Lien hypertexte" xfId="20567" builtinId="8" hidden="1"/>
    <cellStyle name="Lien hypertexte" xfId="19113" builtinId="8" hidden="1"/>
    <cellStyle name="Lien hypertexte" xfId="21069" builtinId="8" hidden="1"/>
    <cellStyle name="Lien hypertexte" xfId="23621" builtinId="8" hidden="1"/>
    <cellStyle name="Lien hypertexte" xfId="15454" builtinId="8" hidden="1"/>
    <cellStyle name="Lien hypertexte" xfId="15080" builtinId="8" hidden="1"/>
    <cellStyle name="Lien hypertexte" xfId="16994" builtinId="8" hidden="1"/>
    <cellStyle name="Lien hypertexte" xfId="16482" builtinId="8" hidden="1"/>
    <cellStyle name="Lien hypertexte" xfId="16592" builtinId="8" hidden="1"/>
    <cellStyle name="Lien hypertexte" xfId="262" builtinId="8" hidden="1"/>
    <cellStyle name="Lien hypertexte" xfId="23109" builtinId="8" hidden="1"/>
    <cellStyle name="Lien hypertexte" xfId="20573" builtinId="8" hidden="1"/>
    <cellStyle name="Lien hypertexte" xfId="19119" builtinId="8" hidden="1"/>
    <cellStyle name="Lien hypertexte" xfId="21061" builtinId="8" hidden="1"/>
    <cellStyle name="Lien hypertexte" xfId="23613" builtinId="8" hidden="1"/>
    <cellStyle name="Lien hypertexte" xfId="15504" builtinId="8" hidden="1"/>
    <cellStyle name="Lien hypertexte" xfId="15072" builtinId="8" hidden="1"/>
    <cellStyle name="Lien hypertexte" xfId="16986" builtinId="8" hidden="1"/>
    <cellStyle name="Lien hypertexte" xfId="16488" builtinId="8" hidden="1"/>
    <cellStyle name="Lien hypertexte" xfId="16496" builtinId="8" hidden="1"/>
    <cellStyle name="Lien hypertexte" xfId="270" builtinId="8" hidden="1"/>
    <cellStyle name="Lien hypertexte" xfId="23117" builtinId="8" hidden="1"/>
    <cellStyle name="Lien hypertexte" xfId="20581" builtinId="8" hidden="1"/>
    <cellStyle name="Lien hypertexte" xfId="19127" builtinId="8" hidden="1"/>
    <cellStyle name="Lien hypertexte" xfId="21053" builtinId="8" hidden="1"/>
    <cellStyle name="Lien hypertexte" xfId="23607" builtinId="8" hidden="1"/>
    <cellStyle name="Lien hypertexte" xfId="15554" builtinId="8" hidden="1"/>
    <cellStyle name="Lien hypertexte" xfId="15066" builtinId="8" hidden="1"/>
    <cellStyle name="Lien hypertexte" xfId="16980" builtinId="8" hidden="1"/>
    <cellStyle name="Lien hypertexte" xfId="16494" builtinId="8" hidden="1"/>
    <cellStyle name="Lien hypertexte" xfId="16368" builtinId="8" hidden="1"/>
    <cellStyle name="Lien hypertexte" xfId="276" builtinId="8" hidden="1"/>
    <cellStyle name="Lien hypertexte" xfId="23125" builtinId="8" hidden="1"/>
    <cellStyle name="Lien hypertexte" xfId="20587" builtinId="8" hidden="1"/>
    <cellStyle name="Lien hypertexte" xfId="19133" builtinId="8" hidden="1"/>
    <cellStyle name="Lien hypertexte" xfId="21047" builtinId="8" hidden="1"/>
    <cellStyle name="Lien hypertexte" xfId="23599" builtinId="8" hidden="1"/>
    <cellStyle name="Lien hypertexte" xfId="15604" builtinId="8" hidden="1"/>
    <cellStyle name="Lien hypertexte" xfId="15512" builtinId="8" hidden="1"/>
    <cellStyle name="Lien hypertexte" xfId="18705" builtinId="8" hidden="1"/>
    <cellStyle name="Lien hypertexte" xfId="17424" builtinId="8" hidden="1"/>
    <cellStyle name="Lien hypertexte" xfId="15814" builtinId="8" hidden="1"/>
    <cellStyle name="Lien hypertexte" xfId="282" builtinId="8" hidden="1"/>
    <cellStyle name="Lien hypertexte" xfId="23131" builtinId="8" hidden="1"/>
    <cellStyle name="Lien hypertexte" xfId="20595" builtinId="8" hidden="1"/>
    <cellStyle name="Lien hypertexte" xfId="19141" builtinId="8" hidden="1"/>
    <cellStyle name="Lien hypertexte" xfId="21039" builtinId="8" hidden="1"/>
    <cellStyle name="Lien hypertexte" xfId="23593" builtinId="8" hidden="1"/>
    <cellStyle name="Lien hypertexte" xfId="15652" builtinId="8" hidden="1"/>
    <cellStyle name="Lien hypertexte" xfId="15052" builtinId="8" hidden="1"/>
    <cellStyle name="Lien hypertexte" xfId="16964" builtinId="8" hidden="1"/>
    <cellStyle name="Lien hypertexte" xfId="16510" builtinId="8" hidden="1"/>
    <cellStyle name="Lien hypertexte" xfId="16144" builtinId="8" hidden="1"/>
    <cellStyle name="Lien hypertexte" xfId="290" builtinId="8" hidden="1"/>
    <cellStyle name="Lien hypertexte" xfId="23139" builtinId="8" hidden="1"/>
    <cellStyle name="Lien hypertexte" xfId="20601" builtinId="8" hidden="1"/>
    <cellStyle name="Lien hypertexte" xfId="19147" builtinId="8" hidden="1"/>
    <cellStyle name="Lien hypertexte" xfId="21033" builtinId="8" hidden="1"/>
    <cellStyle name="Lien hypertexte" xfId="23583" builtinId="8" hidden="1"/>
    <cellStyle name="Lien hypertexte" xfId="15702" builtinId="8" hidden="1"/>
    <cellStyle name="Lien hypertexte" xfId="15046" builtinId="8" hidden="1"/>
    <cellStyle name="Lien hypertexte" xfId="16956" builtinId="8" hidden="1"/>
    <cellStyle name="Lien hypertexte" xfId="16518" builtinId="8" hidden="1"/>
    <cellStyle name="Lien hypertexte" xfId="16048" builtinId="8" hidden="1"/>
    <cellStyle name="Lien hypertexte" xfId="296" builtinId="8" hidden="1"/>
    <cellStyle name="Lien hypertexte" xfId="23145" builtinId="8" hidden="1"/>
    <cellStyle name="Lien hypertexte" xfId="20607" builtinId="8" hidden="1"/>
    <cellStyle name="Lien hypertexte" xfId="19155" builtinId="8" hidden="1"/>
    <cellStyle name="Lien hypertexte" xfId="21027" builtinId="8" hidden="1"/>
    <cellStyle name="Lien hypertexte" xfId="23577" builtinId="8" hidden="1"/>
    <cellStyle name="Lien hypertexte" xfId="15752" builtinId="8" hidden="1"/>
    <cellStyle name="Lien hypertexte" xfId="15038" builtinId="8" hidden="1"/>
    <cellStyle name="Lien hypertexte" xfId="16950" builtinId="8" hidden="1"/>
    <cellStyle name="Lien hypertexte" xfId="16524" builtinId="8" hidden="1"/>
    <cellStyle name="Lien hypertexte" xfId="15952" builtinId="8" hidden="1"/>
    <cellStyle name="Lien hypertexte" xfId="304" builtinId="8" hidden="1"/>
    <cellStyle name="Lien hypertexte" xfId="23155" builtinId="8" hidden="1"/>
    <cellStyle name="Lien hypertexte" xfId="20615" builtinId="8" hidden="1"/>
    <cellStyle name="Lien hypertexte" xfId="19161" builtinId="8" hidden="1"/>
    <cellStyle name="Lien hypertexte" xfId="21019" builtinId="8" hidden="1"/>
    <cellStyle name="Lien hypertexte" xfId="23571" builtinId="8" hidden="1"/>
    <cellStyle name="Lien hypertexte" xfId="15802" builtinId="8" hidden="1"/>
    <cellStyle name="Lien hypertexte" xfId="15032" builtinId="8" hidden="1"/>
    <cellStyle name="Lien hypertexte" xfId="16942" builtinId="8" hidden="1"/>
    <cellStyle name="Lien hypertexte" xfId="16534" builtinId="8" hidden="1"/>
    <cellStyle name="Lien hypertexte" xfId="14634" builtinId="8" hidden="1"/>
    <cellStyle name="Lien hypertexte" xfId="310" builtinId="8" hidden="1"/>
    <cellStyle name="Lien hypertexte" xfId="23161" builtinId="8" hidden="1"/>
    <cellStyle name="Lien hypertexte" xfId="20621" builtinId="8" hidden="1"/>
    <cellStyle name="Lien hypertexte" xfId="19167" builtinId="8" hidden="1"/>
    <cellStyle name="Lien hypertexte" xfId="21013" builtinId="8" hidden="1"/>
    <cellStyle name="Lien hypertexte" xfId="23563" builtinId="8" hidden="1"/>
    <cellStyle name="Lien hypertexte" xfId="15850" builtinId="8" hidden="1"/>
    <cellStyle name="Lien hypertexte" xfId="15022" builtinId="8" hidden="1"/>
    <cellStyle name="Lien hypertexte" xfId="16934" builtinId="8" hidden="1"/>
    <cellStyle name="Lien hypertexte" xfId="16540" builtinId="8" hidden="1"/>
    <cellStyle name="Lien hypertexte" xfId="14642" builtinId="8" hidden="1"/>
    <cellStyle name="Lien hypertexte" xfId="318" builtinId="8" hidden="1"/>
    <cellStyle name="Lien hypertexte" xfId="23167" builtinId="8" hidden="1"/>
    <cellStyle name="Lien hypertexte" xfId="20631" builtinId="8" hidden="1"/>
    <cellStyle name="Lien hypertexte" xfId="19175" builtinId="8" hidden="1"/>
    <cellStyle name="Lien hypertexte" xfId="21005" builtinId="8" hidden="1"/>
    <cellStyle name="Lien hypertexte" xfId="23557" builtinId="8" hidden="1"/>
    <cellStyle name="Lien hypertexte" xfId="15900" builtinId="8" hidden="1"/>
    <cellStyle name="Lien hypertexte" xfId="15016" builtinId="8" hidden="1"/>
    <cellStyle name="Lien hypertexte" xfId="16928" builtinId="8" hidden="1"/>
    <cellStyle name="Lien hypertexte" xfId="16546" builtinId="8" hidden="1"/>
    <cellStyle name="Lien hypertexte" xfId="14650" builtinId="8" hidden="1"/>
    <cellStyle name="Lien hypertexte" xfId="324" builtinId="8" hidden="1"/>
    <cellStyle name="Lien hypertexte" xfId="23175" builtinId="8" hidden="1"/>
    <cellStyle name="Lien hypertexte" xfId="20637" builtinId="8" hidden="1"/>
    <cellStyle name="Lien hypertexte" xfId="19181" builtinId="8" hidden="1"/>
    <cellStyle name="Lien hypertexte" xfId="20999" builtinId="8" hidden="1"/>
    <cellStyle name="Lien hypertexte" xfId="23547" builtinId="8" hidden="1"/>
    <cellStyle name="Lien hypertexte" xfId="15472" builtinId="8" hidden="1"/>
    <cellStyle name="Lien hypertexte" xfId="15010" builtinId="8" hidden="1"/>
    <cellStyle name="Lien hypertexte" xfId="16920" builtinId="8" hidden="1"/>
    <cellStyle name="Lien hypertexte" xfId="16554" builtinId="8" hidden="1"/>
    <cellStyle name="Lien hypertexte" xfId="14656" builtinId="8" hidden="1"/>
    <cellStyle name="Lien hypertexte" xfId="330" builtinId="8" hidden="1"/>
    <cellStyle name="Lien hypertexte" xfId="23181" builtinId="8" hidden="1"/>
    <cellStyle name="Lien hypertexte" xfId="20645" builtinId="8" hidden="1"/>
    <cellStyle name="Lien hypertexte" xfId="18933" builtinId="8" hidden="1"/>
    <cellStyle name="Lien hypertexte" xfId="20989" builtinId="8" hidden="1"/>
    <cellStyle name="Lien hypertexte" xfId="23541" builtinId="8" hidden="1"/>
    <cellStyle name="Lien hypertexte" xfId="672" builtinId="8" hidden="1"/>
    <cellStyle name="Lien hypertexte" xfId="15002" builtinId="8" hidden="1"/>
    <cellStyle name="Lien hypertexte" xfId="16914" builtinId="8" hidden="1"/>
    <cellStyle name="Lien hypertexte" xfId="16542" builtinId="8" hidden="1"/>
    <cellStyle name="Lien hypertexte" xfId="14664" builtinId="8" hidden="1"/>
    <cellStyle name="Lien hypertexte" xfId="338" builtinId="8" hidden="1"/>
    <cellStyle name="Lien hypertexte" xfId="23191" builtinId="8" hidden="1"/>
    <cellStyle name="Lien hypertexte" xfId="20651" builtinId="8" hidden="1"/>
    <cellStyle name="Lien hypertexte" xfId="18939" builtinId="8" hidden="1"/>
    <cellStyle name="Lien hypertexte" xfId="20983" builtinId="8" hidden="1"/>
    <cellStyle name="Lien hypertexte" xfId="23533" builtinId="8" hidden="1"/>
    <cellStyle name="Lien hypertexte" xfId="722" builtinId="8" hidden="1"/>
    <cellStyle name="Lien hypertexte" xfId="14996" builtinId="8" hidden="1"/>
    <cellStyle name="Lien hypertexte" xfId="16904" builtinId="8" hidden="1"/>
    <cellStyle name="Lien hypertexte" xfId="16570" builtinId="8" hidden="1"/>
    <cellStyle name="Lien hypertexte" xfId="14670" builtinId="8" hidden="1"/>
    <cellStyle name="Lien hypertexte" xfId="344" builtinId="8" hidden="1"/>
    <cellStyle name="Lien hypertexte" xfId="23197" builtinId="8" hidden="1"/>
    <cellStyle name="Lien hypertexte" xfId="20659" builtinId="8" hidden="1"/>
    <cellStyle name="Lien hypertexte" xfId="18947" builtinId="8" hidden="1"/>
    <cellStyle name="Lien hypertexte" xfId="20975" builtinId="8" hidden="1"/>
    <cellStyle name="Lien hypertexte" xfId="23527" builtinId="8" hidden="1"/>
    <cellStyle name="Lien hypertexte" xfId="770" builtinId="8" hidden="1"/>
    <cellStyle name="Lien hypertexte" xfId="14988" builtinId="8" hidden="1"/>
    <cellStyle name="Lien hypertexte" xfId="16898" builtinId="8" hidden="1"/>
    <cellStyle name="Lien hypertexte" xfId="16576" builtinId="8" hidden="1"/>
    <cellStyle name="Lien hypertexte" xfId="14676" builtinId="8" hidden="1"/>
    <cellStyle name="Lien hypertexte" xfId="128" builtinId="8" hidden="1"/>
    <cellStyle name="Lien hypertexte" xfId="23205" builtinId="8" hidden="1"/>
    <cellStyle name="Lien hypertexte" xfId="20665" builtinId="8" hidden="1"/>
    <cellStyle name="Lien hypertexte" xfId="18953" builtinId="8" hidden="1"/>
    <cellStyle name="Lien hypertexte" xfId="20969" builtinId="8" hidden="1"/>
    <cellStyle name="Lien hypertexte" xfId="23519" builtinId="8" hidden="1"/>
    <cellStyle name="Lien hypertexte" xfId="818" builtinId="8" hidden="1"/>
    <cellStyle name="Lien hypertexte" xfId="14982" builtinId="8" hidden="1"/>
    <cellStyle name="Lien hypertexte" xfId="16892" builtinId="8" hidden="1"/>
    <cellStyle name="Lien hypertexte" xfId="16584" builtinId="8" hidden="1"/>
    <cellStyle name="Lien hypertexte" xfId="14684" builtinId="8" hidden="1"/>
    <cellStyle name="Lien hypertexte" xfId="134" builtinId="8" hidden="1"/>
    <cellStyle name="Lien hypertexte" xfId="23211" builtinId="8" hidden="1"/>
    <cellStyle name="Lien hypertexte" xfId="20671" builtinId="8" hidden="1"/>
    <cellStyle name="Lien hypertexte" xfId="18959" builtinId="8" hidden="1"/>
    <cellStyle name="Lien hypertexte" xfId="20963" builtinId="8" hidden="1"/>
    <cellStyle name="Lien hypertexte" xfId="23511" builtinId="8" hidden="1"/>
    <cellStyle name="Lien hypertexte" xfId="868" builtinId="8" hidden="1"/>
    <cellStyle name="Lien hypertexte" xfId="14974" builtinId="8" hidden="1"/>
    <cellStyle name="Lien hypertexte" xfId="16884" builtinId="8" hidden="1"/>
    <cellStyle name="Lien hypertexte" xfId="16590" builtinId="8" hidden="1"/>
    <cellStyle name="Lien hypertexte" xfId="14690" builtinId="8" hidden="1"/>
    <cellStyle name="Lien hypertexte" xfId="142" builtinId="8" hidden="1"/>
    <cellStyle name="Lien hypertexte" xfId="23219" builtinId="8" hidden="1"/>
    <cellStyle name="Lien hypertexte" xfId="20679" builtinId="8" hidden="1"/>
    <cellStyle name="Lien hypertexte" xfId="18967" builtinId="8" hidden="1"/>
    <cellStyle name="Lien hypertexte" xfId="20955" builtinId="8" hidden="1"/>
    <cellStyle name="Lien hypertexte" xfId="23503" builtinId="8" hidden="1"/>
    <cellStyle name="Lien hypertexte" xfId="916" builtinId="8" hidden="1"/>
    <cellStyle name="Lien hypertexte" xfId="14968" builtinId="8" hidden="1"/>
    <cellStyle name="Lien hypertexte" xfId="16876" builtinId="8" hidden="1"/>
    <cellStyle name="Lien hypertexte" xfId="16598" builtinId="8" hidden="1"/>
    <cellStyle name="Lien hypertexte" xfId="14698" builtinId="8" hidden="1"/>
    <cellStyle name="Lien hypertexte" xfId="148" builtinId="8" hidden="1"/>
    <cellStyle name="Lien hypertexte" xfId="23227" builtinId="8" hidden="1"/>
    <cellStyle name="Lien hypertexte" xfId="20685" builtinId="8" hidden="1"/>
    <cellStyle name="Lien hypertexte" xfId="18973" builtinId="8" hidden="1"/>
    <cellStyle name="Lien hypertexte" xfId="20949" builtinId="8" hidden="1"/>
    <cellStyle name="Lien hypertexte" xfId="23497" builtinId="8" hidden="1"/>
    <cellStyle name="Lien hypertexte" xfId="964" builtinId="8" hidden="1"/>
    <cellStyle name="Lien hypertexte" xfId="14962" builtinId="8" hidden="1"/>
    <cellStyle name="Lien hypertexte" xfId="16868" builtinId="8" hidden="1"/>
    <cellStyle name="Lien hypertexte" xfId="16606" builtinId="8" hidden="1"/>
    <cellStyle name="Lien hypertexte" xfId="14706" builtinId="8" hidden="1"/>
    <cellStyle name="Lien hypertexte" xfId="154" builtinId="8" hidden="1"/>
    <cellStyle name="Lien hypertexte" xfId="23235" builtinId="8" hidden="1"/>
    <cellStyle name="Lien hypertexte" xfId="20693" builtinId="8" hidden="1"/>
    <cellStyle name="Lien hypertexte" xfId="18981" builtinId="8" hidden="1"/>
    <cellStyle name="Lien hypertexte" xfId="20941" builtinId="8" hidden="1"/>
    <cellStyle name="Lien hypertexte" xfId="23491" builtinId="8" hidden="1"/>
    <cellStyle name="Lien hypertexte" xfId="1014" builtinId="8" hidden="1"/>
    <cellStyle name="Lien hypertexte" xfId="14952" builtinId="8" hidden="1"/>
    <cellStyle name="Lien hypertexte" xfId="16862" builtinId="8" hidden="1"/>
    <cellStyle name="Lien hypertexte" xfId="16612" builtinId="8" hidden="1"/>
    <cellStyle name="Lien hypertexte" xfId="14714" builtinId="8" hidden="1"/>
    <cellStyle name="Lien hypertexte" xfId="162" builtinId="8" hidden="1"/>
    <cellStyle name="Lien hypertexte" xfId="23241" builtinId="8" hidden="1"/>
    <cellStyle name="Lien hypertexte" xfId="20701" builtinId="8" hidden="1"/>
    <cellStyle name="Lien hypertexte" xfId="18987" builtinId="8" hidden="1"/>
    <cellStyle name="Lien hypertexte" xfId="20935" builtinId="8" hidden="1"/>
    <cellStyle name="Lien hypertexte" xfId="23483" builtinId="8" hidden="1"/>
    <cellStyle name="Lien hypertexte" xfId="1062" builtinId="8" hidden="1"/>
    <cellStyle name="Lien hypertexte" xfId="14946" builtinId="8" hidden="1"/>
    <cellStyle name="Lien hypertexte" xfId="18142" builtinId="8" hidden="1"/>
    <cellStyle name="Lien hypertexte" xfId="17790" builtinId="8" hidden="1"/>
    <cellStyle name="Lien hypertexte" xfId="14720" builtinId="8" hidden="1"/>
    <cellStyle name="Lien hypertexte" xfId="168" builtinId="8" hidden="1"/>
    <cellStyle name="Lien hypertexte" xfId="23247" builtinId="8" hidden="1"/>
    <cellStyle name="Lien hypertexte" xfId="20709" builtinId="8" hidden="1"/>
    <cellStyle name="Lien hypertexte" xfId="18995" builtinId="8" hidden="1"/>
    <cellStyle name="Lien hypertexte" xfId="20927" builtinId="8" hidden="1"/>
    <cellStyle name="Lien hypertexte" xfId="23475" builtinId="8" hidden="1"/>
    <cellStyle name="Lien hypertexte" xfId="1112" builtinId="8" hidden="1"/>
    <cellStyle name="Lien hypertexte" xfId="14938" builtinId="8" hidden="1"/>
    <cellStyle name="Lien hypertexte" xfId="16846" builtinId="8" hidden="1"/>
    <cellStyle name="Lien hypertexte" xfId="16628" builtinId="8" hidden="1"/>
    <cellStyle name="Lien hypertexte" xfId="14726" builtinId="8" hidden="1"/>
    <cellStyle name="Lien hypertexte" xfId="176" builtinId="8" hidden="1"/>
    <cellStyle name="Lien hypertexte" xfId="23255" builtinId="8" hidden="1"/>
    <cellStyle name="Lien hypertexte" xfId="20715" builtinId="8" hidden="1"/>
    <cellStyle name="Lien hypertexte" xfId="19001" builtinId="8" hidden="1"/>
    <cellStyle name="Lien hypertexte" xfId="20921" builtinId="8" hidden="1"/>
    <cellStyle name="Lien hypertexte" xfId="23467" builtinId="8" hidden="1"/>
    <cellStyle name="Lien hypertexte" xfId="3695" builtinId="8" hidden="1"/>
    <cellStyle name="Lien hypertexte" xfId="14932" builtinId="8" hidden="1"/>
    <cellStyle name="Lien hypertexte" xfId="16840" builtinId="8" hidden="1"/>
    <cellStyle name="Lien hypertexte" xfId="16636" builtinId="8" hidden="1"/>
    <cellStyle name="Lien hypertexte" xfId="14734" builtinId="8" hidden="1"/>
    <cellStyle name="Lien hypertexte" xfId="182" builtinId="8" hidden="1"/>
    <cellStyle name="Lien hypertexte" xfId="23263" builtinId="8" hidden="1"/>
    <cellStyle name="Lien hypertexte" xfId="20723" builtinId="8" hidden="1"/>
    <cellStyle name="Lien hypertexte" xfId="19007" builtinId="8" hidden="1"/>
    <cellStyle name="Lien hypertexte" xfId="20911" builtinId="8" hidden="1"/>
    <cellStyle name="Lien hypertexte" xfId="23461" builtinId="8" hidden="1"/>
    <cellStyle name="Lien hypertexte" xfId="14562" builtinId="8" hidden="1"/>
    <cellStyle name="Lien hypertexte" xfId="14924" builtinId="8" hidden="1"/>
    <cellStyle name="Lien hypertexte" xfId="16832" builtinId="8" hidden="1"/>
    <cellStyle name="Lien hypertexte" xfId="16642" builtinId="8" hidden="1"/>
    <cellStyle name="Lien hypertexte" xfId="14740" builtinId="8" hidden="1"/>
    <cellStyle name="Lien hypertexte" xfId="190" builtinId="8" hidden="1"/>
    <cellStyle name="Lien hypertexte" xfId="23271" builtinId="8" hidden="1"/>
    <cellStyle name="Lien hypertexte" xfId="20729" builtinId="8" hidden="1"/>
    <cellStyle name="Lien hypertexte" xfId="19015" builtinId="8" hidden="1"/>
    <cellStyle name="Lien hypertexte" xfId="20905" builtinId="8" hidden="1"/>
    <cellStyle name="Lien hypertexte" xfId="23453" builtinId="8" hidden="1"/>
    <cellStyle name="Lien hypertexte" xfId="14612" builtinId="8" hidden="1"/>
    <cellStyle name="Lien hypertexte" xfId="14918" builtinId="8" hidden="1"/>
    <cellStyle name="Lien hypertexte" xfId="16826" builtinId="8" hidden="1"/>
    <cellStyle name="Lien hypertexte" xfId="16648" builtinId="8" hidden="1"/>
    <cellStyle name="Lien hypertexte" xfId="14748" builtinId="8" hidden="1"/>
    <cellStyle name="Lien hypertexte" xfId="196" builtinId="8" hidden="1"/>
    <cellStyle name="Lien hypertexte" xfId="23277" builtinId="8" hidden="1"/>
    <cellStyle name="Lien hypertexte" xfId="20735" builtinId="8" hidden="1"/>
    <cellStyle name="Lien hypertexte" xfId="18893" builtinId="8" hidden="1"/>
    <cellStyle name="Lien hypertexte" xfId="20899" builtinId="8" hidden="1"/>
    <cellStyle name="Lien hypertexte" xfId="23447" builtinId="8" hidden="1"/>
    <cellStyle name="Lien hypertexte" xfId="370" builtinId="8" hidden="1"/>
    <cellStyle name="Lien hypertexte" xfId="14912" builtinId="8" hidden="1"/>
    <cellStyle name="Lien hypertexte" xfId="16818" builtinId="8" hidden="1"/>
    <cellStyle name="Lien hypertexte" xfId="16658" builtinId="8" hidden="1"/>
    <cellStyle name="Lien hypertexte" xfId="14754" builtinId="8" hidden="1"/>
    <cellStyle name="Lien hypertexte" xfId="90" builtinId="8" hidden="1"/>
    <cellStyle name="Lien hypertexte" xfId="23285" builtinId="8" hidden="1"/>
    <cellStyle name="Lien hypertexte" xfId="20743" builtinId="8" hidden="1"/>
    <cellStyle name="Lien hypertexte" xfId="18901" builtinId="8" hidden="1"/>
    <cellStyle name="Lien hypertexte" xfId="20891" builtinId="8" hidden="1"/>
    <cellStyle name="Lien hypertexte" xfId="23437" builtinId="8" hidden="1"/>
    <cellStyle name="Lien hypertexte" xfId="418" builtinId="8" hidden="1"/>
    <cellStyle name="Lien hypertexte" xfId="14904" builtinId="8" hidden="1"/>
    <cellStyle name="Lien hypertexte" xfId="16810" builtinId="8" hidden="1"/>
    <cellStyle name="Lien hypertexte" xfId="16664" builtinId="8" hidden="1"/>
    <cellStyle name="Lien hypertexte" xfId="14762" builtinId="8" hidden="1"/>
    <cellStyle name="Lien hypertexte" xfId="98" builtinId="8" hidden="1"/>
    <cellStyle name="Lien hypertexte" xfId="23291" builtinId="8" hidden="1"/>
    <cellStyle name="Lien hypertexte" xfId="20749" builtinId="8" hidden="1"/>
    <cellStyle name="Lien hypertexte" xfId="18907" builtinId="8" hidden="1"/>
    <cellStyle name="Lien hypertexte" xfId="20885" builtinId="8" hidden="1"/>
    <cellStyle name="Lien hypertexte" xfId="23431" builtinId="8" hidden="1"/>
    <cellStyle name="Lien hypertexte" xfId="468" builtinId="8" hidden="1"/>
    <cellStyle name="Lien hypertexte" xfId="14898" builtinId="8" hidden="1"/>
    <cellStyle name="Lien hypertexte" xfId="16802" builtinId="8" hidden="1"/>
    <cellStyle name="Lien hypertexte" xfId="16672" builtinId="8" hidden="1"/>
    <cellStyle name="Lien hypertexte" xfId="14770" builtinId="8" hidden="1"/>
    <cellStyle name="Lien hypertexte" xfId="104" builtinId="8" hidden="1"/>
    <cellStyle name="Lien hypertexte" xfId="23301" builtinId="8" hidden="1"/>
    <cellStyle name="Lien hypertexte" xfId="20757" builtinId="8" hidden="1"/>
    <cellStyle name="Lien hypertexte" xfId="18915" builtinId="8" hidden="1"/>
    <cellStyle name="Lien hypertexte" xfId="20877" builtinId="8" hidden="1"/>
    <cellStyle name="Lien hypertexte" xfId="23423" builtinId="8" hidden="1"/>
    <cellStyle name="Lien hypertexte" xfId="516" builtinId="8" hidden="1"/>
    <cellStyle name="Lien hypertexte" xfId="14888" builtinId="8" hidden="1"/>
    <cellStyle name="Lien hypertexte" xfId="16386" builtinId="8" hidden="1"/>
    <cellStyle name="Lien hypertexte" xfId="16466" builtinId="8" hidden="1"/>
    <cellStyle name="Lien hypertexte" xfId="14776" builtinId="8" hidden="1"/>
    <cellStyle name="Lien hypertexte" xfId="112" builtinId="8" hidden="1"/>
    <cellStyle name="Lien hypertexte" xfId="23307" builtinId="8" hidden="1"/>
    <cellStyle name="Lien hypertexte" xfId="20763" builtinId="8" hidden="1"/>
    <cellStyle name="Lien hypertexte" xfId="18921" builtinId="8" hidden="1"/>
    <cellStyle name="Lien hypertexte" xfId="20871" builtinId="8" hidden="1"/>
    <cellStyle name="Lien hypertexte" xfId="23417" builtinId="8" hidden="1"/>
    <cellStyle name="Lien hypertexte" xfId="564" builtinId="8" hidden="1"/>
    <cellStyle name="Lien hypertexte" xfId="14882" builtinId="8" hidden="1"/>
    <cellStyle name="Lien hypertexte" xfId="16790" builtinId="8" hidden="1"/>
    <cellStyle name="Lien hypertexte" xfId="16686" builtinId="8" hidden="1"/>
    <cellStyle name="Lien hypertexte" xfId="14784" builtinId="8" hidden="1"/>
    <cellStyle name="Lien hypertexte" xfId="118" builtinId="8" hidden="1"/>
    <cellStyle name="Lien hypertexte" xfId="23315" builtinId="8" hidden="1"/>
    <cellStyle name="Lien hypertexte" xfId="20771" builtinId="8" hidden="1"/>
    <cellStyle name="Lien hypertexte" xfId="18927" builtinId="8" hidden="1"/>
    <cellStyle name="Lien hypertexte" xfId="20863" builtinId="8" hidden="1"/>
    <cellStyle name="Lien hypertexte" xfId="23411" builtinId="8" hidden="1"/>
    <cellStyle name="Lien hypertexte" xfId="612" builtinId="8" hidden="1"/>
    <cellStyle name="Lien hypertexte" xfId="14874" builtinId="8" hidden="1"/>
    <cellStyle name="Lien hypertexte" xfId="16780" builtinId="8" hidden="1"/>
    <cellStyle name="Lien hypertexte" xfId="16694" builtinId="8" hidden="1"/>
    <cellStyle name="Lien hypertexte" xfId="14790" builtinId="8" hidden="1"/>
    <cellStyle name="Lien hypertexte" xfId="70" builtinId="8" hidden="1"/>
    <cellStyle name="Lien hypertexte" xfId="23321" builtinId="8" hidden="1"/>
    <cellStyle name="Lien hypertexte" xfId="20779" builtinId="8" hidden="1"/>
    <cellStyle name="Lien hypertexte" xfId="18871" builtinId="8" hidden="1"/>
    <cellStyle name="Lien hypertexte" xfId="20857" builtinId="8" hidden="1"/>
    <cellStyle name="Lien hypertexte" xfId="23401" builtinId="8" hidden="1"/>
    <cellStyle name="Lien hypertexte" xfId="204" builtinId="8" hidden="1"/>
    <cellStyle name="Lien hypertexte" xfId="14868" builtinId="8" hidden="1"/>
    <cellStyle name="Lien hypertexte" xfId="16774" builtinId="8" hidden="1"/>
    <cellStyle name="Lien hypertexte" xfId="16700" builtinId="8" hidden="1"/>
    <cellStyle name="Lien hypertexte" xfId="14798" builtinId="8" hidden="1"/>
    <cellStyle name="Lien hypertexte" xfId="76" builtinId="8" hidden="1"/>
    <cellStyle name="Lien hypertexte" xfId="23327" builtinId="8" hidden="1"/>
    <cellStyle name="Lien hypertexte" xfId="20787" builtinId="8" hidden="1"/>
    <cellStyle name="Lien hypertexte" xfId="18877" builtinId="8" hidden="1"/>
    <cellStyle name="Lien hypertexte" xfId="20851" builtinId="8" hidden="1"/>
    <cellStyle name="Lien hypertexte" xfId="23395" builtinId="8" hidden="1"/>
    <cellStyle name="Lien hypertexte" xfId="252" builtinId="8" hidden="1"/>
    <cellStyle name="Lien hypertexte" xfId="14862" builtinId="8" hidden="1"/>
    <cellStyle name="Lien hypertexte" xfId="16766" builtinId="8" hidden="1"/>
    <cellStyle name="Lien hypertexte" xfId="16708" builtinId="8" hidden="1"/>
    <cellStyle name="Lien hypertexte" xfId="14804" builtinId="8" hidden="1"/>
    <cellStyle name="Lien hypertexte" xfId="82" builtinId="8" hidden="1"/>
    <cellStyle name="Lien hypertexte" xfId="23337" builtinId="8" hidden="1"/>
    <cellStyle name="Lien hypertexte" xfId="20793" builtinId="8" hidden="1"/>
    <cellStyle name="Lien hypertexte" xfId="18885" builtinId="8" hidden="1"/>
    <cellStyle name="Lien hypertexte" xfId="20841" builtinId="8" hidden="1"/>
    <cellStyle name="Lien hypertexte" xfId="23387" builtinId="8" hidden="1"/>
    <cellStyle name="Lien hypertexte" xfId="300" builtinId="8" hidden="1"/>
    <cellStyle name="Lien hypertexte" xfId="14854" builtinId="8" hidden="1"/>
    <cellStyle name="Lien hypertexte" xfId="18002" builtinId="8" hidden="1"/>
    <cellStyle name="Lien hypertexte" xfId="728" builtinId="8" hidden="1"/>
    <cellStyle name="Lien hypertexte" xfId="124" builtinId="8" hidden="1"/>
    <cellStyle name="Lien hypertexte" xfId="22133" builtinId="8" hidden="1"/>
    <cellStyle name="Lien hypertexte" xfId="24497" builtinId="8" hidden="1"/>
    <cellStyle name="Lien hypertexte" xfId="20835" builtinId="8" hidden="1"/>
    <cellStyle name="Lien hypertexte" xfId="19785" builtinId="8" hidden="1"/>
    <cellStyle name="Lien hypertexte" xfId="19751" builtinId="8" hidden="1"/>
    <cellStyle name="Lien hypertexte" xfId="20799" builtinId="8" hidden="1"/>
    <cellStyle name="Lien hypertexte" xfId="24591" builtinId="8" hidden="1"/>
    <cellStyle name="Lien hypertexte" xfId="22095" builtinId="8" hidden="1"/>
    <cellStyle name="Lien hypertexte" xfId="62" builtinId="8" hidden="1"/>
    <cellStyle name="Lien hypertexte" xfId="692" builtinId="8" hidden="1"/>
    <cellStyle name="Lien hypertexte" xfId="17962" builtinId="8" hidden="1"/>
    <cellStyle name="Lien hypertexte" xfId="16714" builtinId="8" hidden="1"/>
    <cellStyle name="Lien hypertexte" xfId="21473" builtinId="8" hidden="1"/>
    <cellStyle name="Lien hypertexte" xfId="18008" builtinId="8" hidden="1"/>
    <cellStyle name="Lien hypertexte" xfId="16760" builtinId="8" hidden="1"/>
    <cellStyle name="Lien hypertexte" xfId="14812" builtinId="8" hidden="1"/>
    <cellStyle name="Lien hypertexte" xfId="23343" builtinId="8" hidden="1"/>
    <cellStyle name="Lien hypertexte" xfId="18859" builtinId="8" hidden="1"/>
    <cellStyle name="Lien hypertexte" xfId="23381" builtinId="8" hidden="1"/>
    <cellStyle name="Lien hypertexte" xfId="14848" builtinId="8" hidden="1"/>
    <cellStyle name="Lien hypertexte" xfId="698" builtinId="8" hidden="1"/>
    <cellStyle name="Lien hypertexte" xfId="14818" builtinId="8" hidden="1"/>
    <cellStyle name="Lien hypertexte" xfId="17972" builtinId="8" hidden="1"/>
    <cellStyle name="Lien hypertexte" xfId="16724" builtinId="8" hidden="1"/>
    <cellStyle name="Lien hypertexte" xfId="20865" builtinId="8" hidden="1"/>
    <cellStyle name="Lien hypertexte" xfId="16750" builtinId="8" hidden="1"/>
    <cellStyle name="Lien hypertexte" xfId="54" builtinId="8" hidden="1"/>
    <cellStyle name="Lien hypertexte" xfId="23351" builtinId="8" hidden="1"/>
    <cellStyle name="Lien hypertexte" xfId="22103" builtinId="8" hidden="1"/>
    <cellStyle name="Lien hypertexte" xfId="24599" builtinId="8" hidden="1"/>
    <cellStyle name="Lien hypertexte" xfId="20807" builtinId="8" hidden="1"/>
    <cellStyle name="Lien hypertexte visité" xfId="1188" builtinId="9" hidden="1"/>
    <cellStyle name="Lien hypertexte visité" xfId="9388" builtinId="9" hidden="1"/>
    <cellStyle name="Lien hypertexte visité" xfId="20628" builtinId="9" hidden="1"/>
    <cellStyle name="Lien hypertexte visité" xfId="13373" builtinId="9" hidden="1"/>
    <cellStyle name="Lien hypertexte visité" xfId="5180" builtinId="9" hidden="1"/>
    <cellStyle name="Lien hypertexte visité" xfId="4174" builtinId="9" hidden="1"/>
    <cellStyle name="Lien hypertexte visité" xfId="12367" builtinId="9" hidden="1"/>
    <cellStyle name="Lien hypertexte visité" xfId="11314" builtinId="9" hidden="1"/>
    <cellStyle name="Lien hypertexte visité" xfId="19016" builtinId="9" hidden="1"/>
    <cellStyle name="Lien hypertexte visité" xfId="19282" builtinId="9" hidden="1"/>
    <cellStyle name="Lien hypertexte visité" xfId="9834" builtinId="9" hidden="1"/>
    <cellStyle name="Lien hypertexte visité" xfId="8146" builtinId="9" hidden="1"/>
    <cellStyle name="Lien hypertexte visité" xfId="745" builtinId="9" hidden="1"/>
    <cellStyle name="Lien hypertexte visité" xfId="7501" builtinId="9" hidden="1"/>
    <cellStyle name="Lien hypertexte visité" xfId="18534" builtinId="9" hidden="1"/>
    <cellStyle name="Lien hypertexte visité" xfId="11077" builtinId="9" hidden="1"/>
    <cellStyle name="Lien hypertexte visité" xfId="5620" builtinId="9" hidden="1"/>
    <cellStyle name="Lien hypertexte visité" xfId="851" builtinId="9" hidden="1"/>
    <cellStyle name="Lien hypertexte visité" xfId="6470" builtinId="9" hidden="1"/>
    <cellStyle name="Lien hypertexte visité" xfId="11927" builtinId="9" hidden="1"/>
    <cellStyle name="Lien hypertexte visité" xfId="9206" builtinId="9" hidden="1"/>
    <cellStyle name="Lien hypertexte visité" xfId="12846" builtinId="9" hidden="1"/>
    <cellStyle name="Lien hypertexte visité" xfId="18432" builtinId="9" hidden="1"/>
    <cellStyle name="Lien hypertexte visité" xfId="23498" builtinId="9" hidden="1"/>
    <cellStyle name="Lien hypertexte visité" xfId="20506" builtinId="9" hidden="1"/>
    <cellStyle name="Lien hypertexte visité" xfId="12986" builtinId="9" hidden="1"/>
    <cellStyle name="Lien hypertexte visité" xfId="16937" builtinId="9" hidden="1"/>
    <cellStyle name="Lien hypertexte visité" xfId="10791" builtinId="9" hidden="1"/>
    <cellStyle name="Lien hypertexte visité" xfId="6756" builtinId="9" hidden="1"/>
    <cellStyle name="Lien hypertexte visité" xfId="6979" builtinId="9" hidden="1"/>
    <cellStyle name="Lien hypertexte visité" xfId="11668" builtinId="9" hidden="1"/>
    <cellStyle name="Lien hypertexte visité" xfId="18165" builtinId="9" hidden="1"/>
    <cellStyle name="Lien hypertexte visité" xfId="21702" builtinId="9" hidden="1"/>
    <cellStyle name="Lien hypertexte visité" xfId="1985" builtinId="9" hidden="1"/>
    <cellStyle name="Lien hypertexte visité" xfId="3533" builtinId="9" hidden="1"/>
    <cellStyle name="Lien hypertexte visité" xfId="3754" builtinId="9" hidden="1"/>
    <cellStyle name="Lien hypertexte visité" xfId="8552" builtinId="9" hidden="1"/>
    <cellStyle name="Lien hypertexte visité" xfId="4215" builtinId="9" hidden="1"/>
    <cellStyle name="Lien hypertexte visité" xfId="3037" builtinId="9" hidden="1"/>
    <cellStyle name="Lien hypertexte visité" xfId="2481" builtinId="9" hidden="1"/>
    <cellStyle name="Lien hypertexte visité" xfId="22758" builtinId="9" hidden="1"/>
    <cellStyle name="Lien hypertexte visité" xfId="17109" builtinId="9" hidden="1"/>
    <cellStyle name="Lien hypertexte visité" xfId="11124" builtinId="9" hidden="1"/>
    <cellStyle name="Lien hypertexte visité" xfId="6451" builtinId="9" hidden="1"/>
    <cellStyle name="Lien hypertexte visité" xfId="4900" builtinId="9" hidden="1"/>
    <cellStyle name="Lien hypertexte visité" xfId="6591" builtinId="9" hidden="1"/>
    <cellStyle name="Lien hypertexte visité" xfId="997" builtinId="9" hidden="1"/>
    <cellStyle name="Lien hypertexte visité" xfId="5515" builtinId="9" hidden="1"/>
    <cellStyle name="Lien hypertexte visité" xfId="13305" builtinId="9" hidden="1"/>
    <cellStyle name="Lien hypertexte visité" xfId="14289" builtinId="9" hidden="1"/>
    <cellStyle name="Lien hypertexte visité" xfId="16015" builtinId="9" hidden="1"/>
    <cellStyle name="Lien hypertexte visité" xfId="17551" builtinId="9" hidden="1"/>
    <cellStyle name="Lien hypertexte visité" xfId="19502" builtinId="9" hidden="1"/>
    <cellStyle name="Lien hypertexte visité" xfId="21038" builtinId="9" hidden="1"/>
    <cellStyle name="Lien hypertexte visité" xfId="23006" builtinId="9" hidden="1"/>
    <cellStyle name="Lien hypertexte visité" xfId="24604" builtinId="9" hidden="1"/>
    <cellStyle name="Lien hypertexte visité" xfId="22732" builtinId="9" hidden="1"/>
    <cellStyle name="Lien hypertexte visité" xfId="20764" builtinId="9" hidden="1"/>
    <cellStyle name="Lien hypertexte visité" xfId="19148" builtinId="9" hidden="1"/>
    <cellStyle name="Lien hypertexte visité" xfId="17277" builtinId="9" hidden="1"/>
    <cellStyle name="Lien hypertexte visité" xfId="15661" builtinId="9" hidden="1"/>
    <cellStyle name="Lien hypertexte visité" xfId="14104" builtinId="9" hidden="1"/>
    <cellStyle name="Lien hypertexte visité" xfId="13336" builtinId="9" hidden="1"/>
    <cellStyle name="Lien hypertexte visité" xfId="12360" builtinId="9" hidden="1"/>
    <cellStyle name="Lien hypertexte visité" xfId="11376" builtinId="9" hidden="1"/>
    <cellStyle name="Lien hypertexte visité" xfId="10608" builtinId="9" hidden="1"/>
    <cellStyle name="Lien hypertexte visité" xfId="9624" builtinId="9" hidden="1"/>
    <cellStyle name="Lien hypertexte visité" xfId="8856" builtinId="9" hidden="1"/>
    <cellStyle name="Lien hypertexte visité" xfId="11776" builtinId="9" hidden="1"/>
    <cellStyle name="Lien hypertexte visité" xfId="14080" builtinId="9" hidden="1"/>
    <cellStyle name="Lien hypertexte visité" xfId="19516" builtinId="9" hidden="1"/>
    <cellStyle name="Lien hypertexte visité" xfId="23822" builtinId="9" hidden="1"/>
    <cellStyle name="Lien hypertexte visité" xfId="19214" builtinId="9" hidden="1"/>
    <cellStyle name="Lien hypertexte visité" xfId="13929" builtinId="9" hidden="1"/>
    <cellStyle name="Lien hypertexte visité" xfId="11625" builtinId="9" hidden="1"/>
    <cellStyle name="Lien hypertexte visité" xfId="8681" builtinId="9" hidden="1"/>
    <cellStyle name="Lien hypertexte visité" xfId="6376" builtinId="9" hidden="1"/>
    <cellStyle name="Lien hypertexte visité" xfId="3426" builtinId="9" hidden="1"/>
    <cellStyle name="Lien hypertexte visité" xfId="171" builtinId="9" hidden="1"/>
    <cellStyle name="Lien hypertexte visité" xfId="8891" builtinId="9" hidden="1"/>
    <cellStyle name="Lien hypertexte visité" xfId="8051" builtinId="9" hidden="1"/>
    <cellStyle name="Lien hypertexte visité" xfId="7354" builtinId="9" hidden="1"/>
    <cellStyle name="Lien hypertexte visité" xfId="6546" builtinId="9" hidden="1"/>
    <cellStyle name="Lien hypertexte visité" xfId="5850" builtinId="9" hidden="1"/>
    <cellStyle name="Lien hypertexte visité" xfId="5010" builtinId="9" hidden="1"/>
    <cellStyle name="Lien hypertexte visité" xfId="4210" builtinId="9" hidden="1"/>
    <cellStyle name="Lien hypertexte visité" xfId="3508" builtinId="9" hidden="1"/>
    <cellStyle name="Lien hypertexte visité" xfId="1778" builtinId="9" hidden="1"/>
    <cellStyle name="Lien hypertexte visité" xfId="7039" builtinId="9" hidden="1"/>
    <cellStyle name="Lien hypertexte visité" xfId="1913" builtinId="9" hidden="1"/>
    <cellStyle name="Lien hypertexte visité" xfId="3333" builtinId="9" hidden="1"/>
    <cellStyle name="Lien hypertexte visité" xfId="8460" builtinId="9" hidden="1"/>
    <cellStyle name="Lien hypertexte visité" xfId="13580" builtinId="9" hidden="1"/>
    <cellStyle name="Lien hypertexte visité" xfId="20820" builtinId="9" hidden="1"/>
    <cellStyle name="Lien hypertexte visité" xfId="18183" builtinId="9" hidden="1"/>
    <cellStyle name="Lien hypertexte visité" xfId="12253" builtinId="9" hidden="1"/>
    <cellStyle name="Lien hypertexte visité" xfId="7132" builtinId="9" hidden="1"/>
    <cellStyle name="Lien hypertexte visité" xfId="3030" builtinId="9" hidden="1"/>
    <cellStyle name="Lien hypertexte visité" xfId="3240" builtinId="9" hidden="1"/>
    <cellStyle name="Lien hypertexte visité" xfId="8367" builtinId="9" hidden="1"/>
    <cellStyle name="Lien hypertexte visité" xfId="12463" builtinId="9" hidden="1"/>
    <cellStyle name="Lien hypertexte visité" xfId="9330" builtinId="9" hidden="1"/>
    <cellStyle name="Lien hypertexte visité" xfId="12062" builtinId="9" hidden="1"/>
    <cellStyle name="Lien hypertexte visité" xfId="16433" builtinId="9" hidden="1"/>
    <cellStyle name="Lien hypertexte visité" xfId="21880" builtinId="9" hidden="1"/>
    <cellStyle name="Lien hypertexte visité" xfId="20522" builtinId="9" hidden="1"/>
    <cellStyle name="Lien hypertexte visité" xfId="21136" builtinId="9" hidden="1"/>
    <cellStyle name="Lien hypertexte visité" xfId="9642" builtinId="9" hidden="1"/>
    <cellStyle name="Lien hypertexte visité" xfId="6445" builtinId="9" hidden="1"/>
    <cellStyle name="Lien hypertexte visité" xfId="4233" builtinId="9" hidden="1"/>
    <cellStyle name="Lien hypertexte visité" xfId="1017" builtinId="9" hidden="1"/>
    <cellStyle name="Lien hypertexte visité" xfId="1579" builtinId="9" hidden="1"/>
    <cellStyle name="Lien hypertexte visité" xfId="8030" builtinId="9" hidden="1"/>
    <cellStyle name="Lien hypertexte visité" xfId="5105" builtinId="9" hidden="1"/>
    <cellStyle name="Lien hypertexte visité" xfId="18406" builtinId="9" hidden="1"/>
    <cellStyle name="Lien hypertexte visité" xfId="13061" builtinId="9" hidden="1"/>
    <cellStyle name="Lien hypertexte visité" xfId="10325" builtinId="9" hidden="1"/>
    <cellStyle name="Lien hypertexte visité" xfId="6916" builtinId="9" hidden="1"/>
    <cellStyle name="Lien hypertexte visité" xfId="4180" builtinId="9" hidden="1"/>
    <cellStyle name="Lien hypertexte visité" xfId="367" builtinId="9" hidden="1"/>
    <cellStyle name="Lien hypertexte visité" xfId="3801" builtinId="9" hidden="1"/>
    <cellStyle name="Lien hypertexte visité" xfId="6534" builtinId="9" hidden="1"/>
    <cellStyle name="Lien hypertexte visité" xfId="9943" builtinId="9" hidden="1"/>
    <cellStyle name="Lien hypertexte visité" xfId="12679" builtinId="9" hidden="1"/>
    <cellStyle name="Lien hypertexte visité" xfId="8334" builtinId="9" hidden="1"/>
    <cellStyle name="Lien hypertexte visité" xfId="10158" builtinId="9" hidden="1"/>
    <cellStyle name="Lien hypertexte visité" xfId="12430" builtinId="9" hidden="1"/>
    <cellStyle name="Lien hypertexte visité" xfId="14905" builtinId="9" hidden="1"/>
    <cellStyle name="Lien hypertexte visité" xfId="18520" builtinId="9" hidden="1"/>
    <cellStyle name="Lien hypertexte visité" xfId="23080" builtinId="9" hidden="1"/>
    <cellStyle name="Lien hypertexte visité" xfId="22514" builtinId="9" hidden="1"/>
    <cellStyle name="Lien hypertexte visité" xfId="17971" builtinId="9" hidden="1"/>
    <cellStyle name="Lien hypertexte visité" xfId="23024" builtinId="9" hidden="1"/>
    <cellStyle name="Lien hypertexte visité" xfId="11930" builtinId="9" hidden="1"/>
    <cellStyle name="Lien hypertexte visité" xfId="21642" builtinId="9" hidden="1"/>
    <cellStyle name="Lien hypertexte visité" xfId="16681" builtinId="9" hidden="1"/>
    <cellStyle name="Lien hypertexte visité" xfId="8770" builtinId="9" hidden="1"/>
    <cellStyle name="Lien hypertexte visité" xfId="8551" builtinId="9" hidden="1"/>
    <cellStyle name="Lien hypertexte visité" xfId="2846" builtinId="9" hidden="1"/>
    <cellStyle name="Lien hypertexte visité" xfId="2462" builtinId="9" hidden="1"/>
    <cellStyle name="Lien hypertexte visité" xfId="2144" builtinId="9" hidden="1"/>
    <cellStyle name="Lien hypertexte visité" xfId="5606" builtinId="9" hidden="1"/>
    <cellStyle name="Lien hypertexte visité" xfId="8295" builtinId="9" hidden="1"/>
    <cellStyle name="Lien hypertexte visité" xfId="11751" builtinId="9" hidden="1"/>
    <cellStyle name="Lien hypertexte visité" xfId="14439" builtinId="9" hidden="1"/>
    <cellStyle name="Lien hypertexte visité" xfId="9538" builtinId="9" hidden="1"/>
    <cellStyle name="Lien hypertexte visité" xfId="11330" builtinId="9" hidden="1"/>
    <cellStyle name="Lien hypertexte visité" xfId="13634" builtinId="9" hidden="1"/>
    <cellStyle name="Lien hypertexte visité" xfId="17193" builtinId="9" hidden="1"/>
    <cellStyle name="Lien hypertexte visité" xfId="20928" builtinId="9" hidden="1"/>
    <cellStyle name="Lien hypertexte visité" xfId="23858" builtinId="9" hidden="1"/>
    <cellStyle name="Lien hypertexte visité" xfId="20106" builtinId="9" hidden="1"/>
    <cellStyle name="Lien hypertexte visité" xfId="22170" builtinId="9" hidden="1"/>
    <cellStyle name="Lien hypertexte visité" xfId="15809" builtinId="9" hidden="1"/>
    <cellStyle name="Lien hypertexte visité" xfId="12186" builtinId="9" hidden="1"/>
    <cellStyle name="Lien hypertexte visité" xfId="14490" builtinId="9" hidden="1"/>
    <cellStyle name="Lien hypertexte visité" xfId="18049" builtinId="9" hidden="1"/>
    <cellStyle name="Lien hypertexte visité" xfId="22640" builtinId="9" hidden="1"/>
    <cellStyle name="Lien hypertexte visité" xfId="23002" builtinId="9" hidden="1"/>
    <cellStyle name="Lien hypertexte visité" xfId="18394" builtinId="9" hidden="1"/>
    <cellStyle name="Lien hypertexte visité" xfId="18139" builtinId="9" hidden="1"/>
    <cellStyle name="Lien hypertexte visité" xfId="19658" builtinId="9" hidden="1"/>
    <cellStyle name="Lien hypertexte visité" xfId="21194" builtinId="9" hidden="1"/>
    <cellStyle name="Lien hypertexte visité" xfId="22386" builtinId="9" hidden="1"/>
    <cellStyle name="Lien hypertexte visité" xfId="23922" builtinId="9" hidden="1"/>
    <cellStyle name="Lien hypertexte visité" xfId="24104" builtinId="9" hidden="1"/>
    <cellStyle name="Lien hypertexte visité" xfId="22568" builtinId="9" hidden="1"/>
    <cellStyle name="Lien hypertexte visité" xfId="21376" builtinId="9" hidden="1"/>
    <cellStyle name="Lien hypertexte visité" xfId="19840" builtinId="9" hidden="1"/>
    <cellStyle name="Lien hypertexte visité" xfId="18344" builtinId="9" hidden="1"/>
    <cellStyle name="Lien hypertexte visité" xfId="17129" builtinId="9" hidden="1"/>
    <cellStyle name="Lien hypertexte visité" xfId="15633" builtinId="9" hidden="1"/>
    <cellStyle name="Lien hypertexte visité" xfId="14454" builtinId="9" hidden="1"/>
    <cellStyle name="Lien hypertexte visité" xfId="13710" builtinId="9" hidden="1"/>
    <cellStyle name="Lien hypertexte visité" xfId="13090" builtinId="9" hidden="1"/>
    <cellStyle name="Lien hypertexte visité" xfId="12342" builtinId="9" hidden="1"/>
    <cellStyle name="Lien hypertexte visité" xfId="11574" builtinId="9" hidden="1"/>
    <cellStyle name="Lien hypertexte visité" xfId="10978" builtinId="9" hidden="1"/>
    <cellStyle name="Lien hypertexte visité" xfId="10210" builtinId="9" hidden="1"/>
    <cellStyle name="Lien hypertexte visité" xfId="9614" builtinId="9" hidden="1"/>
    <cellStyle name="Lien hypertexte visité" xfId="8846" builtinId="9" hidden="1"/>
    <cellStyle name="Lien hypertexte visité" xfId="8246" builtinId="9" hidden="1"/>
    <cellStyle name="Lien hypertexte visité" xfId="15099" builtinId="9" hidden="1"/>
    <cellStyle name="Lien hypertexte visité" xfId="13655" builtinId="9" hidden="1"/>
    <cellStyle name="Lien hypertexte visité" xfId="12759" builtinId="9" hidden="1"/>
    <cellStyle name="Lien hypertexte visité" xfId="11607" builtinId="9" hidden="1"/>
    <cellStyle name="Lien hypertexte visité" xfId="10711" builtinId="9" hidden="1"/>
    <cellStyle name="Lien hypertexte visité" xfId="9559" builtinId="9" hidden="1"/>
    <cellStyle name="Lien hypertexte visité" xfId="8663" builtinId="9" hidden="1"/>
    <cellStyle name="Lien hypertexte visité" xfId="7510" builtinId="9" hidden="1"/>
    <cellStyle name="Lien hypertexte visité" xfId="6406" builtinId="9" hidden="1"/>
    <cellStyle name="Lien hypertexte visité" xfId="5462" builtinId="9" hidden="1"/>
    <cellStyle name="Lien hypertexte visité" xfId="4358" builtinId="9" hidden="1"/>
    <cellStyle name="Lien hypertexte visité" xfId="3408" builtinId="9" hidden="1"/>
    <cellStyle name="Lien hypertexte visité" xfId="2304" builtinId="9" hidden="1"/>
    <cellStyle name="Lien hypertexte visité" xfId="1359" builtinId="9" hidden="1"/>
    <cellStyle name="Lien hypertexte visité" xfId="623" builtinId="9" hidden="1"/>
    <cellStyle name="Lien hypertexte visité" xfId="2046" builtinId="9" hidden="1"/>
    <cellStyle name="Lien hypertexte visité" xfId="2942" builtinId="9" hidden="1"/>
    <cellStyle name="Lien hypertexte visité" xfId="4100" builtinId="9" hidden="1"/>
    <cellStyle name="Lien hypertexte visité" xfId="4996" builtinId="9" hidden="1"/>
    <cellStyle name="Lien hypertexte visité" xfId="6148" builtinId="9" hidden="1"/>
    <cellStyle name="Lien hypertexte visité" xfId="7044" builtinId="9" hidden="1"/>
    <cellStyle name="Lien hypertexte visité" xfId="8197" builtinId="9" hidden="1"/>
    <cellStyle name="Lien hypertexte visité" xfId="9349" builtinId="9" hidden="1"/>
    <cellStyle name="Lien hypertexte visité" xfId="10245" builtinId="9" hidden="1"/>
    <cellStyle name="Lien hypertexte visité" xfId="11397" builtinId="9" hidden="1"/>
    <cellStyle name="Lien hypertexte visité" xfId="12293" builtinId="9" hidden="1"/>
    <cellStyle name="Lien hypertexte visité" xfId="13445" builtinId="9" hidden="1"/>
    <cellStyle name="Lien hypertexte visité" xfId="14341" builtinId="9" hidden="1"/>
    <cellStyle name="Lien hypertexte visité" xfId="16471" builtinId="9" hidden="1"/>
    <cellStyle name="Lien hypertexte visité" xfId="18662" builtinId="9" hidden="1"/>
    <cellStyle name="Lien hypertexte visité" xfId="9082" builtinId="9" hidden="1"/>
    <cellStyle name="Lien hypertexte visité" xfId="4629" builtinId="9" hidden="1"/>
    <cellStyle name="Lien hypertexte visité" xfId="5433" builtinId="9" hidden="1"/>
    <cellStyle name="Lien hypertexte visité" xfId="6385" builtinId="9" hidden="1"/>
    <cellStyle name="Lien hypertexte visité" xfId="7189" builtinId="9" hidden="1"/>
    <cellStyle name="Lien hypertexte visité" xfId="8142" builtinId="9" hidden="1"/>
    <cellStyle name="Lien hypertexte visité" xfId="2483" builtinId="9" hidden="1"/>
    <cellStyle name="Lien hypertexte visité" xfId="3199" builtinId="9" hidden="1"/>
    <cellStyle name="Lien hypertexte visité" xfId="1515" builtinId="9" hidden="1"/>
    <cellStyle name="Lien hypertexte visité" xfId="2115" builtinId="9" hidden="1"/>
    <cellStyle name="Lien hypertexte visité" xfId="537" builtinId="9" hidden="1"/>
    <cellStyle name="Lien hypertexte visité" xfId="2163" builtinId="9" hidden="1"/>
    <cellStyle name="Lien hypertexte visité" xfId="3880" builtinId="9" hidden="1"/>
    <cellStyle name="Lien hypertexte visité" xfId="2951" builtinId="9" hidden="1"/>
    <cellStyle name="Lien hypertexte visité" xfId="2231" builtinId="9" hidden="1"/>
    <cellStyle name="Lien hypertexte visité" xfId="7870" builtinId="9" hidden="1"/>
    <cellStyle name="Lien hypertexte visité" xfId="7101" builtinId="9" hidden="1"/>
    <cellStyle name="Lien hypertexte visité" xfId="6113" builtinId="9" hidden="1"/>
    <cellStyle name="Lien hypertexte visité" xfId="5345" builtinId="9" hidden="1"/>
    <cellStyle name="Lien hypertexte visité" xfId="4357" builtinId="9" hidden="1"/>
    <cellStyle name="Lien hypertexte visité" xfId="10026" builtinId="9" hidden="1"/>
    <cellStyle name="Lien hypertexte visité" xfId="12842" builtinId="9" hidden="1"/>
    <cellStyle name="Lien hypertexte visité" xfId="17825" builtinId="9" hidden="1"/>
    <cellStyle name="Lien hypertexte visité" xfId="23440" builtinId="9" hidden="1"/>
    <cellStyle name="Lien hypertexte visité" xfId="19130" builtinId="9" hidden="1"/>
    <cellStyle name="Lien hypertexte visité" xfId="18562" builtinId="9" hidden="1"/>
    <cellStyle name="Lien hypertexte visité" xfId="20778" builtinId="9" hidden="1"/>
    <cellStyle name="Lien hypertexte visité" xfId="23082" builtinId="9" hidden="1"/>
    <cellStyle name="Lien hypertexte visité" xfId="24352" builtinId="9" hidden="1"/>
    <cellStyle name="Lien hypertexte visité" xfId="22048" builtinId="9" hidden="1"/>
    <cellStyle name="Lien hypertexte visité" xfId="20256" builtinId="9" hidden="1"/>
    <cellStyle name="Lien hypertexte visité" xfId="17969" builtinId="9" hidden="1"/>
    <cellStyle name="Lien hypertexte visité" xfId="16177" builtinId="9" hidden="1"/>
    <cellStyle name="Lien hypertexte visité" xfId="14194" builtinId="9" hidden="1"/>
    <cellStyle name="Lien hypertexte visité" xfId="13042" builtinId="9" hidden="1"/>
    <cellStyle name="Lien hypertexte visité" xfId="12146" builtinId="9" hidden="1"/>
    <cellStyle name="Lien hypertexte visité" xfId="10994" builtinId="9" hidden="1"/>
    <cellStyle name="Lien hypertexte visité" xfId="10098" builtinId="9" hidden="1"/>
    <cellStyle name="Lien hypertexte visité" xfId="8946" builtinId="9" hidden="1"/>
    <cellStyle name="Lien hypertexte visité" xfId="16811" builtinId="9" hidden="1"/>
    <cellStyle name="Lien hypertexte visité" xfId="13935" builtinId="9" hidden="1"/>
    <cellStyle name="Lien hypertexte visité" xfId="12271" builtinId="9" hidden="1"/>
    <cellStyle name="Lien hypertexte visité" xfId="10863" builtinId="9" hidden="1"/>
    <cellStyle name="Lien hypertexte visité" xfId="9199" builtinId="9" hidden="1"/>
    <cellStyle name="Lien hypertexte visité" xfId="7790" builtinId="9" hidden="1"/>
    <cellStyle name="Lien hypertexte visité" xfId="6126" builtinId="9" hidden="1"/>
    <cellStyle name="Lien hypertexte visité" xfId="4718" builtinId="9" hidden="1"/>
    <cellStyle name="Lien hypertexte visité" xfId="3048" builtinId="9" hidden="1"/>
    <cellStyle name="Lien hypertexte visité" xfId="1319" builtinId="9" hidden="1"/>
    <cellStyle name="Lien hypertexte visité" xfId="1173" builtinId="9" hidden="1"/>
    <cellStyle name="Lien hypertexte visité" xfId="2902" builtinId="9" hidden="1"/>
    <cellStyle name="Lien hypertexte visité" xfId="4252" builtinId="9" hidden="1"/>
    <cellStyle name="Lien hypertexte visité" xfId="5980" builtinId="9" hidden="1"/>
    <cellStyle name="Lien hypertexte visité" xfId="7324" builtinId="9" hidden="1"/>
    <cellStyle name="Lien hypertexte visité" xfId="9053" builtinId="9" hidden="1"/>
    <cellStyle name="Lien hypertexte visité" xfId="10781" builtinId="9" hidden="1"/>
    <cellStyle name="Lien hypertexte visité" xfId="12125" builtinId="9" hidden="1"/>
    <cellStyle name="Lien hypertexte visité" xfId="13853" builtinId="9" hidden="1"/>
    <cellStyle name="Lien hypertexte visité" xfId="15879" builtinId="9" hidden="1"/>
    <cellStyle name="Lien hypertexte visité" xfId="19318" builtinId="9" hidden="1"/>
    <cellStyle name="Lien hypertexte visité" xfId="22006" builtinId="9" hidden="1"/>
    <cellStyle name="Lien hypertexte visité" xfId="23764" builtinId="9" hidden="1"/>
    <cellStyle name="Lien hypertexte visité" xfId="20436" builtinId="9" hidden="1"/>
    <cellStyle name="Lien hypertexte visité" xfId="17637" builtinId="9" hidden="1"/>
    <cellStyle name="Lien hypertexte visité" xfId="14412" builtinId="9" hidden="1"/>
    <cellStyle name="Lien hypertexte visité" xfId="13004" builtinId="9" hidden="1"/>
    <cellStyle name="Lien hypertexte visité" xfId="11340" builtinId="9" hidden="1"/>
    <cellStyle name="Lien hypertexte visité" xfId="9932" builtinId="9" hidden="1"/>
    <cellStyle name="Lien hypertexte visité" xfId="8268" builtinId="9" hidden="1"/>
    <cellStyle name="Lien hypertexte visité" xfId="6539" builtinId="9" hidden="1"/>
    <cellStyle name="Lien hypertexte visité" xfId="9612" builtinId="9" hidden="1"/>
    <cellStyle name="Lien hypertexte visité" xfId="22646" builtinId="9" hidden="1"/>
    <cellStyle name="Lien hypertexte visité" xfId="7708" builtinId="9" hidden="1"/>
    <cellStyle name="Lien hypertexte visité" xfId="4398" builtinId="9" hidden="1"/>
    <cellStyle name="Lien hypertexte visité" xfId="16171" builtinId="9" hidden="1"/>
    <cellStyle name="Lien hypertexte visité" xfId="15665" builtinId="9" hidden="1"/>
    <cellStyle name="Lien hypertexte visité" xfId="18986" builtinId="9" hidden="1"/>
    <cellStyle name="Lien hypertexte visité" xfId="5165" builtinId="9" hidden="1"/>
    <cellStyle name="Lien hypertexte visité" xfId="1963" builtinId="9" hidden="1"/>
    <cellStyle name="Lien hypertexte visité" xfId="7373" builtinId="9" hidden="1"/>
    <cellStyle name="Lien hypertexte visité" xfId="14583" builtinId="9" hidden="1"/>
    <cellStyle name="Lien hypertexte visité" xfId="7300" builtinId="9" hidden="1"/>
    <cellStyle name="Lien hypertexte visité" xfId="1139" builtinId="9" hidden="1"/>
    <cellStyle name="Lien hypertexte visité" xfId="8455" builtinId="9" hidden="1"/>
    <cellStyle name="Lien hypertexte visité" xfId="16891" builtinId="9" hidden="1"/>
    <cellStyle name="Lien hypertexte visité" xfId="12942" builtinId="9" hidden="1"/>
    <cellStyle name="Lien hypertexte visité" xfId="21080" builtinId="9" hidden="1"/>
    <cellStyle name="Lien hypertexte visité" xfId="18466" builtinId="9" hidden="1"/>
    <cellStyle name="Lien hypertexte visité" xfId="13882" builtinId="9" hidden="1"/>
    <cellStyle name="Lien hypertexte visité" xfId="11758" builtinId="9" hidden="1"/>
    <cellStyle name="Lien hypertexte visité" xfId="1694" builtinId="9" hidden="1"/>
    <cellStyle name="Lien hypertexte visité" xfId="20272" builtinId="9" hidden="1"/>
    <cellStyle name="Lien hypertexte visité" xfId="10614" builtinId="9" hidden="1"/>
    <cellStyle name="Lien hypertexte visité" xfId="3502" builtinId="9" hidden="1"/>
    <cellStyle name="Lien hypertexte visité" xfId="3644" builtinId="9" hidden="1"/>
    <cellStyle name="Lien hypertexte visité" xfId="23240" builtinId="9" hidden="1"/>
    <cellStyle name="Lien hypertexte visité" xfId="2006" builtinId="9" hidden="1"/>
    <cellStyle name="Lien hypertexte visité" xfId="4363" builtinId="9" hidden="1"/>
    <cellStyle name="Lien hypertexte visité" xfId="5706" builtinId="9" hidden="1"/>
    <cellStyle name="Lien hypertexte visité" xfId="5736" builtinId="9" hidden="1"/>
    <cellStyle name="Lien hypertexte visité" xfId="14925" builtinId="9" hidden="1"/>
    <cellStyle name="Lien hypertexte visité" xfId="13168" builtinId="9" hidden="1"/>
    <cellStyle name="Lien hypertexte visité" xfId="24268" builtinId="9" hidden="1"/>
    <cellStyle name="Lien hypertexte visité" xfId="13521" builtinId="9" hidden="1"/>
    <cellStyle name="Lien hypertexte visité" xfId="10379" builtinId="9" hidden="1"/>
    <cellStyle name="Lien hypertexte visité" xfId="10963" builtinId="9" hidden="1"/>
    <cellStyle name="Lien hypertexte visité" xfId="11675" builtinId="9" hidden="1"/>
    <cellStyle name="Lien hypertexte visité" xfId="12259" builtinId="9" hidden="1"/>
    <cellStyle name="Lien hypertexte visité" xfId="12843" builtinId="9" hidden="1"/>
    <cellStyle name="Lien hypertexte visité" xfId="5666" builtinId="9" hidden="1"/>
    <cellStyle name="Lien hypertexte visité" xfId="875" builtinId="9" hidden="1"/>
    <cellStyle name="Lien hypertexte visité" xfId="1644" builtinId="9" hidden="1"/>
    <cellStyle name="Lien hypertexte visité" xfId="2260" builtinId="9" hidden="1"/>
    <cellStyle name="Lien hypertexte visité" xfId="8739" builtinId="9" hidden="1"/>
    <cellStyle name="Lien hypertexte visité" xfId="13083" builtinId="9" hidden="1"/>
    <cellStyle name="Lien hypertexte visité" xfId="4218" builtinId="9" hidden="1"/>
    <cellStyle name="Lien hypertexte visité" xfId="3589" builtinId="9" hidden="1"/>
    <cellStyle name="Lien hypertexte visité" xfId="2820" builtinId="9" hidden="1"/>
    <cellStyle name="Lien hypertexte visité" xfId="2236" builtinId="9" hidden="1"/>
    <cellStyle name="Lien hypertexte visité" xfId="1612" builtinId="9" hidden="1"/>
    <cellStyle name="Lien hypertexte visité" xfId="891" builtinId="9" hidden="1"/>
    <cellStyle name="Lien hypertexte visité" xfId="5346" builtinId="9" hidden="1"/>
    <cellStyle name="Lien hypertexte visité" xfId="9443" builtinId="9" hidden="1"/>
    <cellStyle name="Lien hypertexte visité" xfId="12339" builtinId="9" hidden="1"/>
    <cellStyle name="Lien hypertexte visité" xfId="11787" builtinId="9" hidden="1"/>
    <cellStyle name="Lien hypertexte visité" xfId="11075" builtinId="9" hidden="1"/>
    <cellStyle name="Lien hypertexte visité" xfId="7802" builtinId="9" hidden="1"/>
    <cellStyle name="Lien hypertexte visité" xfId="7218" builtinId="9" hidden="1"/>
    <cellStyle name="Lien hypertexte visité" xfId="6450" builtinId="9" hidden="1"/>
    <cellStyle name="Lien hypertexte visité" xfId="5866" builtinId="9" hidden="1"/>
    <cellStyle name="Lien hypertexte visité" xfId="5274" builtinId="9" hidden="1"/>
    <cellStyle name="Lien hypertexte visité" xfId="4690" builtinId="9" hidden="1"/>
    <cellStyle name="Lien hypertexte visité" xfId="9011" builtinId="9" hidden="1"/>
    <cellStyle name="Lien hypertexte visité" xfId="8427" builtinId="9" hidden="1"/>
    <cellStyle name="Lien hypertexte visité" xfId="3074" builtinId="9" hidden="1"/>
    <cellStyle name="Lien hypertexte visité" xfId="887" builtinId="9" hidden="1"/>
    <cellStyle name="Lien hypertexte visité" xfId="6024" builtinId="9" hidden="1"/>
    <cellStyle name="Lien hypertexte visité" xfId="3587" builtinId="9" hidden="1"/>
    <cellStyle name="Lien hypertexte visité" xfId="1409" builtinId="9" hidden="1"/>
    <cellStyle name="Lien hypertexte visité" xfId="3458" builtinId="9" hidden="1"/>
    <cellStyle name="Lien hypertexte visité" xfId="8683" builtinId="9" hidden="1"/>
    <cellStyle name="Lien hypertexte visité" xfId="9267" builtinId="9" hidden="1"/>
    <cellStyle name="Lien hypertexte visité" xfId="4802" builtinId="9" hidden="1"/>
    <cellStyle name="Lien hypertexte visité" xfId="5530" builtinId="9" hidden="1"/>
    <cellStyle name="Lien hypertexte visité" xfId="6122" builtinId="9" hidden="1"/>
    <cellStyle name="Lien hypertexte visité" xfId="6738" builtinId="9" hidden="1"/>
    <cellStyle name="Lien hypertexte visité" xfId="7322" builtinId="9" hidden="1"/>
    <cellStyle name="Lien hypertexte visité" xfId="1836" builtinId="9" hidden="1"/>
    <cellStyle name="Lien hypertexte visité" xfId="11315" builtinId="9" hidden="1"/>
    <cellStyle name="Lien hypertexte visité" xfId="11891" builtinId="9" hidden="1"/>
    <cellStyle name="Lien hypertexte visité" xfId="12435" builtinId="9" hidden="1"/>
    <cellStyle name="Lien hypertexte visité" xfId="7650" builtinId="9" hidden="1"/>
    <cellStyle name="Lien hypertexte visité" xfId="3548" builtinId="9" hidden="1"/>
    <cellStyle name="Lien hypertexte visité" xfId="1115" builtinId="9" hidden="1"/>
    <cellStyle name="Lien hypertexte visité" xfId="1724" builtinId="9" hidden="1"/>
    <cellStyle name="Lien hypertexte visité" xfId="2492" builtinId="9" hidden="1"/>
    <cellStyle name="Lien hypertexte visité" xfId="3116" builtinId="9" hidden="1"/>
    <cellStyle name="Lien hypertexte visité" xfId="3709" builtinId="9" hidden="1"/>
    <cellStyle name="Lien hypertexte visité" xfId="4474" builtinId="9" hidden="1"/>
    <cellStyle name="Lien hypertexte visité" xfId="13339" builtinId="9" hidden="1"/>
    <cellStyle name="Lien hypertexte visité" xfId="2772" builtinId="9" hidden="1"/>
    <cellStyle name="Lien hypertexte visité" xfId="2156" builtinId="9" hidden="1"/>
    <cellStyle name="Lien hypertexte visité" xfId="1347" builtinId="9" hidden="1"/>
    <cellStyle name="Lien hypertexte visité" xfId="2076" builtinId="9" hidden="1"/>
    <cellStyle name="Lien hypertexte visité" xfId="6434" builtinId="9" hidden="1"/>
    <cellStyle name="Lien hypertexte visité" xfId="12739" builtinId="9" hidden="1"/>
    <cellStyle name="Lien hypertexte visité" xfId="12019" builtinId="9" hidden="1"/>
    <cellStyle name="Lien hypertexte visité" xfId="11443" builtinId="9" hidden="1"/>
    <cellStyle name="Lien hypertexte visité" xfId="10859" builtinId="9" hidden="1"/>
    <cellStyle name="Lien hypertexte visité" xfId="10243" builtinId="9" hidden="1"/>
    <cellStyle name="Lien hypertexte visité" xfId="9531" builtinId="9" hidden="1"/>
    <cellStyle name="Lien hypertexte visité" xfId="14171" builtinId="9" hidden="1"/>
    <cellStyle name="Lien hypertexte visité" xfId="13611" builtinId="9" hidden="1"/>
    <cellStyle name="Lien hypertexte visité" xfId="12915" builtinId="9" hidden="1"/>
    <cellStyle name="Lien hypertexte visité" xfId="14883" builtinId="9" hidden="1"/>
    <cellStyle name="Lien hypertexte visité" xfId="16003" builtinId="9" hidden="1"/>
    <cellStyle name="Lien hypertexte visité" xfId="17107" builtinId="9" hidden="1"/>
    <cellStyle name="Lien hypertexte visité" xfId="14643" builtinId="9" hidden="1"/>
    <cellStyle name="Lien hypertexte visité" xfId="15747" builtinId="9" hidden="1"/>
    <cellStyle name="Lien hypertexte visité" xfId="13355" builtinId="9" hidden="1"/>
    <cellStyle name="Lien hypertexte visité" xfId="13915" builtinId="9" hidden="1"/>
    <cellStyle name="Lien hypertexte visité" xfId="10659" builtinId="9" hidden="1"/>
    <cellStyle name="Lien hypertexte visité" xfId="9979" builtinId="9" hidden="1"/>
    <cellStyle name="Lien hypertexte visité" xfId="10595" builtinId="9" hidden="1"/>
    <cellStyle name="Lien hypertexte visité" xfId="5050" builtinId="9" hidden="1"/>
    <cellStyle name="Lien hypertexte visité" xfId="5224" builtinId="9" hidden="1"/>
    <cellStyle name="Lien hypertexte visité" xfId="20540" builtinId="9" hidden="1"/>
    <cellStyle name="Lien hypertexte visité" xfId="11416" builtinId="9" hidden="1"/>
    <cellStyle name="Lien hypertexte visité" xfId="21964" builtinId="9" hidden="1"/>
    <cellStyle name="Lien hypertexte visité" xfId="16367" builtinId="9" hidden="1"/>
    <cellStyle name="Lien hypertexte visité" xfId="9977" builtinId="9" hidden="1"/>
    <cellStyle name="Lien hypertexte visité" xfId="4512" builtinId="9" hidden="1"/>
    <cellStyle name="Lien hypertexte visité" xfId="2970" builtinId="9" hidden="1"/>
    <cellStyle name="Lien hypertexte visité" xfId="3747" builtinId="9" hidden="1"/>
    <cellStyle name="Lien hypertexte visité" xfId="4560" builtinId="9" hidden="1"/>
    <cellStyle name="Lien hypertexte visité" xfId="5328" builtinId="9" hidden="1"/>
    <cellStyle name="Lien hypertexte visité" xfId="6304" builtinId="9" hidden="1"/>
    <cellStyle name="Lien hypertexte visité" xfId="7072" builtinId="9" hidden="1"/>
    <cellStyle name="Lien hypertexte visité" xfId="7841" builtinId="9" hidden="1"/>
    <cellStyle name="Lien hypertexte visité" xfId="8657" builtinId="9" hidden="1"/>
    <cellStyle name="Lien hypertexte visité" xfId="9593" builtinId="9" hidden="1"/>
    <cellStyle name="Lien hypertexte visité" xfId="10401" builtinId="9" hidden="1"/>
    <cellStyle name="Lien hypertexte visité" xfId="11169" builtinId="9" hidden="1"/>
    <cellStyle name="Lien hypertexte visité" xfId="12153" builtinId="9" hidden="1"/>
    <cellStyle name="Lien hypertexte visité" xfId="8825" builtinId="9" hidden="1"/>
    <cellStyle name="Lien hypertexte visité" xfId="6218" builtinId="9" hidden="1"/>
    <cellStyle name="Lien hypertexte visité" xfId="10107" builtinId="9" hidden="1"/>
    <cellStyle name="Lien hypertexte visité" xfId="1908" builtinId="9" hidden="1"/>
    <cellStyle name="Lien hypertexte visité" xfId="8091" builtinId="9" hidden="1"/>
    <cellStyle name="Lien hypertexte visité" xfId="11619" builtinId="9" hidden="1"/>
    <cellStyle name="Lien hypertexte visité" xfId="4386" builtinId="9" hidden="1"/>
    <cellStyle name="Lien hypertexte visité" xfId="20684" builtinId="9" hidden="1"/>
    <cellStyle name="Lien hypertexte visité" xfId="22220" builtinId="9" hidden="1"/>
    <cellStyle name="Lien hypertexte visité" xfId="23756" builtinId="9" hidden="1"/>
    <cellStyle name="Lien hypertexte visité" xfId="23518" builtinId="9" hidden="1"/>
    <cellStyle name="Lien hypertexte visité" xfId="21982" builtinId="9" hidden="1"/>
    <cellStyle name="Lien hypertexte visité" xfId="20350" builtinId="9" hidden="1"/>
    <cellStyle name="Lien hypertexte visité" xfId="18814" builtinId="9" hidden="1"/>
    <cellStyle name="Lien hypertexte visité" xfId="17295" builtinId="9" hidden="1"/>
    <cellStyle name="Lien hypertexte visité" xfId="15759" builtinId="9" hidden="1"/>
    <cellStyle name="Lien hypertexte visité" xfId="14329" builtinId="9" hidden="1"/>
    <cellStyle name="Lien hypertexte visité" xfId="13345" builtinId="9" hidden="1"/>
    <cellStyle name="Lien hypertexte visité" xfId="12577" builtinId="9" hidden="1"/>
    <cellStyle name="Lien hypertexte visité" xfId="11809" builtinId="9" hidden="1"/>
    <cellStyle name="Lien hypertexte visité" xfId="11041" builtinId="9" hidden="1"/>
    <cellStyle name="Lien hypertexte visité" xfId="10233" builtinId="9" hidden="1"/>
    <cellStyle name="Lien hypertexte visité" xfId="9465" builtinId="9" hidden="1"/>
    <cellStyle name="Lien hypertexte visité" xfId="8697" builtinId="9" hidden="1"/>
    <cellStyle name="Lien hypertexte visité" xfId="7889" builtinId="9" hidden="1"/>
    <cellStyle name="Lien hypertexte visité" xfId="6944" builtinId="9" hidden="1"/>
    <cellStyle name="Lien hypertexte visité" xfId="6136" builtinId="9" hidden="1"/>
    <cellStyle name="Lien hypertexte visité" xfId="5368" builtinId="9" hidden="1"/>
    <cellStyle name="Lien hypertexte visité" xfId="4600" builtinId="9" hidden="1"/>
    <cellStyle name="Lien hypertexte visité" xfId="3795" builtinId="9" hidden="1"/>
    <cellStyle name="Lien hypertexte visité" xfId="3018" builtinId="9" hidden="1"/>
    <cellStyle name="Lien hypertexte visité" xfId="2802" builtinId="9" hidden="1"/>
    <cellStyle name="Lien hypertexte visité" xfId="8273" builtinId="9" hidden="1"/>
    <cellStyle name="Lien hypertexte visité" xfId="15679" builtinId="9" hidden="1"/>
    <cellStyle name="Lien hypertexte visité" xfId="22636" builtinId="9" hidden="1"/>
    <cellStyle name="Lien hypertexte visité" xfId="13128" builtinId="9" hidden="1"/>
    <cellStyle name="Lien hypertexte visité" xfId="12416" builtinId="9" hidden="1"/>
    <cellStyle name="Lien hypertexte visité" xfId="10345" builtinId="9" hidden="1"/>
    <cellStyle name="Lien hypertexte visité" xfId="7682" builtinId="9" hidden="1"/>
    <cellStyle name="Lien hypertexte visité" xfId="2996" builtinId="9" hidden="1"/>
    <cellStyle name="Lien hypertexte visité" xfId="10323" builtinId="9" hidden="1"/>
    <cellStyle name="Lien hypertexte visité" xfId="9603" builtinId="9" hidden="1"/>
    <cellStyle name="Lien hypertexte visité" xfId="14243" builtinId="9" hidden="1"/>
    <cellStyle name="Lien hypertexte visité" xfId="13683" builtinId="9" hidden="1"/>
    <cellStyle name="Lien hypertexte visité" xfId="13123" builtinId="9" hidden="1"/>
    <cellStyle name="Lien hypertexte visité" xfId="15219" builtinId="9" hidden="1"/>
    <cellStyle name="Lien hypertexte visité" xfId="16339" builtinId="9" hidden="1"/>
    <cellStyle name="Lien hypertexte visité" xfId="17267" builtinId="9" hidden="1"/>
    <cellStyle name="Lien hypertexte visité" xfId="16451" builtinId="9" hidden="1"/>
    <cellStyle name="Lien hypertexte visité" xfId="15347" builtinId="9" hidden="1"/>
    <cellStyle name="Lien hypertexte visité" xfId="13147" builtinId="9" hidden="1"/>
    <cellStyle name="Lien hypertexte visité" xfId="13707" builtinId="9" hidden="1"/>
    <cellStyle name="Lien hypertexte visité" xfId="14267" builtinId="9" hidden="1"/>
    <cellStyle name="Lien hypertexte visité" xfId="9627" builtinId="9" hidden="1"/>
    <cellStyle name="Lien hypertexte visité" xfId="11001" builtinId="9" hidden="1"/>
    <cellStyle name="Lien hypertexte visité" xfId="1506" builtinId="9" hidden="1"/>
    <cellStyle name="Lien hypertexte visité" xfId="3819" builtinId="9" hidden="1"/>
    <cellStyle name="Lien hypertexte visité" xfId="6120" builtinId="9" hidden="1"/>
    <cellStyle name="Lien hypertexte visité" xfId="8553" builtinId="9" hidden="1"/>
    <cellStyle name="Lien hypertexte visité" xfId="10857" builtinId="9" hidden="1"/>
    <cellStyle name="Lien hypertexte visité" xfId="13161" builtinId="9" hidden="1"/>
    <cellStyle name="Lien hypertexte visité" xfId="16671" builtinId="9" hidden="1"/>
    <cellStyle name="Lien hypertexte visité" xfId="21262" builtinId="9" hidden="1"/>
    <cellStyle name="Lien hypertexte visité" xfId="23356" builtinId="9" hidden="1"/>
    <cellStyle name="Lien hypertexte visité" xfId="18748" builtinId="9" hidden="1"/>
    <cellStyle name="Lien hypertexte visité" xfId="13696" builtinId="9" hidden="1"/>
    <cellStyle name="Lien hypertexte visité" xfId="11264" builtinId="9" hidden="1"/>
    <cellStyle name="Lien hypertexte visité" xfId="8960" builtinId="9" hidden="1"/>
    <cellStyle name="Lien hypertexte visité" xfId="9584" builtinId="9" hidden="1"/>
    <cellStyle name="Lien hypertexte visité" xfId="10352" builtinId="9" hidden="1"/>
    <cellStyle name="Lien hypertexte visité" xfId="11160" builtinId="9" hidden="1"/>
    <cellStyle name="Lien hypertexte visité" xfId="11928" builtinId="9" hidden="1"/>
    <cellStyle name="Lien hypertexte visité" xfId="12696" builtinId="9" hidden="1"/>
    <cellStyle name="Lien hypertexte visité" xfId="13512" builtinId="9" hidden="1"/>
    <cellStyle name="Lien hypertexte visité" xfId="14280" builtinId="9" hidden="1"/>
    <cellStyle name="Lien hypertexte visité" xfId="15581" builtinId="9" hidden="1"/>
    <cellStyle name="Lien hypertexte visité" xfId="17117" builtinId="9" hidden="1"/>
    <cellStyle name="Lien hypertexte visité" xfId="18716" builtinId="9" hidden="1"/>
    <cellStyle name="Lien hypertexte visité" xfId="8832" builtinId="9" hidden="1"/>
    <cellStyle name="Lien hypertexte visité" xfId="2956" builtinId="9" hidden="1"/>
    <cellStyle name="Lien hypertexte visité" xfId="3653" builtinId="9" hidden="1"/>
    <cellStyle name="Lien hypertexte visité" xfId="4314" builtinId="9" hidden="1"/>
    <cellStyle name="Lien hypertexte visité" xfId="4978" builtinId="9" hidden="1"/>
    <cellStyle name="Lien hypertexte visité" xfId="5674" builtinId="9" hidden="1"/>
    <cellStyle name="Lien hypertexte visité" xfId="6330" builtinId="9" hidden="1"/>
    <cellStyle name="Lien hypertexte visité" xfId="6986" builtinId="9" hidden="1"/>
    <cellStyle name="Lien hypertexte visité" xfId="7642" builtinId="9" hidden="1"/>
    <cellStyle name="Lien hypertexte visité" xfId="8339" builtinId="9" hidden="1"/>
    <cellStyle name="Lien hypertexte visité" xfId="9003" builtinId="9" hidden="1"/>
    <cellStyle name="Lien hypertexte visité" xfId="567" builtinId="9" hidden="1"/>
    <cellStyle name="Lien hypertexte visité" xfId="11788" builtinId="9" hidden="1"/>
    <cellStyle name="Lien hypertexte visité" xfId="7691" builtinId="9" hidden="1"/>
    <cellStyle name="Lien hypertexte visité" xfId="3590" builtinId="9" hidden="1"/>
    <cellStyle name="Lien hypertexte visité" xfId="1657" builtinId="9" hidden="1"/>
    <cellStyle name="Lien hypertexte visité" xfId="5759" builtinId="9" hidden="1"/>
    <cellStyle name="Lien hypertexte visité" xfId="14045" builtinId="9" hidden="1"/>
    <cellStyle name="Lien hypertexte visité" xfId="21750" builtinId="9" hidden="1"/>
    <cellStyle name="Lien hypertexte visité" xfId="19284" builtinId="9" hidden="1"/>
    <cellStyle name="Lien hypertexte visité" xfId="8925" builtinId="9" hidden="1"/>
    <cellStyle name="Lien hypertexte visité" xfId="3807" builtinId="9" hidden="1"/>
    <cellStyle name="Lien hypertexte visité" xfId="1750" builtinId="9" hidden="1"/>
    <cellStyle name="Lien hypertexte visité" xfId="4828" builtinId="9" hidden="1"/>
    <cellStyle name="Lien hypertexte visité" xfId="9949" builtinId="9" hidden="1"/>
    <cellStyle name="Lien hypertexte visité" xfId="17253" builtinId="9" hidden="1"/>
    <cellStyle name="Lien hypertexte visité" xfId="23798" builtinId="9" hidden="1"/>
    <cellStyle name="Lien hypertexte visité" xfId="15623" builtinId="9" hidden="1"/>
    <cellStyle name="Lien hypertexte visité" xfId="6783" builtinId="9" hidden="1"/>
    <cellStyle name="Lien hypertexte visité" xfId="2681" builtinId="9" hidden="1"/>
    <cellStyle name="Lien hypertexte visité" xfId="2565" builtinId="9" hidden="1"/>
    <cellStyle name="Lien hypertexte visité" xfId="6667" builtinId="9" hidden="1"/>
    <cellStyle name="Lien hypertexte visité" xfId="10764" builtinId="9" hidden="1"/>
    <cellStyle name="Lien hypertexte visité" xfId="15205" builtinId="9" hidden="1"/>
    <cellStyle name="Lien hypertexte visité" xfId="9179" builtinId="9" hidden="1"/>
    <cellStyle name="Lien hypertexte visité" xfId="8491" builtinId="9" hidden="1"/>
    <cellStyle name="Lien hypertexte visité" xfId="7827" builtinId="9" hidden="1"/>
    <cellStyle name="Lien hypertexte visité" xfId="7170" builtinId="9" hidden="1"/>
    <cellStyle name="Lien hypertexte visité" xfId="6474" builtinId="9" hidden="1"/>
    <cellStyle name="Lien hypertexte visité" xfId="5818" builtinId="9" hidden="1"/>
    <cellStyle name="Lien hypertexte visité" xfId="5162" builtinId="9" hidden="1"/>
    <cellStyle name="Lien hypertexte visité" xfId="4498" builtinId="9" hidden="1"/>
    <cellStyle name="Lien hypertexte visité" xfId="3805" builtinId="9" hidden="1"/>
    <cellStyle name="Lien hypertexte visité" xfId="3140" builtinId="9" hidden="1"/>
    <cellStyle name="Lien hypertexte visité" xfId="679" builtinId="9" hidden="1"/>
    <cellStyle name="Lien hypertexte visité" xfId="19052" builtinId="9" hidden="1"/>
    <cellStyle name="Lien hypertexte visité" xfId="17533" builtinId="9" hidden="1"/>
    <cellStyle name="Lien hypertexte visité" xfId="15997" builtinId="9" hidden="1"/>
    <cellStyle name="Lien hypertexte visité" xfId="14448" builtinId="9" hidden="1"/>
    <cellStyle name="Lien hypertexte visité" xfId="13680" builtinId="9" hidden="1"/>
    <cellStyle name="Lien hypertexte visité" xfId="12912" builtinId="9" hidden="1"/>
    <cellStyle name="Lien hypertexte visité" xfId="12144" builtinId="9" hidden="1"/>
    <cellStyle name="Lien hypertexte visité" xfId="11336" builtinId="9" hidden="1"/>
    <cellStyle name="Lien hypertexte visité" xfId="10568" builtinId="9" hidden="1"/>
    <cellStyle name="Lien hypertexte visité" xfId="9800" builtinId="9" hidden="1"/>
    <cellStyle name="Lien hypertexte visité" xfId="8984" builtinId="9" hidden="1"/>
    <cellStyle name="Lien hypertexte visité" xfId="10752" builtinId="9" hidden="1"/>
    <cellStyle name="Lien hypertexte visité" xfId="13056" builtinId="9" hidden="1"/>
    <cellStyle name="Lien hypertexte visité" xfId="17485" builtinId="9" hidden="1"/>
    <cellStyle name="Lien hypertexte visité" xfId="22076" builtinId="9" hidden="1"/>
    <cellStyle name="Lien hypertexte visité" xfId="22286" builtinId="9" hidden="1"/>
    <cellStyle name="Lien hypertexte visité" xfId="17695" builtinId="9" hidden="1"/>
    <cellStyle name="Lien hypertexte visité" xfId="13801" builtinId="9" hidden="1"/>
    <cellStyle name="Lien hypertexte visité" xfId="11497" builtinId="9" hidden="1"/>
    <cellStyle name="Lien hypertexte visité" xfId="9065" builtinId="9" hidden="1"/>
    <cellStyle name="Lien hypertexte visité" xfId="6760" builtinId="9" hidden="1"/>
    <cellStyle name="Lien hypertexte visité" xfId="4456" builtinId="9" hidden="1"/>
    <cellStyle name="Lien hypertexte visité" xfId="2018" builtinId="9" hidden="1"/>
    <cellStyle name="Lien hypertexte visité" xfId="7328" builtinId="9" hidden="1"/>
    <cellStyle name="Lien hypertexte visité" xfId="9803" builtinId="9" hidden="1"/>
    <cellStyle name="Lien hypertexte visité" xfId="14435" builtinId="9" hidden="1"/>
    <cellStyle name="Lien hypertexte visité" xfId="13835" builtinId="9" hidden="1"/>
    <cellStyle name="Lien hypertexte visité" xfId="13275" builtinId="9" hidden="1"/>
    <cellStyle name="Lien hypertexte visité" xfId="15603" builtinId="9" hidden="1"/>
    <cellStyle name="Lien hypertexte visité" xfId="14507" builtinId="9" hidden="1"/>
    <cellStyle name="Lien hypertexte visité" xfId="16963" builtinId="9" hidden="1"/>
    <cellStyle name="Lien hypertexte visité" xfId="16083" builtinId="9" hidden="1"/>
    <cellStyle name="Lien hypertexte visité" xfId="14963" builtinId="9" hidden="1"/>
    <cellStyle name="Lien hypertexte visité" xfId="12955" builtinId="9" hidden="1"/>
    <cellStyle name="Lien hypertexte visité" xfId="13515" builtinId="9" hidden="1"/>
    <cellStyle name="Lien hypertexte visité" xfId="14075" builtinId="9" hidden="1"/>
    <cellStyle name="Lien hypertexte visité" xfId="10147" builtinId="9" hidden="1"/>
    <cellStyle name="Lien hypertexte visité" xfId="10051" builtinId="9" hidden="1"/>
    <cellStyle name="Lien hypertexte visité" xfId="10763" builtinId="9" hidden="1"/>
    <cellStyle name="Lien hypertexte visité" xfId="6514" builtinId="9" hidden="1"/>
    <cellStyle name="Lien hypertexte visité" xfId="6248" builtinId="9" hidden="1"/>
    <cellStyle name="Lien hypertexte visité" xfId="18492" builtinId="9" hidden="1"/>
    <cellStyle name="Lien hypertexte visité" xfId="11760" builtinId="9" hidden="1"/>
    <cellStyle name="Lien hypertexte visité" xfId="19916" builtinId="9" hidden="1"/>
    <cellStyle name="Lien hypertexte visité" xfId="18398" builtinId="9" hidden="1"/>
    <cellStyle name="Lien hypertexte visité" xfId="9633" builtinId="9" hidden="1"/>
    <cellStyle name="Lien hypertexte visité" xfId="4176" builtinId="9" hidden="1"/>
    <cellStyle name="Lien hypertexte visité" xfId="2842" builtinId="9" hidden="1"/>
    <cellStyle name="Lien hypertexte visité" xfId="3611" builtinId="9" hidden="1"/>
    <cellStyle name="Lien hypertexte visité" xfId="4384" builtinId="9" hidden="1"/>
    <cellStyle name="Lien hypertexte visité" xfId="5152" builtinId="9" hidden="1"/>
    <cellStyle name="Lien hypertexte visité" xfId="5968" builtinId="9" hidden="1"/>
    <cellStyle name="Lien hypertexte visité" xfId="6736" builtinId="9" hidden="1"/>
    <cellStyle name="Lien hypertexte visité" xfId="7712" builtinId="9" hidden="1"/>
    <cellStyle name="Lien hypertexte visité" xfId="8481" builtinId="9" hidden="1"/>
    <cellStyle name="Lien hypertexte visité" xfId="9249" builtinId="9" hidden="1"/>
    <cellStyle name="Lien hypertexte visité" xfId="10065" builtinId="9" hidden="1"/>
    <cellStyle name="Lien hypertexte visité" xfId="10833" builtinId="9" hidden="1"/>
    <cellStyle name="Lien hypertexte visité" xfId="11601" builtinId="9" hidden="1"/>
    <cellStyle name="Lien hypertexte visité" xfId="12409" builtinId="9" hidden="1"/>
    <cellStyle name="Lien hypertexte visité" xfId="13177" builtinId="9" hidden="1"/>
    <cellStyle name="Lien hypertexte visité" xfId="14161" builtinId="9" hidden="1"/>
    <cellStyle name="Lien hypertexte visité" xfId="15343" builtinId="9" hidden="1"/>
    <cellStyle name="Lien hypertexte visité" xfId="16879" builtinId="9" hidden="1"/>
    <cellStyle name="Lien hypertexte visité" xfId="18478" builtinId="9" hidden="1"/>
    <cellStyle name="Lien hypertexte visité" xfId="20014" builtinId="9" hidden="1"/>
    <cellStyle name="Lien hypertexte visité" xfId="21550" builtinId="9" hidden="1"/>
    <cellStyle name="Lien hypertexte visité" xfId="23086" builtinId="9" hidden="1"/>
    <cellStyle name="Lien hypertexte visité" xfId="24524" builtinId="9" hidden="1"/>
    <cellStyle name="Lien hypertexte visité" xfId="22556" builtinId="9" hidden="1"/>
    <cellStyle name="Lien hypertexte visité" xfId="21020" builtinId="9" hidden="1"/>
    <cellStyle name="Lien hypertexte visité" xfId="11235" builtinId="9" hidden="1"/>
    <cellStyle name="Lien hypertexte visité" xfId="2012" builtinId="9" hidden="1"/>
    <cellStyle name="Lien hypertexte visité" xfId="4232" builtinId="9" hidden="1"/>
    <cellStyle name="Lien hypertexte visité" xfId="12715" builtinId="9" hidden="1"/>
    <cellStyle name="Lien hypertexte visité" xfId="12427" builtinId="9" hidden="1"/>
    <cellStyle name="Lien hypertexte visité" xfId="14211" builtinId="9" hidden="1"/>
    <cellStyle name="Lien hypertexte visité" xfId="5712" builtinId="9" hidden="1"/>
    <cellStyle name="Lien hypertexte visité" xfId="12321" builtinId="9" hidden="1"/>
    <cellStyle name="Lien hypertexte visité" xfId="11385" builtinId="9" hidden="1"/>
    <cellStyle name="Lien hypertexte visité" xfId="10577" builtinId="9" hidden="1"/>
    <cellStyle name="Lien hypertexte visité" xfId="9809" builtinId="9" hidden="1"/>
    <cellStyle name="Lien hypertexte visité" xfId="9041" builtinId="9" hidden="1"/>
    <cellStyle name="Lien hypertexte visité" xfId="8057" builtinId="9" hidden="1"/>
    <cellStyle name="Lien hypertexte visité" xfId="7288" builtinId="9" hidden="1"/>
    <cellStyle name="Lien hypertexte visité" xfId="6480" builtinId="9" hidden="1"/>
    <cellStyle name="Lien hypertexte visité" xfId="5496" builtinId="9" hidden="1"/>
    <cellStyle name="Lien hypertexte visité" xfId="4728" builtinId="9" hidden="1"/>
    <cellStyle name="Lien hypertexte visité" xfId="3960" builtinId="9" hidden="1"/>
    <cellStyle name="Lien hypertexte visité" xfId="3186" builtinId="9" hidden="1"/>
    <cellStyle name="Lien hypertexte visité" xfId="3146" builtinId="9" hidden="1"/>
    <cellStyle name="Lien hypertexte visité" xfId="8609" builtinId="9" hidden="1"/>
    <cellStyle name="Lien hypertexte visité" xfId="14073" builtinId="9" hidden="1"/>
    <cellStyle name="Lien hypertexte visité" xfId="24542" builtinId="9" hidden="1"/>
    <cellStyle name="Lien hypertexte visité" xfId="12784" builtinId="9" hidden="1"/>
    <cellStyle name="Lien hypertexte visité" xfId="13440" builtinId="9" hidden="1"/>
    <cellStyle name="Lien hypertexte visité" xfId="9321" builtinId="9" hidden="1"/>
    <cellStyle name="Lien hypertexte visité" xfId="7386" builtinId="9" hidden="1"/>
    <cellStyle name="Lien hypertexte visité" xfId="10731" builtinId="9" hidden="1"/>
    <cellStyle name="Lien hypertexte visité" xfId="10155" builtinId="9" hidden="1"/>
    <cellStyle name="Lien hypertexte visité" xfId="9571" builtinId="9" hidden="1"/>
    <cellStyle name="Lien hypertexte visité" xfId="14043" builtinId="9" hidden="1"/>
    <cellStyle name="Lien hypertexte visité" xfId="13483" builtinId="9" hidden="1"/>
    <cellStyle name="Lien hypertexte visité" xfId="12923" builtinId="9" hidden="1"/>
    <cellStyle name="Lien hypertexte visité" xfId="14899" builtinId="9" hidden="1"/>
    <cellStyle name="Lien hypertexte visité" xfId="16835" builtinId="9" hidden="1"/>
    <cellStyle name="Lien hypertexte visité" xfId="16755" builtinId="9" hidden="1"/>
    <cellStyle name="Lien hypertexte visité" xfId="14563" builtinId="9" hidden="1"/>
    <cellStyle name="Lien hypertexte visité" xfId="15667" builtinId="9" hidden="1"/>
    <cellStyle name="Lien hypertexte visité" xfId="13475" builtinId="9" hidden="1"/>
    <cellStyle name="Lien hypertexte visité" xfId="14035" builtinId="9" hidden="1"/>
    <cellStyle name="Lien hypertexte visité" xfId="10787" builtinId="9" hidden="1"/>
    <cellStyle name="Lien hypertexte visité" xfId="9971" builtinId="9" hidden="1"/>
    <cellStyle name="Lien hypertexte visité" xfId="10691" builtinId="9" hidden="1"/>
    <cellStyle name="Lien hypertexte visité" xfId="11267" builtinId="9" hidden="1"/>
    <cellStyle name="Lien hypertexte visité" xfId="11851" builtinId="9" hidden="1"/>
    <cellStyle name="Lien hypertexte visité" xfId="12603" builtinId="9" hidden="1"/>
    <cellStyle name="Lien hypertexte visité" xfId="7458" builtinId="9" hidden="1"/>
    <cellStyle name="Lien hypertexte visité" xfId="3100" builtinId="9" hidden="1"/>
    <cellStyle name="Lien hypertexte visité" xfId="1203" builtinId="9" hidden="1"/>
    <cellStyle name="Lien hypertexte visité" xfId="1972" builtinId="9" hidden="1"/>
    <cellStyle name="Lien hypertexte visité" xfId="2596" builtinId="9" hidden="1"/>
    <cellStyle name="Lien hypertexte visité" xfId="10283" builtinId="9" hidden="1"/>
    <cellStyle name="Lien hypertexte visité" xfId="10563" builtinId="9" hidden="1"/>
    <cellStyle name="Lien hypertexte visité" xfId="3853" builtinId="9" hidden="1"/>
    <cellStyle name="Lien hypertexte visité" xfId="3260" builtinId="9" hidden="1"/>
    <cellStyle name="Lien hypertexte visité" xfId="2636" builtinId="9" hidden="1"/>
    <cellStyle name="Lien hypertexte visité" xfId="2052" builtinId="9" hidden="1"/>
    <cellStyle name="Lien hypertexte visité" xfId="1283" builtinId="9" hidden="1"/>
    <cellStyle name="Lien hypertexte visité" xfId="2268" builtinId="9" hidden="1"/>
    <cellStyle name="Lien hypertexte visité" xfId="6626" builtinId="9" hidden="1"/>
    <cellStyle name="Lien hypertexte visité" xfId="12571" builtinId="9" hidden="1"/>
    <cellStyle name="Lien hypertexte visité" xfId="12027" builtinId="9" hidden="1"/>
    <cellStyle name="Lien hypertexte visité" xfId="11451" builtinId="9" hidden="1"/>
    <cellStyle name="Lien hypertexte visité" xfId="10899" builtinId="9" hidden="1"/>
    <cellStyle name="Lien hypertexte visité" xfId="7474" builtinId="9" hidden="1"/>
    <cellStyle name="Lien hypertexte visité" xfId="6890" builtinId="9" hidden="1"/>
    <cellStyle name="Lien hypertexte visité" xfId="6266" builtinId="9" hidden="1"/>
    <cellStyle name="Lien hypertexte visité" xfId="5682" builtinId="9" hidden="1"/>
    <cellStyle name="Lien hypertexte visité" xfId="4946" builtinId="9" hidden="1"/>
    <cellStyle name="Lien hypertexte visité" xfId="9411" builtinId="9" hidden="1"/>
    <cellStyle name="Lien hypertexte visité" xfId="8827" builtinId="9" hidden="1"/>
    <cellStyle name="Lien hypertexte visité" xfId="8243" builtinId="9" hidden="1"/>
    <cellStyle name="Lien hypertexte visité" xfId="1922" builtinId="9" hidden="1"/>
    <cellStyle name="Lien hypertexte visité" xfId="4104" builtinId="9" hidden="1"/>
    <cellStyle name="Lien hypertexte visité" xfId="6280" builtinId="9" hidden="1"/>
    <cellStyle name="Lien hypertexte visité" xfId="4744" builtinId="9" hidden="1"/>
    <cellStyle name="Lien hypertexte visité" xfId="2562" builtinId="9" hidden="1"/>
    <cellStyle name="Lien hypertexte visité" xfId="8275" builtinId="9" hidden="1"/>
    <cellStyle name="Lien hypertexte visité" xfId="8859" builtinId="9" hidden="1"/>
    <cellStyle name="Lien hypertexte visité" xfId="119" builtinId="9" hidden="1"/>
    <cellStyle name="Lien hypertexte visité" xfId="5130" builtinId="9" hidden="1"/>
    <cellStyle name="Lien hypertexte visité" xfId="5714" builtinId="9" hidden="1"/>
    <cellStyle name="Lien hypertexte visité" xfId="6298" builtinId="9" hidden="1"/>
    <cellStyle name="Lien hypertexte visité" xfId="7066" builtinId="9" hidden="1"/>
    <cellStyle name="Lien hypertexte visité" xfId="7658" builtinId="9" hidden="1"/>
    <cellStyle name="Lien hypertexte visité" xfId="10939" builtinId="9" hidden="1"/>
    <cellStyle name="Lien hypertexte visité" xfId="11483" builtinId="9" hidden="1"/>
    <cellStyle name="Lien hypertexte visité" xfId="12203" builtinId="9" hidden="1"/>
    <cellStyle name="Lien hypertexte visité" xfId="12779" builtinId="9" hidden="1"/>
    <cellStyle name="Lien hypertexte visité" xfId="6370" builtinId="9" hidden="1"/>
    <cellStyle name="Lien hypertexte visité" xfId="811" builtinId="9" hidden="1"/>
    <cellStyle name="Lien hypertexte visité" xfId="1467" builtinId="9" hidden="1"/>
    <cellStyle name="Lien hypertexte visité" xfId="2092" builtinId="9" hidden="1"/>
    <cellStyle name="Lien hypertexte visité" xfId="2676" builtinId="9" hidden="1"/>
    <cellStyle name="Lien hypertexte visité" xfId="3444" builtinId="9" hidden="1"/>
    <cellStyle name="Lien hypertexte visité" xfId="4034" builtinId="9" hidden="1"/>
    <cellStyle name="Lien hypertexte visité" xfId="10011" builtinId="9" hidden="1"/>
    <cellStyle name="Lien hypertexte visité" xfId="10827" builtinId="9" hidden="1"/>
    <cellStyle name="Lien hypertexte visité" xfId="2412" builtinId="9" hidden="1"/>
    <cellStyle name="Lien hypertexte visité" xfId="1788" builtinId="9" hidden="1"/>
    <cellStyle name="Lien hypertexte visité" xfId="1163" builtinId="9" hidden="1"/>
    <cellStyle name="Lien hypertexte visité" xfId="3356" builtinId="9" hidden="1"/>
    <cellStyle name="Lien hypertexte visité" xfId="8995" builtinId="9" hidden="1"/>
    <cellStyle name="Lien hypertexte visité" xfId="12395" builtinId="9" hidden="1"/>
    <cellStyle name="Lien hypertexte visité" xfId="11819" builtinId="9" hidden="1"/>
    <cellStyle name="Lien hypertexte visité" xfId="11099" builtinId="9" hidden="1"/>
    <cellStyle name="Lien hypertexte visité" xfId="10515" builtinId="9" hidden="1"/>
    <cellStyle name="Lien hypertexte visité" xfId="9939" builtinId="9" hidden="1"/>
    <cellStyle name="Lien hypertexte visité" xfId="21886" builtinId="9" hidden="1"/>
    <cellStyle name="Lien hypertexte visité" xfId="14893" builtinId="9" hidden="1"/>
    <cellStyle name="Lien hypertexte visité" xfId="9984" builtinId="9" hidden="1"/>
    <cellStyle name="Lien hypertexte visité" xfId="10473" builtinId="9" hidden="1"/>
    <cellStyle name="Lien hypertexte visité" xfId="7026" builtinId="9" hidden="1"/>
    <cellStyle name="Lien hypertexte visité" xfId="4991" builtinId="9" hidden="1"/>
    <cellStyle name="Lien hypertexte visité" xfId="10205" builtinId="9" hidden="1"/>
    <cellStyle name="Lien hypertexte visité" xfId="13426" builtinId="9" hidden="1"/>
    <cellStyle name="Lien hypertexte visité" xfId="3255" builtinId="9" hidden="1"/>
    <cellStyle name="Lien hypertexte visité" xfId="8965" builtinId="9" hidden="1"/>
    <cellStyle name="Lien hypertexte visité" xfId="14039" builtinId="9" hidden="1"/>
    <cellStyle name="Lien hypertexte visité" xfId="20682" builtinId="9" hidden="1"/>
    <cellStyle name="Lien hypertexte visité" xfId="4454" builtinId="9" hidden="1"/>
    <cellStyle name="Lien hypertexte visité" xfId="17179" builtinId="9" hidden="1"/>
    <cellStyle name="Lien hypertexte visité" xfId="18402" builtinId="9" hidden="1"/>
    <cellStyle name="Lien hypertexte visité" xfId="21082" builtinId="9" hidden="1"/>
    <cellStyle name="Lien hypertexte visité" xfId="23464" builtinId="9" hidden="1"/>
    <cellStyle name="Lien hypertexte visité" xfId="14166" builtinId="9" hidden="1"/>
    <cellStyle name="Lien hypertexte visité" xfId="9302" builtinId="9" hidden="1"/>
    <cellStyle name="Lien hypertexte visité" xfId="10247" builtinId="9" hidden="1"/>
    <cellStyle name="Lien hypertexte visité" xfId="2992" builtinId="9" hidden="1"/>
    <cellStyle name="Lien hypertexte visité" xfId="5460" builtinId="9" hidden="1"/>
    <cellStyle name="Lien hypertexte visité" xfId="12757" builtinId="9" hidden="1"/>
    <cellStyle name="Lien hypertexte visité" xfId="5797" builtinId="9" hidden="1"/>
    <cellStyle name="Lien hypertexte visité" xfId="1394" builtinId="9" hidden="1"/>
    <cellStyle name="Lien hypertexte visité" xfId="6701" builtinId="9" hidden="1"/>
    <cellStyle name="Lien hypertexte visité" xfId="23226" builtinId="9" hidden="1"/>
    <cellStyle name="Lien hypertexte visité" xfId="19320" builtinId="9" hidden="1"/>
    <cellStyle name="Lien hypertexte visité" xfId="9630" builtinId="9" hidden="1"/>
    <cellStyle name="Lien hypertexte visité" xfId="7150" builtinId="9" hidden="1"/>
    <cellStyle name="Lien hypertexte visité" xfId="4956" builtinId="9" hidden="1"/>
    <cellStyle name="Lien hypertexte visité" xfId="17287" builtinId="9" hidden="1"/>
    <cellStyle name="Lien hypertexte visité" xfId="12364" builtinId="9" hidden="1"/>
    <cellStyle name="Lien hypertexte visité" xfId="6219" builtinId="9" hidden="1"/>
    <cellStyle name="Lien hypertexte visité" xfId="7884" builtinId="9" hidden="1"/>
    <cellStyle name="Lien hypertexte visité" xfId="9292" builtinId="9" hidden="1"/>
    <cellStyle name="Lien hypertexte visité" xfId="10956" builtinId="9" hidden="1"/>
    <cellStyle name="Lien hypertexte visité" xfId="12684" builtinId="9" hidden="1"/>
    <cellStyle name="Lien hypertexte visité" xfId="14028" builtinId="9" hidden="1"/>
    <cellStyle name="Lien hypertexte visité" xfId="16997" builtinId="9" hidden="1"/>
    <cellStyle name="Lien hypertexte visité" xfId="19668" builtinId="9" hidden="1"/>
    <cellStyle name="Lien hypertexte visité" xfId="23124" builtinId="9" hidden="1"/>
    <cellStyle name="Lien hypertexte visité" xfId="23414" builtinId="9" hidden="1"/>
    <cellStyle name="Lien hypertexte visité" xfId="19958" builtinId="9" hidden="1"/>
    <cellStyle name="Lien hypertexte visité" xfId="16519" builtinId="9" hidden="1"/>
    <cellStyle name="Lien hypertexte visité" xfId="14173" builtinId="9" hidden="1"/>
    <cellStyle name="Lien hypertexte visité" xfId="12445" builtinId="9" hidden="1"/>
    <cellStyle name="Lien hypertexte visité" xfId="11101" builtinId="9" hidden="1"/>
    <cellStyle name="Lien hypertexte visité" xfId="9373" builtinId="9" hidden="1"/>
    <cellStyle name="Lien hypertexte visité" xfId="8029" builtinId="9" hidden="1"/>
    <cellStyle name="Lien hypertexte visité" xfId="6300" builtinId="9" hidden="1"/>
    <cellStyle name="Lien hypertexte visité" xfId="4636" builtinId="9" hidden="1"/>
    <cellStyle name="Lien hypertexte visité" xfId="3222" builtinId="9" hidden="1"/>
    <cellStyle name="Lien hypertexte visité" xfId="1558" builtinId="9" hidden="1"/>
    <cellStyle name="Lien hypertexte visité" xfId="835" builtinId="9" hidden="1"/>
    <cellStyle name="Lien hypertexte visité" xfId="2664" builtinId="9" hidden="1"/>
    <cellStyle name="Lien hypertexte visité" xfId="4078" builtinId="9" hidden="1"/>
    <cellStyle name="Lien hypertexte visité" xfId="5742" builtinId="9" hidden="1"/>
    <cellStyle name="Lien hypertexte visité" xfId="7470" builtinId="9" hidden="1"/>
    <cellStyle name="Lien hypertexte visité" xfId="8815" builtinId="9" hidden="1"/>
    <cellStyle name="Lien hypertexte visité" xfId="10543" builtinId="9" hidden="1"/>
    <cellStyle name="Lien hypertexte visité" xfId="11887" builtinId="9" hidden="1"/>
    <cellStyle name="Lien hypertexte visité" xfId="13615" builtinId="9" hidden="1"/>
    <cellStyle name="Lien hypertexte visité" xfId="15403" builtinId="9" hidden="1"/>
    <cellStyle name="Lien hypertexte visité" xfId="8734" builtinId="9" hidden="1"/>
    <cellStyle name="Lien hypertexte visité" xfId="9886" builtinId="9" hidden="1"/>
    <cellStyle name="Lien hypertexte visité" xfId="10782" builtinId="9" hidden="1"/>
    <cellStyle name="Lien hypertexte visité" xfId="11934" builtinId="9" hidden="1"/>
    <cellStyle name="Lien hypertexte visité" xfId="12830" builtinId="9" hidden="1"/>
    <cellStyle name="Lien hypertexte visité" xfId="13982" builtinId="9" hidden="1"/>
    <cellStyle name="Lien hypertexte visité" xfId="15241" builtinId="9" hidden="1"/>
    <cellStyle name="Lien hypertexte visité" xfId="17545" builtinId="9" hidden="1"/>
    <cellStyle name="Lien hypertexte visité" xfId="19744" builtinId="9" hidden="1"/>
    <cellStyle name="Lien hypertexte visité" xfId="21624" builtinId="9" hidden="1"/>
    <cellStyle name="Lien hypertexte visité" xfId="23840" builtinId="9" hidden="1"/>
    <cellStyle name="Lien hypertexte visité" xfId="23506" builtinId="9" hidden="1"/>
    <cellStyle name="Lien hypertexte visité" xfId="21290" builtinId="9" hidden="1"/>
    <cellStyle name="Lien hypertexte visité" xfId="19410" builtinId="9" hidden="1"/>
    <cellStyle name="Lien hypertexte visité" xfId="17611" builtinId="9" hidden="1"/>
    <cellStyle name="Lien hypertexte visité" xfId="24506" builtinId="9" hidden="1"/>
    <cellStyle name="Lien hypertexte visité" xfId="19344" builtinId="9" hidden="1"/>
    <cellStyle name="Lien hypertexte visité" xfId="13482" builtinId="9" hidden="1"/>
    <cellStyle name="Lien hypertexte visité" xfId="10794" builtinId="9" hidden="1"/>
    <cellStyle name="Lien hypertexte visité" xfId="4177" builtinId="9" hidden="1"/>
    <cellStyle name="Lien hypertexte visité" xfId="4945" builtinId="9" hidden="1"/>
    <cellStyle name="Lien hypertexte visité" xfId="5933" builtinId="9" hidden="1"/>
    <cellStyle name="Lien hypertexte visité" xfId="6917" builtinId="9" hidden="1"/>
    <cellStyle name="Lien hypertexte visité" xfId="7685" builtinId="9" hidden="1"/>
    <cellStyle name="Lien hypertexte visité" xfId="5001" builtinId="9" hidden="1"/>
    <cellStyle name="Lien hypertexte visité" xfId="2779" builtinId="9" hidden="1"/>
    <cellStyle name="Lien hypertexte visité" xfId="3708" builtinId="9" hidden="1"/>
    <cellStyle name="Lien hypertexte visité" xfId="1799" builtinId="9" hidden="1"/>
    <cellStyle name="Lien hypertexte visité" xfId="753" builtinId="9" hidden="1"/>
    <cellStyle name="Lien hypertexte visité" xfId="1234" builtinId="9" hidden="1"/>
    <cellStyle name="Lien hypertexte visité" xfId="1679" builtinId="9" hidden="1"/>
    <cellStyle name="Lien hypertexte visité" xfId="3407" builtinId="9" hidden="1"/>
    <cellStyle name="Lien hypertexte visité" xfId="2655" builtinId="9" hidden="1"/>
    <cellStyle name="Lien hypertexte visité" xfId="7209" builtinId="9" hidden="1"/>
    <cellStyle name="Lien hypertexte visité" xfId="7553" builtinId="9" hidden="1"/>
    <cellStyle name="Lien hypertexte visité" xfId="6605" builtinId="9" hidden="1"/>
    <cellStyle name="Lien hypertexte visité" xfId="5617" builtinId="9" hidden="1"/>
    <cellStyle name="Lien hypertexte visité" xfId="4849" builtinId="9" hidden="1"/>
    <cellStyle name="Lien hypertexte visité" xfId="8442" builtinId="9" hidden="1"/>
    <cellStyle name="Lien hypertexte visité" xfId="11130" builtinId="9" hidden="1"/>
    <cellStyle name="Lien hypertexte visité" xfId="16887" builtinId="9" hidden="1"/>
    <cellStyle name="Lien hypertexte visité" xfId="15095" builtinId="9" hidden="1"/>
    <cellStyle name="Lien hypertexte visité" xfId="13653" builtinId="9" hidden="1"/>
    <cellStyle name="Lien hypertexte visité" xfId="12501" builtinId="9" hidden="1"/>
    <cellStyle name="Lien hypertexte visité" xfId="11605" builtinId="9" hidden="1"/>
    <cellStyle name="Lien hypertexte visité" xfId="10453" builtinId="9" hidden="1"/>
    <cellStyle name="Lien hypertexte visité" xfId="9557" builtinId="9" hidden="1"/>
    <cellStyle name="Lien hypertexte visité" xfId="8405" builtinId="9" hidden="1"/>
    <cellStyle name="Lien hypertexte visité" xfId="7508" builtinId="9" hidden="1"/>
    <cellStyle name="Lien hypertexte visité" xfId="6356" builtinId="9" hidden="1"/>
    <cellStyle name="Lien hypertexte visité" xfId="5252" builtinId="9" hidden="1"/>
    <cellStyle name="Lien hypertexte visité" xfId="4308" builtinId="9" hidden="1"/>
    <cellStyle name="Lien hypertexte visité" xfId="3198" builtinId="9" hidden="1"/>
    <cellStyle name="Lien hypertexte visité" xfId="2254" builtinId="9" hidden="1"/>
    <cellStyle name="Lien hypertexte visité" xfId="1135" builtinId="9" hidden="1"/>
    <cellStyle name="Lien hypertexte visité" xfId="723" builtinId="9" hidden="1"/>
    <cellStyle name="Lien hypertexte visité" xfId="2048" builtinId="9" hidden="1"/>
    <cellStyle name="Lien hypertexte visité" xfId="3200" builtinId="9" hidden="1"/>
    <cellStyle name="Lien hypertexte visité" xfId="4102" builtinId="9" hidden="1"/>
    <cellStyle name="Lien hypertexte visité" xfId="5254" builtinId="9" hidden="1"/>
    <cellStyle name="Lien hypertexte visité" xfId="6150" builtinId="9" hidden="1"/>
    <cellStyle name="Lien hypertexte visité" xfId="7302" builtinId="9" hidden="1"/>
    <cellStyle name="Lien hypertexte visité" xfId="8199" builtinId="9" hidden="1"/>
    <cellStyle name="Lien hypertexte visité" xfId="9351" builtinId="9" hidden="1"/>
    <cellStyle name="Lien hypertexte visité" xfId="10503" builtinId="9" hidden="1"/>
    <cellStyle name="Lien hypertexte visité" xfId="11399" builtinId="9" hidden="1"/>
    <cellStyle name="Lien hypertexte visité" xfId="12551" builtinId="9" hidden="1"/>
    <cellStyle name="Lien hypertexte visité" xfId="13447" builtinId="9" hidden="1"/>
    <cellStyle name="Lien hypertexte visité" xfId="14683" builtinId="9" hidden="1"/>
    <cellStyle name="Lien hypertexte visité" xfId="16475" builtinId="9" hidden="1"/>
    <cellStyle name="Lien hypertexte visité" xfId="8706" builtinId="9" hidden="1"/>
    <cellStyle name="Lien hypertexte visité" xfId="9442" builtinId="9" hidden="1"/>
    <cellStyle name="Lien hypertexte visité" xfId="10070" builtinId="9" hidden="1"/>
    <cellStyle name="Lien hypertexte visité" xfId="10806" builtinId="9" hidden="1"/>
    <cellStyle name="Lien hypertexte visité" xfId="11438" builtinId="9" hidden="1"/>
    <cellStyle name="Lien hypertexte visité" xfId="12174" builtinId="9" hidden="1"/>
    <cellStyle name="Lien hypertexte visité" xfId="12802" builtinId="9" hidden="1"/>
    <cellStyle name="Lien hypertexte visité" xfId="13538" builtinId="9" hidden="1"/>
    <cellStyle name="Lien hypertexte visité" xfId="14306" builtinId="9" hidden="1"/>
    <cellStyle name="Lien hypertexte visité" xfId="15289" builtinId="9" hidden="1"/>
    <cellStyle name="Lien hypertexte visité" xfId="16825" builtinId="9" hidden="1"/>
    <cellStyle name="Lien hypertexte visité" xfId="18025" builtinId="9" hidden="1"/>
    <cellStyle name="Lien hypertexte visité" xfId="19544" builtinId="9" hidden="1"/>
    <cellStyle name="Lien hypertexte visité" xfId="20736" builtinId="9" hidden="1"/>
    <cellStyle name="Lien hypertexte visité" xfId="22272" builtinId="9" hidden="1"/>
    <cellStyle name="Lien hypertexte visité" xfId="23808" builtinId="9" hidden="1"/>
    <cellStyle name="Lien hypertexte visité" xfId="24226" builtinId="9" hidden="1"/>
    <cellStyle name="Lien hypertexte visité" xfId="22690" builtinId="9" hidden="1"/>
    <cellStyle name="Lien hypertexte visité" xfId="21490" builtinId="9" hidden="1"/>
    <cellStyle name="Lien hypertexte visité" xfId="19954" builtinId="9" hidden="1"/>
    <cellStyle name="Lien hypertexte visité" xfId="18762" builtinId="9" hidden="1"/>
    <cellStyle name="Lien hypertexte visité" xfId="17515" builtinId="9" hidden="1"/>
    <cellStyle name="Lien hypertexte visité" xfId="21978" builtinId="9" hidden="1"/>
    <cellStyle name="Lien hypertexte visité" xfId="23536" builtinId="9" hidden="1"/>
    <cellStyle name="Lien hypertexte visité" xfId="19056" builtinId="9" hidden="1"/>
    <cellStyle name="Lien hypertexte visité" xfId="15361" builtinId="9" hidden="1"/>
    <cellStyle name="Lien hypertexte visité" xfId="12698" builtinId="9" hidden="1"/>
    <cellStyle name="Lien hypertexte visité" xfId="12602" builtinId="9" hidden="1"/>
    <cellStyle name="Lien hypertexte visité" xfId="23984" builtinId="9" hidden="1"/>
    <cellStyle name="Lien hypertexte visité" xfId="19250" builtinId="9" hidden="1"/>
    <cellStyle name="Lien hypertexte visité" xfId="22834" builtinId="9" hidden="1"/>
    <cellStyle name="Lien hypertexte visité" xfId="21784" builtinId="9" hidden="1"/>
    <cellStyle name="Lien hypertexte visité" xfId="18217" builtinId="9" hidden="1"/>
    <cellStyle name="Lien hypertexte visité" xfId="14062" builtinId="9" hidden="1"/>
    <cellStyle name="Lien hypertexte visité" xfId="12270" builtinId="9" hidden="1"/>
    <cellStyle name="Lien hypertexte visité" xfId="9966" builtinId="9" hidden="1"/>
    <cellStyle name="Lien hypertexte visité" xfId="15643" builtinId="9" hidden="1"/>
    <cellStyle name="Lien hypertexte visité" xfId="12391" builtinId="9" hidden="1"/>
    <cellStyle name="Lien hypertexte visité" xfId="8935" builtinId="9" hidden="1"/>
    <cellStyle name="Lien hypertexte visité" xfId="6246" builtinId="9" hidden="1"/>
    <cellStyle name="Lien hypertexte visité" xfId="2784" builtinId="9" hidden="1"/>
    <cellStyle name="Lien hypertexte visité" xfId="943" builtinId="9" hidden="1"/>
    <cellStyle name="Lien hypertexte visité" xfId="4516" builtinId="9" hidden="1"/>
    <cellStyle name="Lien hypertexte visité" xfId="6502" builtinId="9" hidden="1"/>
    <cellStyle name="Lien hypertexte visité" xfId="14875" builtinId="9" hidden="1"/>
    <cellStyle name="Lien hypertexte visité" xfId="14230" builtinId="9" hidden="1"/>
    <cellStyle name="Lien hypertexte visité" xfId="24370" builtinId="9" hidden="1"/>
    <cellStyle name="Lien hypertexte visité" xfId="13370" builtinId="9" hidden="1"/>
    <cellStyle name="Lien hypertexte visité" xfId="17537" builtinId="9" hidden="1"/>
    <cellStyle name="Lien hypertexte visité" xfId="18027" builtinId="9" hidden="1"/>
    <cellStyle name="Lien hypertexte visité" xfId="21602" builtinId="9" hidden="1"/>
    <cellStyle name="Lien hypertexte visité" xfId="23976" builtinId="9" hidden="1"/>
    <cellStyle name="Lien hypertexte visité" xfId="19432" builtinId="9" hidden="1"/>
    <cellStyle name="Lien hypertexte visité" xfId="15801" builtinId="9" hidden="1"/>
    <cellStyle name="Lien hypertexte visité" xfId="12886" builtinId="9" hidden="1"/>
    <cellStyle name="Lien hypertexte visité" xfId="11062" builtinId="9" hidden="1"/>
    <cellStyle name="Lien hypertexte visité" xfId="8790" builtinId="9" hidden="1"/>
    <cellStyle name="Lien hypertexte visité" xfId="13367" builtinId="9" hidden="1"/>
    <cellStyle name="Lien hypertexte visité" xfId="10631" builtinId="9" hidden="1"/>
    <cellStyle name="Lien hypertexte visité" xfId="7222" builtinId="9" hidden="1"/>
    <cellStyle name="Lien hypertexte visité" xfId="4486" builtinId="9" hidden="1"/>
    <cellStyle name="Lien hypertexte visité" xfId="979" builtinId="9" hidden="1"/>
    <cellStyle name="Lien hypertexte visité" xfId="2814" builtinId="9" hidden="1"/>
    <cellStyle name="Lien hypertexte visité" xfId="6228" builtinId="9" hidden="1"/>
    <cellStyle name="Lien hypertexte visité" xfId="9653" builtinId="9" hidden="1"/>
    <cellStyle name="Lien hypertexte visité" xfId="12373" builtinId="9" hidden="1"/>
    <cellStyle name="Lien hypertexte visité" xfId="17079" builtinId="9" hidden="1"/>
    <cellStyle name="Lien hypertexte visité" xfId="4517" builtinId="9" hidden="1"/>
    <cellStyle name="Lien hypertexte visité" xfId="7445" builtinId="9" hidden="1"/>
    <cellStyle name="Lien hypertexte visité" xfId="3099" builtinId="9" hidden="1"/>
    <cellStyle name="Lien hypertexte visité" xfId="945" builtinId="9" hidden="1"/>
    <cellStyle name="Lien hypertexte visité" xfId="2711" builtinId="9" hidden="1"/>
    <cellStyle name="Lien hypertexte visité" xfId="7029" builtinId="9" hidden="1"/>
    <cellStyle name="Lien hypertexte visité" xfId="4101" builtinId="9" hidden="1"/>
    <cellStyle name="Lien hypertexte visité" xfId="17057" builtinId="9" hidden="1"/>
    <cellStyle name="Lien hypertexte visité" xfId="19154" builtinId="9" hidden="1"/>
    <cellStyle name="Lien hypertexte visité" xfId="24608" builtinId="9" hidden="1"/>
    <cellStyle name="Lien hypertexte visité" xfId="17801" builtinId="9" hidden="1"/>
    <cellStyle name="Lien hypertexte visité" xfId="12742" builtinId="9" hidden="1"/>
    <cellStyle name="Lien hypertexte visité" xfId="10014" builtinId="9" hidden="1"/>
    <cellStyle name="Lien hypertexte visité" xfId="13487" builtinId="9" hidden="1"/>
    <cellStyle name="Lien hypertexte visité" xfId="9391" builtinId="9" hidden="1"/>
    <cellStyle name="Lien hypertexte visité" xfId="4270" builtinId="9" hidden="1"/>
    <cellStyle name="Lien hypertexte visité" xfId="799" builtinId="9" hidden="1"/>
    <cellStyle name="Lien hypertexte visité" xfId="6108" builtinId="9" hidden="1"/>
    <cellStyle name="Lien hypertexte visité" xfId="11229" builtinId="9" hidden="1"/>
    <cellStyle name="Lien hypertexte visité" xfId="16135" builtinId="9" hidden="1"/>
    <cellStyle name="Lien hypertexte visité" xfId="22868" builtinId="9" hidden="1"/>
    <cellStyle name="Lien hypertexte visité" xfId="14693" builtinId="9" hidden="1"/>
    <cellStyle name="Lien hypertexte visité" xfId="9484" builtinId="9" hidden="1"/>
    <cellStyle name="Lien hypertexte visité" xfId="5387" builtinId="9" hidden="1"/>
    <cellStyle name="Lien hypertexte visité" xfId="613" builtinId="9" hidden="1"/>
    <cellStyle name="Lien hypertexte visité" xfId="6015" builtinId="9" hidden="1"/>
    <cellStyle name="Lien hypertexte visité" xfId="1031" builtinId="9" hidden="1"/>
    <cellStyle name="Lien hypertexte visité" xfId="3364" builtinId="9" hidden="1"/>
    <cellStyle name="Lien hypertexte visité" xfId="4026" builtinId="9" hidden="1"/>
    <cellStyle name="Lien hypertexte visité" xfId="4866" builtinId="9" hidden="1"/>
    <cellStyle name="Lien hypertexte visité" xfId="5522" builtinId="9" hidden="1"/>
    <cellStyle name="Lien hypertexte visité" xfId="6362" builtinId="9" hidden="1"/>
    <cellStyle name="Lien hypertexte visité" xfId="7210" builtinId="9" hidden="1"/>
    <cellStyle name="Lien hypertexte visité" xfId="7867" builtinId="9" hidden="1"/>
    <cellStyle name="Lien hypertexte visité" xfId="8707" builtinId="9" hidden="1"/>
    <cellStyle name="Lien hypertexte visité" xfId="9363" builtinId="9" hidden="1"/>
    <cellStyle name="Lien hypertexte visité" xfId="2786" builtinId="9" hidden="1"/>
    <cellStyle name="Lien hypertexte visité" xfId="5096" builtinId="9" hidden="1"/>
    <cellStyle name="Lien hypertexte visité" xfId="8041" builtinId="9" hidden="1"/>
    <cellStyle name="Lien hypertexte visité" xfId="10985" builtinId="9" hidden="1"/>
    <cellStyle name="Lien hypertexte visité" xfId="13289" builtinId="9" hidden="1"/>
    <cellStyle name="Lien hypertexte visité" xfId="17951" builtinId="9" hidden="1"/>
    <cellStyle name="Lien hypertexte visité" xfId="22798" builtinId="9" hidden="1"/>
    <cellStyle name="Lien hypertexte visité" xfId="20796" builtinId="9" hidden="1"/>
    <cellStyle name="Lien hypertexte visité" xfId="15949" builtinId="9" hidden="1"/>
    <cellStyle name="Lien hypertexte visité" xfId="12288" builtinId="9" hidden="1"/>
    <cellStyle name="Lien hypertexte visité" xfId="9472" builtinId="9" hidden="1"/>
    <cellStyle name="Lien hypertexte visité" xfId="9456" builtinId="9" hidden="1"/>
    <cellStyle name="Lien hypertexte visité" xfId="10440" builtinId="9" hidden="1"/>
    <cellStyle name="Lien hypertexte visité" xfId="11208" builtinId="9" hidden="1"/>
    <cellStyle name="Lien hypertexte visité" xfId="12184" builtinId="9" hidden="1"/>
    <cellStyle name="Lien hypertexte visité" xfId="12952" builtinId="9" hidden="1"/>
    <cellStyle name="Lien hypertexte visité" xfId="13936" builtinId="9" hidden="1"/>
    <cellStyle name="Lien hypertexte visité" xfId="15325" builtinId="9" hidden="1"/>
    <cellStyle name="Lien hypertexte visité" xfId="16861" builtinId="9" hidden="1"/>
    <cellStyle name="Lien hypertexte visité" xfId="18796" builtinId="9" hidden="1"/>
    <cellStyle name="Lien hypertexte visité" xfId="20332" builtinId="9" hidden="1"/>
    <cellStyle name="Lien hypertexte visité" xfId="22300" builtinId="9" hidden="1"/>
    <cellStyle name="Lien hypertexte visité" xfId="23836" builtinId="9" hidden="1"/>
    <cellStyle name="Lien hypertexte visité" xfId="23422" builtinId="9" hidden="1"/>
    <cellStyle name="Lien hypertexte visité" xfId="21470" builtinId="9" hidden="1"/>
    <cellStyle name="Lien hypertexte visité" xfId="19934" builtinId="9" hidden="1"/>
    <cellStyle name="Lien hypertexte visité" xfId="17983" builtinId="9" hidden="1"/>
    <cellStyle name="Lien hypertexte visité" xfId="16447" builtinId="9" hidden="1"/>
    <cellStyle name="Lien hypertexte visité" xfId="14497" builtinId="9" hidden="1"/>
    <cellStyle name="Lien hypertexte visité" xfId="13689" builtinId="9" hidden="1"/>
    <cellStyle name="Lien hypertexte visité" xfId="12753" builtinId="9" hidden="1"/>
    <cellStyle name="Lien hypertexte visité" xfId="1412" builtinId="9" hidden="1"/>
    <cellStyle name="Lien hypertexte visité" xfId="5183" builtinId="9" hidden="1"/>
    <cellStyle name="Lien hypertexte visité" xfId="1481" builtinId="9" hidden="1"/>
    <cellStyle name="Lien hypertexte visité" xfId="5283" builtinId="9" hidden="1"/>
    <cellStyle name="Lien hypertexte visité" xfId="9956" builtinId="9" hidden="1"/>
    <cellStyle name="Lien hypertexte visité" xfId="14773" builtinId="9" hidden="1"/>
    <cellStyle name="Lien hypertexte visité" xfId="24100" builtinId="9" hidden="1"/>
    <cellStyle name="Lien hypertexte visité" xfId="10628" builtinId="9" hidden="1"/>
    <cellStyle name="Lien hypertexte visité" xfId="1949" builtinId="9" hidden="1"/>
    <cellStyle name="Lien hypertexte visité" xfId="5287" builtinId="9" hidden="1"/>
    <cellStyle name="Lien hypertexte visité" xfId="7976" builtinId="9" hidden="1"/>
    <cellStyle name="Lien hypertexte visité" xfId="7367" builtinId="9" hidden="1"/>
    <cellStyle name="Lien hypertexte visité" xfId="4643" builtinId="9" hidden="1"/>
    <cellStyle name="Lien hypertexte visité" xfId="597" builtinId="9" hidden="1"/>
    <cellStyle name="Lien hypertexte visité" xfId="19366" builtinId="9" hidden="1"/>
    <cellStyle name="Lien hypertexte visité" xfId="20484" builtinId="9" hidden="1"/>
    <cellStyle name="Lien hypertexte visité" xfId="12836" builtinId="9" hidden="1"/>
    <cellStyle name="Lien hypertexte visité" xfId="8148" builtinId="9" hidden="1"/>
    <cellStyle name="Lien hypertexte visité" xfId="10853" builtinId="9" hidden="1"/>
    <cellStyle name="Lien hypertexte visité" xfId="6694" builtinId="9" hidden="1"/>
    <cellStyle name="Lien hypertexte visité" xfId="12994" builtinId="9" hidden="1"/>
    <cellStyle name="Lien hypertexte visité" xfId="21402" builtinId="9" hidden="1"/>
    <cellStyle name="Lien hypertexte visité" xfId="23280" builtinId="9" hidden="1"/>
    <cellStyle name="Lien hypertexte visité" xfId="21682" builtinId="9" hidden="1"/>
    <cellStyle name="Lien hypertexte visité" xfId="20264" builtinId="9" hidden="1"/>
    <cellStyle name="Lien hypertexte visité" xfId="13750" builtinId="9" hidden="1"/>
    <cellStyle name="Lien hypertexte visité" xfId="10114" builtinId="9" hidden="1"/>
    <cellStyle name="Lien hypertexte visité" xfId="13303" builtinId="9" hidden="1"/>
    <cellStyle name="Lien hypertexte visité" xfId="7831" builtinId="9" hidden="1"/>
    <cellStyle name="Lien hypertexte visité" xfId="2368" builtinId="9" hidden="1"/>
    <cellStyle name="Lien hypertexte visité" xfId="4244" builtinId="9" hidden="1"/>
    <cellStyle name="Lien hypertexte visité" xfId="9717" builtinId="9" hidden="1"/>
    <cellStyle name="Lien hypertexte visité" xfId="15831" builtinId="9" hidden="1"/>
    <cellStyle name="Lien hypertexte visité" xfId="6329" builtinId="9" hidden="1"/>
    <cellStyle name="Lien hypertexte visité" xfId="1631" builtinId="9" hidden="1"/>
    <cellStyle name="Lien hypertexte visité" xfId="2659" builtinId="9" hidden="1"/>
    <cellStyle name="Lien hypertexte visité" xfId="4633" builtinId="9" hidden="1"/>
    <cellStyle name="Lien hypertexte visité" xfId="19514" builtinId="9" hidden="1"/>
    <cellStyle name="Lien hypertexte visité" xfId="21752" builtinId="9" hidden="1"/>
    <cellStyle name="Lien hypertexte visité" xfId="12678" builtinId="9" hidden="1"/>
    <cellStyle name="Lien hypertexte visité" xfId="14415" builtinId="9" hidden="1"/>
    <cellStyle name="Lien hypertexte visité" xfId="6222" builtinId="9" hidden="1"/>
    <cellStyle name="Lien hypertexte visité" xfId="3126" builtinId="9" hidden="1"/>
    <cellStyle name="Lien hypertexte visité" xfId="11325" builtinId="9" hidden="1"/>
    <cellStyle name="Lien hypertexte visité" xfId="24502" builtinId="9" hidden="1"/>
    <cellStyle name="Lien hypertexte visité" xfId="11436" builtinId="9" hidden="1"/>
    <cellStyle name="Lien hypertexte visité" xfId="3237" builtinId="9" hidden="1"/>
    <cellStyle name="Lien hypertexte visité" xfId="6111" builtinId="9" hidden="1"/>
    <cellStyle name="Lien hypertexte visité" xfId="3900" builtinId="9" hidden="1"/>
    <cellStyle name="Lien hypertexte visité" xfId="9361" builtinId="9" hidden="1"/>
    <cellStyle name="Lien hypertexte visité" xfId="15119" builtinId="9" hidden="1"/>
    <cellStyle name="Lien hypertexte visité" xfId="23196" builtinId="9" hidden="1"/>
    <cellStyle name="Lien hypertexte visité" xfId="13400" builtinId="9" hidden="1"/>
    <cellStyle name="Lien hypertexte visité" xfId="11584" builtinId="9" hidden="1"/>
    <cellStyle name="Lien hypertexte visité" xfId="11177" builtinId="9" hidden="1"/>
    <cellStyle name="Lien hypertexte visité" xfId="7923" builtinId="9" hidden="1"/>
    <cellStyle name="Lien hypertexte visité" xfId="3236" builtinId="9" hidden="1"/>
    <cellStyle name="Lien hypertexte visité" xfId="11867" builtinId="9" hidden="1"/>
    <cellStyle name="Lien hypertexte visité" xfId="15699" builtinId="9" hidden="1"/>
    <cellStyle name="Lien hypertexte visité" xfId="14195" builtinId="9" hidden="1"/>
    <cellStyle name="Lien hypertexte visité" xfId="6242" builtinId="9" hidden="1"/>
    <cellStyle name="Lien hypertexte visité" xfId="4818" builtinId="9" hidden="1"/>
    <cellStyle name="Lien hypertexte visité" xfId="491" builtinId="9" hidden="1"/>
    <cellStyle name="Lien hypertexte visité" xfId="14015" builtinId="9" hidden="1"/>
    <cellStyle name="Lien hypertexte visité" xfId="8543" builtinId="9" hidden="1"/>
    <cellStyle name="Lien hypertexte visité" xfId="3064" builtinId="9" hidden="1"/>
    <cellStyle name="Lien hypertexte visité" xfId="3526" builtinId="9" hidden="1"/>
    <cellStyle name="Lien hypertexte visité" xfId="9005" builtinId="9" hidden="1"/>
    <cellStyle name="Lien hypertexte visité" xfId="14477" builtinId="9" hidden="1"/>
    <cellStyle name="Lien hypertexte visité" xfId="23924" builtinId="9" hidden="1"/>
    <cellStyle name="Lien hypertexte visité" xfId="13756" builtinId="9" hidden="1"/>
    <cellStyle name="Lien hypertexte visité" xfId="8284" builtinId="9" hidden="1"/>
    <cellStyle name="Lien hypertexte visité" xfId="2837" builtinId="9" hidden="1"/>
    <cellStyle name="Lien hypertexte visité" xfId="3794" builtinId="9" hidden="1"/>
    <cellStyle name="Lien hypertexte visité" xfId="97" builtinId="9" hidden="1"/>
    <cellStyle name="Lien hypertexte visité" xfId="4160" builtinId="9" hidden="1"/>
    <cellStyle name="Lien hypertexte visité" xfId="7809" builtinId="9" hidden="1"/>
    <cellStyle name="Lien hypertexte visité" xfId="11457" builtinId="9" hidden="1"/>
    <cellStyle name="Lien hypertexte visité" xfId="15663" builtinId="9" hidden="1"/>
    <cellStyle name="Lien hypertexte visité" xfId="22942" builtinId="9" hidden="1"/>
    <cellStyle name="Lien hypertexte visité" xfId="18988" builtinId="9" hidden="1"/>
    <cellStyle name="Lien hypertexte visité" xfId="13136" builtinId="9" hidden="1"/>
    <cellStyle name="Lien hypertexte visité" xfId="9488" builtinId="9" hidden="1"/>
    <cellStyle name="Lien hypertexte visité" xfId="21244" builtinId="9" hidden="1"/>
    <cellStyle name="Lien hypertexte visité" xfId="10377" builtinId="9" hidden="1"/>
    <cellStyle name="Lien hypertexte visité" xfId="11936" builtinId="9" hidden="1"/>
    <cellStyle name="Lien hypertexte visité" xfId="22956" builtinId="9" hidden="1"/>
    <cellStyle name="Lien hypertexte visité" xfId="9473" builtinId="9" hidden="1"/>
    <cellStyle name="Lien hypertexte visité" xfId="6287" builtinId="9" hidden="1"/>
    <cellStyle name="Lien hypertexte visité" xfId="11260" builtinId="9" hidden="1"/>
    <cellStyle name="Lien hypertexte visité" xfId="11501" builtinId="9" hidden="1"/>
    <cellStyle name="Lien hypertexte visité" xfId="6046" builtinId="9" hidden="1"/>
    <cellStyle name="Lien hypertexte visité" xfId="6453" builtinId="9" hidden="1"/>
    <cellStyle name="Lien hypertexte visité" xfId="8778" builtinId="9" hidden="1"/>
    <cellStyle name="Lien hypertexte visité" xfId="21712" builtinId="9" hidden="1"/>
    <cellStyle name="Lien hypertexte visité" xfId="20114" builtinId="9" hidden="1"/>
    <cellStyle name="Lien hypertexte visité" xfId="22840" builtinId="9" hidden="1"/>
    <cellStyle name="Lien hypertexte visité" xfId="16625" builtinId="9" hidden="1"/>
    <cellStyle name="Lien hypertexte visité" xfId="12454" builtinId="9" hidden="1"/>
    <cellStyle name="Lien hypertexte visité" xfId="9342" builtinId="9" hidden="1"/>
    <cellStyle name="Lien hypertexte visité" xfId="5849" builtinId="9" hidden="1"/>
    <cellStyle name="Lien hypertexte visité" xfId="825" builtinId="9" hidden="1"/>
    <cellStyle name="Lien hypertexte visité" xfId="3572" builtinId="9" hidden="1"/>
    <cellStyle name="Lien hypertexte visité" xfId="7789" builtinId="9" hidden="1"/>
    <cellStyle name="Lien hypertexte visité" xfId="7765" builtinId="9" hidden="1"/>
    <cellStyle name="Lien hypertexte visité" xfId="4821" builtinId="9" hidden="1"/>
    <cellStyle name="Lien hypertexte visité" xfId="4657" builtinId="9" hidden="1"/>
    <cellStyle name="Lien hypertexte visité" xfId="3981" builtinId="9" hidden="1"/>
    <cellStyle name="Lien hypertexte visité" xfId="2799" builtinId="9" hidden="1"/>
    <cellStyle name="Lien hypertexte visité" xfId="7053" builtinId="9" hidden="1"/>
    <cellStyle name="Lien hypertexte visité" xfId="6089" builtinId="9" hidden="1"/>
    <cellStyle name="Lien hypertexte visité" xfId="1627" builtinId="9" hidden="1"/>
    <cellStyle name="Lien hypertexte visité" xfId="2067" builtinId="9" hidden="1"/>
    <cellStyle name="Lien hypertexte visité" xfId="22906" builtinId="9" hidden="1"/>
    <cellStyle name="Lien hypertexte visité" xfId="10238" builtinId="9" hidden="1"/>
    <cellStyle name="Lien hypertexte visité" xfId="13350" builtinId="9" hidden="1"/>
    <cellStyle name="Lien hypertexte visité" xfId="18400" builtinId="9" hidden="1"/>
    <cellStyle name="Lien hypertexte visité" xfId="24554" builtinId="9" hidden="1"/>
    <cellStyle name="Lien hypertexte visité" xfId="18324" builtinId="9" hidden="1"/>
    <cellStyle name="Lien hypertexte visité" xfId="16353" builtinId="9" hidden="1"/>
    <cellStyle name="Lien hypertexte visité" xfId="4549" builtinId="9" hidden="1"/>
    <cellStyle name="Lien hypertexte visité" xfId="7221" builtinId="9" hidden="1"/>
    <cellStyle name="Lien hypertexte visité" xfId="1303" builtinId="9" hidden="1"/>
    <cellStyle name="Lien hypertexte visité" xfId="14551" builtinId="9" hidden="1"/>
    <cellStyle name="Lien hypertexte visité" xfId="4173" builtinId="9" hidden="1"/>
    <cellStyle name="Lien hypertexte visité" xfId="7317" builtinId="9" hidden="1"/>
    <cellStyle name="Lien hypertexte visité" xfId="3740" builtinId="9" hidden="1"/>
    <cellStyle name="Lien hypertexte visité" xfId="2047" builtinId="9" hidden="1"/>
    <cellStyle name="Lien hypertexte visité" xfId="7433" builtinId="9" hidden="1"/>
    <cellStyle name="Lien hypertexte visité" xfId="5181" builtinId="9" hidden="1"/>
    <cellStyle name="Lien hypertexte visité" xfId="14625" builtinId="9" hidden="1"/>
    <cellStyle name="Lien hypertexte visité" xfId="18858" builtinId="9" hidden="1"/>
    <cellStyle name="Lien hypertexte visité" xfId="23032" builtinId="9" hidden="1"/>
    <cellStyle name="Lien hypertexte visité" xfId="15881" builtinId="9" hidden="1"/>
    <cellStyle name="Lien hypertexte visité" xfId="11526" builtinId="9" hidden="1"/>
    <cellStyle name="Lien hypertexte visité" xfId="16235" builtinId="9" hidden="1"/>
    <cellStyle name="Lien hypertexte visité" xfId="9999" builtinId="9" hidden="1"/>
    <cellStyle name="Lien hypertexte visité" xfId="4494" builtinId="9" hidden="1"/>
    <cellStyle name="Lien hypertexte visité" xfId="2166" builtinId="9" hidden="1"/>
    <cellStyle name="Lien hypertexte visité" xfId="7548" builtinId="9" hidden="1"/>
    <cellStyle name="Lien hypertexte visité" xfId="13053" builtinId="9" hidden="1"/>
    <cellStyle name="Lien hypertexte visité" xfId="22582" builtinId="9" hidden="1"/>
    <cellStyle name="Lien hypertexte visité" xfId="15909" builtinId="9" hidden="1"/>
    <cellStyle name="Lien hypertexte visité" xfId="9708" builtinId="9" hidden="1"/>
    <cellStyle name="Lien hypertexte visité" xfId="4203" builtinId="9" hidden="1"/>
    <cellStyle name="Lien hypertexte visité" xfId="2329" builtinId="9" hidden="1"/>
    <cellStyle name="Lien hypertexte visité" xfId="7840" builtinId="9" hidden="1"/>
    <cellStyle name="Lien hypertexte visité" xfId="3250" builtinId="9" hidden="1"/>
    <cellStyle name="Lien hypertexte visité" xfId="6840" builtinId="9" hidden="1"/>
    <cellStyle name="Lien hypertexte visité" xfId="10513" builtinId="9" hidden="1"/>
    <cellStyle name="Lien hypertexte visité" xfId="14177" builtinId="9" hidden="1"/>
    <cellStyle name="Lien hypertexte visité" xfId="20990" builtinId="9" hidden="1"/>
    <cellStyle name="Lien hypertexte visité" xfId="20892" builtinId="9" hidden="1"/>
    <cellStyle name="Lien hypertexte visité" xfId="14040" builtinId="9" hidden="1"/>
    <cellStyle name="Lien hypertexte visité" xfId="10456" builtinId="9" hidden="1"/>
    <cellStyle name="Lien hypertexte visité" xfId="15565" builtinId="9" hidden="1"/>
    <cellStyle name="Lien hypertexte visité" xfId="13097" builtinId="9" hidden="1"/>
    <cellStyle name="Lien hypertexte visité" xfId="2338" builtinId="9" hidden="1"/>
    <cellStyle name="Lien hypertexte visité" xfId="6930" builtinId="9" hidden="1"/>
    <cellStyle name="Lien hypertexte visité" xfId="3789" builtinId="9" hidden="1"/>
    <cellStyle name="Lien hypertexte visité" xfId="2205" builtinId="9" hidden="1"/>
    <cellStyle name="Lien hypertexte visité" xfId="10947" builtinId="9" hidden="1"/>
    <cellStyle name="Lien hypertexte visité" xfId="13259" builtinId="9" hidden="1"/>
    <cellStyle name="Lien hypertexte visité" xfId="14675" builtinId="9" hidden="1"/>
    <cellStyle name="Lien hypertexte visité" xfId="9899" builtinId="9" hidden="1"/>
    <cellStyle name="Lien hypertexte visité" xfId="12827" builtinId="9" hidden="1"/>
    <cellStyle name="Lien hypertexte visité" xfId="2660" builtinId="9" hidden="1"/>
    <cellStyle name="Lien hypertexte visité" xfId="5810" builtinId="9" hidden="1"/>
    <cellStyle name="Lien hypertexte visité" xfId="8955" builtinId="9" hidden="1"/>
    <cellStyle name="Lien hypertexte visité" xfId="8614" builtinId="9" hidden="1"/>
    <cellStyle name="Lien hypertexte visité" xfId="12863" builtinId="9" hidden="1"/>
    <cellStyle name="Lien hypertexte visité" xfId="9183" builtinId="9" hidden="1"/>
    <cellStyle name="Lien hypertexte visité" xfId="5598" builtinId="9" hidden="1"/>
    <cellStyle name="Lien hypertexte visité" xfId="1912" builtinId="9" hidden="1"/>
    <cellStyle name="Lien hypertexte visité" xfId="2886" builtinId="9" hidden="1"/>
    <cellStyle name="Lien hypertexte visité" xfId="6476" builtinId="9" hidden="1"/>
    <cellStyle name="Lien hypertexte visité" xfId="10157" builtinId="9" hidden="1"/>
    <cellStyle name="Lien hypertexte visité" xfId="13837" builtinId="9" hidden="1"/>
    <cellStyle name="Lien hypertexte visité" xfId="20310" builtinId="9" hidden="1"/>
    <cellStyle name="Lien hypertexte visité" xfId="21620" builtinId="9" hidden="1"/>
    <cellStyle name="Lien hypertexte visité" xfId="14396" builtinId="9" hidden="1"/>
    <cellStyle name="Lien hypertexte visité" xfId="10812" builtinId="9" hidden="1"/>
    <cellStyle name="Lien hypertexte visité" xfId="7131" builtinId="9" hidden="1"/>
    <cellStyle name="Lien hypertexte visité" xfId="3477" builtinId="9" hidden="1"/>
    <cellStyle name="Lien hypertexte visité" xfId="1256" builtinId="9" hidden="1"/>
    <cellStyle name="Lien hypertexte visité" xfId="4943" builtinId="9" hidden="1"/>
    <cellStyle name="Lien hypertexte visité" xfId="8624" builtinId="9" hidden="1"/>
    <cellStyle name="Lien hypertexte visité" xfId="2490" builtinId="9" hidden="1"/>
    <cellStyle name="Lien hypertexte visité" xfId="4928" builtinId="9" hidden="1"/>
    <cellStyle name="Lien hypertexte visité" xfId="7384" builtinId="9" hidden="1"/>
    <cellStyle name="Lien hypertexte visité" xfId="9777" builtinId="9" hidden="1"/>
    <cellStyle name="Lien hypertexte visité" xfId="12225" builtinId="9" hidden="1"/>
    <cellStyle name="Lien hypertexte visité" xfId="14799" builtinId="9" hidden="1"/>
    <cellStyle name="Lien hypertexte visité" xfId="19566" builtinId="9" hidden="1"/>
    <cellStyle name="Lien hypertexte visité" xfId="24478" builtinId="9" hidden="1"/>
    <cellStyle name="Lien hypertexte visité" xfId="19852" builtinId="9" hidden="1"/>
    <cellStyle name="Lien hypertexte visité" xfId="15085" builtinId="9" hidden="1"/>
    <cellStyle name="Lien hypertexte visité" xfId="12368" builtinId="9" hidden="1"/>
    <cellStyle name="Lien hypertexte visité" xfId="9912" builtinId="9" hidden="1"/>
    <cellStyle name="Lien hypertexte visité" xfId="12832" builtinId="9" hidden="1"/>
    <cellStyle name="Lien hypertexte visité" xfId="23374" builtinId="9" hidden="1"/>
    <cellStyle name="Lien hypertexte visité" xfId="11657" builtinId="9" hidden="1"/>
    <cellStyle name="Lien hypertexte visité" xfId="12105" builtinId="9" hidden="1"/>
    <cellStyle name="Lien hypertexte visité" xfId="10128" builtinId="9" hidden="1"/>
    <cellStyle name="Lien hypertexte visité" xfId="20396" builtinId="9" hidden="1"/>
    <cellStyle name="Lien hypertexte visité" xfId="14513" builtinId="9" hidden="1"/>
    <cellStyle name="Lien hypertexte visité" xfId="7168" builtinId="9" hidden="1"/>
    <cellStyle name="Lien hypertexte visité" xfId="8208" builtinId="9" hidden="1"/>
    <cellStyle name="Lien hypertexte visité" xfId="3710" builtinId="9" hidden="1"/>
    <cellStyle name="Lien hypertexte visité" xfId="14917" builtinId="9" hidden="1"/>
    <cellStyle name="Lien hypertexte visité" xfId="13421" builtinId="9" hidden="1"/>
    <cellStyle name="Lien hypertexte visité" xfId="14204" builtinId="9" hidden="1"/>
    <cellStyle name="Lien hypertexte visité" xfId="7512" builtinId="9" hidden="1"/>
    <cellStyle name="Lien hypertexte visité" xfId="9784" builtinId="9" hidden="1"/>
    <cellStyle name="Lien hypertexte visité" xfId="24142" builtinId="9" hidden="1"/>
    <cellStyle name="Lien hypertexte visité" xfId="12472" builtinId="9" hidden="1"/>
    <cellStyle name="Lien hypertexte visité" xfId="24254" builtinId="9" hidden="1"/>
    <cellStyle name="Lien hypertexte visité" xfId="12097" builtinId="9" hidden="1"/>
    <cellStyle name="Lien hypertexte visité" xfId="4824" builtinId="9" hidden="1"/>
    <cellStyle name="Lien hypertexte visité" xfId="4783" builtinId="9" hidden="1"/>
    <cellStyle name="Lien hypertexte visité" xfId="7323" builtinId="9" hidden="1"/>
    <cellStyle name="Lien hypertexte visité" xfId="21940" builtinId="9" hidden="1"/>
    <cellStyle name="Lien hypertexte visité" xfId="9997" builtinId="9" hidden="1"/>
    <cellStyle name="Lien hypertexte visité" xfId="2104" builtinId="9" hidden="1"/>
    <cellStyle name="Lien hypertexte visité" xfId="13023" builtinId="9" hidden="1"/>
    <cellStyle name="Lien hypertexte visité" xfId="5658" builtinId="9" hidden="1"/>
    <cellStyle name="Lien hypertexte visité" xfId="9755" builtinId="9" hidden="1"/>
    <cellStyle name="Lien hypertexte visité" xfId="11083" builtinId="9" hidden="1"/>
    <cellStyle name="Lien hypertexte visité" xfId="7082" builtinId="9" hidden="1"/>
    <cellStyle name="Lien hypertexte visité" xfId="14541" builtinId="9" hidden="1"/>
    <cellStyle name="Lien hypertexte visité" xfId="21228" builtinId="9" hidden="1"/>
    <cellStyle name="Lien hypertexte visité" xfId="10337" builtinId="9" hidden="1"/>
    <cellStyle name="Lien hypertexte visité" xfId="7583" builtinId="9" hidden="1"/>
    <cellStyle name="Lien hypertexte visité" xfId="9964" builtinId="9" hidden="1"/>
    <cellStyle name="Lien hypertexte visité" xfId="17223" builtinId="9" hidden="1"/>
    <cellStyle name="Lien hypertexte visité" xfId="19732" builtinId="9" hidden="1"/>
    <cellStyle name="Lien hypertexte visité" xfId="12012" builtinId="9" hidden="1"/>
    <cellStyle name="Lien hypertexte visité" xfId="6891" builtinId="9" hidden="1"/>
    <cellStyle name="Lien hypertexte visité" xfId="317" builtinId="9" hidden="1"/>
    <cellStyle name="Lien hypertexte visité" xfId="5535" builtinId="9" hidden="1"/>
    <cellStyle name="Lien hypertexte visité" xfId="1457" builtinId="9" hidden="1"/>
    <cellStyle name="Lien hypertexte visité" xfId="5560" builtinId="9" hidden="1"/>
    <cellStyle name="Lien hypertexte visité" xfId="8977" builtinId="9" hidden="1"/>
    <cellStyle name="Lien hypertexte visité" xfId="12385" builtinId="9" hidden="1"/>
    <cellStyle name="Lien hypertexte visité" xfId="18430" builtinId="9" hidden="1"/>
    <cellStyle name="Lien hypertexte visité" xfId="23964" builtinId="9" hidden="1"/>
    <cellStyle name="Lien hypertexte visité" xfId="17149" builtinId="9" hidden="1"/>
    <cellStyle name="Lien hypertexte visité" xfId="11736" builtinId="9" hidden="1"/>
    <cellStyle name="Lien hypertexte visité" xfId="10432" builtinId="9" hidden="1"/>
    <cellStyle name="Lien hypertexte visité" xfId="22414" builtinId="9" hidden="1"/>
    <cellStyle name="Lien hypertexte visité" xfId="6184" builtinId="9" hidden="1"/>
    <cellStyle name="Lien hypertexte visité" xfId="8251" builtinId="9" hidden="1"/>
    <cellStyle name="Lien hypertexte visité" xfId="5322" builtinId="9" hidden="1"/>
    <cellStyle name="Lien hypertexte visité" xfId="1804" builtinId="9" hidden="1"/>
    <cellStyle name="Lien hypertexte visité" xfId="12171" builtinId="9" hidden="1"/>
    <cellStyle name="Lien hypertexte visité" xfId="10019" builtinId="9" hidden="1"/>
    <cellStyle name="Lien hypertexte visité" xfId="16995" builtinId="9" hidden="1"/>
    <cellStyle name="Lien hypertexte visité" xfId="13899" builtinId="9" hidden="1"/>
    <cellStyle name="Lien hypertexte visité" xfId="11395" builtinId="9" hidden="1"/>
    <cellStyle name="Lien hypertexte visité" xfId="1556" builtinId="9" hidden="1"/>
    <cellStyle name="Lien hypertexte visité" xfId="4490" builtinId="9" hidden="1"/>
    <cellStyle name="Lien hypertexte visité" xfId="7418" builtinId="9" hidden="1"/>
    <cellStyle name="Lien hypertexte visité" xfId="5320" builtinId="9" hidden="1"/>
    <cellStyle name="Lien hypertexte visité" xfId="14399" builtinId="9" hidden="1"/>
    <cellStyle name="Lien hypertexte visité" xfId="10975" builtinId="9" hidden="1"/>
    <cellStyle name="Lien hypertexte visité" xfId="6878" builtinId="9" hidden="1"/>
    <cellStyle name="Lien hypertexte visité" xfId="3448" builtinId="9" hidden="1"/>
    <cellStyle name="Lien hypertexte visité" xfId="1023" builtinId="9" hidden="1"/>
    <cellStyle name="Lien hypertexte visité" xfId="5196" builtinId="9" hidden="1"/>
    <cellStyle name="Lien hypertexte visité" xfId="8621" builtinId="9" hidden="1"/>
    <cellStyle name="Lien hypertexte visité" xfId="12045" builtinId="9" hidden="1"/>
    <cellStyle name="Lien hypertexte visité" xfId="17767" builtinId="9" hidden="1"/>
    <cellStyle name="Lien hypertexte visité" xfId="24534" builtinId="9" hidden="1"/>
    <cellStyle name="Lien hypertexte visité" xfId="17861" builtinId="9" hidden="1"/>
    <cellStyle name="Lien hypertexte visité" xfId="12092" builtinId="9" hidden="1"/>
    <cellStyle name="Lien hypertexte visité" xfId="8668" builtinId="9" hidden="1"/>
    <cellStyle name="Lien hypertexte visité" xfId="5275" builtinId="9" hidden="1"/>
    <cellStyle name="Lien hypertexte visité" xfId="1172" builtinId="9" hidden="1"/>
    <cellStyle name="Lien hypertexte visité" xfId="3401" builtinId="9" hidden="1"/>
    <cellStyle name="Lien hypertexte visité" xfId="6831" builtinId="9" hidden="1"/>
    <cellStyle name="Lien hypertexte visité" xfId="1642" builtinId="9" hidden="1"/>
    <cellStyle name="Lien hypertexte visité" xfId="3908" builtinId="9" hidden="1"/>
    <cellStyle name="Lien hypertexte visité" xfId="6192" builtinId="9" hidden="1"/>
    <cellStyle name="Lien hypertexte visité" xfId="8921" builtinId="9" hidden="1"/>
    <cellStyle name="Lien hypertexte visité" xfId="11201" builtinId="9" hidden="1"/>
    <cellStyle name="Lien hypertexte visité" xfId="13465" builtinId="9" hidden="1"/>
    <cellStyle name="Lien hypertexte visité" xfId="17871" builtinId="9" hidden="1"/>
    <cellStyle name="Lien hypertexte visité" xfId="22430" builtinId="9" hidden="1"/>
    <cellStyle name="Lien hypertexte visité" xfId="22236" builtinId="9" hidden="1"/>
    <cellStyle name="Lien hypertexte visité" xfId="16797" builtinId="9" hidden="1"/>
    <cellStyle name="Lien hypertexte visité" xfId="13392" builtinId="9" hidden="1"/>
    <cellStyle name="Lien hypertexte visité" xfId="11112" builtinId="9" hidden="1"/>
    <cellStyle name="Lien hypertexte visité" xfId="10272" builtinId="9" hidden="1"/>
    <cellStyle name="Lien hypertexte visité" xfId="19708" builtinId="9" hidden="1"/>
    <cellStyle name="Lien hypertexte visité" xfId="15967" builtinId="9" hidden="1"/>
    <cellStyle name="Lien hypertexte visité" xfId="7048" builtinId="9" hidden="1"/>
    <cellStyle name="Lien hypertexte visité" xfId="14240" builtinId="9" hidden="1"/>
    <cellStyle name="Lien hypertexte visité" xfId="13880" builtinId="9" hidden="1"/>
    <cellStyle name="Lien hypertexte visité" xfId="19614" builtinId="9" hidden="1"/>
    <cellStyle name="Lien hypertexte visité" xfId="10241" builtinId="9" hidden="1"/>
    <cellStyle name="Lien hypertexte visité" xfId="3410" builtinId="9" hidden="1"/>
    <cellStyle name="Lien hypertexte visité" xfId="1288" builtinId="9" hidden="1"/>
    <cellStyle name="Lien hypertexte visité" xfId="10108" builtinId="9" hidden="1"/>
    <cellStyle name="Lien hypertexte visité" xfId="23062" builtinId="9" hidden="1"/>
    <cellStyle name="Lien hypertexte visité" xfId="8813" builtinId="9" hidden="1"/>
    <cellStyle name="Lien hypertexte visité" xfId="12141" builtinId="9" hidden="1"/>
    <cellStyle name="Lien hypertexte visité" xfId="16423" builtinId="9" hidden="1"/>
    <cellStyle name="Lien hypertexte visité" xfId="24598" builtinId="9" hidden="1"/>
    <cellStyle name="Lien hypertexte visité" xfId="17477" builtinId="9" hidden="1"/>
    <cellStyle name="Lien hypertexte visité" xfId="12668" builtinId="9" hidden="1"/>
    <cellStyle name="Lien hypertexte visité" xfId="8572" builtinId="9" hidden="1"/>
    <cellStyle name="Lien hypertexte visité" xfId="5243" builtinId="9" hidden="1"/>
    <cellStyle name="Lien hypertexte visité" xfId="1653" builtinId="9" hidden="1"/>
    <cellStyle name="Lien hypertexte visité" xfId="3594" builtinId="9" hidden="1"/>
    <cellStyle name="Lien hypertexte visité" xfId="6927" builtinId="9" hidden="1"/>
    <cellStyle name="Lien hypertexte visité" xfId="1193" builtinId="9" hidden="1"/>
    <cellStyle name="Lien hypertexte visité" xfId="3928" builtinId="9" hidden="1"/>
    <cellStyle name="Lien hypertexte visité" xfId="6320" builtinId="9" hidden="1"/>
    <cellStyle name="Lien hypertexte visité" xfId="8537" builtinId="9" hidden="1"/>
    <cellStyle name="Lien hypertexte visité" xfId="11265" builtinId="9" hidden="1"/>
    <cellStyle name="Lien hypertexte visité" xfId="13489" builtinId="9" hidden="1"/>
    <cellStyle name="Lien hypertexte visité" xfId="17231" builtinId="9" hidden="1"/>
    <cellStyle name="Lien hypertexte visité" xfId="22686" builtinId="9" hidden="1"/>
    <cellStyle name="Lien hypertexte visité" xfId="22108" builtinId="9" hidden="1"/>
    <cellStyle name="Lien hypertexte visité" xfId="17693" builtinId="9" hidden="1"/>
    <cellStyle name="Lien hypertexte visité" xfId="13368" builtinId="9" hidden="1"/>
    <cellStyle name="Lien hypertexte visité" xfId="10984" builtinId="9" hidden="1"/>
    <cellStyle name="Lien hypertexte visité" xfId="9120" builtinId="9" hidden="1"/>
    <cellStyle name="Lien hypertexte visité" xfId="20092" builtinId="9" hidden="1"/>
    <cellStyle name="Lien hypertexte visité" xfId="15839" builtinId="9" hidden="1"/>
    <cellStyle name="Lien hypertexte visité" xfId="8009" builtinId="9" hidden="1"/>
    <cellStyle name="Lien hypertexte visité" xfId="8585" builtinId="9" hidden="1"/>
    <cellStyle name="Lien hypertexte visité" xfId="10761" builtinId="9" hidden="1"/>
    <cellStyle name="Lien hypertexte visité" xfId="13001" builtinId="9" hidden="1"/>
    <cellStyle name="Lien hypertexte visité" xfId="16991" builtinId="9" hidden="1"/>
    <cellStyle name="Lien hypertexte visité" xfId="21710" builtinId="9" hidden="1"/>
    <cellStyle name="Lien hypertexte visité" xfId="23036" builtinId="9" hidden="1"/>
    <cellStyle name="Lien hypertexte visité" xfId="17677" builtinId="9" hidden="1"/>
    <cellStyle name="Lien hypertexte visité" xfId="13856" builtinId="9" hidden="1"/>
    <cellStyle name="Lien hypertexte visité" xfId="11488" builtinId="9" hidden="1"/>
    <cellStyle name="Lien hypertexte visité" xfId="8888" builtinId="9" hidden="1"/>
    <cellStyle name="Lien hypertexte visité" xfId="9640" builtinId="9" hidden="1"/>
    <cellStyle name="Lien hypertexte visité" xfId="10360" builtinId="9" hidden="1"/>
    <cellStyle name="Lien hypertexte visité" xfId="11280" builtinId="9" hidden="1"/>
    <cellStyle name="Lien hypertexte visité" xfId="12072" builtinId="9" hidden="1"/>
    <cellStyle name="Lien hypertexte visité" xfId="12816" builtinId="9" hidden="1"/>
    <cellStyle name="Lien hypertexte visité" xfId="13736" builtinId="9" hidden="1"/>
    <cellStyle name="Lien hypertexte visité" xfId="14456" builtinId="9" hidden="1"/>
    <cellStyle name="Lien hypertexte visité" xfId="16029" builtinId="9" hidden="1"/>
    <cellStyle name="Lien hypertexte visité" xfId="17821" builtinId="9" hidden="1"/>
    <cellStyle name="Lien hypertexte visité" xfId="19292" builtinId="9" hidden="1"/>
    <cellStyle name="Lien hypertexte visité" xfId="20780" builtinId="9" hidden="1"/>
    <cellStyle name="Lien hypertexte visité" xfId="22572" builtinId="9" hidden="1"/>
    <cellStyle name="Lien hypertexte visité" xfId="24204" builtinId="9" hidden="1"/>
    <cellStyle name="Lien hypertexte visité" xfId="23582" builtinId="9" hidden="1"/>
    <cellStyle name="Lien hypertexte visité" xfId="21742" builtinId="9" hidden="1"/>
    <cellStyle name="Lien hypertexte visité" xfId="20254" builtinId="9" hidden="1"/>
    <cellStyle name="Lien hypertexte visité" xfId="18670" builtinId="9" hidden="1"/>
    <cellStyle name="Lien hypertexte visité" xfId="16847" builtinId="9" hidden="1"/>
    <cellStyle name="Lien hypertexte visité" xfId="15407" builtinId="9" hidden="1"/>
    <cellStyle name="Lien hypertexte visité" xfId="14209" builtinId="9" hidden="1"/>
    <cellStyle name="Lien hypertexte visité" xfId="13297" builtinId="9" hidden="1"/>
    <cellStyle name="Lien hypertexte visité" xfId="12505" builtinId="9" hidden="1"/>
    <cellStyle name="Lien hypertexte visité" xfId="11761" builtinId="9" hidden="1"/>
    <cellStyle name="Lien hypertexte visité" xfId="10865" builtinId="9" hidden="1"/>
    <cellStyle name="Lien hypertexte visité" xfId="10113" builtinId="9" hidden="1"/>
    <cellStyle name="Lien hypertexte visité" xfId="9329" builtinId="9" hidden="1"/>
    <cellStyle name="Lien hypertexte visité" xfId="8409" builtinId="9" hidden="1"/>
    <cellStyle name="Lien hypertexte visité" xfId="7664" builtinId="9" hidden="1"/>
    <cellStyle name="Lien hypertexte visité" xfId="6936" builtinId="9" hidden="1"/>
    <cellStyle name="Lien hypertexte visité" xfId="6016" builtinId="9" hidden="1"/>
    <cellStyle name="Lien hypertexte visité" xfId="5232" builtinId="9" hidden="1"/>
    <cellStyle name="Lien hypertexte visité" xfId="4480" builtinId="9" hidden="1"/>
    <cellStyle name="Lien hypertexte visité" xfId="3563" builtinId="9" hidden="1"/>
    <cellStyle name="Lien hypertexte visité" xfId="2834" builtinId="9" hidden="1"/>
    <cellStyle name="Lien hypertexte visité" xfId="2026" builtinId="9" hidden="1"/>
    <cellStyle name="Lien hypertexte visité" xfId="1095" builtinId="9" hidden="1"/>
    <cellStyle name="Lien hypertexte visité" xfId="379" builtinId="9" hidden="1"/>
    <cellStyle name="Lien hypertexte visité" xfId="7920" builtinId="9" hidden="1"/>
    <cellStyle name="Lien hypertexte visité" xfId="6575" builtinId="9" hidden="1"/>
    <cellStyle name="Lien hypertexte visité" xfId="5359" builtinId="9" hidden="1"/>
    <cellStyle name="Lien hypertexte visité" xfId="4271" builtinId="9" hidden="1"/>
    <cellStyle name="Lien hypertexte visité" xfId="2889" builtinId="9" hidden="1"/>
    <cellStyle name="Lien hypertexte visité" xfId="1769" builtinId="9" hidden="1"/>
    <cellStyle name="Lien hypertexte visité" xfId="129" builtinId="9" hidden="1"/>
    <cellStyle name="Lien hypertexte visité" xfId="1941" builtinId="9" hidden="1"/>
    <cellStyle name="Lien hypertexte visité" xfId="3029" builtinId="9" hidden="1"/>
    <cellStyle name="Lien hypertexte visité" xfId="4155" builtinId="9" hidden="1"/>
    <cellStyle name="Lien hypertexte visité" xfId="5531" builtinId="9" hidden="1"/>
    <cellStyle name="Lien hypertexte visité" xfId="6715" builtinId="9" hidden="1"/>
    <cellStyle name="Lien hypertexte visité" xfId="7836" builtinId="9" hidden="1"/>
    <cellStyle name="Lien hypertexte visité" xfId="9180" builtinId="9" hidden="1"/>
    <cellStyle name="Lien hypertexte visité" xfId="10300" builtinId="9" hidden="1"/>
    <cellStyle name="Lien hypertexte visité" xfId="11484" builtinId="9" hidden="1"/>
    <cellStyle name="Lien hypertexte visité" xfId="12860" builtinId="9" hidden="1"/>
    <cellStyle name="Lien hypertexte visité" xfId="13980" builtinId="9" hidden="1"/>
    <cellStyle name="Lien hypertexte visité" xfId="15621" builtinId="9" hidden="1"/>
    <cellStyle name="Lien hypertexte visité" xfId="18356" builtinId="9" hidden="1"/>
    <cellStyle name="Lien hypertexte visité" xfId="20724" builtinId="9" hidden="1"/>
    <cellStyle name="Lien hypertexte visité" xfId="22964" builtinId="9" hidden="1"/>
    <cellStyle name="Lien hypertexte visité" xfId="23510" builtinId="9" hidden="1"/>
    <cellStyle name="Lien hypertexte visité" xfId="21334" builtinId="9" hidden="1"/>
    <cellStyle name="Lien hypertexte visité" xfId="18902" builtinId="9" hidden="1"/>
    <cellStyle name="Lien hypertexte visité" xfId="16231" builtinId="9" hidden="1"/>
    <cellStyle name="Lien hypertexte visité" xfId="14253" builtinId="9" hidden="1"/>
    <cellStyle name="Lien hypertexte visité" xfId="13133" builtinId="9" hidden="1"/>
    <cellStyle name="Lien hypertexte visité" xfId="11789" builtinId="9" hidden="1"/>
    <cellStyle name="Lien hypertexte visité" xfId="10573" builtinId="9" hidden="1"/>
    <cellStyle name="Lien hypertexte visité" xfId="9485" builtinId="9" hidden="1"/>
    <cellStyle name="Lien hypertexte visité" xfId="8109" builtinId="9" hidden="1"/>
    <cellStyle name="Lien hypertexte visité" xfId="6988" builtinId="9" hidden="1"/>
    <cellStyle name="Lien hypertexte visité" xfId="5804" builtinId="9" hidden="1"/>
    <cellStyle name="Lien hypertexte visité" xfId="4428" builtinId="9" hidden="1"/>
    <cellStyle name="Lien hypertexte visité" xfId="3334" builtinId="9" hidden="1"/>
    <cellStyle name="Lien hypertexte visité" xfId="2214" builtinId="9" hidden="1"/>
    <cellStyle name="Lien hypertexte visité" xfId="511" builtinId="9" hidden="1"/>
    <cellStyle name="Lien hypertexte visité" xfId="1496" builtinId="9" hidden="1"/>
    <cellStyle name="Lien hypertexte visité" xfId="2616" builtinId="9" hidden="1"/>
    <cellStyle name="Lien hypertexte visité" xfId="3966" builtinId="9" hidden="1"/>
    <cellStyle name="Lien hypertexte visité" xfId="5086" builtinId="9" hidden="1"/>
    <cellStyle name="Lien hypertexte visité" xfId="6270" builtinId="9" hidden="1"/>
    <cellStyle name="Lien hypertexte visité" xfId="7646" builtinId="9" hidden="1"/>
    <cellStyle name="Lien hypertexte visité" xfId="8767" builtinId="9" hidden="1"/>
    <cellStyle name="Lien hypertexte visité" xfId="9855" builtinId="9" hidden="1"/>
    <cellStyle name="Lien hypertexte visité" xfId="11231" builtinId="9" hidden="1"/>
    <cellStyle name="Lien hypertexte visité" xfId="12415" builtinId="9" hidden="1"/>
    <cellStyle name="Lien hypertexte visité" xfId="13535" builtinId="9" hidden="1"/>
    <cellStyle name="Lien hypertexte visité" xfId="15307" builtinId="9" hidden="1"/>
    <cellStyle name="Lien hypertexte visité" xfId="8274" builtinId="9" hidden="1"/>
    <cellStyle name="Lien hypertexte visité" xfId="9086" builtinId="9" hidden="1"/>
    <cellStyle name="Lien hypertexte visité" xfId="3010" builtinId="9" hidden="1"/>
    <cellStyle name="Lien hypertexte visité" xfId="9323" builtinId="9" hidden="1"/>
    <cellStyle name="Lien hypertexte visité" xfId="8371" builtinId="9" hidden="1"/>
    <cellStyle name="Lien hypertexte visité" xfId="7194" builtinId="9" hidden="1"/>
    <cellStyle name="Lien hypertexte visité" xfId="6170" builtinId="9" hidden="1"/>
    <cellStyle name="Lien hypertexte visité" xfId="5226" builtinId="9" hidden="1"/>
    <cellStyle name="Lien hypertexte visité" xfId="4050" builtinId="9" hidden="1"/>
    <cellStyle name="Lien hypertexte visité" xfId="3092" builtinId="9" hidden="1"/>
    <cellStyle name="Lien hypertexte visité" xfId="2068" builtinId="9" hidden="1"/>
    <cellStyle name="Lien hypertexte visité" xfId="635" builtinId="9" hidden="1"/>
    <cellStyle name="Lien hypertexte visité" xfId="7522" builtinId="9" hidden="1"/>
    <cellStyle name="Lien hypertexte visité" xfId="12283" builtinId="9" hidden="1"/>
    <cellStyle name="Lien hypertexte visité" xfId="11195" builtinId="9" hidden="1"/>
    <cellStyle name="Lien hypertexte visité" xfId="10235" builtinId="9" hidden="1"/>
    <cellStyle name="Lien hypertexte visité" xfId="11427" builtinId="9" hidden="1"/>
    <cellStyle name="Lien hypertexte visité" xfId="13499" builtinId="9" hidden="1"/>
    <cellStyle name="Lien hypertexte visité" xfId="15459" builtinId="9" hidden="1"/>
    <cellStyle name="Lien hypertexte visité" xfId="16931" builtinId="9" hidden="1"/>
    <cellStyle name="Lien hypertexte visité" xfId="16547" builtinId="9" hidden="1"/>
    <cellStyle name="Lien hypertexte visité" xfId="12931" builtinId="9" hidden="1"/>
    <cellStyle name="Lien hypertexte visité" xfId="13787" builtinId="9" hidden="1"/>
    <cellStyle name="Lien hypertexte visité" xfId="9651" builtinId="9" hidden="1"/>
    <cellStyle name="Lien hypertexte visité" xfId="10603" builtinId="9" hidden="1"/>
    <cellStyle name="Lien hypertexte visité" xfId="11491" builtinId="9" hidden="1"/>
    <cellStyle name="Lien hypertexte visité" xfId="12587" builtinId="9" hidden="1"/>
    <cellStyle name="Lien hypertexte visité" xfId="5282" builtinId="9" hidden="1"/>
    <cellStyle name="Lien hypertexte visité" xfId="1291" builtinId="9" hidden="1"/>
    <cellStyle name="Lien hypertexte visité" xfId="2468" builtinId="9" hidden="1"/>
    <cellStyle name="Lien hypertexte visité" xfId="3412" builtinId="9" hidden="1"/>
    <cellStyle name="Lien hypertexte visité" xfId="4370" builtinId="9" hidden="1"/>
    <cellStyle name="Lien hypertexte visité" xfId="5546" builtinId="9" hidden="1"/>
    <cellStyle name="Lien hypertexte visité" xfId="6570" builtinId="9" hidden="1"/>
    <cellStyle name="Lien hypertexte visité" xfId="7514" builtinId="9" hidden="1"/>
    <cellStyle name="Lien hypertexte visité" xfId="8691" builtinId="9" hidden="1"/>
    <cellStyle name="Lien hypertexte visité" xfId="439" builtinId="9" hidden="1"/>
    <cellStyle name="Lien hypertexte visité" xfId="4392" builtinId="9" hidden="1"/>
    <cellStyle name="Lien hypertexte visité" xfId="8489" builtinId="9" hidden="1"/>
    <cellStyle name="Lien hypertexte visité" xfId="11817" builtinId="9" hidden="1"/>
    <cellStyle name="Lien hypertexte visité" xfId="15775" builtinId="9" hidden="1"/>
    <cellStyle name="Lien hypertexte visité" xfId="23950" builtinId="9" hidden="1"/>
    <cellStyle name="Lien hypertexte visité" xfId="18125" builtinId="9" hidden="1"/>
    <cellStyle name="Lien hypertexte visité" xfId="12992" builtinId="9" hidden="1"/>
    <cellStyle name="Lien hypertexte visité" xfId="8896" builtinId="9" hidden="1"/>
    <cellStyle name="Lien hypertexte visité" xfId="9944" builtinId="9" hidden="1"/>
    <cellStyle name="Lien hypertexte visité" xfId="11144" builtinId="9" hidden="1"/>
    <cellStyle name="Lien hypertexte visité" xfId="12504" builtinId="9" hidden="1"/>
    <cellStyle name="Lien hypertexte visité" xfId="13616" builtinId="9" hidden="1"/>
    <cellStyle name="Lien hypertexte visité" xfId="14941" builtinId="9" hidden="1"/>
    <cellStyle name="Lien hypertexte visité" xfId="17661" builtinId="9" hidden="1"/>
    <cellStyle name="Lien hypertexte visité" xfId="20044" builtinId="9" hidden="1"/>
    <cellStyle name="Lien hypertexte visité" xfId="22252" builtinId="9" hidden="1"/>
    <cellStyle name="Lien hypertexte visité" xfId="24238" builtinId="9" hidden="1"/>
    <cellStyle name="Lien hypertexte visité" xfId="22014" builtinId="9" hidden="1"/>
    <cellStyle name="Lien hypertexte visité" xfId="19630" builtinId="9" hidden="1"/>
    <cellStyle name="Lien hypertexte visité" xfId="16911" builtinId="9" hidden="1"/>
    <cellStyle name="Lien hypertexte visité" xfId="14703" builtinId="9" hidden="1"/>
    <cellStyle name="Lien hypertexte visité" xfId="13497" builtinId="9" hidden="1"/>
    <cellStyle name="Lien hypertexte visité" xfId="12129" builtinId="9" hidden="1"/>
    <cellStyle name="Lien hypertexte visité" xfId="10937" builtinId="9" hidden="1"/>
    <cellStyle name="Lien hypertexte visité" xfId="9825" builtinId="9" hidden="1"/>
    <cellStyle name="Lien hypertexte visité" xfId="8465" builtinId="9" hidden="1"/>
    <cellStyle name="Lien hypertexte visité" xfId="7352" builtinId="9" hidden="1"/>
    <cellStyle name="Lien hypertexte visité" xfId="6160" builtinId="9" hidden="1"/>
    <cellStyle name="Lien hypertexte visité" xfId="4792" builtinId="9" hidden="1"/>
    <cellStyle name="Lien hypertexte visité" xfId="3682" builtinId="9" hidden="1"/>
    <cellStyle name="Lien hypertexte visité" xfId="2570" builtinId="9" hidden="1"/>
    <cellStyle name="Lien hypertexte visité" xfId="1201" builtinId="9" hidden="1"/>
    <cellStyle name="Lien hypertexte visité" xfId="8480" builtinId="9" hidden="1"/>
    <cellStyle name="Lien hypertexte visité" xfId="6815" builtinId="9" hidden="1"/>
    <cellStyle name="Lien hypertexte visité" xfId="4767" builtinId="9" hidden="1"/>
    <cellStyle name="Lien hypertexte visité" xfId="3097" builtinId="9" hidden="1"/>
    <cellStyle name="Lien hypertexte visité" xfId="1304" builtinId="9" hidden="1"/>
    <cellStyle name="Lien hypertexte visité" xfId="1893" builtinId="9" hidden="1"/>
    <cellStyle name="Lien hypertexte visité" xfId="3558" builtinId="9" hidden="1"/>
    <cellStyle name="Lien hypertexte visité" xfId="5227" builtinId="9" hidden="1"/>
    <cellStyle name="Lien hypertexte visité" xfId="7275" builtinId="9" hidden="1"/>
    <cellStyle name="Lien hypertexte visité" xfId="9068" builtinId="9" hidden="1"/>
    <cellStyle name="Lien hypertexte visité" xfId="10732" builtinId="9" hidden="1"/>
    <cellStyle name="Lien hypertexte visité" xfId="12780" builtinId="9" hidden="1"/>
    <cellStyle name="Lien hypertexte visité" xfId="14444" builtinId="9" hidden="1"/>
    <cellStyle name="Lien hypertexte visité" xfId="17957" builtinId="9" hidden="1"/>
    <cellStyle name="Lien hypertexte visité" xfId="22036" builtinId="9" hidden="1"/>
    <cellStyle name="Lien hypertexte visité" xfId="23862" builtinId="9" hidden="1"/>
    <cellStyle name="Lien hypertexte visité" xfId="20534" builtinId="9" hidden="1"/>
    <cellStyle name="Lien hypertexte visité" xfId="16455" builtinId="9" hidden="1"/>
    <cellStyle name="Lien hypertexte visité" xfId="13693" builtinId="9" hidden="1"/>
    <cellStyle name="Lien hypertexte visité" xfId="12029" builtinId="9" hidden="1"/>
    <cellStyle name="Lien hypertexte visité" xfId="9981" builtinId="9" hidden="1"/>
    <cellStyle name="Lien hypertexte visité" xfId="8317" builtinId="9" hidden="1"/>
    <cellStyle name="Lien hypertexte visité" xfId="6524" builtinId="9" hidden="1"/>
    <cellStyle name="Lien hypertexte visité" xfId="4476" builtinId="9" hidden="1"/>
    <cellStyle name="Lien hypertexte visité" xfId="2806" builtinId="9" hidden="1"/>
    <cellStyle name="Lien hypertexte visité" xfId="1119" builtinId="9" hidden="1"/>
    <cellStyle name="Lien hypertexte visité" xfId="2056" builtinId="9" hidden="1"/>
    <cellStyle name="Lien hypertexte visité" xfId="3857" builtinId="9" hidden="1"/>
    <cellStyle name="Lien hypertexte visité" xfId="5518" builtinId="9" hidden="1"/>
    <cellStyle name="Lien hypertexte visité" xfId="7566" builtinId="9" hidden="1"/>
    <cellStyle name="Lien hypertexte visité" xfId="9231" builtinId="9" hidden="1"/>
    <cellStyle name="Lien hypertexte visité" xfId="11023" builtinId="9" hidden="1"/>
    <cellStyle name="Lien hypertexte visité" xfId="13071" builtinId="9" hidden="1"/>
    <cellStyle name="Lien hypertexte visité" xfId="14955" builtinId="9" hidden="1"/>
    <cellStyle name="Lien hypertexte visité" xfId="8542" builtinId="9" hidden="1"/>
    <cellStyle name="Lien hypertexte visité" xfId="9906" builtinId="9" hidden="1"/>
    <cellStyle name="Lien hypertexte visité" xfId="11102" builtinId="9" hidden="1"/>
    <cellStyle name="Lien hypertexte visité" xfId="12210" builtinId="9" hidden="1"/>
    <cellStyle name="Lien hypertexte visité" xfId="13574" builtinId="9" hidden="1"/>
    <cellStyle name="Lien hypertexte visité" xfId="14857" builtinId="9" hidden="1"/>
    <cellStyle name="Lien hypertexte visité" xfId="17241" builtinId="9" hidden="1"/>
    <cellStyle name="Lien hypertexte visité" xfId="19960" builtinId="9" hidden="1"/>
    <cellStyle name="Lien hypertexte visité" xfId="22176" builtinId="9" hidden="1"/>
    <cellStyle name="Lien hypertexte visité" xfId="24392" builtinId="9" hidden="1"/>
    <cellStyle name="Lien hypertexte visité" xfId="22098" builtinId="9" hidden="1"/>
    <cellStyle name="Lien hypertexte visité" xfId="19714" builtinId="9" hidden="1"/>
    <cellStyle name="Lien hypertexte visité" xfId="17507" builtinId="9" hidden="1"/>
    <cellStyle name="Lien hypertexte visité" xfId="24336" builtinId="9" hidden="1"/>
    <cellStyle name="Lien hypertexte visité" xfId="17697" builtinId="9" hidden="1"/>
    <cellStyle name="Lien hypertexte visité" xfId="12522" builtinId="9" hidden="1"/>
    <cellStyle name="Lien hypertexte visité" xfId="8426" builtinId="9" hidden="1"/>
    <cellStyle name="Lien hypertexte visité" xfId="4817" builtinId="9" hidden="1"/>
    <cellStyle name="Lien hypertexte visité" xfId="5765" builtinId="9" hidden="1"/>
    <cellStyle name="Lien hypertexte visité" xfId="6937" builtinId="9" hidden="1"/>
    <cellStyle name="Lien hypertexte visité" xfId="7962" builtinId="9" hidden="1"/>
    <cellStyle name="Lien hypertexte visité" xfId="2283" builtinId="9" hidden="1"/>
    <cellStyle name="Lien hypertexte visité" xfId="3375" builtinId="9" hidden="1"/>
    <cellStyle name="Lien hypertexte visité" xfId="1651" builtinId="9" hidden="1"/>
    <cellStyle name="Lien hypertexte visité" xfId="1398" builtinId="9" hidden="1"/>
    <cellStyle name="Lien hypertexte visité" xfId="1137" builtinId="9" hidden="1"/>
    <cellStyle name="Lien hypertexte visité" xfId="1462" builtinId="9" hidden="1"/>
    <cellStyle name="Lien hypertexte visité" xfId="3183" builtinId="9" hidden="1"/>
    <cellStyle name="Lien hypertexte visité" xfId="4777" builtinId="9" hidden="1"/>
    <cellStyle name="Lien hypertexte visité" xfId="7681" builtinId="9" hidden="1"/>
    <cellStyle name="Lien hypertexte visité" xfId="6733" builtinId="9" hidden="1"/>
    <cellStyle name="Lien hypertexte visité" xfId="5561" builtinId="9" hidden="1"/>
    <cellStyle name="Lien hypertexte visité" xfId="4609" builtinId="9" hidden="1"/>
    <cellStyle name="Lien hypertexte visité" xfId="9402" builtinId="9" hidden="1"/>
    <cellStyle name="Lien hypertexte visité" xfId="17623" builtinId="9" hidden="1"/>
    <cellStyle name="Lien hypertexte visité" xfId="15415" builtinId="9" hidden="1"/>
    <cellStyle name="Lien hypertexte visité" xfId="13845" builtinId="9" hidden="1"/>
    <cellStyle name="Lien hypertexte visité" xfId="7020" builtinId="9" hidden="1"/>
    <cellStyle name="Lien hypertexte visité" xfId="1894" builtinId="9" hidden="1"/>
    <cellStyle name="Lien hypertexte visité" xfId="4382" builtinId="9" hidden="1"/>
    <cellStyle name="Lien hypertexte visité" xfId="10527" builtinId="9" hidden="1"/>
    <cellStyle name="Lien hypertexte visité" xfId="16779" builtinId="9" hidden="1"/>
    <cellStyle name="Lien hypertexte visité" xfId="6709" builtinId="9" hidden="1"/>
    <cellStyle name="Lien hypertexte visité" xfId="5721" builtinId="9" hidden="1"/>
    <cellStyle name="Lien hypertexte visité" xfId="4881" builtinId="9" hidden="1"/>
    <cellStyle name="Lien hypertexte visité" xfId="4037" builtinId="9" hidden="1"/>
    <cellStyle name="Lien hypertexte visité" xfId="11338" builtinId="9" hidden="1"/>
    <cellStyle name="Lien hypertexte visité" xfId="14218" builtinId="9" hidden="1"/>
    <cellStyle name="Lien hypertexte visité" xfId="19792" builtinId="9" hidden="1"/>
    <cellStyle name="Lien hypertexte visité" xfId="22394" builtinId="9" hidden="1"/>
    <cellStyle name="Lien hypertexte visité" xfId="17571" builtinId="9" hidden="1"/>
    <cellStyle name="Lien hypertexte visité" xfId="19474" builtinId="9" hidden="1"/>
    <cellStyle name="Lien hypertexte visité" xfId="21826" builtinId="9" hidden="1"/>
    <cellStyle name="Lien hypertexte visité" xfId="23786" builtinId="9" hidden="1"/>
    <cellStyle name="Lien hypertexte visité" xfId="23480" builtinId="9" hidden="1"/>
    <cellStyle name="Lien hypertexte visité" xfId="21128" builtinId="9" hidden="1"/>
    <cellStyle name="Lien hypertexte visité" xfId="19208" builtinId="9" hidden="1"/>
    <cellStyle name="Lien hypertexte visité" xfId="17265" builtinId="9" hidden="1"/>
    <cellStyle name="Lien hypertexte visité" xfId="14921" builtinId="9" hidden="1"/>
    <cellStyle name="Lien hypertexte visité" xfId="13734" builtinId="9" hidden="1"/>
    <cellStyle name="Lien hypertexte visité" xfId="12774" builtinId="9" hidden="1"/>
    <cellStyle name="Lien hypertexte visité" xfId="11602" builtinId="9" hidden="1"/>
    <cellStyle name="Lien hypertexte visité" xfId="10622" builtinId="9" hidden="1"/>
    <cellStyle name="Lien hypertexte visité" xfId="9638" builtinId="9" hidden="1"/>
    <cellStyle name="Lien hypertexte visité" xfId="14705" builtinId="9" hidden="1"/>
    <cellStyle name="Lien hypertexte visité" xfId="20882" builtinId="9" hidden="1"/>
    <cellStyle name="Lien hypertexte visité" xfId="3949" builtinId="9" hidden="1"/>
    <cellStyle name="Lien hypertexte visité" xfId="3696" builtinId="9" hidden="1"/>
    <cellStyle name="Lien hypertexte visité" xfId="1787" builtinId="9" hidden="1"/>
    <cellStyle name="Lien hypertexte visité" xfId="1322" builtinId="9" hidden="1"/>
    <cellStyle name="Lien hypertexte visité" xfId="609" builtinId="9" hidden="1"/>
    <cellStyle name="Lien hypertexte visité" xfId="1907" builtinId="9" hidden="1"/>
    <cellStyle name="Lien hypertexte visité" xfId="3820" builtinId="9" hidden="1"/>
    <cellStyle name="Lien hypertexte visité" xfId="2923" builtinId="9" hidden="1"/>
    <cellStyle name="Lien hypertexte visité" xfId="2208" builtinId="9" hidden="1"/>
    <cellStyle name="Lien hypertexte visité" xfId="8046" builtinId="9" hidden="1"/>
    <cellStyle name="Lien hypertexte visité" xfId="2703" builtinId="9" hidden="1"/>
    <cellStyle name="Lien hypertexte visité" xfId="6757" builtinId="9" hidden="1"/>
    <cellStyle name="Lien hypertexte visité" xfId="7509" builtinId="9" hidden="1"/>
    <cellStyle name="Lien hypertexte visité" xfId="6761" builtinId="9" hidden="1"/>
    <cellStyle name="Lien hypertexte visité" xfId="2527" builtinId="9" hidden="1"/>
    <cellStyle name="Lien hypertexte visité" xfId="2835" builtinId="9" hidden="1"/>
    <cellStyle name="Lien hypertexte visité" xfId="5477" builtinId="9" hidden="1"/>
    <cellStyle name="Lien hypertexte visité" xfId="6209" builtinId="9" hidden="1"/>
    <cellStyle name="Lien hypertexte visité" xfId="4417" builtinId="9" hidden="1"/>
    <cellStyle name="Lien hypertexte visité" xfId="10906" builtinId="9" hidden="1"/>
    <cellStyle name="Lien hypertexte visité" xfId="8922" builtinId="9" hidden="1"/>
    <cellStyle name="Lien hypertexte visité" xfId="4217" builtinId="9" hidden="1"/>
    <cellStyle name="Lien hypertexte visité" xfId="5861" builtinId="9" hidden="1"/>
    <cellStyle name="Lien hypertexte visité" xfId="5113" builtinId="9" hidden="1"/>
    <cellStyle name="Lien hypertexte visité" xfId="3039" builtinId="9" hidden="1"/>
    <cellStyle name="Lien hypertexte visité" xfId="4073" builtinId="9" hidden="1"/>
    <cellStyle name="Lien hypertexte visité" xfId="8058" builtinId="9" hidden="1"/>
    <cellStyle name="Lien hypertexte visité" xfId="7309" builtinId="9" hidden="1"/>
    <cellStyle name="Lien hypertexte visité" xfId="6393" builtinId="9" hidden="1"/>
    <cellStyle name="Lien hypertexte visité" xfId="7477" builtinId="9" hidden="1"/>
    <cellStyle name="Lien hypertexte visité" xfId="7882" builtinId="9" hidden="1"/>
    <cellStyle name="Lien hypertexte visité" xfId="2547" builtinId="9" hidden="1"/>
    <cellStyle name="Lien hypertexte visité" xfId="3283" builtinId="9" hidden="1"/>
    <cellStyle name="Lien hypertexte visité" xfId="2755" builtinId="9" hidden="1"/>
    <cellStyle name="Lien hypertexte visité" xfId="969" builtinId="9" hidden="1"/>
    <cellStyle name="Lien hypertexte visité" xfId="313" builtinId="9" hidden="1"/>
    <cellStyle name="Lien hypertexte visité" xfId="1089" builtinId="9" hidden="1"/>
    <cellStyle name="Lien hypertexte visité" xfId="1454" builtinId="9" hidden="1"/>
    <cellStyle name="Lien hypertexte visité" xfId="3327" builtinId="9" hidden="1"/>
    <cellStyle name="Lien hypertexte visité" xfId="13770" builtinId="9" hidden="1"/>
    <cellStyle name="Lien hypertexte visité" xfId="21856" builtinId="9" hidden="1"/>
    <cellStyle name="Lien hypertexte visité" xfId="11366" builtinId="9" hidden="1"/>
    <cellStyle name="Lien hypertexte visité" xfId="9918" builtinId="9" hidden="1"/>
    <cellStyle name="Lien hypertexte visité" xfId="11090" builtinId="9" hidden="1"/>
    <cellStyle name="Lien hypertexte visité" xfId="12070" builtinId="9" hidden="1"/>
    <cellStyle name="Lien hypertexte visité" xfId="13030" builtinId="9" hidden="1"/>
    <cellStyle name="Lien hypertexte visité" xfId="14206" builtinId="9" hidden="1"/>
    <cellStyle name="Lien hypertexte visité" xfId="15857" builtinId="9" hidden="1"/>
    <cellStyle name="Lien hypertexte visité" xfId="17817" builtinId="9" hidden="1"/>
    <cellStyle name="Lien hypertexte visité" xfId="20104" builtinId="9" hidden="1"/>
    <cellStyle name="Lien hypertexte visité" xfId="22072" builtinId="9" hidden="1"/>
    <cellStyle name="Lien hypertexte visité" xfId="24032" builtinId="9" hidden="1"/>
    <cellStyle name="Lien hypertexte visité" xfId="22850" builtinId="9" hidden="1"/>
    <cellStyle name="Lien hypertexte visité" xfId="20930" builtinId="9" hidden="1"/>
    <cellStyle name="Lien hypertexte visité" xfId="18962" builtinId="9" hidden="1"/>
    <cellStyle name="Lien hypertexte visité" xfId="19322" builtinId="9" hidden="1"/>
    <cellStyle name="Lien hypertexte visité" xfId="24016" builtinId="9" hidden="1"/>
    <cellStyle name="Lien hypertexte visité" xfId="18273" builtinId="9" hidden="1"/>
    <cellStyle name="Lien hypertexte visité" xfId="12874" builtinId="9" hidden="1"/>
    <cellStyle name="Lien hypertexte visité" xfId="9930" builtinId="9" hidden="1"/>
    <cellStyle name="Lien hypertexte visité" xfId="4277" builtinId="9" hidden="1"/>
    <cellStyle name="Lien hypertexte visité" xfId="5281" builtinId="9" hidden="1"/>
    <cellStyle name="Lien hypertexte visité" xfId="6105" builtinId="9" hidden="1"/>
    <cellStyle name="Lien hypertexte visité" xfId="6945" builtinId="9" hidden="1"/>
    <cellStyle name="Lien hypertexte visité" xfId="13215" builtinId="9" hidden="1"/>
    <cellStyle name="Lien hypertexte visité" xfId="8095" builtinId="9" hidden="1"/>
    <cellStyle name="Lien hypertexte visité" xfId="2968" builtinId="9" hidden="1"/>
    <cellStyle name="Lien hypertexte visité" xfId="4332" builtinId="9" hidden="1"/>
    <cellStyle name="Lien hypertexte visité" xfId="9453" builtinId="9" hidden="1"/>
    <cellStyle name="Lien hypertexte visité" xfId="14631" builtinId="9" hidden="1"/>
    <cellStyle name="Lien hypertexte visité" xfId="22324" builtinId="9" hidden="1"/>
    <cellStyle name="Lien hypertexte visité" xfId="13308" builtinId="9" hidden="1"/>
    <cellStyle name="Lien hypertexte visité" xfId="8188" builtinId="9" hidden="1"/>
    <cellStyle name="Lien hypertexte visité" xfId="2037" builtinId="9" hidden="1"/>
    <cellStyle name="Lien hypertexte visité" xfId="4239" builtinId="9" hidden="1"/>
    <cellStyle name="Lien hypertexte visité" xfId="59" builtinId="9" hidden="1"/>
    <cellStyle name="Lien hypertexte visité" xfId="4696" builtinId="9" hidden="1"/>
    <cellStyle name="Lien hypertexte visité" xfId="8113" builtinId="9" hidden="1"/>
    <cellStyle name="Lien hypertexte visité" xfId="11521" builtinId="9" hidden="1"/>
    <cellStyle name="Lien hypertexte visité" xfId="16719" builtinId="9" hidden="1"/>
    <cellStyle name="Lien hypertexte visité" xfId="23534" builtinId="9" hidden="1"/>
    <cellStyle name="Lien hypertexte visité" xfId="18860" builtinId="9" hidden="1"/>
    <cellStyle name="Lien hypertexte visité" xfId="12600" builtinId="9" hidden="1"/>
    <cellStyle name="Lien hypertexte visité" xfId="9192" builtinId="9" hidden="1"/>
    <cellStyle name="Lien hypertexte visité" xfId="21628" builtinId="9" hidden="1"/>
    <cellStyle name="Lien hypertexte visité" xfId="8777" builtinId="9" hidden="1"/>
    <cellStyle name="Lien hypertexte visité" xfId="8969" builtinId="9" hidden="1"/>
    <cellStyle name="Lien hypertexte visité" xfId="12425" builtinId="9" hidden="1"/>
    <cellStyle name="Lien hypertexte visité" xfId="18510" builtinId="9" hidden="1"/>
    <cellStyle name="Lien hypertexte visité" xfId="23932" builtinId="9" hidden="1"/>
    <cellStyle name="Lien hypertexte visité" xfId="17165" builtinId="9" hidden="1"/>
    <cellStyle name="Lien hypertexte visité" xfId="11744" builtinId="9" hidden="1"/>
    <cellStyle name="Lien hypertexte visité" xfId="9040" builtinId="9" hidden="1"/>
    <cellStyle name="Lien hypertexte visité" xfId="10168" builtinId="9" hidden="1"/>
    <cellStyle name="Lien hypertexte visité" xfId="11536" builtinId="9" hidden="1"/>
    <cellStyle name="Lien hypertexte visité" xfId="12664" builtinId="9" hidden="1"/>
    <cellStyle name="Lien hypertexte visité" xfId="13816" builtinId="9" hidden="1"/>
    <cellStyle name="Lien hypertexte visité" xfId="15853" builtinId="9" hidden="1"/>
    <cellStyle name="Lien hypertexte visité" xfId="18109" builtinId="9" hidden="1"/>
    <cellStyle name="Lien hypertexte visité" xfId="20364" builtinId="9" hidden="1"/>
    <cellStyle name="Lien hypertexte visité" xfId="23084" builtinId="9" hidden="1"/>
    <cellStyle name="Lien hypertexte visité" xfId="23838" builtinId="9" hidden="1"/>
    <cellStyle name="Lien hypertexte visité" xfId="21566" builtinId="9" hidden="1"/>
    <cellStyle name="Lien hypertexte visité" xfId="18846" builtinId="9" hidden="1"/>
    <cellStyle name="Lien hypertexte visité" xfId="16591" builtinId="9" hidden="1"/>
    <cellStyle name="Lien hypertexte visité" xfId="14401" builtinId="9" hidden="1"/>
    <cellStyle name="Lien hypertexte visité" xfId="13041" builtinId="9" hidden="1"/>
    <cellStyle name="Lien hypertexte visité" xfId="11905" builtinId="9" hidden="1"/>
    <cellStyle name="Lien hypertexte visité" xfId="10777" builtinId="9" hidden="1"/>
    <cellStyle name="Lien hypertexte visité" xfId="9409" builtinId="9" hidden="1"/>
    <cellStyle name="Lien hypertexte visité" xfId="8257" builtinId="9" hidden="1"/>
    <cellStyle name="Lien hypertexte visité" xfId="7128" builtinId="9" hidden="1"/>
    <cellStyle name="Lien hypertexte visité" xfId="5760" builtinId="9" hidden="1"/>
    <cellStyle name="Lien hypertexte visité" xfId="4632" builtinId="9" hidden="1"/>
    <cellStyle name="Lien hypertexte visité" xfId="3474" builtinId="9" hidden="1"/>
    <cellStyle name="Lien hypertexte visité" xfId="2106" builtinId="9" hidden="1"/>
    <cellStyle name="Lien hypertexte visité" xfId="791" builtinId="9" hidden="1"/>
    <cellStyle name="Lien hypertexte visité" xfId="8240" builtinId="9" hidden="1"/>
    <cellStyle name="Lien hypertexte visité" xfId="6191" builtinId="9" hidden="1"/>
    <cellStyle name="Lien hypertexte visité" xfId="4463" builtinId="9" hidden="1"/>
    <cellStyle name="Lien hypertexte visité" xfId="2761" builtinId="9" hidden="1"/>
    <cellStyle name="Lien hypertexte visité" xfId="261" builtinId="9" hidden="1"/>
    <cellStyle name="Lien hypertexte visité" xfId="2133" builtinId="9" hidden="1"/>
    <cellStyle name="Lien hypertexte visité" xfId="3870" builtinId="9" hidden="1"/>
    <cellStyle name="Lien hypertexte visité" xfId="5915" builtinId="9" hidden="1"/>
    <cellStyle name="Lien hypertexte visité" xfId="7611" builtinId="9" hidden="1"/>
    <cellStyle name="Lien hypertexte visité" xfId="9308" builtinId="9" hidden="1"/>
    <cellStyle name="Lien hypertexte visité" xfId="11356" builtinId="9" hidden="1"/>
    <cellStyle name="Lien hypertexte visité" xfId="13084" builtinId="9" hidden="1"/>
    <cellStyle name="Lien hypertexte visité" xfId="15045" builtinId="9" hidden="1"/>
    <cellStyle name="Lien hypertexte visité" xfId="19124" builtinId="9" hidden="1"/>
    <cellStyle name="Lien hypertexte visité" xfId="22516" builtinId="9" hidden="1"/>
    <cellStyle name="Lien hypertexte visité" xfId="23254" builtinId="9" hidden="1"/>
    <cellStyle name="Lien hypertexte visité" xfId="19158" builtinId="9" hidden="1"/>
    <cellStyle name="Lien hypertexte visité" xfId="15783" builtinId="9" hidden="1"/>
    <cellStyle name="Lien hypertexte visité" xfId="13453" builtinId="9" hidden="1"/>
    <cellStyle name="Lien hypertexte visité" xfId="11405" builtinId="9" hidden="1"/>
    <cellStyle name="Lien hypertexte visité" xfId="9677" builtinId="9" hidden="1"/>
    <cellStyle name="Lien hypertexte visité" xfId="7981" builtinId="9" hidden="1"/>
    <cellStyle name="Lien hypertexte visité" xfId="5932" builtinId="9" hidden="1"/>
    <cellStyle name="Lien hypertexte visité" xfId="4236" builtinId="9" hidden="1"/>
    <cellStyle name="Lien hypertexte visité" xfId="2502" builtinId="9" hidden="1"/>
    <cellStyle name="Lien hypertexte visité" xfId="227" builtinId="9" hidden="1"/>
    <cellStyle name="Lien hypertexte visité" xfId="2392" builtinId="9" hidden="1"/>
    <cellStyle name="Lien hypertexte visité" xfId="4094" builtinId="9" hidden="1"/>
    <cellStyle name="Lien hypertexte visité" xfId="6142" builtinId="9" hidden="1"/>
    <cellStyle name="Lien hypertexte visité" xfId="7871" builtinId="9" hidden="1"/>
    <cellStyle name="Lien hypertexte visité" xfId="9567" builtinId="9" hidden="1"/>
    <cellStyle name="Lien hypertexte visité" xfId="11615" builtinId="9" hidden="1"/>
    <cellStyle name="Lien hypertexte visité" xfId="13311" builtinId="9" hidden="1"/>
    <cellStyle name="Lien hypertexte visité" xfId="15563" builtinId="9" hidden="1"/>
    <cellStyle name="Lien hypertexte visité" xfId="8998" builtinId="9" hidden="1"/>
    <cellStyle name="Lien hypertexte visité" xfId="2370" builtinId="9" hidden="1"/>
    <cellStyle name="Lien hypertexte visité" xfId="8627" builtinId="9" hidden="1"/>
    <cellStyle name="Lien hypertexte visité" xfId="6866" builtinId="9" hidden="1"/>
    <cellStyle name="Lien hypertexte visité" xfId="5402" builtinId="9" hidden="1"/>
    <cellStyle name="Lien hypertexte visité" xfId="3946" builtinId="9" hidden="1"/>
    <cellStyle name="Lien hypertexte visité" xfId="2180" builtinId="9" hidden="1"/>
    <cellStyle name="Lien hypertexte visité" xfId="2140" builtinId="9" hidden="1"/>
    <cellStyle name="Lien hypertexte visité" xfId="12523" builtinId="9" hidden="1"/>
    <cellStyle name="Lien hypertexte visité" xfId="10883" builtinId="9" hidden="1"/>
    <cellStyle name="Lien hypertexte visité" xfId="9523" builtinId="9" hidden="1"/>
    <cellStyle name="Lien hypertexte visité" xfId="13403" builtinId="9" hidden="1"/>
    <cellStyle name="Lien hypertexte visité" xfId="16051" builtinId="9" hidden="1"/>
    <cellStyle name="Lien hypertexte visité" xfId="14659" builtinId="9" hidden="1"/>
    <cellStyle name="Lien hypertexte visité" xfId="13555" builtinId="9" hidden="1"/>
    <cellStyle name="Lien hypertexte visité" xfId="9955" builtinId="9" hidden="1"/>
    <cellStyle name="Lien hypertexte visité" xfId="11323" builtinId="9" hidden="1"/>
    <cellStyle name="Lien hypertexte visité" xfId="12683" builtinId="9" hidden="1"/>
    <cellStyle name="Lien hypertexte visité" xfId="1187" builtinId="9" hidden="1"/>
    <cellStyle name="Lien hypertexte visité" xfId="2644" builtinId="9" hidden="1"/>
    <cellStyle name="Lien hypertexte visité" xfId="4114" builtinId="9" hidden="1"/>
    <cellStyle name="Lien hypertexte visité" xfId="5874" builtinId="9" hidden="1"/>
    <cellStyle name="Lien hypertexte visité" xfId="7338" builtinId="9" hidden="1"/>
    <cellStyle name="Lien hypertexte visité" xfId="8795" builtinId="9" hidden="1"/>
    <cellStyle name="Lien hypertexte visité" xfId="4008" builtinId="9" hidden="1"/>
    <cellStyle name="Lien hypertexte visité" xfId="9129" builtinId="9" hidden="1"/>
    <cellStyle name="Lien hypertexte visité" xfId="14249" builtinId="9" hidden="1"/>
    <cellStyle name="Lien hypertexte visité" xfId="22972" builtinId="9" hidden="1"/>
    <cellStyle name="Lien hypertexte visité" xfId="13632" builtinId="9" hidden="1"/>
    <cellStyle name="Lien hypertexte visité" xfId="8968" builtinId="9" hidden="1"/>
    <cellStyle name="Lien hypertexte visité" xfId="11016" builtinId="9" hidden="1"/>
    <cellStyle name="Lien hypertexte visité" xfId="12720" builtinId="9" hidden="1"/>
    <cellStyle name="Lien hypertexte visité" xfId="14424" builtinId="9" hidden="1"/>
    <cellStyle name="Lien hypertexte visité" xfId="18412" builtinId="9" hidden="1"/>
    <cellStyle name="Lien hypertexte visité" xfId="21836" builtinId="9" hidden="1"/>
    <cellStyle name="Lien hypertexte visité" xfId="23982" builtinId="9" hidden="1"/>
    <cellStyle name="Lien hypertexte visité" xfId="19886" builtinId="9" hidden="1"/>
    <cellStyle name="Lien hypertexte visité" xfId="16495" builtinId="9" hidden="1"/>
    <cellStyle name="Lien hypertexte visité" xfId="13793" builtinId="9" hidden="1"/>
    <cellStyle name="Lien hypertexte visité" xfId="11745" builtinId="9" hidden="1"/>
    <cellStyle name="Lien hypertexte visité" xfId="10041" builtinId="9" hidden="1"/>
    <cellStyle name="Lien hypertexte visité" xfId="8337" builtinId="9" hidden="1"/>
    <cellStyle name="Lien hypertexte visité" xfId="6288" builtinId="9" hidden="1"/>
    <cellStyle name="Lien hypertexte visité" xfId="4576" builtinId="9" hidden="1"/>
    <cellStyle name="Lien hypertexte visité" xfId="2866" builtinId="9" hidden="1"/>
    <cellStyle name="Lien hypertexte visité" xfId="471" builtinId="9" hidden="1"/>
    <cellStyle name="Lien hypertexte visité" xfId="7135" builtinId="9" hidden="1"/>
    <cellStyle name="Lien hypertexte visité" xfId="4575" builtinId="9" hidden="1"/>
    <cellStyle name="Lien hypertexte visité" xfId="1497" builtinId="9" hidden="1"/>
    <cellStyle name="Lien hypertexte visité" xfId="2213" builtinId="9" hidden="1"/>
    <cellStyle name="Lien hypertexte visité" xfId="4779" builtinId="9" hidden="1"/>
    <cellStyle name="Lien hypertexte visité" xfId="7852" builtinId="9" hidden="1"/>
    <cellStyle name="Lien hypertexte visité" xfId="10412" builtinId="9" hidden="1"/>
    <cellStyle name="Lien hypertexte visité" xfId="12972" builtinId="9" hidden="1"/>
    <cellStyle name="Lien hypertexte visité" xfId="17573" builtinId="9" hidden="1"/>
    <cellStyle name="Lien hypertexte visité" xfId="22676" builtinId="9" hidden="1"/>
    <cellStyle name="Lien hypertexte visité" xfId="21430" builtinId="9" hidden="1"/>
    <cellStyle name="Lien hypertexte visité" xfId="15303" builtinId="9" hidden="1"/>
    <cellStyle name="Lien hypertexte visité" xfId="12349" builtinId="9" hidden="1"/>
    <cellStyle name="Lien hypertexte visité" xfId="9789" builtinId="9" hidden="1"/>
    <cellStyle name="Lien hypertexte visité" xfId="6716" builtinId="9" hidden="1"/>
    <cellStyle name="Lien hypertexte visité" xfId="4156" builtinId="9" hidden="1"/>
    <cellStyle name="Lien hypertexte visité" xfId="1590" builtinId="9" hidden="1"/>
    <cellStyle name="Lien hypertexte visité" xfId="2632" builtinId="9" hidden="1"/>
    <cellStyle name="Lien hypertexte visité" xfId="5198" builtinId="9" hidden="1"/>
    <cellStyle name="Lien hypertexte visité" xfId="7758" builtinId="9" hidden="1"/>
    <cellStyle name="Lien hypertexte visité" xfId="10831" builtinId="9" hidden="1"/>
    <cellStyle name="Lien hypertexte visité" xfId="13391" builtinId="9" hidden="1"/>
    <cellStyle name="Lien hypertexte visité" xfId="8242" builtinId="9" hidden="1"/>
    <cellStyle name="Lien hypertexte visité" xfId="10290" builtinId="9" hidden="1"/>
    <cellStyle name="Lien hypertexte visité" xfId="11998" builtinId="9" hidden="1"/>
    <cellStyle name="Lien hypertexte visité" xfId="13702" builtinId="9" hidden="1"/>
    <cellStyle name="Lien hypertexte visité" xfId="16985" builtinId="9" hidden="1"/>
    <cellStyle name="Lien hypertexte visité" xfId="20384" builtinId="9" hidden="1"/>
    <cellStyle name="Lien hypertexte visité" xfId="23800" builtinId="9" hidden="1"/>
    <cellStyle name="Lien hypertexte visité" xfId="21330" builtinId="9" hidden="1"/>
    <cellStyle name="Lien hypertexte visité" xfId="17939" builtinId="9" hidden="1"/>
    <cellStyle name="Lien hypertexte visité" xfId="23568" builtinId="9" hidden="1"/>
    <cellStyle name="Lien hypertexte visité" xfId="12906" builtinId="9" hidden="1"/>
    <cellStyle name="Lien hypertexte visité" xfId="4049" builtinId="9" hidden="1"/>
    <cellStyle name="Lien hypertexte visité" xfId="5509" builtinId="9" hidden="1"/>
    <cellStyle name="Lien hypertexte visité" xfId="7265" builtinId="9" hidden="1"/>
    <cellStyle name="Lien hypertexte visité" xfId="4617" builtinId="9" hidden="1"/>
    <cellStyle name="Lien hypertexte visité" xfId="3479" builtinId="9" hidden="1"/>
    <cellStyle name="Lien hypertexte visité" xfId="1302" builtinId="9" hidden="1"/>
    <cellStyle name="Lien hypertexte visité" xfId="2159" builtinId="9" hidden="1"/>
    <cellStyle name="Lien hypertexte visité" xfId="3423" builtinId="9" hidden="1"/>
    <cellStyle name="Lien hypertexte visité" xfId="7081" builtinId="9" hidden="1"/>
    <cellStyle name="Lien hypertexte visité" xfId="6913" builtinId="9" hidden="1"/>
    <cellStyle name="Lien hypertexte visité" xfId="5453" builtinId="9" hidden="1"/>
    <cellStyle name="Lien hypertexte visité" xfId="9018" builtinId="9" hidden="1"/>
    <cellStyle name="Lien hypertexte visité" xfId="17207" builtinId="9" hidden="1"/>
    <cellStyle name="Lien hypertexte visité" xfId="14149" builtinId="9" hidden="1"/>
    <cellStyle name="Lien hypertexte visité" xfId="12101" builtinId="9" hidden="1"/>
    <cellStyle name="Lien hypertexte visité" xfId="10389" builtinId="9" hidden="1"/>
    <cellStyle name="Lien hypertexte visité" xfId="8693" builtinId="9" hidden="1"/>
    <cellStyle name="Lien hypertexte visité" xfId="6644" builtinId="9" hidden="1"/>
    <cellStyle name="Lien hypertexte visité" xfId="4932" builtinId="9" hidden="1"/>
    <cellStyle name="Lien hypertexte visité" xfId="3214" builtinId="9" hidden="1"/>
    <cellStyle name="Lien hypertexte visité" xfId="1165" builtinId="9" hidden="1"/>
    <cellStyle name="Lien hypertexte visité" xfId="1680" builtinId="9" hidden="1"/>
    <cellStyle name="Lien hypertexte visité" xfId="3392" builtinId="9" hidden="1"/>
    <cellStyle name="Lien hypertexte visité" xfId="5446" builtinId="9" hidden="1"/>
    <cellStyle name="Lien hypertexte visité" xfId="7158" builtinId="9" hidden="1"/>
    <cellStyle name="Lien hypertexte visité" xfId="8855" builtinId="9" hidden="1"/>
    <cellStyle name="Lien hypertexte visité" xfId="10903" builtinId="9" hidden="1"/>
    <cellStyle name="Lien hypertexte visité" xfId="12615" builtinId="9" hidden="1"/>
    <cellStyle name="Lien hypertexte visité" xfId="14327" builtinId="9" hidden="1"/>
    <cellStyle name="Lien hypertexte visité" xfId="8526" builtinId="9" hidden="1"/>
    <cellStyle name="Lien hypertexte visité" xfId="9654" builtinId="9" hidden="1"/>
    <cellStyle name="Lien hypertexte visité" xfId="10798" builtinId="9" hidden="1"/>
    <cellStyle name="Lien hypertexte visité" xfId="12162" builtinId="9" hidden="1"/>
    <cellStyle name="Lien hypertexte visité" xfId="13302" builtinId="9" hidden="1"/>
    <cellStyle name="Lien hypertexte visité" xfId="14434" builtinId="9" hidden="1"/>
    <cellStyle name="Lien hypertexte visité" xfId="17081" builtinId="9" hidden="1"/>
    <cellStyle name="Lien hypertexte visité" xfId="19352" builtinId="9" hidden="1"/>
    <cellStyle name="Lien hypertexte visité" xfId="21632" builtinId="9" hidden="1"/>
    <cellStyle name="Lien hypertexte visité" xfId="24360" builtinId="9" hidden="1"/>
    <cellStyle name="Lien hypertexte visité" xfId="22602" builtinId="9" hidden="1"/>
    <cellStyle name="Lien hypertexte visité" xfId="20322" builtinId="9" hidden="1"/>
    <cellStyle name="Lien hypertexte visité" xfId="17603" builtinId="9" hidden="1"/>
    <cellStyle name="Lien hypertexte visité" xfId="23258" builtinId="9" hidden="1"/>
    <cellStyle name="Lien hypertexte visité" xfId="19184" builtinId="9" hidden="1"/>
    <cellStyle name="Lien hypertexte visité" xfId="12762" builtinId="9" hidden="1"/>
    <cellStyle name="Lien hypertexte visité" xfId="19632" builtinId="9" hidden="1"/>
    <cellStyle name="Lien hypertexte visité" xfId="20018" builtinId="9" hidden="1"/>
    <cellStyle name="Lien hypertexte visité" xfId="21016" builtinId="9" hidden="1"/>
    <cellStyle name="Lien hypertexte visité" xfId="14358" builtinId="9" hidden="1"/>
    <cellStyle name="Lien hypertexte visité" xfId="10946" builtinId="9" hidden="1"/>
    <cellStyle name="Lien hypertexte visité" xfId="13863" builtinId="9" hidden="1"/>
    <cellStyle name="Lien hypertexte visité" xfId="8743" builtinId="9" hidden="1"/>
    <cellStyle name="Lien hypertexte visité" xfId="3617" builtinId="9" hidden="1"/>
    <cellStyle name="Lien hypertexte visité" xfId="3686" builtinId="9" hidden="1"/>
    <cellStyle name="Lien hypertexte visité" xfId="8805" builtinId="9" hidden="1"/>
    <cellStyle name="Lien hypertexte visité" xfId="13925" builtinId="9" hidden="1"/>
    <cellStyle name="Lien hypertexte visité" xfId="6099" builtinId="9" hidden="1"/>
    <cellStyle name="Lien hypertexte visité" xfId="7571" builtinId="9" hidden="1"/>
    <cellStyle name="Lien hypertexte visité" xfId="9028" builtinId="9" hidden="1"/>
    <cellStyle name="Lien hypertexte visité" xfId="10788" builtinId="9" hidden="1"/>
    <cellStyle name="Lien hypertexte visité" xfId="12244" builtinId="9" hidden="1"/>
    <cellStyle name="Lien hypertexte visité" xfId="13716" builtinId="9" hidden="1"/>
    <cellStyle name="Lien hypertexte visité" xfId="16405" builtinId="9" hidden="1"/>
    <cellStyle name="Lien hypertexte visité" xfId="19332" builtinId="9" hidden="1"/>
    <cellStyle name="Lien hypertexte visité" xfId="22244" builtinId="9" hidden="1"/>
    <cellStyle name="Lien hypertexte visité" xfId="23462" builtinId="9" hidden="1"/>
    <cellStyle name="Lien hypertexte visité" xfId="20550" builtinId="9" hidden="1"/>
    <cellStyle name="Lien hypertexte visité" xfId="19780" builtinId="9" hidden="1"/>
    <cellStyle name="Lien hypertexte visité" xfId="2801" builtinId="9" hidden="1"/>
    <cellStyle name="Lien hypertexte visité" xfId="1440" builtinId="9" hidden="1"/>
    <cellStyle name="Lien hypertexte visité" xfId="1005" builtinId="9" hidden="1"/>
    <cellStyle name="Lien hypertexte visité" xfId="2717" builtinId="9" hidden="1"/>
    <cellStyle name="Lien hypertexte visité" xfId="4083" builtinId="9" hidden="1"/>
    <cellStyle name="Lien hypertexte visité" xfId="877" builtinId="9" hidden="1"/>
    <cellStyle name="Lien hypertexte visité" xfId="4535" builtinId="9" hidden="1"/>
    <cellStyle name="Lien hypertexte visité" xfId="3217" builtinId="9" hidden="1"/>
    <cellStyle name="Lien hypertexte visité" xfId="6583" builtinId="9" hidden="1"/>
    <cellStyle name="Lien hypertexte visité" xfId="8328" builtinId="9" hidden="1"/>
    <cellStyle name="Lien hypertexte visité" xfId="7463" builtinId="9" hidden="1"/>
    <cellStyle name="Lien hypertexte visité" xfId="6535" builtinId="9" hidden="1"/>
    <cellStyle name="Lien hypertexte visité" xfId="3425" builtinId="9" hidden="1"/>
    <cellStyle name="Lien hypertexte visité" xfId="4759" builtinId="9" hidden="1"/>
    <cellStyle name="Lien hypertexte visité" xfId="629" builtinId="9" hidden="1"/>
    <cellStyle name="Lien hypertexte visité" xfId="3878" builtinId="9" hidden="1"/>
    <cellStyle name="Lien hypertexte visité" xfId="2493" builtinId="9" hidden="1"/>
    <cellStyle name="Lien hypertexte visité" xfId="1101" builtinId="9" hidden="1"/>
    <cellStyle name="Lien hypertexte visité" xfId="1649" builtinId="9" hidden="1"/>
    <cellStyle name="Lien hypertexte visité" xfId="6531" builtinId="9" hidden="1"/>
    <cellStyle name="Lien hypertexte visité" xfId="19012" builtinId="9" hidden="1"/>
    <cellStyle name="Lien hypertexte visité" xfId="21030" builtinId="9" hidden="1"/>
    <cellStyle name="Lien hypertexte visité" xfId="23942" builtinId="9" hidden="1"/>
    <cellStyle name="Lien hypertexte visité" xfId="22372" builtinId="9" hidden="1"/>
    <cellStyle name="Lien hypertexte visité" xfId="18852" builtinId="9" hidden="1"/>
    <cellStyle name="Lien hypertexte visité" xfId="15925" builtinId="9" hidden="1"/>
    <cellStyle name="Lien hypertexte visité" xfId="13764" builtinId="9" hidden="1"/>
    <cellStyle name="Lien hypertexte visité" xfId="12004" builtinId="9" hidden="1"/>
    <cellStyle name="Lien hypertexte visité" xfId="10548" builtinId="9" hidden="1"/>
    <cellStyle name="Lien hypertexte visité" xfId="9076" builtinId="9" hidden="1"/>
    <cellStyle name="Lien hypertexte visité" xfId="7331" builtinId="9" hidden="1"/>
    <cellStyle name="Lien hypertexte visité" xfId="5859" builtinId="9" hidden="1"/>
    <cellStyle name="Lien hypertexte visité" xfId="14117" builtinId="9" hidden="1"/>
    <cellStyle name="Lien hypertexte visité" xfId="7973" builtinId="9" hidden="1"/>
    <cellStyle name="Lien hypertexte visité" xfId="1906" builtinId="9" hidden="1"/>
    <cellStyle name="Lien hypertexte visité" xfId="423" builtinId="9" hidden="1"/>
    <cellStyle name="Lien hypertexte visité" xfId="7615" builtinId="9" hidden="1"/>
    <cellStyle name="Lien hypertexte visité" xfId="5887" builtinId="9" hidden="1"/>
    <cellStyle name="Lien hypertexte visité" xfId="4159" builtinId="9" hidden="1"/>
    <cellStyle name="Lien hypertexte visité" xfId="2105" builtinId="9" hidden="1"/>
    <cellStyle name="Lien hypertexte visité" xfId="253" builtinId="9" hidden="1"/>
    <cellStyle name="Lien hypertexte visité" xfId="2437" builtinId="9" hidden="1"/>
    <cellStyle name="Lien hypertexte visité" xfId="4491" builtinId="9" hidden="1"/>
    <cellStyle name="Lien hypertexte visité" xfId="12797" builtinId="9" hidden="1"/>
    <cellStyle name="Lien hypertexte visité" xfId="4604" builtinId="9" hidden="1"/>
    <cellStyle name="Lien hypertexte visité" xfId="4750" builtinId="9" hidden="1"/>
    <cellStyle name="Lien hypertexte visité" xfId="12943" builtinId="9" hidden="1"/>
    <cellStyle name="Lien hypertexte visité" xfId="11698" builtinId="9" hidden="1"/>
    <cellStyle name="Lien hypertexte visité" xfId="19784" builtinId="9" hidden="1"/>
    <cellStyle name="Lien hypertexte visité" xfId="18514" builtinId="9" hidden="1"/>
    <cellStyle name="Lien hypertexte visité" xfId="8682" builtinId="9" hidden="1"/>
    <cellStyle name="Lien hypertexte visité" xfId="6409" builtinId="9" hidden="1"/>
    <cellStyle name="Lien hypertexte visité" xfId="1214" builtinId="9" hidden="1"/>
    <cellStyle name="Lien hypertexte visité" xfId="7169" builtinId="9" hidden="1"/>
    <cellStyle name="Lien hypertexte visité" xfId="17783" builtinId="9" hidden="1"/>
    <cellStyle name="Lien hypertexte visité" xfId="21444" builtinId="9" hidden="1"/>
    <cellStyle name="Lien hypertexte visité" xfId="18820" builtinId="9" hidden="1"/>
    <cellStyle name="Lien hypertexte visité" xfId="16181" builtinId="9" hidden="1"/>
    <cellStyle name="Lien hypertexte visité" xfId="13972" builtinId="9" hidden="1"/>
    <cellStyle name="Lien hypertexte visité" xfId="12644" builtinId="9" hidden="1"/>
    <cellStyle name="Lien hypertexte visité" xfId="11332" builtinId="9" hidden="1"/>
    <cellStyle name="Lien hypertexte visité" xfId="10020" builtinId="9" hidden="1"/>
    <cellStyle name="Lien hypertexte visité" xfId="8628" builtinId="9" hidden="1"/>
    <cellStyle name="Lien hypertexte visité" xfId="7315" builtinId="9" hidden="1"/>
    <cellStyle name="Lien hypertexte visité" xfId="5987" builtinId="9" hidden="1"/>
    <cellStyle name="Lien hypertexte visité" xfId="15127" builtinId="9" hidden="1"/>
    <cellStyle name="Lien hypertexte visité" xfId="10213" builtinId="9" hidden="1"/>
    <cellStyle name="Lien hypertexte visité" xfId="5604" builtinId="9" hidden="1"/>
    <cellStyle name="Lien hypertexte visité" xfId="815" builtinId="9" hidden="1"/>
    <cellStyle name="Lien hypertexte visité" xfId="5030" builtinId="9" hidden="1"/>
    <cellStyle name="Lien hypertexte visité" xfId="9639" builtinId="9" hidden="1"/>
    <cellStyle name="Lien hypertexte visité" xfId="14247" builtinId="9" hidden="1"/>
    <cellStyle name="Lien hypertexte visité" xfId="10350" builtinId="9" hidden="1"/>
    <cellStyle name="Lien hypertexte visité" xfId="13422" builtinId="9" hidden="1"/>
    <cellStyle name="Lien hypertexte visité" xfId="18456" builtinId="9" hidden="1"/>
    <cellStyle name="Lien hypertexte visité" xfId="24600" builtinId="9" hidden="1"/>
    <cellStyle name="Lien hypertexte visité" xfId="18163" builtinId="9" hidden="1"/>
    <cellStyle name="Lien hypertexte visité" xfId="16065" builtinId="9" hidden="1"/>
    <cellStyle name="Lien hypertexte visité" xfId="13018" builtinId="9" hidden="1"/>
    <cellStyle name="Lien hypertexte visité" xfId="17985" builtinId="9" hidden="1"/>
    <cellStyle name="Lien hypertexte visité" xfId="24112" builtinId="9" hidden="1"/>
    <cellStyle name="Lien hypertexte visité" xfId="18970" builtinId="9" hidden="1"/>
    <cellStyle name="Lien hypertexte visité" xfId="18786" builtinId="9" hidden="1"/>
    <cellStyle name="Lien hypertexte visité" xfId="20938" builtinId="9" hidden="1"/>
    <cellStyle name="Lien hypertexte visité" xfId="22986" builtinId="9" hidden="1"/>
    <cellStyle name="Lien hypertexte visité" xfId="24192" builtinId="9" hidden="1"/>
    <cellStyle name="Lien hypertexte visité" xfId="22016" builtinId="9" hidden="1"/>
    <cellStyle name="Lien hypertexte visité" xfId="19968" builtinId="9" hidden="1"/>
    <cellStyle name="Lien hypertexte visité" xfId="17937" builtinId="9" hidden="1"/>
    <cellStyle name="Lien hypertexte visité" xfId="15889" builtinId="9" hidden="1"/>
    <cellStyle name="Lien hypertexte visité" xfId="14126" builtinId="9" hidden="1"/>
    <cellStyle name="Lien hypertexte visité" xfId="13102" builtinId="9" hidden="1"/>
    <cellStyle name="Lien hypertexte visité" xfId="12078" builtinId="9" hidden="1"/>
    <cellStyle name="Lien hypertexte visité" xfId="10998" builtinId="9" hidden="1"/>
    <cellStyle name="Lien hypertexte visité" xfId="9974" builtinId="9" hidden="1"/>
    <cellStyle name="Lien hypertexte visité" xfId="8950" builtinId="9" hidden="1"/>
    <cellStyle name="Lien hypertexte visité" xfId="16443" builtinId="9" hidden="1"/>
    <cellStyle name="Lien hypertexte visité" xfId="13847" builtinId="9" hidden="1"/>
    <cellStyle name="Lien hypertexte visité" xfId="12311" builtinId="9" hidden="1"/>
    <cellStyle name="Lien hypertexte visité" xfId="10775" builtinId="9" hidden="1"/>
    <cellStyle name="Lien hypertexte visité" xfId="9159" builtinId="9" hidden="1"/>
    <cellStyle name="Lien hypertexte visité" xfId="7622" builtinId="9" hidden="1"/>
    <cellStyle name="Lien hypertexte visité" xfId="6086" builtinId="9" hidden="1"/>
    <cellStyle name="Lien hypertexte visité" xfId="4550" builtinId="9" hidden="1"/>
    <cellStyle name="Lien hypertexte visité" xfId="2928" builtinId="9" hidden="1"/>
    <cellStyle name="Lien hypertexte visité" xfId="1391" builtinId="9" hidden="1"/>
    <cellStyle name="Lien hypertexte visité" xfId="1293" builtinId="9" hidden="1"/>
    <cellStyle name="Lien hypertexte visité" xfId="2926" builtinId="9" hidden="1"/>
    <cellStyle name="Lien hypertexte visité" xfId="4468" builtinId="9" hidden="1"/>
    <cellStyle name="Lien hypertexte visité" xfId="6004" builtinId="9" hidden="1"/>
    <cellStyle name="Lien hypertexte visité" xfId="7540" builtinId="9" hidden="1"/>
    <cellStyle name="Lien hypertexte visité" xfId="9157" builtinId="9" hidden="1"/>
    <cellStyle name="Lien hypertexte visité" xfId="10693" builtinId="9" hidden="1"/>
    <cellStyle name="Lien hypertexte visité" xfId="12229" builtinId="9" hidden="1"/>
    <cellStyle name="Lien hypertexte visité" xfId="4884" builtinId="9" hidden="1"/>
    <cellStyle name="Lien hypertexte visité" xfId="7190" builtinId="9" hidden="1"/>
    <cellStyle name="Lien hypertexte visité" xfId="9686" builtinId="9" hidden="1"/>
    <cellStyle name="Lien hypertexte visité" xfId="19416" builtinId="9" hidden="1"/>
    <cellStyle name="Lien hypertexte visité" xfId="23386" builtinId="9" hidden="1"/>
    <cellStyle name="Lien hypertexte visité" xfId="14274" builtinId="9" hidden="1"/>
    <cellStyle name="Lien hypertexte visité" xfId="8933" builtinId="9" hidden="1"/>
    <cellStyle name="Lien hypertexte visité" xfId="12276" builtinId="9" hidden="1"/>
    <cellStyle name="Lien hypertexte visité" xfId="2733" builtinId="9" hidden="1"/>
    <cellStyle name="Lien hypertexte visité" xfId="3911" builtinId="9" hidden="1"/>
    <cellStyle name="Lien hypertexte visité" xfId="5059" builtinId="9" hidden="1"/>
    <cellStyle name="Lien hypertexte visité" xfId="5383" builtinId="9" hidden="1"/>
    <cellStyle name="Lien hypertexte visité" xfId="4183" builtinId="9" hidden="1"/>
    <cellStyle name="Lien hypertexte visité" xfId="3057" builtinId="9" hidden="1"/>
    <cellStyle name="Lien hypertexte visité" xfId="6631" builtinId="9" hidden="1"/>
    <cellStyle name="Lien hypertexte visité" xfId="7751" builtinId="9" hidden="1"/>
    <cellStyle name="Lien hypertexte visité" xfId="8792" builtinId="9" hidden="1"/>
    <cellStyle name="Lien hypertexte visité" xfId="7864" builtinId="9" hidden="1"/>
    <cellStyle name="Lien hypertexte visité" xfId="6743" builtinId="9" hidden="1"/>
    <cellStyle name="Lien hypertexte visité" xfId="3169" builtinId="9" hidden="1"/>
    <cellStyle name="Lien hypertexte visité" xfId="4311" builtinId="9" hidden="1"/>
    <cellStyle name="Lien hypertexte visité" xfId="5431" builtinId="9" hidden="1"/>
    <cellStyle name="Lien hypertexte visité" xfId="5011" builtinId="9" hidden="1"/>
    <cellStyle name="Lien hypertexte visité" xfId="3862" builtinId="9" hidden="1"/>
    <cellStyle name="Lien hypertexte visité" xfId="2685" builtinId="9" hidden="1"/>
    <cellStyle name="Lien hypertexte visité" xfId="1517" builtinId="9" hidden="1"/>
    <cellStyle name="Lien hypertexte visité" xfId="405" builtinId="9" hidden="1"/>
    <cellStyle name="Lien hypertexte visité" xfId="2017" builtinId="9" hidden="1"/>
    <cellStyle name="Lien hypertexte visité" xfId="7683" builtinId="9" hidden="1"/>
    <cellStyle name="Lien hypertexte visité" xfId="18261" builtinId="9" hidden="1"/>
    <cellStyle name="Lien hypertexte visité" xfId="19878" builtinId="9" hidden="1"/>
    <cellStyle name="Lien hypertexte visité" xfId="22374" builtinId="9" hidden="1"/>
    <cellStyle name="Lien hypertexte visité" xfId="24356" builtinId="9" hidden="1"/>
    <cellStyle name="Lien hypertexte visité" xfId="19302" builtinId="9" hidden="1"/>
    <cellStyle name="Lien hypertexte visité" xfId="8008" builtinId="9" hidden="1"/>
    <cellStyle name="Lien hypertexte visité" xfId="16597" builtinId="9" hidden="1"/>
    <cellStyle name="Lien hypertexte visité" xfId="19076" builtinId="9" hidden="1"/>
    <cellStyle name="Lien hypertexte visité" xfId="21412" builtinId="9" hidden="1"/>
    <cellStyle name="Lien hypertexte visité" xfId="23908" builtinId="9" hidden="1"/>
    <cellStyle name="Lien hypertexte visité" xfId="22982" builtinId="9" hidden="1"/>
    <cellStyle name="Lien hypertexte visité" xfId="20518" builtinId="9" hidden="1"/>
    <cellStyle name="Lien hypertexte visité" xfId="22596" builtinId="9" hidden="1"/>
    <cellStyle name="Lien hypertexte visité" xfId="10372" builtinId="9" hidden="1"/>
    <cellStyle name="Lien hypertexte visité" xfId="2369" builtinId="9" hidden="1"/>
    <cellStyle name="Lien hypertexte visité" xfId="1280" builtinId="9" hidden="1"/>
    <cellStyle name="Lien hypertexte visité" xfId="909" builtinId="9" hidden="1"/>
    <cellStyle name="Lien hypertexte visité" xfId="2125" builtinId="9" hidden="1"/>
    <cellStyle name="Lien hypertexte visité" xfId="8676" builtinId="9" hidden="1"/>
    <cellStyle name="Lien hypertexte visité" xfId="9844" builtinId="9" hidden="1"/>
    <cellStyle name="Lien hypertexte visité" xfId="11028" builtinId="9" hidden="1"/>
    <cellStyle name="Lien hypertexte visité" xfId="12260" builtinId="9" hidden="1"/>
    <cellStyle name="Lien hypertexte visité" xfId="13428" builtinId="9" hidden="1"/>
    <cellStyle name="Lien hypertexte visité" xfId="14709" builtinId="9" hidden="1"/>
    <cellStyle name="Lien hypertexte visité" xfId="5683" builtinId="9" hidden="1"/>
    <cellStyle name="Lien hypertexte visité" xfId="6851" builtinId="9" hidden="1"/>
    <cellStyle name="Lien hypertexte visité" xfId="8020" builtinId="9" hidden="1"/>
    <cellStyle name="Lien hypertexte visité" xfId="13733" builtinId="9" hidden="1"/>
    <cellStyle name="Lien hypertexte visité" xfId="9381" builtinId="9" hidden="1"/>
    <cellStyle name="Lien hypertexte visité" xfId="5028" builtinId="9" hidden="1"/>
    <cellStyle name="Lien hypertexte visité" xfId="8613" builtinId="9" hidden="1"/>
    <cellStyle name="Lien hypertexte visité" xfId="12965" builtinId="9" hidden="1"/>
    <cellStyle name="Lien hypertexte visité" xfId="7795" builtinId="9" hidden="1"/>
    <cellStyle name="Lien hypertexte visité" xfId="6627" builtinId="9" hidden="1"/>
    <cellStyle name="Lien hypertexte visité" xfId="5459" builtinId="9" hidden="1"/>
    <cellStyle name="Lien hypertexte visité" xfId="14388" builtinId="9" hidden="1"/>
    <cellStyle name="Lien hypertexte visité" xfId="13220" builtinId="9" hidden="1"/>
    <cellStyle name="Lien hypertexte visité" xfId="12052" builtinId="9" hidden="1"/>
    <cellStyle name="Lien hypertexte visité" xfId="10804" builtinId="9" hidden="1"/>
    <cellStyle name="Lien hypertexte visité" xfId="9636" builtinId="9" hidden="1"/>
    <cellStyle name="Lien hypertexte visité" xfId="8468" builtinId="9" hidden="1"/>
    <cellStyle name="Lien hypertexte visité" xfId="1917" builtinId="9" hidden="1"/>
    <cellStyle name="Lien hypertexte visité" xfId="333" builtinId="9" hidden="1"/>
    <cellStyle name="Lien hypertexte visité" xfId="1488" builtinId="9" hidden="1"/>
    <cellStyle name="Lien hypertexte visité" xfId="2641" builtinId="9" hidden="1"/>
    <cellStyle name="Lien hypertexte visité" xfId="11908" builtinId="9" hidden="1"/>
    <cellStyle name="Lien hypertexte visité" xfId="22534" builtinId="9" hidden="1"/>
    <cellStyle name="Lien hypertexte visité" xfId="20934" builtinId="9" hidden="1"/>
    <cellStyle name="Lien hypertexte visité" xfId="23430" builtinId="9" hidden="1"/>
    <cellStyle name="Lien hypertexte visité" xfId="23460" builtinId="9" hidden="1"/>
    <cellStyle name="Lien hypertexte visité" xfId="20964" builtinId="9" hidden="1"/>
    <cellStyle name="Lien hypertexte visité" xfId="18628" builtinId="9" hidden="1"/>
    <cellStyle name="Lien hypertexte visité" xfId="16149" builtinId="9" hidden="1"/>
    <cellStyle name="Lien hypertexte visité" xfId="6295" builtinId="9" hidden="1"/>
    <cellStyle name="Lien hypertexte visité" xfId="22916" builtinId="9" hidden="1"/>
    <cellStyle name="Lien hypertexte visité" xfId="24422" builtinId="9" hidden="1"/>
    <cellStyle name="Lien hypertexte visité" xfId="21926" builtinId="9" hidden="1"/>
    <cellStyle name="Lien hypertexte visité" xfId="19430" builtinId="9" hidden="1"/>
    <cellStyle name="Lien hypertexte visité" xfId="14340" builtinId="9" hidden="1"/>
    <cellStyle name="Lien hypertexte visité" xfId="5635" builtinId="9" hidden="1"/>
    <cellStyle name="Lien hypertexte visité" xfId="1745" builtinId="9" hidden="1"/>
    <cellStyle name="Lien hypertexte visité" xfId="117" builtinId="9" hidden="1"/>
    <cellStyle name="Lien hypertexte visité" xfId="1725" builtinId="9" hidden="1"/>
    <cellStyle name="Lien hypertexte visité" xfId="2893" builtinId="9" hidden="1"/>
    <cellStyle name="Lien hypertexte visité" xfId="4051" builtinId="9" hidden="1"/>
    <cellStyle name="Lien hypertexte visité" xfId="4611" builtinId="9" hidden="1"/>
    <cellStyle name="Lien hypertexte visité" xfId="5223" builtinId="9" hidden="1"/>
    <cellStyle name="Lien hypertexte visité" xfId="4103" builtinId="9" hidden="1"/>
    <cellStyle name="Lien hypertexte visité" xfId="2977" builtinId="9" hidden="1"/>
    <cellStyle name="Lien hypertexte visité" xfId="6551" builtinId="9" hidden="1"/>
    <cellStyle name="Lien hypertexte visité" xfId="7671" builtinId="9" hidden="1"/>
    <cellStyle name="Lien hypertexte visité" xfId="8728" builtinId="9" hidden="1"/>
    <cellStyle name="Lien hypertexte visité" xfId="7944" builtinId="9" hidden="1"/>
    <cellStyle name="Lien hypertexte visité" xfId="6903" builtinId="9" hidden="1"/>
    <cellStyle name="Lien hypertexte visité" xfId="3329" builtinId="9" hidden="1"/>
    <cellStyle name="Lien hypertexte visité" xfId="4455" builtinId="9" hidden="1"/>
    <cellStyle name="Lien hypertexte visité" xfId="5575" builtinId="9" hidden="1"/>
    <cellStyle name="Lien hypertexte visité" xfId="4851" builtinId="9" hidden="1"/>
    <cellStyle name="Lien hypertexte visité" xfId="3702" builtinId="9" hidden="1"/>
    <cellStyle name="Lien hypertexte visité" xfId="2525" builtinId="9" hidden="1"/>
    <cellStyle name="Lien hypertexte visité" xfId="10532" builtinId="9" hidden="1"/>
    <cellStyle name="Lien hypertexte visité" xfId="2782" builtinId="9" hidden="1"/>
    <cellStyle name="Lien hypertexte visité" xfId="22208" builtinId="9" hidden="1"/>
    <cellStyle name="Lien hypertexte visité" xfId="18011" builtinId="9" hidden="1"/>
    <cellStyle name="Lien hypertexte visité" xfId="16697" builtinId="9" hidden="1"/>
    <cellStyle name="Lien hypertexte visité" xfId="8322" builtinId="9" hidden="1"/>
    <cellStyle name="Lien hypertexte visité" xfId="5142" builtinId="9" hidden="1"/>
    <cellStyle name="Lien hypertexte visité" xfId="6932" builtinId="9" hidden="1"/>
    <cellStyle name="Lien hypertexte visité" xfId="11973" builtinId="9" hidden="1"/>
    <cellStyle name="Lien hypertexte visité" xfId="10437" builtinId="9" hidden="1"/>
    <cellStyle name="Lien hypertexte visité" xfId="8821" builtinId="9" hidden="1"/>
    <cellStyle name="Lien hypertexte visité" xfId="7284" builtinId="9" hidden="1"/>
    <cellStyle name="Lien hypertexte visité" xfId="5748" builtinId="9" hidden="1"/>
    <cellStyle name="Lien hypertexte visité" xfId="4116" builtinId="9" hidden="1"/>
    <cellStyle name="Lien hypertexte visité" xfId="2574" builtinId="9" hidden="1"/>
    <cellStyle name="Lien hypertexte visité" xfId="911" builtinId="9" hidden="1"/>
    <cellStyle name="Lien hypertexte visité" xfId="1648" builtinId="9" hidden="1"/>
    <cellStyle name="Lien hypertexte visité" xfId="3264" builtinId="9" hidden="1"/>
    <cellStyle name="Lien hypertexte visité" xfId="4806" builtinId="9" hidden="1"/>
    <cellStyle name="Lien hypertexte visité" xfId="6342" builtinId="9" hidden="1"/>
    <cellStyle name="Lien hypertexte visité" xfId="7959" builtinId="9" hidden="1"/>
    <cellStyle name="Lien hypertexte visité" xfId="9495" builtinId="9" hidden="1"/>
    <cellStyle name="Lien hypertexte visité" xfId="11031" builtinId="9" hidden="1"/>
    <cellStyle name="Lien hypertexte visité" xfId="12567" builtinId="9" hidden="1"/>
    <cellStyle name="Lien hypertexte visité" xfId="14199" builtinId="9" hidden="1"/>
    <cellStyle name="Lien hypertexte visité" xfId="16955" builtinId="9" hidden="1"/>
    <cellStyle name="Lien hypertexte visité" xfId="9122" builtinId="9" hidden="1"/>
    <cellStyle name="Lien hypertexte visité" xfId="10198" builtinId="9" hidden="1"/>
    <cellStyle name="Lien hypertexte visité" xfId="11222" builtinId="9" hidden="1"/>
    <cellStyle name="Lien hypertexte visité" xfId="12246" builtinId="9" hidden="1"/>
    <cellStyle name="Lien hypertexte visité" xfId="13270" builtinId="9" hidden="1"/>
    <cellStyle name="Lien hypertexte visité" xfId="14350" builtinId="9" hidden="1"/>
    <cellStyle name="Lien hypertexte visité" xfId="16233" builtinId="9" hidden="1"/>
    <cellStyle name="Lien hypertexte visité" xfId="18281" builtinId="9" hidden="1"/>
    <cellStyle name="Lien hypertexte visité" xfId="20440" builtinId="9" hidden="1"/>
    <cellStyle name="Lien hypertexte visité" xfId="22488" builtinId="9" hidden="1"/>
    <cellStyle name="Lien hypertexte visité" xfId="24536" builtinId="9" hidden="1"/>
    <cellStyle name="Lien hypertexte visité" xfId="22642" builtinId="9" hidden="1"/>
    <cellStyle name="Lien hypertexte visité" xfId="20490" builtinId="9" hidden="1"/>
    <cellStyle name="Lien hypertexte visité" xfId="18442" builtinId="9" hidden="1"/>
    <cellStyle name="Lien hypertexte visité" xfId="19994" builtinId="9" hidden="1"/>
    <cellStyle name="Lien hypertexte visité" xfId="22768" builtinId="9" hidden="1"/>
    <cellStyle name="Lien hypertexte visité" xfId="16641" builtinId="9" hidden="1"/>
    <cellStyle name="Lien hypertexte visité" xfId="12506" builtinId="9" hidden="1"/>
    <cellStyle name="Lien hypertexte visité" xfId="19120" builtinId="9" hidden="1"/>
    <cellStyle name="Lien hypertexte visité" xfId="19506" builtinId="9" hidden="1"/>
    <cellStyle name="Lien hypertexte visité" xfId="23576" builtinId="9" hidden="1"/>
    <cellStyle name="Lien hypertexte visité" xfId="17449" builtinId="9" hidden="1"/>
    <cellStyle name="Lien hypertexte visité" xfId="12738" builtinId="9" hidden="1"/>
    <cellStyle name="Lien hypertexte visité" xfId="9666" builtinId="9" hidden="1"/>
    <cellStyle name="Lien hypertexte visité" xfId="13479" builtinId="9" hidden="1"/>
    <cellStyle name="Lien hypertexte visité" xfId="8871" builtinId="9" hidden="1"/>
    <cellStyle name="Lien hypertexte visité" xfId="4006" builtinId="9" hidden="1"/>
    <cellStyle name="Lien hypertexte visité" xfId="1758" builtinId="9" hidden="1"/>
    <cellStyle name="Lien hypertexte visité" xfId="6372" builtinId="9" hidden="1"/>
    <cellStyle name="Lien hypertexte visité" xfId="11237" builtinId="9" hidden="1"/>
    <cellStyle name="Lien hypertexte visité" xfId="17175" builtinId="9" hidden="1"/>
    <cellStyle name="Lien hypertexte visité" xfId="6211" builtinId="9" hidden="1"/>
    <cellStyle name="Lien hypertexte visité" xfId="7523" builtinId="9" hidden="1"/>
    <cellStyle name="Lien hypertexte visité" xfId="8916" builtinId="9" hidden="1"/>
    <cellStyle name="Lien hypertexte visité" xfId="10228" builtinId="9" hidden="1"/>
    <cellStyle name="Lien hypertexte visité" xfId="11556" builtinId="9" hidden="1"/>
    <cellStyle name="Lien hypertexte visité" xfId="12948" builtinId="9" hidden="1"/>
    <cellStyle name="Lien hypertexte visité" xfId="14260" builtinId="9" hidden="1"/>
    <cellStyle name="Lien hypertexte visité" xfId="16629" builtinId="9" hidden="1"/>
    <cellStyle name="Lien hypertexte visité" xfId="19236" builtinId="9" hidden="1"/>
    <cellStyle name="Lien hypertexte visité" xfId="22020" builtinId="9" hidden="1"/>
    <cellStyle name="Lien hypertexte visité" xfId="10170" builtinId="9" hidden="1"/>
    <cellStyle name="Lien hypertexte visité" xfId="8050" builtinId="9" hidden="1"/>
    <cellStyle name="Lien hypertexte visité" xfId="913" builtinId="9" hidden="1"/>
    <cellStyle name="Lien hypertexte visité" xfId="7597" builtinId="9" hidden="1"/>
    <cellStyle name="Lien hypertexte visité" xfId="11754" builtinId="9" hidden="1"/>
    <cellStyle name="Lien hypertexte visité" xfId="20562" builtinId="9" hidden="1"/>
    <cellStyle name="Lien hypertexte visité" xfId="17753" builtinId="9" hidden="1"/>
    <cellStyle name="Lien hypertexte visité" xfId="10674" builtinId="9" hidden="1"/>
    <cellStyle name="Lien hypertexte visité" xfId="11407" builtinId="9" hidden="1"/>
    <cellStyle name="Lien hypertexte visité" xfId="3208" builtinId="9" hidden="1"/>
    <cellStyle name="Lien hypertexte visité" xfId="6140" builtinId="9" hidden="1"/>
    <cellStyle name="Lien hypertexte visité" xfId="14333" builtinId="9" hidden="1"/>
    <cellStyle name="Lien hypertexte visité" xfId="18708" builtinId="9" hidden="1"/>
    <cellStyle name="Lien hypertexte visité" xfId="8428" builtinId="9" hidden="1"/>
    <cellStyle name="Lien hypertexte visité" xfId="677" builtinId="9" hidden="1"/>
    <cellStyle name="Lien hypertexte visité" xfId="267" builtinId="9" hidden="1"/>
    <cellStyle name="Lien hypertexte visité" xfId="5904" builtinId="9" hidden="1"/>
    <cellStyle name="Lien hypertexte visité" xfId="11361" builtinId="9" hidden="1"/>
    <cellStyle name="Lien hypertexte visité" xfId="19118" builtinId="9" hidden="1"/>
    <cellStyle name="Lien hypertexte visité" xfId="19180" builtinId="9" hidden="1"/>
    <cellStyle name="Lien hypertexte visité" xfId="11400" builtinId="9" hidden="1"/>
    <cellStyle name="Lien hypertexte visité" xfId="20668" builtinId="9" hidden="1"/>
    <cellStyle name="Lien hypertexte visité" xfId="5160" builtinId="9" hidden="1"/>
    <cellStyle name="Lien hypertexte visité" xfId="6202" builtinId="9" hidden="1"/>
    <cellStyle name="Lien hypertexte visité" xfId="1516" builtinId="9" hidden="1"/>
    <cellStyle name="Lien hypertexte visité" xfId="10259" builtinId="9" hidden="1"/>
    <cellStyle name="Lien hypertexte visité" xfId="17075" builtinId="9" hidden="1"/>
    <cellStyle name="Lien hypertexte visité" xfId="10579" builtinId="9" hidden="1"/>
    <cellStyle name="Lien hypertexte visité" xfId="1852" builtinId="9" hidden="1"/>
    <cellStyle name="Lien hypertexte visité" xfId="6538" builtinId="9" hidden="1"/>
    <cellStyle name="Lien hypertexte visité" xfId="6344" builtinId="9" hidden="1"/>
    <cellStyle name="Lien hypertexte visité" xfId="11999" builtinId="9" hidden="1"/>
    <cellStyle name="Lien hypertexte visité" xfId="6526" builtinId="9" hidden="1"/>
    <cellStyle name="Lien hypertexte visité" xfId="995" builtinId="9" hidden="1"/>
    <cellStyle name="Lien hypertexte visité" xfId="5548" builtinId="9" hidden="1"/>
    <cellStyle name="Lien hypertexte visité" xfId="11021" builtinId="9" hidden="1"/>
    <cellStyle name="Lien hypertexte visité" xfId="18390" builtinId="9" hidden="1"/>
    <cellStyle name="Lien hypertexte visité" xfId="19892" builtinId="9" hidden="1"/>
    <cellStyle name="Lien hypertexte visité" xfId="11740" builtinId="9" hidden="1"/>
    <cellStyle name="Lien hypertexte visité" xfId="6299" builtinId="9" hidden="1"/>
    <cellStyle name="Lien hypertexte visité" xfId="477" builtinId="9" hidden="1"/>
    <cellStyle name="Lien hypertexte visité" xfId="5807" builtinId="9" hidden="1"/>
    <cellStyle name="Lien hypertexte visité" xfId="1850" builtinId="9" hidden="1"/>
    <cellStyle name="Lien hypertexte visité" xfId="5504" builtinId="9" hidden="1"/>
    <cellStyle name="Lien hypertexte visité" xfId="9153" builtinId="9" hidden="1"/>
    <cellStyle name="Lien hypertexte visité" xfId="12785" builtinId="9" hidden="1"/>
    <cellStyle name="Lien hypertexte visité" xfId="18334" builtinId="9" hidden="1"/>
    <cellStyle name="Lien hypertexte visité" xfId="23596" builtinId="9" hidden="1"/>
    <cellStyle name="Lien hypertexte visité" xfId="16365" builtinId="9" hidden="1"/>
    <cellStyle name="Lien hypertexte visité" xfId="11792" builtinId="9" hidden="1"/>
    <cellStyle name="Lien hypertexte visité" xfId="10976" builtinId="9" hidden="1"/>
    <cellStyle name="Lien hypertexte visité" xfId="20046" builtinId="9" hidden="1"/>
    <cellStyle name="Lien hypertexte visité" xfId="6472" builtinId="9" hidden="1"/>
    <cellStyle name="Lien hypertexte visité" xfId="11832" builtinId="9" hidden="1"/>
    <cellStyle name="Lien hypertexte visité" xfId="18255" builtinId="9" hidden="1"/>
    <cellStyle name="Lien hypertexte visité" xfId="5464" builtinId="9" hidden="1"/>
    <cellStyle name="Lien hypertexte visité" xfId="605" builtinId="9" hidden="1"/>
    <cellStyle name="Lien hypertexte visité" xfId="20020" builtinId="9" hidden="1"/>
    <cellStyle name="Lien hypertexte visité" xfId="9069" builtinId="9" hidden="1"/>
    <cellStyle name="Lien hypertexte visité" xfId="14445" builtinId="9" hidden="1"/>
    <cellStyle name="Lien hypertexte visité" xfId="23604" builtinId="9" hidden="1"/>
    <cellStyle name="Lien hypertexte visité" xfId="13692" builtinId="9" hidden="1"/>
    <cellStyle name="Lien hypertexte visité" xfId="8316" builtinId="9" hidden="1"/>
    <cellStyle name="Lien hypertexte visité" xfId="2677" builtinId="9" hidden="1"/>
    <cellStyle name="Lien hypertexte visité" xfId="3858" builtinId="9" hidden="1"/>
    <cellStyle name="Lien hypertexte visité" xfId="123" builtinId="9" hidden="1"/>
    <cellStyle name="Lien hypertexte visité" xfId="4272" builtinId="9" hidden="1"/>
    <cellStyle name="Lien hypertexte visité" xfId="7857" builtinId="9" hidden="1"/>
    <cellStyle name="Lien hypertexte visité" xfId="11441" builtinId="9" hidden="1"/>
    <cellStyle name="Lien hypertexte visité" xfId="15871" builtinId="9" hidden="1"/>
    <cellStyle name="Lien hypertexte visité" xfId="23022" builtinId="9" hidden="1"/>
    <cellStyle name="Lien hypertexte visité" xfId="19036" builtinId="9" hidden="1"/>
    <cellStyle name="Lien hypertexte visité" xfId="13032" builtinId="9" hidden="1"/>
    <cellStyle name="Lien hypertexte visité" xfId="9448" builtinId="9" hidden="1"/>
    <cellStyle name="Lien hypertexte visité" xfId="21116" builtinId="9" hidden="1"/>
    <cellStyle name="Lien hypertexte visité" xfId="10057" builtinId="9" hidden="1"/>
    <cellStyle name="Lien hypertexte visité" xfId="8713" builtinId="9" hidden="1"/>
    <cellStyle name="Lien hypertexte visité" xfId="12297" builtinId="9" hidden="1"/>
    <cellStyle name="Lien hypertexte visité" xfId="17631" builtinId="9" hidden="1"/>
    <cellStyle name="Lien hypertexte visité" xfId="24444" builtinId="9" hidden="1"/>
    <cellStyle name="Lien hypertexte visité" xfId="17293" builtinId="9" hidden="1"/>
    <cellStyle name="Lien hypertexte visité" xfId="12128" builtinId="9" hidden="1"/>
    <cellStyle name="Lien hypertexte visité" xfId="8952" builtinId="9" hidden="1"/>
    <cellStyle name="Lien hypertexte visité" xfId="10152" builtinId="9" hidden="1"/>
    <cellStyle name="Lien hypertexte visité" xfId="11384" builtinId="9" hidden="1"/>
    <cellStyle name="Lien hypertexte visité" xfId="12584" builtinId="9" hidden="1"/>
    <cellStyle name="Lien hypertexte visité" xfId="13776" builtinId="9" hidden="1"/>
    <cellStyle name="Lien hypertexte visité" xfId="15549" builtinId="9" hidden="1"/>
    <cellStyle name="Lien hypertexte visité" xfId="17949" builtinId="9" hidden="1"/>
    <cellStyle name="Lien hypertexte visité" xfId="20316" builtinId="9" hidden="1"/>
    <cellStyle name="Lien hypertexte visité" xfId="22828" builtinId="9" hidden="1"/>
    <cellStyle name="Lien hypertexte visité" xfId="23998" builtinId="9" hidden="1"/>
    <cellStyle name="Lien hypertexte visité" xfId="21614" builtinId="9" hidden="1"/>
    <cellStyle name="Lien hypertexte visité" xfId="19134" builtinId="9" hidden="1"/>
    <cellStyle name="Lien hypertexte visité" xfId="16767" builtinId="9" hidden="1"/>
    <cellStyle name="Lien hypertexte visité" xfId="14449" builtinId="9" hidden="1"/>
    <cellStyle name="Lien hypertexte visité" xfId="13185" builtinId="9" hidden="1"/>
    <cellStyle name="Lien hypertexte visité" xfId="11993" builtinId="9" hidden="1"/>
    <cellStyle name="Lien hypertexte visité" xfId="10801" builtinId="9" hidden="1"/>
    <cellStyle name="Lien hypertexte visité" xfId="9537" builtinId="9" hidden="1"/>
    <cellStyle name="Lien hypertexte visité" xfId="8345" builtinId="9" hidden="1"/>
    <cellStyle name="Lien hypertexte visité" xfId="7152" builtinId="9" hidden="1"/>
    <cellStyle name="Lien hypertexte visité" xfId="5912" builtinId="9" hidden="1"/>
    <cellStyle name="Lien hypertexte visité" xfId="4720" builtinId="9" hidden="1"/>
    <cellStyle name="Lien hypertexte visité" xfId="3514" builtinId="9" hidden="1"/>
    <cellStyle name="Lien hypertexte visité" xfId="2258" builtinId="9" hidden="1"/>
    <cellStyle name="Lien hypertexte visité" xfId="967" builtinId="9" hidden="1"/>
    <cellStyle name="Lien hypertexte visité" xfId="8272" builtinId="9" hidden="1"/>
    <cellStyle name="Lien hypertexte visité" xfId="6383" builtinId="9" hidden="1"/>
    <cellStyle name="Lien hypertexte visité" xfId="4591" builtinId="9" hidden="1"/>
    <cellStyle name="Lien hypertexte visité" xfId="2793" builtinId="9" hidden="1"/>
    <cellStyle name="Lien hypertexte visité" xfId="709" builtinId="9" hidden="1"/>
    <cellStyle name="Lien hypertexte visité" xfId="2005" builtinId="9" hidden="1"/>
    <cellStyle name="Lien hypertexte visité" xfId="3806" builtinId="9" hidden="1"/>
    <cellStyle name="Lien hypertexte visité" xfId="5691" builtinId="9" hidden="1"/>
    <cellStyle name="Lien hypertexte visité" xfId="7483" builtinId="9" hidden="1"/>
    <cellStyle name="Lien hypertexte visité" xfId="9276" builtinId="9" hidden="1"/>
    <cellStyle name="Lien hypertexte visité" xfId="11164" builtinId="9" hidden="1"/>
    <cellStyle name="Lien hypertexte visité" xfId="12956" builtinId="9" hidden="1"/>
    <cellStyle name="Lien hypertexte visité" xfId="14981" builtinId="9" hidden="1"/>
    <cellStyle name="Lien hypertexte visité" xfId="18676" builtinId="9" hidden="1"/>
    <cellStyle name="Lien hypertexte visité" xfId="22260" builtinId="9" hidden="1"/>
    <cellStyle name="Lien hypertexte visité" xfId="23382" builtinId="9" hidden="1"/>
    <cellStyle name="Lien hypertexte visité" xfId="19606" builtinId="9" hidden="1"/>
    <cellStyle name="Lien hypertexte visité" xfId="16039" builtinId="9" hidden="1"/>
    <cellStyle name="Lien hypertexte visité" xfId="13485" builtinId="9" hidden="1"/>
    <cellStyle name="Lien hypertexte visité" xfId="11597" builtinId="9" hidden="1"/>
    <cellStyle name="Lien hypertexte visité" xfId="9805" builtinId="9" hidden="1"/>
    <cellStyle name="Lien hypertexte visité" xfId="8013" builtinId="9" hidden="1"/>
    <cellStyle name="Lien hypertexte visité" xfId="6156" builtinId="9" hidden="1"/>
    <cellStyle name="Lien hypertexte visité" xfId="4364" builtinId="9" hidden="1"/>
    <cellStyle name="Lien hypertexte visité" xfId="2566" builtinId="9" hidden="1"/>
    <cellStyle name="Lien hypertexte visité" xfId="191" builtinId="9" hidden="1"/>
    <cellStyle name="Lien hypertexte visité" xfId="2264" builtinId="9" hidden="1"/>
    <cellStyle name="Lien hypertexte visité" xfId="4062" builtinId="9" hidden="1"/>
    <cellStyle name="Lien hypertexte visité" xfId="5950" builtinId="9" hidden="1"/>
    <cellStyle name="Lien hypertexte visité" xfId="7742" builtinId="9" hidden="1"/>
    <cellStyle name="Lien hypertexte visité" xfId="9535" builtinId="9" hidden="1"/>
    <cellStyle name="Lien hypertexte visité" xfId="11391" builtinId="9" hidden="1"/>
    <cellStyle name="Lien hypertexte visité" xfId="13183" builtinId="9" hidden="1"/>
    <cellStyle name="Lien hypertexte visité" xfId="15435" builtinId="9" hidden="1"/>
    <cellStyle name="Lien hypertexte visité" xfId="8850" builtinId="9" hidden="1"/>
    <cellStyle name="Lien hypertexte visité" xfId="2754" builtinId="9" hidden="1"/>
    <cellStyle name="Lien hypertexte visité" xfId="8659" builtinId="9" hidden="1"/>
    <cellStyle name="Lien hypertexte visité" xfId="7050" builtinId="9" hidden="1"/>
    <cellStyle name="Lien hypertexte visité" xfId="5514" builtinId="9" hidden="1"/>
    <cellStyle name="Lien hypertexte visité" xfId="3978" builtinId="9" hidden="1"/>
    <cellStyle name="Lien hypertexte visité" xfId="2364" builtinId="9" hidden="1"/>
    <cellStyle name="Lien hypertexte visité" xfId="1371" builtinId="9" hidden="1"/>
    <cellStyle name="Lien hypertexte visité" xfId="12555" builtinId="9" hidden="1"/>
    <cellStyle name="Lien hypertexte visité" xfId="11059" builtinId="9" hidden="1"/>
    <cellStyle name="Lien hypertexte visité" xfId="9619" builtinId="9" hidden="1"/>
    <cellStyle name="Lien hypertexte visité" xfId="13435" builtinId="9" hidden="1"/>
    <cellStyle name="Lien hypertexte visité" xfId="16371" builtinId="9" hidden="1"/>
    <cellStyle name="Lien hypertexte visité" xfId="14491" builtinId="9" hidden="1"/>
    <cellStyle name="Lien hypertexte visité" xfId="13523" builtinId="9" hidden="1"/>
    <cellStyle name="Lien hypertexte visité" xfId="9787" builtinId="9" hidden="1"/>
    <cellStyle name="Lien hypertexte visité" xfId="11219" builtinId="9" hidden="1"/>
    <cellStyle name="Lien hypertexte visité" xfId="12651" builtinId="9" hidden="1"/>
    <cellStyle name="Lien hypertexte visité" xfId="843" builtinId="9" hidden="1"/>
    <cellStyle name="Lien hypertexte visité" xfId="2540" builtinId="9" hidden="1"/>
    <cellStyle name="Lien hypertexte visité" xfId="4082" builtinId="9" hidden="1"/>
    <cellStyle name="Lien hypertexte visité" xfId="5690" builtinId="9" hidden="1"/>
    <cellStyle name="Lien hypertexte visité" xfId="7226" builtinId="9" hidden="1"/>
    <cellStyle name="Lien hypertexte visité" xfId="8763" builtinId="9" hidden="1"/>
    <cellStyle name="Lien hypertexte visité" xfId="3362" builtinId="9" hidden="1"/>
    <cellStyle name="Lien hypertexte visité" xfId="8745" builtinId="9" hidden="1"/>
    <cellStyle name="Lien hypertexte visité" xfId="14121" builtinId="9" hidden="1"/>
    <cellStyle name="Lien hypertexte visité" xfId="24252" builtinId="9" hidden="1"/>
    <cellStyle name="Lien hypertexte visité" xfId="14016" builtinId="9" hidden="1"/>
    <cellStyle name="Lien hypertexte visité" xfId="8920" builtinId="9" hidden="1"/>
    <cellStyle name="Lien hypertexte visité" xfId="10800" builtinId="9" hidden="1"/>
    <cellStyle name="Lien hypertexte visité" xfId="12592" builtinId="9" hidden="1"/>
    <cellStyle name="Lien hypertexte visité" xfId="14384" builtinId="9" hidden="1"/>
    <cellStyle name="Lien hypertexte visité" xfId="18013" builtinId="9" hidden="1"/>
    <cellStyle name="Lien hypertexte visité" xfId="21580" builtinId="9" hidden="1"/>
    <cellStyle name="Lien hypertexte visité" xfId="24062" builtinId="9" hidden="1"/>
    <cellStyle name="Lien hypertexte visité" xfId="20318" builtinId="9" hidden="1"/>
    <cellStyle name="Lien hypertexte visité" xfId="16751" builtinId="9" hidden="1"/>
    <cellStyle name="Lien hypertexte visité" xfId="13841" builtinId="9" hidden="1"/>
    <cellStyle name="Lien hypertexte visité" xfId="11961" builtinId="9" hidden="1"/>
    <cellStyle name="Lien hypertexte visité" xfId="10169" builtinId="9" hidden="1"/>
    <cellStyle name="Lien hypertexte visité" xfId="8377" builtinId="9" hidden="1"/>
    <cellStyle name="Lien hypertexte visité" xfId="6496" builtinId="9" hidden="1"/>
    <cellStyle name="Lien hypertexte visité" xfId="4704" builtinId="9" hidden="1"/>
    <cellStyle name="Lien hypertexte visité" xfId="2906" builtinId="9" hidden="1"/>
    <cellStyle name="Lien hypertexte visité" xfId="903" builtinId="9" hidden="1"/>
    <cellStyle name="Lien hypertexte visité" xfId="7327" builtinId="9" hidden="1"/>
    <cellStyle name="Lien hypertexte visité" xfId="4639" builtinId="9" hidden="1"/>
    <cellStyle name="Lien hypertexte visité" xfId="1817" builtinId="9" hidden="1"/>
    <cellStyle name="Lien hypertexte visité" xfId="2021" builtinId="9" hidden="1"/>
    <cellStyle name="Lien hypertexte visité" xfId="4715" builtinId="9" hidden="1"/>
    <cellStyle name="Lien hypertexte visité" xfId="7531" builtinId="9" hidden="1"/>
    <cellStyle name="Lien hypertexte visité" xfId="10220" builtinId="9" hidden="1"/>
    <cellStyle name="Lien hypertexte visité" xfId="12908" builtinId="9" hidden="1"/>
    <cellStyle name="Lien hypertexte visité" xfId="16933" builtinId="9" hidden="1"/>
    <cellStyle name="Lien hypertexte visité" xfId="22292" builtinId="9" hidden="1"/>
    <cellStyle name="Lien hypertexte visité" xfId="21558" builtinId="9" hidden="1"/>
    <cellStyle name="Lien hypertexte visité" xfId="15943" builtinId="9" hidden="1"/>
    <cellStyle name="Lien hypertexte visité" xfId="12541" builtinId="9" hidden="1"/>
    <cellStyle name="Lien hypertexte visité" xfId="9853" builtinId="9" hidden="1"/>
    <cellStyle name="Lien hypertexte visité" xfId="7036" builtinId="9" hidden="1"/>
    <cellStyle name="Lien hypertexte visité" xfId="4348" builtinId="9" hidden="1"/>
    <cellStyle name="Lien hypertexte visité" xfId="1654" builtinId="9" hidden="1"/>
    <cellStyle name="Lien hypertexte visité" xfId="2312" builtinId="9" hidden="1"/>
    <cellStyle name="Lien hypertexte visité" xfId="5006" builtinId="9" hidden="1"/>
    <cellStyle name="Lien hypertexte visité" xfId="7694" builtinId="9" hidden="1"/>
    <cellStyle name="Lien hypertexte visité" xfId="10511" builtinId="9" hidden="1"/>
    <cellStyle name="Lien hypertexte visité" xfId="13199" builtinId="9" hidden="1"/>
    <cellStyle name="Lien hypertexte visité" xfId="17259" builtinId="9" hidden="1"/>
    <cellStyle name="Lien hypertexte visité" xfId="10078" builtinId="9" hidden="1"/>
    <cellStyle name="Lien hypertexte visité" xfId="11870" builtinId="9" hidden="1"/>
    <cellStyle name="Lien hypertexte visité" xfId="13662" builtinId="9" hidden="1"/>
    <cellStyle name="Lien hypertexte visité" xfId="16561" builtinId="9" hidden="1"/>
    <cellStyle name="Lien hypertexte visité" xfId="20128" builtinId="9" hidden="1"/>
    <cellStyle name="Lien hypertexte visité" xfId="23712" builtinId="9" hidden="1"/>
    <cellStyle name="Lien hypertexte visité" xfId="21762" builtinId="9" hidden="1"/>
    <cellStyle name="Lien hypertexte visité" xfId="18195" builtinId="9" hidden="1"/>
    <cellStyle name="Lien hypertexte visité" xfId="23824" builtinId="9" hidden="1"/>
    <cellStyle name="Lien hypertexte visité" xfId="13546" builtinId="9" hidden="1"/>
    <cellStyle name="Lien hypertexte visité" xfId="3937" builtinId="9" hidden="1"/>
    <cellStyle name="Lien hypertexte visité" xfId="5473" builtinId="9" hidden="1"/>
    <cellStyle name="Lien hypertexte visité" xfId="7085" builtinId="9" hidden="1"/>
    <cellStyle name="Lien hypertexte visité" xfId="5385" builtinId="9" hidden="1"/>
    <cellStyle name="Lien hypertexte visité" xfId="3443" builtinId="9" hidden="1"/>
    <cellStyle name="Lien hypertexte visité" xfId="1113" builtinId="9" hidden="1"/>
    <cellStyle name="Lien hypertexte visité" xfId="1009" builtinId="9" hidden="1"/>
    <cellStyle name="Lien hypertexte visité" xfId="3455" builtinId="9" hidden="1"/>
    <cellStyle name="Lien hypertexte visité" xfId="5801" builtinId="9" hidden="1"/>
    <cellStyle name="Lien hypertexte visité" xfId="7025" builtinId="9" hidden="1"/>
    <cellStyle name="Lien hypertexte visité" xfId="5489" builtinId="9" hidden="1"/>
    <cellStyle name="Lien hypertexte visité" xfId="8378" builtinId="9" hidden="1"/>
    <cellStyle name="Lien hypertexte visité" xfId="17463" builtinId="9" hidden="1"/>
    <cellStyle name="Lien hypertexte visité" xfId="14197" builtinId="9" hidden="1"/>
    <cellStyle name="Lien hypertexte visité" xfId="6508" builtinId="9" hidden="1"/>
    <cellStyle name="Lien hypertexte visité" xfId="2840" builtinId="9" hidden="1"/>
    <cellStyle name="Lien hypertexte visité" xfId="11039" builtinId="9" hidden="1"/>
    <cellStyle name="Lien hypertexte visité" xfId="6965" builtinId="9" hidden="1"/>
    <cellStyle name="Lien hypertexte visité" xfId="5629" builtinId="9" hidden="1"/>
    <cellStyle name="Lien hypertexte visité" xfId="4293" builtinId="9" hidden="1"/>
    <cellStyle name="Lien hypertexte visité" xfId="11594" builtinId="9" hidden="1"/>
    <cellStyle name="Lien hypertexte visité" xfId="18017" builtinId="9" hidden="1"/>
    <cellStyle name="Lien hypertexte visité" xfId="21754" builtinId="9" hidden="1"/>
    <cellStyle name="Lien hypertexte visité" xfId="18922" builtinId="9" hidden="1"/>
    <cellStyle name="Lien hypertexte visité" xfId="22034" builtinId="9" hidden="1"/>
    <cellStyle name="Lien hypertexte visité" xfId="24072" builtinId="9" hidden="1"/>
    <cellStyle name="Lien hypertexte visité" xfId="20960" builtinId="9" hidden="1"/>
    <cellStyle name="Lien hypertexte visité" xfId="17865" builtinId="9" hidden="1"/>
    <cellStyle name="Lien hypertexte visité" xfId="14745" builtinId="9" hidden="1"/>
    <cellStyle name="Lien hypertexte visité" xfId="13054" builtinId="9" hidden="1"/>
    <cellStyle name="Lien hypertexte visité" xfId="11494" builtinId="9" hidden="1"/>
    <cellStyle name="Lien hypertexte visité" xfId="9938" builtinId="9" hidden="1"/>
    <cellStyle name="Lien hypertexte visité" xfId="16073" builtinId="9" hidden="1"/>
    <cellStyle name="Lien hypertexte visité" xfId="14282" builtinId="9" hidden="1"/>
    <cellStyle name="Lien hypertexte visité" xfId="3764" builtinId="9" hidden="1"/>
    <cellStyle name="Lien hypertexte visité" xfId="1057" builtinId="9" hidden="1"/>
    <cellStyle name="Lien hypertexte visité" xfId="1374" builtinId="9" hidden="1"/>
    <cellStyle name="Lien hypertexte visité" xfId="2499" builtinId="9" hidden="1"/>
    <cellStyle name="Lien hypertexte visité" xfId="2855" builtinId="9" hidden="1"/>
    <cellStyle name="Lien hypertexte visité" xfId="7753" builtinId="9" hidden="1"/>
    <cellStyle name="Lien hypertexte visité" xfId="3804" builtinId="9" hidden="1"/>
    <cellStyle name="Lien hypertexte visité" xfId="7289" builtinId="9" hidden="1"/>
    <cellStyle name="Lien hypertexte visité" xfId="6249" builtinId="9" hidden="1"/>
    <cellStyle name="Lien hypertexte visité" xfId="3023" builtinId="9" hidden="1"/>
    <cellStyle name="Lien hypertexte visité" xfId="5553" builtinId="9" hidden="1"/>
    <cellStyle name="Lien hypertexte visité" xfId="4197" builtinId="9" hidden="1"/>
    <cellStyle name="Lien hypertexte visité" xfId="10650" builtinId="9" hidden="1"/>
    <cellStyle name="Lien hypertexte visité" xfId="4437" builtinId="9" hidden="1"/>
    <cellStyle name="Lien hypertexte visité" xfId="5789" builtinId="9" hidden="1"/>
    <cellStyle name="Lien hypertexte visité" xfId="2287" builtinId="9" hidden="1"/>
    <cellStyle name="Lien hypertexte visité" xfId="4585" builtinId="9" hidden="1"/>
    <cellStyle name="Lien hypertexte visité" xfId="7525" builtinId="9" hidden="1"/>
    <cellStyle name="Lien hypertexte visité" xfId="3852" builtinId="9" hidden="1"/>
    <cellStyle name="Lien hypertexte visité" xfId="8026" builtinId="9" hidden="1"/>
    <cellStyle name="Lien hypertexte visité" xfId="2615" builtinId="9" hidden="1"/>
    <cellStyle name="Lien hypertexte visité" xfId="3784" builtinId="9" hidden="1"/>
    <cellStyle name="Lien hypertexte visité" xfId="1129" builtinId="9" hidden="1"/>
    <cellStyle name="Lien hypertexte visité" xfId="1338" builtinId="9" hidden="1"/>
    <cellStyle name="Lien hypertexte visité" xfId="2819" builtinId="9" hidden="1"/>
    <cellStyle name="Lien hypertexte visité" xfId="4093" builtinId="9" hidden="1"/>
    <cellStyle name="Lien hypertexte visité" xfId="20488" builtinId="9" hidden="1"/>
    <cellStyle name="Lien hypertexte visité" xfId="9618" builtinId="9" hidden="1"/>
    <cellStyle name="Lien hypertexte visité" xfId="11174" builtinId="9" hidden="1"/>
    <cellStyle name="Lien hypertexte visité" xfId="12754" builtinId="9" hidden="1"/>
    <cellStyle name="Lien hypertexte visité" xfId="14310" builtinId="9" hidden="1"/>
    <cellStyle name="Lien hypertexte visité" xfId="17225" builtinId="9" hidden="1"/>
    <cellStyle name="Lien hypertexte visité" xfId="20320" builtinId="9" hidden="1"/>
    <cellStyle name="Lien hypertexte visité" xfId="23432" builtinId="9" hidden="1"/>
    <cellStyle name="Lien hypertexte visité" xfId="22674" builtinId="9" hidden="1"/>
    <cellStyle name="Lien hypertexte visité" xfId="19562" builtinId="9" hidden="1"/>
    <cellStyle name="Lien hypertexte visité" xfId="19962" builtinId="9" hidden="1"/>
    <cellStyle name="Lien hypertexte visité" xfId="19920" builtinId="9" hidden="1"/>
    <cellStyle name="Lien hypertexte visité" xfId="12554" builtinId="9" hidden="1"/>
    <cellStyle name="Lien hypertexte visité" xfId="4021" builtinId="9" hidden="1"/>
    <cellStyle name="Lien hypertexte visité" xfId="5357" builtinId="9" hidden="1"/>
    <cellStyle name="Lien hypertexte visité" xfId="6689" builtinId="9" hidden="1"/>
    <cellStyle name="Lien hypertexte visité" xfId="12703" builtinId="9" hidden="1"/>
    <cellStyle name="Lien hypertexte visité" xfId="4510" builtinId="9" hidden="1"/>
    <cellStyle name="Lien hypertexte visité" xfId="4844" builtinId="9" hidden="1"/>
    <cellStyle name="Lien hypertexte visité" xfId="13037" builtinId="9" hidden="1"/>
    <cellStyle name="Lien hypertexte visité" xfId="21300" builtinId="9" hidden="1"/>
    <cellStyle name="Lien hypertexte visité" xfId="9724" builtinId="9" hidden="1"/>
    <cellStyle name="Lien hypertexte visité" xfId="1525" builtinId="9" hidden="1"/>
    <cellStyle name="Lien hypertexte visité" xfId="7824" builtinId="9" hidden="1"/>
    <cellStyle name="Lien hypertexte visité" xfId="5040" builtinId="9" hidden="1"/>
    <cellStyle name="Lien hypertexte visité" xfId="10497" builtinId="9" hidden="1"/>
    <cellStyle name="Lien hypertexte visité" xfId="17407" builtinId="9" hidden="1"/>
    <cellStyle name="Lien hypertexte visité" xfId="20908" builtinId="9" hidden="1"/>
    <cellStyle name="Lien hypertexte visité" xfId="12264" builtinId="9" hidden="1"/>
    <cellStyle name="Lien hypertexte visité" xfId="15501" builtinId="9" hidden="1"/>
    <cellStyle name="Lien hypertexte visité" xfId="7752" builtinId="9" hidden="1"/>
    <cellStyle name="Lien hypertexte visité" xfId="11401" builtinId="9" hidden="1"/>
    <cellStyle name="Lien hypertexte visité" xfId="19150" builtinId="9" hidden="1"/>
    <cellStyle name="Lien hypertexte visité" xfId="19196" builtinId="9" hidden="1"/>
    <cellStyle name="Lien hypertexte visité" xfId="11360" builtinId="9" hidden="1"/>
    <cellStyle name="Lien hypertexte visité" xfId="9832" builtinId="9" hidden="1"/>
    <cellStyle name="Lien hypertexte visité" xfId="11640" builtinId="9" hidden="1"/>
    <cellStyle name="Lien hypertexte visité" xfId="13480" builtinId="9" hidden="1"/>
    <cellStyle name="Lien hypertexte visité" xfId="16061" builtinId="9" hidden="1"/>
    <cellStyle name="Lien hypertexte visité" xfId="19676" builtinId="9" hidden="1"/>
    <cellStyle name="Lien hypertexte visité" xfId="23340" builtinId="9" hidden="1"/>
    <cellStyle name="Lien hypertexte visité" xfId="22254" builtinId="9" hidden="1"/>
    <cellStyle name="Lien hypertexte visité" xfId="18622" builtinId="9" hidden="1"/>
    <cellStyle name="Lien hypertexte visité" xfId="14975" builtinId="9" hidden="1"/>
    <cellStyle name="Lien hypertexte visité" xfId="12929" builtinId="9" hidden="1"/>
    <cellStyle name="Lien hypertexte visité" xfId="11121" builtinId="9" hidden="1"/>
    <cellStyle name="Lien hypertexte visité" xfId="9281" builtinId="9" hidden="1"/>
    <cellStyle name="Lien hypertexte visité" xfId="7472" builtinId="9" hidden="1"/>
    <cellStyle name="Lien hypertexte visité" xfId="5656" builtinId="9" hidden="1"/>
    <cellStyle name="Lien hypertexte visité" xfId="3827" builtinId="9" hidden="1"/>
    <cellStyle name="Lien hypertexte visité" xfId="2002" builtinId="9" hidden="1"/>
    <cellStyle name="Lien hypertexte visité" xfId="8752" builtinId="9" hidden="1"/>
    <cellStyle name="Lien hypertexte visité" xfId="5999" builtinId="9" hidden="1"/>
    <cellStyle name="Lien hypertexte visité" xfId="3273" builtinId="9" hidden="1"/>
    <cellStyle name="Lien hypertexte visité" xfId="153" builtinId="9" hidden="1"/>
    <cellStyle name="Lien hypertexte visité" xfId="3349" builtinId="9" hidden="1"/>
    <cellStyle name="Lien hypertexte visité" xfId="6075" builtinId="9" hidden="1"/>
    <cellStyle name="Lien hypertexte visité" xfId="8796" builtinId="9" hidden="1"/>
    <cellStyle name="Lien hypertexte visité" xfId="11548" builtinId="9" hidden="1"/>
    <cellStyle name="Lien hypertexte visité" xfId="14268" builtinId="9" hidden="1"/>
    <cellStyle name="Lien hypertexte visité" xfId="19444" builtinId="9" hidden="1"/>
    <cellStyle name="Lien hypertexte visité" xfId="24278" builtinId="9" hidden="1"/>
    <cellStyle name="Lien hypertexte visité" xfId="18838" builtinId="9" hidden="1"/>
    <cellStyle name="Lien hypertexte visité" xfId="13965" builtinId="9" hidden="1"/>
    <cellStyle name="Lien hypertexte visité" xfId="11213" builtinId="9" hidden="1"/>
    <cellStyle name="Lien hypertexte visité" xfId="8493" builtinId="9" hidden="1"/>
    <cellStyle name="Lien hypertexte visité" xfId="5772" builtinId="9" hidden="1"/>
    <cellStyle name="Lien hypertexte visité" xfId="3014" builtinId="9" hidden="1"/>
    <cellStyle name="Lien hypertexte visité" xfId="547" builtinId="9" hidden="1"/>
    <cellStyle name="Lien hypertexte visité" xfId="3577" builtinId="9" hidden="1"/>
    <cellStyle name="Lien hypertexte visité" xfId="6334" builtinId="9" hidden="1"/>
    <cellStyle name="Lien hypertexte visité" xfId="9055" builtinId="9" hidden="1"/>
    <cellStyle name="Lien hypertexte visité" xfId="11775" builtinId="9" hidden="1"/>
    <cellStyle name="Lien hypertexte visité" xfId="14539" builtinId="9" hidden="1"/>
    <cellStyle name="Lien hypertexte visité" xfId="9106" builtinId="9" hidden="1"/>
    <cellStyle name="Lien hypertexte visité" xfId="9067" builtinId="9" hidden="1"/>
    <cellStyle name="Lien hypertexte visité" xfId="6722" builtinId="9" hidden="1"/>
    <cellStyle name="Lien hypertexte visité" xfId="4378" builtinId="9" hidden="1"/>
    <cellStyle name="Lien hypertexte visité" xfId="2036" builtinId="9" hidden="1"/>
    <cellStyle name="Lien hypertexte visité" xfId="9315" builtinId="9" hidden="1"/>
    <cellStyle name="Lien hypertexte visité" xfId="10747" builtinId="9" hidden="1"/>
    <cellStyle name="Lien hypertexte visité" xfId="13795" builtinId="9" hidden="1"/>
    <cellStyle name="Lien hypertexte visité" xfId="16867" builtinId="9" hidden="1"/>
    <cellStyle name="Lien hypertexte visité" xfId="13163" builtinId="9" hidden="1"/>
    <cellStyle name="Lien hypertexte visité" xfId="10091" builtinId="9" hidden="1"/>
    <cellStyle name="Lien hypertexte visité" xfId="12275" builtinId="9" hidden="1"/>
    <cellStyle name="Lien hypertexte visité" xfId="1331" builtinId="9" hidden="1"/>
    <cellStyle name="Lien hypertexte visité" xfId="3676" builtinId="9" hidden="1"/>
    <cellStyle name="Lien hypertexte visité" xfId="6018" builtinId="9" hidden="1"/>
    <cellStyle name="Lien hypertexte visité" xfId="8363" builtinId="9" hidden="1"/>
    <cellStyle name="Lien hypertexte visité" xfId="4520" builtinId="9" hidden="1"/>
    <cellStyle name="Lien hypertexte visité" xfId="12713" builtinId="9" hidden="1"/>
    <cellStyle name="Lien hypertexte visité" xfId="21948" builtinId="9" hidden="1"/>
    <cellStyle name="Lien hypertexte visité" xfId="10048" builtinId="9" hidden="1"/>
    <cellStyle name="Lien hypertexte visité" xfId="11184" builtinId="9" hidden="1"/>
    <cellStyle name="Lien hypertexte visité" xfId="13912" builtinId="9" hidden="1"/>
    <cellStyle name="Lien hypertexte visité" xfId="18764" builtinId="9" hidden="1"/>
    <cellStyle name="Lien hypertexte visité" xfId="24220" builtinId="9" hidden="1"/>
    <cellStyle name="Lien hypertexte visité" xfId="19550" builtinId="9" hidden="1"/>
    <cellStyle name="Lien hypertexte visité" xfId="14305" builtinId="9" hidden="1"/>
    <cellStyle name="Lien hypertexte visité" xfId="11577" builtinId="9" hidden="1"/>
    <cellStyle name="Lien hypertexte visité" xfId="8849" builtinId="9" hidden="1"/>
    <cellStyle name="Lien hypertexte visité" xfId="6112" builtinId="9" hidden="1"/>
    <cellStyle name="Lien hypertexte visité" xfId="3378" builtinId="9" hidden="1"/>
    <cellStyle name="Lien hypertexte visité" xfId="135" builtinId="9" hidden="1"/>
    <cellStyle name="Lien hypertexte visité" xfId="5343" builtinId="9" hidden="1"/>
    <cellStyle name="Lien hypertexte visité" xfId="1240" builtinId="9" hidden="1"/>
    <cellStyle name="Lien hypertexte visité" xfId="4011" builtinId="9" hidden="1"/>
    <cellStyle name="Lien hypertexte visité" xfId="8108" builtinId="9" hidden="1"/>
    <cellStyle name="Lien hypertexte visité" xfId="12204" builtinId="9" hidden="1"/>
    <cellStyle name="Lien hypertexte visité" xfId="18085" builtinId="9" hidden="1"/>
    <cellStyle name="Lien hypertexte visité" xfId="22966" builtinId="9" hidden="1"/>
    <cellStyle name="Lien hypertexte visité" xfId="14791" builtinId="9" hidden="1"/>
    <cellStyle name="Lien hypertexte visité" xfId="10557" builtinId="9" hidden="1"/>
    <cellStyle name="Lien hypertexte visité" xfId="6460" builtinId="9" hidden="1"/>
    <cellStyle name="Lien hypertexte visité" xfId="2358" builtinId="9" hidden="1"/>
    <cellStyle name="Lien hypertexte visité" xfId="2888" builtinId="9" hidden="1"/>
    <cellStyle name="Lien hypertexte visité" xfId="6990" builtinId="9" hidden="1"/>
    <cellStyle name="Lien hypertexte visité" xfId="11087" builtinId="9" hidden="1"/>
    <cellStyle name="Lien hypertexte visité" xfId="15851" builtinId="9" hidden="1"/>
    <cellStyle name="Lien hypertexte visité" xfId="10462" builtinId="9" hidden="1"/>
    <cellStyle name="Lien hypertexte visité" xfId="13190" builtinId="9" hidden="1"/>
    <cellStyle name="Lien hypertexte visité" xfId="17329" builtinId="9" hidden="1"/>
    <cellStyle name="Lien hypertexte visité" xfId="22776" builtinId="9" hidden="1"/>
    <cellStyle name="Lien hypertexte visité" xfId="20994" builtinId="9" hidden="1"/>
    <cellStyle name="Lien hypertexte visité" xfId="22586" builtinId="9" hidden="1"/>
    <cellStyle name="Lien hypertexte visité" xfId="12394" builtinId="9" hidden="1"/>
    <cellStyle name="Lien hypertexte visité" xfId="5073" builtinId="9" hidden="1"/>
    <cellStyle name="Lien hypertexte visité" xfId="7413" builtinId="9" hidden="1"/>
    <cellStyle name="Lien hypertexte visité" xfId="3067" builtinId="9" hidden="1"/>
    <cellStyle name="Lien hypertexte visité" xfId="1218" builtinId="9" hidden="1"/>
    <cellStyle name="Lien hypertexte visité" xfId="3840" builtinId="9" hidden="1"/>
    <cellStyle name="Lien hypertexte visité" xfId="8106" builtinId="9" hidden="1"/>
    <cellStyle name="Lien hypertexte visité" xfId="5889" builtinId="9" hidden="1"/>
    <cellStyle name="Lien hypertexte visité" xfId="9530" builtinId="9" hidden="1"/>
    <cellStyle name="Lien hypertexte visité" xfId="14807" builtinId="9" hidden="1"/>
    <cellStyle name="Lien hypertexte visité" xfId="11925" builtinId="9" hidden="1"/>
    <cellStyle name="Lien hypertexte visité" xfId="9205" builtinId="9" hidden="1"/>
    <cellStyle name="Lien hypertexte visité" xfId="6468" builtinId="9" hidden="1"/>
    <cellStyle name="Lien hypertexte visité" xfId="3735" builtinId="9" hidden="1"/>
    <cellStyle name="Lien hypertexte visité" xfId="847" builtinId="9" hidden="1"/>
    <cellStyle name="Lien hypertexte visité" xfId="2880" builtinId="9" hidden="1"/>
    <cellStyle name="Lien hypertexte visité" xfId="5622" builtinId="9" hidden="1"/>
    <cellStyle name="Lien hypertexte visité" xfId="8343" builtinId="9" hidden="1"/>
    <cellStyle name="Lien hypertexte visité" xfId="11079" builtinId="9" hidden="1"/>
    <cellStyle name="Lien hypertexte visité" xfId="13815" builtinId="9" hidden="1"/>
    <cellStyle name="Lien hypertexte visité" xfId="8630" builtinId="9" hidden="1"/>
    <cellStyle name="Lien hypertexte visité" xfId="10454" builtinId="9" hidden="1"/>
    <cellStyle name="Lien hypertexte visité" xfId="12278" builtinId="9" hidden="1"/>
    <cellStyle name="Lien hypertexte visité" xfId="14094" builtinId="9" hidden="1"/>
    <cellStyle name="Lien hypertexte visité" xfId="17321" builtinId="9" hidden="1"/>
    <cellStyle name="Lien hypertexte visité" xfId="20952" builtinId="9" hidden="1"/>
    <cellStyle name="Lien hypertexte visité" xfId="24576" builtinId="9" hidden="1"/>
    <cellStyle name="Lien hypertexte visité" xfId="21002" builtinId="9" hidden="1"/>
    <cellStyle name="Lien hypertexte visité" xfId="17371" builtinId="9" hidden="1"/>
    <cellStyle name="Lien hypertexte visité" xfId="21232" builtinId="9" hidden="1"/>
    <cellStyle name="Lien hypertexte visité" xfId="12410" builtinId="9" hidden="1"/>
    <cellStyle name="Lien hypertexte visité" xfId="17987" builtinId="9" hidden="1"/>
    <cellStyle name="Lien hypertexte visité" xfId="20328" builtinId="9" hidden="1"/>
    <cellStyle name="Lien hypertexte visité" xfId="11970" builtinId="9" hidden="1"/>
    <cellStyle name="Lien hypertexte visité" xfId="13351" builtinId="9" hidden="1"/>
    <cellStyle name="Lien hypertexte visité" xfId="5158" builtinId="9" hidden="1"/>
    <cellStyle name="Lien hypertexte visité" xfId="4196" builtinId="9" hidden="1"/>
    <cellStyle name="Lien hypertexte visité" xfId="12389" builtinId="9" hidden="1"/>
    <cellStyle name="Lien hypertexte visité" xfId="6243" builtinId="9" hidden="1"/>
    <cellStyle name="Lien hypertexte visité" xfId="8596" builtinId="9" hidden="1"/>
    <cellStyle name="Lien hypertexte visité" xfId="10932" builtinId="9" hidden="1"/>
    <cellStyle name="Lien hypertexte visité" xfId="13268" builtinId="9" hidden="1"/>
    <cellStyle name="Lien hypertexte visité" xfId="16693" builtinId="9" hidden="1"/>
    <cellStyle name="Lien hypertexte visité" xfId="21380" builtinId="9" hidden="1"/>
    <cellStyle name="Lien hypertexte visité" xfId="23174" builtinId="9" hidden="1"/>
    <cellStyle name="Lien hypertexte visité" xfId="23302" builtinId="9" hidden="1"/>
    <cellStyle name="Lien hypertexte visité" xfId="2657" builtinId="9" hidden="1"/>
    <cellStyle name="Lien hypertexte visité" xfId="201" builtinId="9" hidden="1"/>
    <cellStyle name="Lien hypertexte visité" xfId="2861" builtinId="9" hidden="1"/>
    <cellStyle name="Lien hypertexte visité" xfId="5043" builtinId="9" hidden="1"/>
    <cellStyle name="Lien hypertexte visité" xfId="4407" builtinId="9" hidden="1"/>
    <cellStyle name="Lien hypertexte visité" xfId="6983" builtinId="9" hidden="1"/>
    <cellStyle name="Lien hypertexte visité" xfId="8200" builtinId="9" hidden="1"/>
    <cellStyle name="Lien hypertexte visité" xfId="6151" builtinId="9" hidden="1"/>
    <cellStyle name="Lien hypertexte visité" xfId="3553" builtinId="9" hidden="1"/>
    <cellStyle name="Lien hypertexte visité" xfId="5671" builtinId="9" hidden="1"/>
    <cellStyle name="Lien hypertexte visité" xfId="3734" builtinId="9" hidden="1"/>
    <cellStyle name="Lien hypertexte visité" xfId="1549" builtinId="9" hidden="1"/>
    <cellStyle name="Lien hypertexte visité" xfId="1793" builtinId="9" hidden="1"/>
    <cellStyle name="Lien hypertexte visité" xfId="13700" builtinId="9" hidden="1"/>
    <cellStyle name="Lien hypertexte visité" xfId="21318" builtinId="9" hidden="1"/>
    <cellStyle name="Lien hypertexte visité" xfId="23236" builtinId="9" hidden="1"/>
    <cellStyle name="Lien hypertexte visité" xfId="18564" builtinId="9" hidden="1"/>
    <cellStyle name="Lien hypertexte visité" xfId="14196" builtinId="9" hidden="1"/>
    <cellStyle name="Lien hypertexte visité" xfId="11860" builtinId="9" hidden="1"/>
    <cellStyle name="Lien hypertexte visité" xfId="9524" builtinId="9" hidden="1"/>
    <cellStyle name="Lien hypertexte visité" xfId="7187" builtinId="9" hidden="1"/>
    <cellStyle name="Lien hypertexte visité" xfId="16791" builtinId="9" hidden="1"/>
    <cellStyle name="Lien hypertexte visité" xfId="7460" builtinId="9" hidden="1"/>
    <cellStyle name="Lien hypertexte visité" xfId="1111" builtinId="9" hidden="1"/>
    <cellStyle name="Lien hypertexte visité" xfId="7423" builtinId="9" hidden="1"/>
    <cellStyle name="Lien hypertexte visité" xfId="4671" builtinId="9" hidden="1"/>
    <cellStyle name="Lien hypertexte visité" xfId="1977" builtinId="9" hidden="1"/>
    <cellStyle name="Lien hypertexte visité" xfId="1925" builtinId="9" hidden="1"/>
    <cellStyle name="Lien hypertexte visité" xfId="4683" builtinId="9" hidden="1"/>
    <cellStyle name="Lien hypertexte visité" xfId="7371" builtinId="9" hidden="1"/>
    <cellStyle name="Lien hypertexte visité" xfId="10124" builtinId="9" hidden="1"/>
    <cellStyle name="Lien hypertexte visité" xfId="12876" builtinId="9" hidden="1"/>
    <cellStyle name="Lien hypertexte visité" xfId="16613" builtinId="9" hidden="1"/>
    <cellStyle name="Lien hypertexte visité" xfId="22100" builtinId="9" hidden="1"/>
    <cellStyle name="Lien hypertexte visité" xfId="21622" builtinId="9" hidden="1"/>
    <cellStyle name="Lien hypertexte visité" xfId="16263" builtinId="9" hidden="1"/>
    <cellStyle name="Lien hypertexte visité" xfId="12637" builtinId="9" hidden="1"/>
    <cellStyle name="Lien hypertexte visité" xfId="9885" builtinId="9" hidden="1"/>
    <cellStyle name="Lien hypertexte visité" xfId="7196" builtinId="9" hidden="1"/>
    <cellStyle name="Lien hypertexte visité" xfId="4444" builtinId="9" hidden="1"/>
    <cellStyle name="Lien hypertexte visité" xfId="1686" builtinId="9" hidden="1"/>
    <cellStyle name="Lien hypertexte visité" xfId="2152" builtinId="9" hidden="1"/>
    <cellStyle name="Lien hypertexte visité" xfId="4910" builtinId="9" hidden="1"/>
    <cellStyle name="Lien hypertexte visité" xfId="7662" builtinId="9" hidden="1"/>
    <cellStyle name="Lien hypertexte visité" xfId="10351" builtinId="9" hidden="1"/>
    <cellStyle name="Lien hypertexte visité" xfId="13103" builtinId="9" hidden="1"/>
    <cellStyle name="Lien hypertexte visité" xfId="17195" builtinId="9" hidden="1"/>
    <cellStyle name="Lien hypertexte visité" xfId="9970" builtinId="9" hidden="1"/>
    <cellStyle name="Lien hypertexte visité" xfId="11806" builtinId="9" hidden="1"/>
    <cellStyle name="Lien hypertexte visité" xfId="13638" builtinId="9" hidden="1"/>
    <cellStyle name="Lien hypertexte visité" xfId="16345" builtinId="9" hidden="1"/>
    <cellStyle name="Lien hypertexte visité" xfId="20000" builtinId="9" hidden="1"/>
    <cellStyle name="Lien hypertexte visité" xfId="23672" builtinId="9" hidden="1"/>
    <cellStyle name="Lien hypertexte visité" xfId="21970" builtinId="9" hidden="1"/>
    <cellStyle name="Lien hypertexte visité" xfId="18316" builtinId="9" hidden="1"/>
    <cellStyle name="Lien hypertexte visité" xfId="23952" builtinId="9" hidden="1"/>
    <cellStyle name="Lien hypertexte visité" xfId="13866" builtinId="9" hidden="1"/>
    <cellStyle name="Lien hypertexte visité" xfId="8362" builtinId="9" hidden="1"/>
    <cellStyle name="Lien hypertexte visité" xfId="5457" builtinId="9" hidden="1"/>
    <cellStyle name="Lien hypertexte visité" xfId="6993" builtinId="9" hidden="1"/>
    <cellStyle name="Lien hypertexte visité" xfId="5769" builtinId="9" hidden="1"/>
    <cellStyle name="Lien hypertexte visité" xfId="3427" builtinId="9" hidden="1"/>
    <cellStyle name="Lien hypertexte visité" xfId="1474" builtinId="9" hidden="1"/>
    <cellStyle name="Lien hypertexte visité" xfId="1105" builtinId="9" hidden="1"/>
    <cellStyle name="Lien hypertexte visité" xfId="3475" builtinId="9" hidden="1"/>
    <cellStyle name="Lien hypertexte visité" xfId="5161" builtinId="9" hidden="1"/>
    <cellStyle name="Lien hypertexte visité" xfId="7077" builtinId="9" hidden="1"/>
    <cellStyle name="Lien hypertexte visité" xfId="5505" builtinId="9" hidden="1"/>
    <cellStyle name="Lien hypertexte visité" xfId="3969" builtinId="9" hidden="1"/>
    <cellStyle name="Lien hypertexte visité" xfId="17591" builtinId="9" hidden="1"/>
    <cellStyle name="Lien hypertexte visité" xfId="14213" builtinId="9" hidden="1"/>
    <cellStyle name="Lien hypertexte visité" xfId="12421" builtinId="9" hidden="1"/>
    <cellStyle name="Lien hypertexte visité" xfId="10581" builtinId="9" hidden="1"/>
    <cellStyle name="Lien hypertexte visité" xfId="8757" builtinId="9" hidden="1"/>
    <cellStyle name="Lien hypertexte visité" xfId="6964" builtinId="9" hidden="1"/>
    <cellStyle name="Lien hypertexte visité" xfId="5124" builtinId="9" hidden="1"/>
    <cellStyle name="Lien hypertexte visité" xfId="3278" builtinId="9" hidden="1"/>
    <cellStyle name="Lien hypertexte visité" xfId="1485" builtinId="9" hidden="1"/>
    <cellStyle name="Lien hypertexte visité" xfId="1487" builtinId="9" hidden="1"/>
    <cellStyle name="Lien hypertexte visité" xfId="3328" builtinId="9" hidden="1"/>
    <cellStyle name="Lien hypertexte visité" xfId="5126" builtinId="9" hidden="1"/>
    <cellStyle name="Lien hypertexte visité" xfId="6966" builtinId="9" hidden="1"/>
    <cellStyle name="Lien hypertexte visité" xfId="8791" builtinId="9" hidden="1"/>
    <cellStyle name="Lien hypertexte visité" xfId="10583" builtinId="9" hidden="1"/>
    <cellStyle name="Lien hypertexte visité" xfId="12423" builtinId="9" hidden="1"/>
    <cellStyle name="Lien hypertexte visité" xfId="14263" builtinId="9" hidden="1"/>
    <cellStyle name="Lien hypertexte visité" xfId="8310" builtinId="9" hidden="1"/>
    <cellStyle name="Lien hypertexte visité" xfId="9526" builtinId="9" hidden="1"/>
    <cellStyle name="Lien hypertexte visité" xfId="10754" builtinId="9" hidden="1"/>
    <cellStyle name="Lien hypertexte visité" xfId="11950" builtinId="9" hidden="1"/>
    <cellStyle name="Lien hypertexte visité" xfId="13174" builtinId="9" hidden="1"/>
    <cellStyle name="Lien hypertexte visité" xfId="14390" builtinId="9" hidden="1"/>
    <cellStyle name="Lien hypertexte visité" xfId="16657" builtinId="9" hidden="1"/>
    <cellStyle name="Lien hypertexte visité" xfId="19096" builtinId="9" hidden="1"/>
    <cellStyle name="Lien hypertexte visité" xfId="21544" builtinId="9" hidden="1"/>
    <cellStyle name="Lien hypertexte visité" xfId="23936" builtinId="9" hidden="1"/>
    <cellStyle name="Lien hypertexte visité" xfId="22858" builtinId="9" hidden="1"/>
    <cellStyle name="Lien hypertexte visité" xfId="20402" builtinId="9" hidden="1"/>
    <cellStyle name="Lien hypertexte visité" xfId="18035" builtinId="9" hidden="1"/>
    <cellStyle name="Lien hypertexte visité" xfId="22490" builtinId="9" hidden="1"/>
    <cellStyle name="Lien hypertexte visité" xfId="19440" builtinId="9" hidden="1"/>
    <cellStyle name="Lien hypertexte visité" xfId="13402" builtinId="9" hidden="1"/>
    <cellStyle name="Lien hypertexte visité" xfId="17345" builtinId="9" hidden="1"/>
    <cellStyle name="Lien hypertexte visité" xfId="19762" builtinId="9" hidden="1"/>
    <cellStyle name="Lien hypertexte visité" xfId="22296" builtinId="9" hidden="1"/>
    <cellStyle name="Lien hypertexte visité" xfId="14969" builtinId="9" hidden="1"/>
    <cellStyle name="Lien hypertexte visité" xfId="11074" builtinId="9" hidden="1"/>
    <cellStyle name="Lien hypertexte visité" xfId="15131" builtinId="9" hidden="1"/>
    <cellStyle name="Lien hypertexte visité" xfId="9319" builtinId="9" hidden="1"/>
    <cellStyle name="Lien hypertexte visité" xfId="3817" builtinId="9" hidden="1"/>
    <cellStyle name="Lien hypertexte visité" xfId="2718" builtinId="9" hidden="1"/>
    <cellStyle name="Lien hypertexte visité" xfId="7526" builtinId="9" hidden="1"/>
    <cellStyle name="Lien hypertexte visité" xfId="13550" builtinId="9" hidden="1"/>
    <cellStyle name="Lien hypertexte visité" xfId="24496" builtinId="9" hidden="1"/>
    <cellStyle name="Lien hypertexte visité" xfId="24368" builtinId="9" hidden="1"/>
    <cellStyle name="Lien hypertexte visité" xfId="22050" builtinId="9" hidden="1"/>
    <cellStyle name="Lien hypertexte visité" xfId="19880" builtinId="9" hidden="1"/>
    <cellStyle name="Lien hypertexte visité" xfId="13570" builtinId="9" hidden="1"/>
    <cellStyle name="Lien hypertexte visité" xfId="9934" builtinId="9" hidden="1"/>
    <cellStyle name="Lien hypertexte visité" xfId="13015" builtinId="9" hidden="1"/>
    <cellStyle name="Lien hypertexte visité" xfId="7558" builtinId="9" hidden="1"/>
    <cellStyle name="Lien hypertexte visité" xfId="2096" builtinId="9" hidden="1"/>
    <cellStyle name="Lien hypertexte visité" xfId="4532" builtinId="9" hidden="1"/>
    <cellStyle name="Lien hypertexte visité" xfId="9989" builtinId="9" hidden="1"/>
    <cellStyle name="Lien hypertexte visité" xfId="16375" builtinId="9" hidden="1"/>
    <cellStyle name="Lien hypertexte visité" xfId="6565" builtinId="9" hidden="1"/>
    <cellStyle name="Lien hypertexte visité" xfId="1843" builtinId="9" hidden="1"/>
    <cellStyle name="Lien hypertexte visité" xfId="2439" builtinId="9" hidden="1"/>
    <cellStyle name="Lien hypertexte visité" xfId="4397" builtinId="9" hidden="1"/>
    <cellStyle name="Lien hypertexte visité" xfId="17867" builtinId="9" hidden="1"/>
    <cellStyle name="Lien hypertexte visité" xfId="21192" builtinId="9" hidden="1"/>
    <cellStyle name="Lien hypertexte visité" xfId="12402" builtinId="9" hidden="1"/>
    <cellStyle name="Lien hypertexte visité" xfId="13999" builtinId="9" hidden="1"/>
    <cellStyle name="Lien hypertexte visité" xfId="5806" builtinId="9" hidden="1"/>
    <cellStyle name="Lien hypertexte visité" xfId="3542" builtinId="9" hidden="1"/>
    <cellStyle name="Lien hypertexte visité" xfId="11741" builtinId="9" hidden="1"/>
    <cellStyle name="Lien hypertexte visité" xfId="23892" builtinId="9" hidden="1"/>
    <cellStyle name="Lien hypertexte visité" xfId="11020" builtinId="9" hidden="1"/>
    <cellStyle name="Lien hypertexte visité" xfId="2821" builtinId="9" hidden="1"/>
    <cellStyle name="Lien hypertexte visité" xfId="6527" builtinId="9" hidden="1"/>
    <cellStyle name="Lien hypertexte visité" xfId="3252" builtinId="9" hidden="1"/>
    <cellStyle name="Lien hypertexte visité" xfId="4610" builtinId="9" hidden="1"/>
    <cellStyle name="Lien hypertexte visité" xfId="5962" builtinId="9" hidden="1"/>
    <cellStyle name="Lien hypertexte visité" xfId="7282" builtinId="9" hidden="1"/>
    <cellStyle name="Lien hypertexte visité" xfId="8635" builtinId="9" hidden="1"/>
    <cellStyle name="Lien hypertexte visité" xfId="1890" builtinId="9" hidden="1"/>
    <cellStyle name="Lien hypertexte visité" xfId="6632" builtinId="9" hidden="1"/>
    <cellStyle name="Lien hypertexte visité" xfId="11241" builtinId="9" hidden="1"/>
    <cellStyle name="Lien hypertexte visité" xfId="17439" builtinId="9" hidden="1"/>
    <cellStyle name="Lien hypertexte visité" xfId="22332" builtinId="9" hidden="1"/>
    <cellStyle name="Lien hypertexte visité" xfId="13824" builtinId="9" hidden="1"/>
    <cellStyle name="Lien hypertexte visité" xfId="9088" builtinId="9" hidden="1"/>
    <cellStyle name="Lien hypertexte visité" xfId="10312" builtinId="9" hidden="1"/>
    <cellStyle name="Lien hypertexte visité" xfId="11888" builtinId="9" hidden="1"/>
    <cellStyle name="Lien hypertexte visité" xfId="13424" builtinId="9" hidden="1"/>
    <cellStyle name="Lien hypertexte visité" xfId="15485" builtinId="9" hidden="1"/>
    <cellStyle name="Lien hypertexte visité" xfId="18636" builtinId="9" hidden="1"/>
    <cellStyle name="Lien hypertexte visité" xfId="21708" builtinId="9" hidden="1"/>
    <cellStyle name="Lien hypertexte visité" xfId="24366" builtinId="9" hidden="1"/>
    <cellStyle name="Lien hypertexte visité" xfId="21294" builtinId="9" hidden="1"/>
    <cellStyle name="Lien hypertexte visité" xfId="18159" builtinId="9" hidden="1"/>
    <cellStyle name="Lien hypertexte visité" xfId="15087" builtinId="9" hidden="1"/>
    <cellStyle name="Lien hypertexte visité" xfId="13217" builtinId="9" hidden="1"/>
    <cellStyle name="Lien hypertexte visité" xfId="11641" builtinId="9" hidden="1"/>
    <cellStyle name="Lien hypertexte visité" xfId="10105" builtinId="9" hidden="1"/>
    <cellStyle name="Lien hypertexte visité" xfId="8529" builtinId="9" hidden="1"/>
    <cellStyle name="Lien hypertexte visité" xfId="6992" builtinId="9" hidden="1"/>
    <cellStyle name="Lien hypertexte visité" xfId="5408" builtinId="9" hidden="1"/>
    <cellStyle name="Lien hypertexte visité" xfId="3875" builtinId="9" hidden="1"/>
    <cellStyle name="Lien hypertexte visité" xfId="2458" builtinId="9" hidden="1"/>
    <cellStyle name="Lien hypertexte visité" xfId="13393" builtinId="9" hidden="1"/>
    <cellStyle name="Lien hypertexte visité" xfId="15149" builtinId="9" hidden="1"/>
    <cellStyle name="Lien hypertexte visité" xfId="16415" builtinId="9" hidden="1"/>
    <cellStyle name="Lien hypertexte visité" xfId="4466" builtinId="9" hidden="1"/>
    <cellStyle name="Lien hypertexte visité" xfId="9915" builtinId="9" hidden="1"/>
    <cellStyle name="Lien hypertexte visité" xfId="13979" builtinId="9" hidden="1"/>
    <cellStyle name="Lien hypertexte visité" xfId="15875" builtinId="9" hidden="1"/>
    <cellStyle name="Lien hypertexte visité" xfId="15891" builtinId="9" hidden="1"/>
    <cellStyle name="Lien hypertexte visité" xfId="14475" builtinId="9" hidden="1"/>
    <cellStyle name="Lien hypertexte visité" xfId="13243" builtinId="9" hidden="1"/>
    <cellStyle name="Lien hypertexte visité" xfId="14363" builtinId="9" hidden="1"/>
    <cellStyle name="Lien hypertexte visité" xfId="10347" builtinId="9" hidden="1"/>
    <cellStyle name="Lien hypertexte visité" xfId="11507" builtinId="9" hidden="1"/>
    <cellStyle name="Lien hypertexte visité" xfId="12667" builtinId="9" hidden="1"/>
    <cellStyle name="Lien hypertexte visité" xfId="2588" builtinId="9" hidden="1"/>
    <cellStyle name="Lien hypertexte visité" xfId="1900" builtinId="9" hidden="1"/>
    <cellStyle name="Lien hypertexte visité" xfId="11371" builtinId="9" hidden="1"/>
    <cellStyle name="Lien hypertexte visité" xfId="4074" builtinId="9" hidden="1"/>
    <cellStyle name="Lien hypertexte visité" xfId="2860" builtinId="9" hidden="1"/>
    <cellStyle name="Lien hypertexte visité" xfId="1652" builtinId="9" hidden="1"/>
    <cellStyle name="Lien hypertexte visité" xfId="4066" builtinId="9" hidden="1"/>
    <cellStyle name="Lien hypertexte visité" xfId="12507" builtinId="9" hidden="1"/>
    <cellStyle name="Lien hypertexte visité" xfId="11379" builtinId="9" hidden="1"/>
    <cellStyle name="Lien hypertexte visité" xfId="7546" builtinId="9" hidden="1"/>
    <cellStyle name="Lien hypertexte visité" xfId="6338" builtinId="9" hidden="1"/>
    <cellStyle name="Lien hypertexte visité" xfId="5170" builtinId="9" hidden="1"/>
    <cellStyle name="Lien hypertexte visité" xfId="9043" builtinId="9" hidden="1"/>
    <cellStyle name="Lien hypertexte visité" xfId="3202" builtinId="9" hidden="1"/>
    <cellStyle name="Lien hypertexte visité" xfId="5512" builtinId="9" hidden="1"/>
    <cellStyle name="Lien hypertexte visité" xfId="375" builtinId="9" hidden="1"/>
    <cellStyle name="Lien hypertexte visité" xfId="8347" builtinId="9" hidden="1"/>
    <cellStyle name="Lien hypertexte visité" xfId="363" builtinId="9" hidden="1"/>
    <cellStyle name="Lien hypertexte visité" xfId="5642" builtinId="9" hidden="1"/>
    <cellStyle name="Lien hypertexte visité" xfId="6850" builtinId="9" hidden="1"/>
    <cellStyle name="Lien hypertexte visité" xfId="3004" builtinId="9" hidden="1"/>
    <cellStyle name="Lien hypertexte visité" xfId="11859" builtinId="9" hidden="1"/>
    <cellStyle name="Lien hypertexte visité" xfId="8931" builtinId="9" hidden="1"/>
    <cellStyle name="Lien hypertexte visité" xfId="747" builtinId="9" hidden="1"/>
    <cellStyle name="Lien hypertexte visité" xfId="2164" builtinId="9" hidden="1"/>
    <cellStyle name="Lien hypertexte visité" xfId="3372" builtinId="9" hidden="1"/>
    <cellStyle name="Lien hypertexte visité" xfId="4586" builtinId="9" hidden="1"/>
    <cellStyle name="Lien hypertexte visité" xfId="2628" builtinId="9" hidden="1"/>
    <cellStyle name="Lien hypertexte visité" xfId="1387" builtinId="9" hidden="1"/>
    <cellStyle name="Lien hypertexte visité" xfId="6178" builtinId="9" hidden="1"/>
    <cellStyle name="Lien hypertexte visité" xfId="12187" builtinId="9" hidden="1"/>
    <cellStyle name="Lien hypertexte visité" xfId="11027" builtinId="9" hidden="1"/>
    <cellStyle name="Lien hypertexte visité" xfId="9867" builtinId="9" hidden="1"/>
    <cellStyle name="Lien hypertexte visité" xfId="13939" builtinId="9" hidden="1"/>
    <cellStyle name="Lien hypertexte visité" xfId="15731" builtinId="9" hidden="1"/>
    <cellStyle name="Lien hypertexte visité" xfId="16819" builtinId="9" hidden="1"/>
    <cellStyle name="Lien hypertexte visité" xfId="14579" builtinId="9" hidden="1"/>
    <cellStyle name="Lien hypertexte visité" xfId="13315" builtinId="9" hidden="1"/>
    <cellStyle name="Lien hypertexte visité" xfId="14443" builtinId="9" hidden="1"/>
    <cellStyle name="Lien hypertexte visité" xfId="10387" builtinId="9" hidden="1"/>
    <cellStyle name="Lien hypertexte visité" xfId="8267" builtinId="9" hidden="1"/>
    <cellStyle name="Lien hypertexte visité" xfId="10368" builtinId="9" hidden="1"/>
    <cellStyle name="Lien hypertexte visité" xfId="24012" builtinId="9" hidden="1"/>
    <cellStyle name="Lien hypertexte visité" xfId="8953" builtinId="9" hidden="1"/>
    <cellStyle name="Lien hypertexte visité" xfId="2930" builtinId="9" hidden="1"/>
    <cellStyle name="Lien hypertexte visité" xfId="4472" builtinId="9" hidden="1"/>
    <cellStyle name="Lien hypertexte visité" xfId="6048" builtinId="9" hidden="1"/>
    <cellStyle name="Lien hypertexte visité" xfId="7632" builtinId="9" hidden="1"/>
    <cellStyle name="Lien hypertexte visité" xfId="9169" builtinId="9" hidden="1"/>
    <cellStyle name="Lien hypertexte visité" xfId="10745" builtinId="9" hidden="1"/>
    <cellStyle name="Lien hypertexte visité" xfId="12281" builtinId="9" hidden="1"/>
    <cellStyle name="Lien hypertexte visité" xfId="13857" builtinId="9" hidden="1"/>
    <cellStyle name="Lien hypertexte visité" xfId="16271" builtinId="9" hidden="1"/>
    <cellStyle name="Lien hypertexte visité" xfId="19422" builtinId="9" hidden="1"/>
    <cellStyle name="Lien hypertexte visité" xfId="22574" builtinId="9" hidden="1"/>
    <cellStyle name="Lien hypertexte visité" xfId="23580" builtinId="9" hidden="1"/>
    <cellStyle name="Lien hypertexte visité" xfId="20428" builtinId="9" hidden="1"/>
    <cellStyle name="Lien hypertexte visité" xfId="17373" builtinId="9" hidden="1"/>
    <cellStyle name="Lien hypertexte visité" xfId="14360" builtinId="9" hidden="1"/>
    <cellStyle name="Lien hypertexte visité" xfId="12824" builtinId="9" hidden="1"/>
    <cellStyle name="Lien hypertexte visité" xfId="11248" builtinId="9" hidden="1"/>
    <cellStyle name="Lien hypertexte visité" xfId="9672" builtinId="9" hidden="1"/>
    <cellStyle name="Lien hypertexte visité" xfId="11008" builtinId="9" hidden="1"/>
    <cellStyle name="Lien hypertexte visité" xfId="16973" builtinId="9" hidden="1"/>
    <cellStyle name="Lien hypertexte visité" xfId="23054" builtinId="9" hidden="1"/>
    <cellStyle name="Lien hypertexte visité" xfId="14057" builtinId="9" hidden="1"/>
    <cellStyle name="Lien hypertexte visité" xfId="9449" builtinId="9" hidden="1"/>
    <cellStyle name="Lien hypertexte visité" xfId="4712" builtinId="9" hidden="1"/>
    <cellStyle name="Lien hypertexte visité" xfId="9403" builtinId="9" hidden="1"/>
    <cellStyle name="Lien hypertexte visité" xfId="8083" builtinId="9" hidden="1"/>
    <cellStyle name="Lien hypertexte visité" xfId="6730" builtinId="9" hidden="1"/>
    <cellStyle name="Lien hypertexte visité" xfId="5418" builtinId="9" hidden="1"/>
    <cellStyle name="Lien hypertexte visité" xfId="4058" builtinId="9" hidden="1"/>
    <cellStyle name="Lien hypertexte visité" xfId="1946" builtinId="9" hidden="1"/>
    <cellStyle name="Lien hypertexte visité" xfId="3193" builtinId="9" hidden="1"/>
    <cellStyle name="Lien hypertexte visité" xfId="6155" builtinId="9" hidden="1"/>
    <cellStyle name="Lien hypertexte visité" xfId="14348" builtinId="9" hidden="1"/>
    <cellStyle name="Lien hypertexte visité" xfId="18678" builtinId="9" hidden="1"/>
    <cellStyle name="Lien hypertexte visité" xfId="8413" builtinId="9" hidden="1"/>
    <cellStyle name="Lien hypertexte visité" xfId="9471" builtinId="9" hidden="1"/>
    <cellStyle name="Lien hypertexte visité" xfId="11199" builtinId="9" hidden="1"/>
    <cellStyle name="Lien hypertexte visité" xfId="13055" builtinId="9" hidden="1"/>
    <cellStyle name="Lien hypertexte visité" xfId="15371" builtinId="9" hidden="1"/>
    <cellStyle name="Lien hypertexte visité" xfId="8702" builtinId="9" hidden="1"/>
    <cellStyle name="Lien hypertexte visité" xfId="3138" builtinId="9" hidden="1"/>
    <cellStyle name="Lien hypertexte visité" xfId="8699" builtinId="9" hidden="1"/>
    <cellStyle name="Lien hypertexte visité" xfId="7234" builtinId="9" hidden="1"/>
    <cellStyle name="Lien hypertexte visité" xfId="5626" builtinId="9" hidden="1"/>
    <cellStyle name="Lien hypertexte visité" xfId="4018" builtinId="9" hidden="1"/>
    <cellStyle name="Lien hypertexte visité" xfId="2548" builtinId="9" hidden="1"/>
    <cellStyle name="Lien hypertexte visité" xfId="715" builtinId="9" hidden="1"/>
    <cellStyle name="Lien hypertexte visité" xfId="12595" builtinId="9" hidden="1"/>
    <cellStyle name="Lien hypertexte visité" xfId="11227" builtinId="9" hidden="1"/>
    <cellStyle name="Lien hypertexte visité" xfId="9723" builtinId="9" hidden="1"/>
    <cellStyle name="Lien hypertexte visité" xfId="13467" builtinId="9" hidden="1"/>
    <cellStyle name="Lien hypertexte visité" xfId="14499" builtinId="9" hidden="1"/>
    <cellStyle name="Lien hypertexte visité" xfId="16483" builtinId="9" hidden="1"/>
    <cellStyle name="Lien hypertexte visité" xfId="13491" builtinId="9" hidden="1"/>
    <cellStyle name="Lien hypertexte visité" xfId="9611" builtinId="9" hidden="1"/>
    <cellStyle name="Lien hypertexte visité" xfId="11115" builtinId="9" hidden="1"/>
    <cellStyle name="Lien hypertexte visité" xfId="12619" builtinId="9" hidden="1"/>
    <cellStyle name="Lien hypertexte visité" xfId="1435" builtinId="9" hidden="1"/>
    <cellStyle name="Lien hypertexte visité" xfId="2428" builtinId="9" hidden="1"/>
    <cellStyle name="Lien hypertexte visité" xfId="4042" builtinId="9" hidden="1"/>
    <cellStyle name="Lien hypertexte visité" xfId="5506" builtinId="9" hidden="1"/>
    <cellStyle name="Lien hypertexte visité" xfId="7114" builtinId="9" hidden="1"/>
    <cellStyle name="Lien hypertexte visité" xfId="8723" builtinId="9" hidden="1"/>
    <cellStyle name="Lien hypertexte visité" xfId="2722" builtinId="9" hidden="1"/>
    <cellStyle name="Lien hypertexte visité" xfId="8361" builtinId="9" hidden="1"/>
    <cellStyle name="Lien hypertexte visité" xfId="13993" builtinId="9" hidden="1"/>
    <cellStyle name="Lien hypertexte visité" xfId="23694" builtinId="9" hidden="1"/>
    <cellStyle name="Lien hypertexte visité" xfId="14400" builtinId="9" hidden="1"/>
    <cellStyle name="Lien hypertexte visité" xfId="8880" builtinId="9" hidden="1"/>
    <cellStyle name="Lien hypertexte visité" xfId="10584" builtinId="9" hidden="1"/>
    <cellStyle name="Lien hypertexte visité" xfId="12464" builtinId="9" hidden="1"/>
    <cellStyle name="Lien hypertexte visité" xfId="14344" builtinId="9" hidden="1"/>
    <cellStyle name="Lien hypertexte visité" xfId="17581" builtinId="9" hidden="1"/>
    <cellStyle name="Lien hypertexte visité" xfId="21324" builtinId="9" hidden="1"/>
    <cellStyle name="Lien hypertexte visité" xfId="24158" builtinId="9" hidden="1"/>
    <cellStyle name="Lien hypertexte visité" xfId="20734" builtinId="9" hidden="1"/>
    <cellStyle name="Lien hypertexte visité" xfId="17007" builtinId="9" hidden="1"/>
    <cellStyle name="Lien hypertexte visité" xfId="13881" builtinId="9" hidden="1"/>
    <cellStyle name="Lien hypertexte visité" xfId="12177" builtinId="9" hidden="1"/>
    <cellStyle name="Lien hypertexte visité" xfId="10297" builtinId="9" hidden="1"/>
    <cellStyle name="Lien hypertexte visité" xfId="8417" builtinId="9" hidden="1"/>
    <cellStyle name="Lien hypertexte visité" xfId="6712" builtinId="9" hidden="1"/>
    <cellStyle name="Lien hypertexte visité" xfId="4832" builtinId="9" hidden="1"/>
    <cellStyle name="Lien hypertexte visité" xfId="2954" builtinId="9" hidden="1"/>
    <cellStyle name="Lien hypertexte visité" xfId="1241" builtinId="9" hidden="1"/>
    <cellStyle name="Lien hypertexte visité" xfId="7519" builtinId="9" hidden="1"/>
    <cellStyle name="Lien hypertexte visité" xfId="4703" builtinId="9" hidden="1"/>
    <cellStyle name="Lien hypertexte visité" xfId="2137" builtinId="9" hidden="1"/>
    <cellStyle name="Lien hypertexte visité" xfId="1829" builtinId="9" hidden="1"/>
    <cellStyle name="Lien hypertexte visité" xfId="4651" builtinId="9" hidden="1"/>
    <cellStyle name="Lien hypertexte visité" xfId="7211" builtinId="9" hidden="1"/>
    <cellStyle name="Lien hypertexte visité" xfId="10028" builtinId="9" hidden="1"/>
    <cellStyle name="Lien hypertexte visité" xfId="12844" builtinId="9" hidden="1"/>
    <cellStyle name="Lien hypertexte visité" xfId="16293" builtinId="9" hidden="1"/>
    <cellStyle name="Lien hypertexte visité" xfId="21908" builtinId="9" hidden="1"/>
    <cellStyle name="Lien hypertexte visité" xfId="21686" builtinId="9" hidden="1"/>
    <cellStyle name="Lien hypertexte visité" xfId="16583" builtinId="9" hidden="1"/>
    <cellStyle name="Lien hypertexte visité" xfId="12733" builtinId="9" hidden="1"/>
    <cellStyle name="Lien hypertexte visité" xfId="9917" builtinId="9" hidden="1"/>
    <cellStyle name="Lien hypertexte visité" xfId="7356" builtinId="9" hidden="1"/>
    <cellStyle name="Lien hypertexte visité" xfId="4540" builtinId="9" hidden="1"/>
    <cellStyle name="Lien hypertexte visité" xfId="1718" builtinId="9" hidden="1"/>
    <cellStyle name="Lien hypertexte visité" xfId="1992" builtinId="9" hidden="1"/>
    <cellStyle name="Lien hypertexte visité" xfId="4814" builtinId="9" hidden="1"/>
    <cellStyle name="Lien hypertexte visité" xfId="7630" builtinId="9" hidden="1"/>
    <cellStyle name="Lien hypertexte visité" xfId="10191" builtinId="9" hidden="1"/>
    <cellStyle name="Lien hypertexte visité" xfId="13007" builtinId="9" hidden="1"/>
    <cellStyle name="Lien hypertexte visité" xfId="17131" builtinId="9" hidden="1"/>
    <cellStyle name="Lien hypertexte visité" xfId="9862" builtinId="9" hidden="1"/>
    <cellStyle name="Lien hypertexte visité" xfId="11742" builtinId="9" hidden="1"/>
    <cellStyle name="Lien hypertexte visité" xfId="13618" builtinId="9" hidden="1"/>
    <cellStyle name="Lien hypertexte visité" xfId="16137" builtinId="9" hidden="1"/>
    <cellStyle name="Lien hypertexte visité" xfId="19872" builtinId="9" hidden="1"/>
    <cellStyle name="Lien hypertexte visité" xfId="23624" builtinId="9" hidden="1"/>
    <cellStyle name="Lien hypertexte visité" xfId="22186" builtinId="9" hidden="1"/>
    <cellStyle name="Lien hypertexte visité" xfId="18434" builtinId="9" hidden="1"/>
    <cellStyle name="Lien hypertexte visité" xfId="24080" builtinId="9" hidden="1"/>
    <cellStyle name="Lien hypertexte visité" xfId="14186" builtinId="9" hidden="1"/>
    <cellStyle name="Lien hypertexte visité" xfId="8554" builtinId="9" hidden="1"/>
    <cellStyle name="Lien hypertexte visité" xfId="5437" builtinId="9" hidden="1"/>
    <cellStyle name="Lien hypertexte visité" xfId="6901" builtinId="9" hidden="1"/>
    <cellStyle name="Lien hypertexte visité" xfId="6153" builtinId="9" hidden="1"/>
    <cellStyle name="Lien hypertexte visité" xfId="3411" builtinId="9" hidden="1"/>
    <cellStyle name="Lien hypertexte visité" xfId="2147" builtinId="9" hidden="1"/>
    <cellStyle name="Lien hypertexte visité" xfId="1182" builtinId="9" hidden="1"/>
    <cellStyle name="Lien hypertexte visité" xfId="3491" builtinId="9" hidden="1"/>
    <cellStyle name="Lien hypertexte visité" xfId="4521" builtinId="9" hidden="1"/>
    <cellStyle name="Lien hypertexte visité" xfId="7133" builtinId="9" hidden="1"/>
    <cellStyle name="Lien hypertexte visité" xfId="5525" builtinId="9" hidden="1"/>
    <cellStyle name="Lien hypertexte visité" xfId="4061" builtinId="9" hidden="1"/>
    <cellStyle name="Lien hypertexte visité" xfId="17719" builtinId="9" hidden="1"/>
    <cellStyle name="Lien hypertexte visité" xfId="14229" builtinId="9" hidden="1"/>
    <cellStyle name="Lien hypertexte visité" xfId="12533" builtinId="9" hidden="1"/>
    <cellStyle name="Lien hypertexte visité" xfId="10645" builtinId="9" hidden="1"/>
    <cellStyle name="Lien hypertexte visité" xfId="8773" builtinId="9" hidden="1"/>
    <cellStyle name="Lien hypertexte visité" xfId="7060" builtinId="9" hidden="1"/>
    <cellStyle name="Lien hypertexte visité" xfId="5188" builtinId="9" hidden="1"/>
    <cellStyle name="Lien hypertexte visité" xfId="3310" builtinId="9" hidden="1"/>
    <cellStyle name="Lien hypertexte visité" xfId="1598" builtinId="9" hidden="1"/>
    <cellStyle name="Lien hypertexte visité" xfId="1423" builtinId="9" hidden="1"/>
    <cellStyle name="Lien hypertexte visité" xfId="3312" builtinId="9" hidden="1"/>
    <cellStyle name="Lien hypertexte visité" xfId="5014" builtinId="9" hidden="1"/>
    <cellStyle name="Lien hypertexte visité" xfId="6902" builtinId="9" hidden="1"/>
    <cellStyle name="Lien hypertexte visité" xfId="8775" builtinId="9" hidden="1"/>
    <cellStyle name="Lien hypertexte visité" xfId="10487" builtinId="9" hidden="1"/>
    <cellStyle name="Lien hypertexte visité" xfId="12359" builtinId="9" hidden="1"/>
    <cellStyle name="Lien hypertexte visité" xfId="14231" builtinId="9" hidden="1"/>
    <cellStyle name="Lien hypertexte visité" xfId="8238" builtinId="9" hidden="1"/>
    <cellStyle name="Lien hypertexte visité" xfId="9486" builtinId="9" hidden="1"/>
    <cellStyle name="Lien hypertexte visité" xfId="10742" builtinId="9" hidden="1"/>
    <cellStyle name="Lien hypertexte visité" xfId="11874" builtinId="9" hidden="1"/>
    <cellStyle name="Lien hypertexte visité" xfId="13134" builtinId="9" hidden="1"/>
    <cellStyle name="Lien hypertexte visité" xfId="14382" builtinId="9" hidden="1"/>
    <cellStyle name="Lien hypertexte visité" xfId="16529" builtinId="9" hidden="1"/>
    <cellStyle name="Lien hypertexte visité" xfId="19008" builtinId="9" hidden="1"/>
    <cellStyle name="Lien hypertexte visité" xfId="21504" builtinId="9" hidden="1"/>
    <cellStyle name="Lien hypertexte visité" xfId="23784" builtinId="9" hidden="1"/>
    <cellStyle name="Lien hypertexte visité" xfId="22946" builtinId="9" hidden="1"/>
    <cellStyle name="Lien hypertexte visité" xfId="20426" builtinId="9" hidden="1"/>
    <cellStyle name="Lien hypertexte visité" xfId="18179" builtinId="9" hidden="1"/>
    <cellStyle name="Lien hypertexte visité" xfId="22234" builtinId="9" hidden="1"/>
    <cellStyle name="Lien hypertexte visité" xfId="19504" builtinId="9" hidden="1"/>
    <cellStyle name="Lien hypertexte visité" xfId="13594" builtinId="9" hidden="1"/>
    <cellStyle name="Lien hypertexte visité" xfId="16577" builtinId="9" hidden="1"/>
    <cellStyle name="Lien hypertexte visité" xfId="19682" builtinId="9" hidden="1"/>
    <cellStyle name="Lien hypertexte visité" xfId="22720" builtinId="9" hidden="1"/>
    <cellStyle name="Lien hypertexte visité" xfId="15225" builtinId="9" hidden="1"/>
    <cellStyle name="Lien hypertexte visité" xfId="11118" builtinId="9" hidden="1"/>
    <cellStyle name="Lien hypertexte visité" xfId="15771" builtinId="9" hidden="1"/>
    <cellStyle name="Lien hypertexte visité" xfId="9511" builtinId="9" hidden="1"/>
    <cellStyle name="Lien hypertexte visité" xfId="3881" builtinId="9" hidden="1"/>
    <cellStyle name="Lien hypertexte visité" xfId="2398" builtinId="9" hidden="1"/>
    <cellStyle name="Lien hypertexte visité" xfId="8037" builtinId="9" hidden="1"/>
    <cellStyle name="Lien hypertexte visité" xfId="13669" builtinId="9" hidden="1"/>
    <cellStyle name="Lien hypertexte visité" xfId="5731" builtinId="9" hidden="1"/>
    <cellStyle name="Lien hypertexte visité" xfId="7347" builtinId="9" hidden="1"/>
    <cellStyle name="Lien hypertexte visité" xfId="8948" builtinId="9" hidden="1"/>
    <cellStyle name="Lien hypertexte visité" xfId="10420" builtinId="9" hidden="1"/>
    <cellStyle name="Lien hypertexte visité" xfId="12020" builtinId="9" hidden="1"/>
    <cellStyle name="Lien hypertexte visité" xfId="13636" builtinId="9" hidden="1"/>
    <cellStyle name="Lien hypertexte visité" xfId="15669" builtinId="9" hidden="1"/>
    <cellStyle name="Lien hypertexte visité" xfId="18884" builtinId="9" hidden="1"/>
    <cellStyle name="Lien hypertexte visité" xfId="22116" builtinId="9" hidden="1"/>
    <cellStyle name="Lien hypertexte visité" xfId="24198" builtinId="9" hidden="1"/>
    <cellStyle name="Lien hypertexte visité" xfId="20966" builtinId="9" hidden="1"/>
    <cellStyle name="Lien hypertexte visité" xfId="20804" builtinId="9" hidden="1"/>
    <cellStyle name="Lien hypertexte visité" xfId="7427" builtinId="9" hidden="1"/>
    <cellStyle name="Lien hypertexte visité" xfId="1633" builtinId="9" hidden="1"/>
    <cellStyle name="Lien hypertexte visité" xfId="845" builtinId="9" hidden="1"/>
    <cellStyle name="Lien hypertexte visité" xfId="2381" builtinId="9" hidden="1"/>
    <cellStyle name="Lien hypertexte visité" xfId="3895" builtinId="9" hidden="1"/>
    <cellStyle name="Lien hypertexte visité" xfId="2045" builtinId="9" hidden="1"/>
    <cellStyle name="Lien hypertexte visité" xfId="4871" builtinId="9" hidden="1"/>
    <cellStyle name="Lien hypertexte visité" xfId="3409" builtinId="9" hidden="1"/>
    <cellStyle name="Lien hypertexte visité" xfId="6647" builtinId="9" hidden="1"/>
    <cellStyle name="Lien hypertexte visité" xfId="7575" builtinId="9" hidden="1"/>
    <cellStyle name="Lien hypertexte visité" xfId="8344" builtinId="9" hidden="1"/>
    <cellStyle name="Lien hypertexte visité" xfId="6471" builtinId="9" hidden="1"/>
    <cellStyle name="Lien hypertexte visité" xfId="3089" builtinId="9" hidden="1"/>
    <cellStyle name="Lien hypertexte visité" xfId="4551" builtinId="9" hidden="1"/>
    <cellStyle name="Lien hypertexte visité" xfId="1921" builtinId="9" hidden="1"/>
    <cellStyle name="Lien hypertexte visité" xfId="4211" builtinId="9" hidden="1"/>
    <cellStyle name="Lien hypertexte visité" xfId="2701" builtinId="9" hidden="1"/>
    <cellStyle name="Lien hypertexte visité" xfId="1196" builtinId="9" hidden="1"/>
    <cellStyle name="Lien hypertexte visité" xfId="1312" builtinId="9" hidden="1"/>
    <cellStyle name="Lien hypertexte visité" xfId="2817" builtinId="9" hidden="1"/>
    <cellStyle name="Lien hypertexte visité" xfId="18005" builtinId="9" hidden="1"/>
    <cellStyle name="Lien hypertexte visité" xfId="20294" builtinId="9" hidden="1"/>
    <cellStyle name="Lien hypertexte visité" xfId="23494" builtinId="9" hidden="1"/>
    <cellStyle name="Lien hypertexte visité" xfId="22500" builtinId="9" hidden="1"/>
    <cellStyle name="Lien hypertexte visité" xfId="19588" builtinId="9" hidden="1"/>
    <cellStyle name="Lien hypertexte visité" xfId="16373" builtinId="9" hidden="1"/>
    <cellStyle name="Lien hypertexte visité" xfId="13844" builtinId="9" hidden="1"/>
    <cellStyle name="Lien hypertexte visité" xfId="12372" builtinId="9" hidden="1"/>
    <cellStyle name="Lien hypertexte visité" xfId="10772" builtinId="9" hidden="1"/>
    <cellStyle name="Lien hypertexte visité" xfId="9156" builtinId="9" hidden="1"/>
    <cellStyle name="Lien hypertexte visité" xfId="7699" builtinId="9" hidden="1"/>
    <cellStyle name="Lien hypertexte visité" xfId="6083" builtinId="9" hidden="1"/>
    <cellStyle name="Lien hypertexte visité" xfId="14373" builtinId="9" hidden="1"/>
    <cellStyle name="Lien hypertexte visité" xfId="9253" builtinId="9" hidden="1"/>
    <cellStyle name="Lien hypertexte visité" xfId="2074" builtinId="9" hidden="1"/>
    <cellStyle name="Lien hypertexte visité" xfId="519" builtinId="9" hidden="1"/>
    <cellStyle name="Lien hypertexte visité" xfId="8000" builtinId="9" hidden="1"/>
    <cellStyle name="Lien hypertexte visité" xfId="6143" builtinId="9" hidden="1"/>
    <cellStyle name="Lien hypertexte visité" xfId="4287" builtinId="9" hidden="1"/>
    <cellStyle name="Lien hypertexte visité" xfId="2553" builtinId="9" hidden="1"/>
    <cellStyle name="Lien hypertexte visité" xfId="165" builtinId="9" hidden="1"/>
    <cellStyle name="Lien hypertexte visité" xfId="2373" builtinId="9" hidden="1"/>
    <cellStyle name="Lien hypertexte visité" xfId="4043" builtinId="9" hidden="1"/>
    <cellStyle name="Lien hypertexte visité" xfId="5963" builtinId="9" hidden="1"/>
    <cellStyle name="Lien hypertexte visité" xfId="7820" builtinId="9" hidden="1"/>
    <cellStyle name="Lien hypertexte visité" xfId="9548" builtinId="9" hidden="1"/>
    <cellStyle name="Lien hypertexte visité" xfId="11404" builtinId="9" hidden="1"/>
    <cellStyle name="Lien hypertexte visité" xfId="13260" builtinId="9" hidden="1"/>
    <cellStyle name="Lien hypertexte visité" xfId="15461" builtinId="9" hidden="1"/>
    <cellStyle name="Lien hypertexte visité" xfId="19156" builtinId="9" hidden="1"/>
    <cellStyle name="Lien hypertexte visité" xfId="22996" builtinId="9" hidden="1"/>
    <cellStyle name="Lien hypertexte visité" xfId="22902" builtinId="9" hidden="1"/>
    <cellStyle name="Lien hypertexte visité" xfId="19062" builtinId="9" hidden="1"/>
    <cellStyle name="Lien hypertexte visité" xfId="15367" builtinId="9" hidden="1"/>
    <cellStyle name="Lien hypertexte visité" xfId="13213" builtinId="9" hidden="1"/>
    <cellStyle name="Lien hypertexte visité" xfId="11357" builtinId="9" hidden="1"/>
    <cellStyle name="Lien hypertexte visité" xfId="9501" builtinId="9" hidden="1"/>
    <cellStyle name="Lien hypertexte visité" xfId="7772" builtinId="9" hidden="1"/>
    <cellStyle name="Lien hypertexte visité" xfId="5916" builtinId="9" hidden="1"/>
    <cellStyle name="Lien hypertexte visité" xfId="3996" builtinId="9" hidden="1"/>
    <cellStyle name="Lien hypertexte visité" xfId="2326" builtinId="9" hidden="1"/>
    <cellStyle name="Lien hypertexte visité" xfId="323" builtinId="9" hidden="1"/>
    <cellStyle name="Lien hypertexte visité" xfId="2600" builtinId="9" hidden="1"/>
    <cellStyle name="Lien hypertexte visité" xfId="4334" builtinId="9" hidden="1"/>
    <cellStyle name="Lien hypertexte visité" xfId="6190" builtinId="9" hidden="1"/>
    <cellStyle name="Lien hypertexte visité" xfId="8047" builtinId="9" hidden="1"/>
    <cellStyle name="Lien hypertexte visité" xfId="9775" builtinId="9" hidden="1"/>
    <cellStyle name="Lien hypertexte visité" xfId="11631" builtinId="9" hidden="1"/>
    <cellStyle name="Lien hypertexte visité" xfId="13551" builtinId="9" hidden="1"/>
    <cellStyle name="Lien hypertexte visité" xfId="15915" builtinId="9" hidden="1"/>
    <cellStyle name="Lien hypertexte visité" xfId="9030" builtinId="9" hidden="1"/>
    <cellStyle name="Lien hypertexte visité" xfId="10270" builtinId="9" hidden="1"/>
    <cellStyle name="Lien hypertexte visité" xfId="11422" builtinId="9" hidden="1"/>
    <cellStyle name="Lien hypertexte visité" xfId="12658" builtinId="9" hidden="1"/>
    <cellStyle name="Lien hypertexte visité" xfId="13894" builtinId="9" hidden="1"/>
    <cellStyle name="Lien hypertexte visité" xfId="15577" builtinId="9" hidden="1"/>
    <cellStyle name="Lien hypertexte visité" xfId="18057" builtinId="9" hidden="1"/>
    <cellStyle name="Lien hypertexte visité" xfId="20600" builtinId="9" hidden="1"/>
    <cellStyle name="Lien hypertexte visité" xfId="22816" builtinId="9" hidden="1"/>
    <cellStyle name="Lien hypertexte visité" xfId="23850" builtinId="9" hidden="1"/>
    <cellStyle name="Lien hypertexte visité" xfId="21378" builtinId="9" hidden="1"/>
    <cellStyle name="Lien hypertexte visité" xfId="19074" builtinId="9" hidden="1"/>
    <cellStyle name="Lien hypertexte visité" xfId="19386" builtinId="9" hidden="1"/>
    <cellStyle name="Lien hypertexte visité" xfId="22416" builtinId="9" hidden="1"/>
    <cellStyle name="Lien hypertexte visité" xfId="15521" builtinId="9" hidden="1"/>
    <cellStyle name="Lien hypertexte visité" xfId="11306" builtinId="9" hidden="1"/>
    <cellStyle name="Lien hypertexte visité" xfId="4141" builtinId="9" hidden="1"/>
    <cellStyle name="Lien hypertexte visité" xfId="5089" builtinId="9" hidden="1"/>
    <cellStyle name="Lien hypertexte visité" xfId="6189" builtinId="9" hidden="1"/>
    <cellStyle name="Lien hypertexte visité" xfId="7249" builtinId="9" hidden="1"/>
    <cellStyle name="Lien hypertexte visité" xfId="8074" builtinId="9" hidden="1"/>
    <cellStyle name="Lien hypertexte visité" xfId="2643" builtinId="9" hidden="1"/>
    <cellStyle name="Lien hypertexte visité" xfId="3632" builtinId="9" hidden="1"/>
    <cellStyle name="Lien hypertexte visité" xfId="1931" builtinId="9" hidden="1"/>
    <cellStyle name="Lien hypertexte visité" xfId="337" builtinId="9" hidden="1"/>
    <cellStyle name="Lien hypertexte visité" xfId="2075" builtinId="9" hidden="1"/>
    <cellStyle name="Lien hypertexte visité" xfId="3824" builtinId="9" hidden="1"/>
    <cellStyle name="Lien hypertexte visité" xfId="2791" builtinId="9" hidden="1"/>
    <cellStyle name="Lien hypertexte visité" xfId="6953" builtinId="9" hidden="1"/>
    <cellStyle name="Lien hypertexte visité" xfId="7409" builtinId="9" hidden="1"/>
    <cellStyle name="Lien hypertexte visité" xfId="6349" builtinId="9" hidden="1"/>
    <cellStyle name="Lien hypertexte visité" xfId="5285" builtinId="9" hidden="1"/>
    <cellStyle name="Lien hypertexte visité" xfId="4301" builtinId="9" hidden="1"/>
    <cellStyle name="Lien hypertexte visité" xfId="10618" builtinId="9" hidden="1"/>
    <cellStyle name="Lien hypertexte visité" xfId="16983" builtinId="9" hidden="1"/>
    <cellStyle name="Lien hypertexte visité" xfId="14775" builtinId="9" hidden="1"/>
    <cellStyle name="Lien hypertexte visité" xfId="13365" builtinId="9" hidden="1"/>
    <cellStyle name="Lien hypertexte visité" xfId="12117" builtinId="9" hidden="1"/>
    <cellStyle name="Lien hypertexte visité" xfId="10965" builtinId="9" hidden="1"/>
    <cellStyle name="Lien hypertexte visité" xfId="9733" builtinId="9" hidden="1"/>
    <cellStyle name="Lien hypertexte visité" xfId="8501" builtinId="9" hidden="1"/>
    <cellStyle name="Lien hypertexte visité" xfId="7348" builtinId="9" hidden="1"/>
    <cellStyle name="Lien hypertexte visité" xfId="6100" builtinId="9" hidden="1"/>
    <cellStyle name="Lien hypertexte visité" xfId="4820" builtinId="9" hidden="1"/>
    <cellStyle name="Lien hypertexte visité" xfId="3719" builtinId="9" hidden="1"/>
    <cellStyle name="Lien hypertexte visité" xfId="2430" builtinId="9" hidden="1"/>
    <cellStyle name="Lien hypertexte visité" xfId="1197" builtinId="9" hidden="1"/>
    <cellStyle name="Lien hypertexte visité" xfId="1043" builtinId="9" hidden="1"/>
    <cellStyle name="Lien hypertexte visité" xfId="2352" builtinId="9" hidden="1"/>
    <cellStyle name="Lien hypertexte visité" xfId="3585" builtinId="9" hidden="1"/>
    <cellStyle name="Lien hypertexte visité" xfId="4742" builtinId="9" hidden="1"/>
    <cellStyle name="Lien hypertexte visité" xfId="5974" builtinId="9" hidden="1"/>
    <cellStyle name="Lien hypertexte visité" xfId="7254" builtinId="9" hidden="1"/>
    <cellStyle name="Lien hypertexte visité" xfId="8375" builtinId="9" hidden="1"/>
    <cellStyle name="Lien hypertexte visité" xfId="9655" builtinId="9" hidden="1"/>
    <cellStyle name="Lien hypertexte visité" xfId="10887" builtinId="9" hidden="1"/>
    <cellStyle name="Lien hypertexte visité" xfId="12039" builtinId="9" hidden="1"/>
    <cellStyle name="Lien hypertexte visité" xfId="13271" builtinId="9" hidden="1"/>
    <cellStyle name="Lien hypertexte visité" xfId="14523" builtinId="9" hidden="1"/>
    <cellStyle name="Lien hypertexte visité" xfId="16827" builtinId="9" hidden="1"/>
    <cellStyle name="Lien hypertexte visité" xfId="8878" builtinId="9" hidden="1"/>
    <cellStyle name="Lien hypertexte visité" xfId="9730" builtinId="9" hidden="1"/>
    <cellStyle name="Lien hypertexte visité" xfId="10466" builtinId="9" hidden="1"/>
    <cellStyle name="Lien hypertexte visité" xfId="11318" builtinId="9" hidden="1"/>
    <cellStyle name="Lien hypertexte visité" xfId="12150" builtinId="9" hidden="1"/>
    <cellStyle name="Lien hypertexte visité" xfId="12918" builtinId="9" hidden="1"/>
    <cellStyle name="Lien hypertexte visité" xfId="13742" builtinId="9" hidden="1"/>
    <cellStyle name="Lien hypertexte visité" xfId="14609" builtinId="9" hidden="1"/>
    <cellStyle name="Lien hypertexte visité" xfId="16145" builtinId="9" hidden="1"/>
    <cellStyle name="Lien hypertexte visité" xfId="17809" builtinId="9" hidden="1"/>
    <cellStyle name="Lien hypertexte visité" xfId="19496" builtinId="9" hidden="1"/>
    <cellStyle name="Lien hypertexte visité" xfId="20968" builtinId="9" hidden="1"/>
    <cellStyle name="Lien hypertexte visité" xfId="22680" builtinId="9" hidden="1"/>
    <cellStyle name="Lien hypertexte visité" xfId="24320" builtinId="9" hidden="1"/>
    <cellStyle name="Lien hypertexte visité" xfId="23370" builtinId="9" hidden="1"/>
    <cellStyle name="Lien hypertexte visité" xfId="21706" builtinId="9" hidden="1"/>
    <cellStyle name="Lien hypertexte visité" xfId="20066" builtinId="9" hidden="1"/>
    <cellStyle name="Lien hypertexte visité" xfId="18530" builtinId="9" hidden="1"/>
    <cellStyle name="Lien hypertexte visité" xfId="18522" builtinId="9" hidden="1"/>
    <cellStyle name="Lien hypertexte visité" xfId="23642" builtinId="9" hidden="1"/>
    <cellStyle name="Lien hypertexte visité" xfId="21104" builtinId="9" hidden="1"/>
    <cellStyle name="Lien hypertexte visité" xfId="16001" builtinId="9" hidden="1"/>
    <cellStyle name="Lien hypertexte visité" xfId="12794" builtinId="9" hidden="1"/>
    <cellStyle name="Lien hypertexte visité" xfId="13626" builtinId="9" hidden="1"/>
    <cellStyle name="Lien hypertexte visité" xfId="21658" builtinId="9" hidden="1"/>
    <cellStyle name="Lien hypertexte visité" xfId="20786" builtinId="9" hidden="1"/>
    <cellStyle name="Lien hypertexte visité" xfId="23832" builtinId="9" hidden="1"/>
    <cellStyle name="Lien hypertexte visité" xfId="18880" builtinId="9" hidden="1"/>
    <cellStyle name="Lien hypertexte visité" xfId="14146" builtinId="9" hidden="1"/>
    <cellStyle name="Lien hypertexte visité" xfId="11926" builtinId="9" hidden="1"/>
    <cellStyle name="Lien hypertexte visité" xfId="9366" builtinId="9" hidden="1"/>
    <cellStyle name="Lien hypertexte visité" xfId="13927" builtinId="9" hidden="1"/>
    <cellStyle name="Lien hypertexte visité" xfId="10471" builtinId="9" hidden="1"/>
    <cellStyle name="Lien hypertexte visité" xfId="6758" builtinId="9" hidden="1"/>
    <cellStyle name="Lien hypertexte visité" xfId="3040" builtinId="9" hidden="1"/>
    <cellStyle name="Lien hypertexte visité" xfId="1566" builtinId="9" hidden="1"/>
    <cellStyle name="Lien hypertexte visité" xfId="2334" builtinId="9" hidden="1"/>
    <cellStyle name="Lien hypertexte visité" xfId="10087" builtinId="9" hidden="1"/>
    <cellStyle name="Lien hypertexte visité" xfId="11158" builtinId="9" hidden="1"/>
    <cellStyle name="Lien hypertexte visité" xfId="22808" builtinId="9" hidden="1"/>
    <cellStyle name="Lien hypertexte visité" xfId="14394" builtinId="9" hidden="1"/>
    <cellStyle name="Lien hypertexte visité" xfId="19568" builtinId="9" hidden="1"/>
    <cellStyle name="Lien hypertexte visité" xfId="18203" builtinId="9" hidden="1"/>
    <cellStyle name="Lien hypertexte visité" xfId="23202" builtinId="9" hidden="1"/>
    <cellStyle name="Lien hypertexte visité" xfId="21480" builtinId="9" hidden="1"/>
    <cellStyle name="Lien hypertexte visité" xfId="16489" builtinId="9" hidden="1"/>
    <cellStyle name="Lien hypertexte visité" xfId="13006" builtinId="9" hidden="1"/>
    <cellStyle name="Lien hypertexte visité" xfId="10722" builtinId="9" hidden="1"/>
    <cellStyle name="Lien hypertexte visité" xfId="8226" builtinId="9" hidden="1"/>
    <cellStyle name="Lien hypertexte visité" xfId="12167" builtinId="9" hidden="1"/>
    <cellStyle name="Lien hypertexte visité" xfId="8759" builtinId="9" hidden="1"/>
    <cellStyle name="Lien hypertexte visité" xfId="4998" builtinId="9" hidden="1"/>
    <cellStyle name="Lien hypertexte visité" xfId="1231" builtinId="9" hidden="1"/>
    <cellStyle name="Lien hypertexte visité" xfId="3326" builtinId="9" hidden="1"/>
    <cellStyle name="Lien hypertexte visité" xfId="7092" builtinId="9" hidden="1"/>
    <cellStyle name="Lien hypertexte visité" xfId="10837" builtinId="9" hidden="1"/>
    <cellStyle name="Lien hypertexte visité" xfId="14261" builtinId="9" hidden="1"/>
    <cellStyle name="Lien hypertexte visité" xfId="4081" builtinId="9" hidden="1"/>
    <cellStyle name="Lien hypertexte visité" xfId="7297" builtinId="9" hidden="1"/>
    <cellStyle name="Lien hypertexte visité" xfId="3507" builtinId="9" hidden="1"/>
    <cellStyle name="Lien hypertexte visité" xfId="2131" builtinId="9" hidden="1"/>
    <cellStyle name="Lien hypertexte visité" xfId="7305" builtinId="9" hidden="1"/>
    <cellStyle name="Lien hypertexte visité" xfId="5421" builtinId="9" hidden="1"/>
    <cellStyle name="Lien hypertexte visité" xfId="14250" builtinId="9" hidden="1"/>
    <cellStyle name="Lien hypertexte visité" xfId="18818" builtinId="9" hidden="1"/>
    <cellStyle name="Lien hypertexte visité" xfId="23584" builtinId="9" hidden="1"/>
    <cellStyle name="Lien hypertexte visité" xfId="16089" builtinId="9" hidden="1"/>
    <cellStyle name="Lien hypertexte visité" xfId="11550" builtinId="9" hidden="1"/>
    <cellStyle name="Lien hypertexte visité" xfId="17067" builtinId="9" hidden="1"/>
    <cellStyle name="Lien hypertexte visité" xfId="10159" builtinId="9" hidden="1"/>
    <cellStyle name="Lien hypertexte visité" xfId="4526" builtinId="9" hidden="1"/>
    <cellStyle name="Lien hypertexte visité" xfId="2984" builtinId="9" hidden="1"/>
    <cellStyle name="Lien hypertexte visité" xfId="10526" builtinId="9" hidden="1"/>
    <cellStyle name="Lien hypertexte visité" xfId="20866" builtinId="9" hidden="1"/>
    <cellStyle name="Lien hypertexte visité" xfId="7469" builtinId="9" hidden="1"/>
    <cellStyle name="Lien hypertexte visité" xfId="8178" builtinId="9" hidden="1"/>
    <cellStyle name="Lien hypertexte visité" xfId="11861" builtinId="9" hidden="1"/>
    <cellStyle name="Lien hypertexte visité" xfId="719" builtinId="9" hidden="1"/>
    <cellStyle name="Lien hypertexte visité" xfId="11143" builtinId="9" hidden="1"/>
    <cellStyle name="Lien hypertexte visité" xfId="12322" builtinId="9" hidden="1"/>
    <cellStyle name="Lien hypertexte visité" xfId="24562" builtinId="9" hidden="1"/>
    <cellStyle name="Lien hypertexte visité" xfId="12282" builtinId="9" hidden="1"/>
    <cellStyle name="Lien hypertexte visité" xfId="13159" builtinId="9" hidden="1"/>
    <cellStyle name="Lien hypertexte visité" xfId="2016" builtinId="9" hidden="1"/>
    <cellStyle name="Lien hypertexte visité" xfId="12903" builtinId="9" hidden="1"/>
    <cellStyle name="Lien hypertexte visité" xfId="13462" builtinId="9" hidden="1"/>
    <cellStyle name="Lien hypertexte visité" xfId="22154" builtinId="9" hidden="1"/>
    <cellStyle name="Lien hypertexte visité" xfId="12122" builtinId="9" hidden="1"/>
    <cellStyle name="Lien hypertexte visité" xfId="24176" builtinId="9" hidden="1"/>
    <cellStyle name="Lien hypertexte visité" xfId="19618" builtinId="9" hidden="1"/>
    <cellStyle name="Lien hypertexte visité" xfId="24434" builtinId="9" hidden="1"/>
    <cellStyle name="Lien hypertexte visité" xfId="19944" builtinId="9" hidden="1"/>
    <cellStyle name="Lien hypertexte visité" xfId="15081" builtinId="9" hidden="1"/>
    <cellStyle name="Lien hypertexte visité" xfId="12374" builtinId="9" hidden="1"/>
    <cellStyle name="Lien hypertexte visité" xfId="9954" builtinId="9" hidden="1"/>
    <cellStyle name="Lien hypertexte visité" xfId="15195" builtinId="9" hidden="1"/>
    <cellStyle name="Lien hypertexte visité" xfId="11223" builtinId="9" hidden="1"/>
    <cellStyle name="Lien hypertexte visité" xfId="7606" builtinId="9" hidden="1"/>
    <cellStyle name="Lien hypertexte visité" xfId="3926" builtinId="9" hidden="1"/>
    <cellStyle name="Lien hypertexte visité" xfId="527" builtinId="9" hidden="1"/>
    <cellStyle name="Lien hypertexte visité" xfId="4484" builtinId="9" hidden="1"/>
    <cellStyle name="Lien hypertexte visité" xfId="8149" builtinId="9" hidden="1"/>
    <cellStyle name="Lien hypertexte visité" xfId="11781" builtinId="9" hidden="1"/>
    <cellStyle name="Lien hypertexte visité" xfId="16311" builtinId="9" hidden="1"/>
    <cellStyle name="Lien hypertexte visité" xfId="4993" builtinId="9" hidden="1"/>
    <cellStyle name="Lien hypertexte visité" xfId="8102" builtinId="9" hidden="1"/>
    <cellStyle name="Lien hypertexte visité" xfId="1811" builtinId="9" hidden="1"/>
    <cellStyle name="Lien hypertexte visité" xfId="3913" builtinId="9" hidden="1"/>
    <cellStyle name="Lien hypertexte visité" xfId="7541" builtinId="9" hidden="1"/>
    <cellStyle name="Lien hypertexte visité" xfId="4433" builtinId="9" hidden="1"/>
    <cellStyle name="Lien hypertexte visité" xfId="20368" builtinId="9" hidden="1"/>
    <cellStyle name="Lien hypertexte visité" xfId="20690" builtinId="9" hidden="1"/>
    <cellStyle name="Lien hypertexte visité" xfId="21280" builtinId="9" hidden="1"/>
    <cellStyle name="Lien hypertexte visité" xfId="14238" builtinId="9" hidden="1"/>
    <cellStyle name="Lien hypertexte visité" xfId="10610" builtinId="9" hidden="1"/>
    <cellStyle name="Lien hypertexte visité" xfId="14063" builtinId="9" hidden="1"/>
    <cellStyle name="Lien hypertexte visité" xfId="8559" builtinId="9" hidden="1"/>
    <cellStyle name="Lien hypertexte visité" xfId="3112" builtinId="9" hidden="1"/>
    <cellStyle name="Lien hypertexte visité" xfId="3478" builtinId="9" hidden="1"/>
    <cellStyle name="Lien hypertexte visité" xfId="8989" builtinId="9" hidden="1"/>
    <cellStyle name="Lien hypertexte visité" xfId="14429" builtinId="9" hidden="1"/>
    <cellStyle name="Lien hypertexte visité" xfId="24020" builtinId="9" hidden="1"/>
    <cellStyle name="Lien hypertexte visité" xfId="13772" builtinId="9" hidden="1"/>
    <cellStyle name="Lien hypertexte visité" xfId="8332" builtinId="9" hidden="1"/>
    <cellStyle name="Lien hypertexte visité" xfId="2885" builtinId="9" hidden="1"/>
    <cellStyle name="Lien hypertexte visité" xfId="3778" builtinId="9" hidden="1"/>
    <cellStyle name="Lien hypertexte visité" xfId="139" builtinId="9" hidden="1"/>
    <cellStyle name="Lien hypertexte visité" xfId="12837" builtinId="9" hidden="1"/>
    <cellStyle name="Lien hypertexte visité" xfId="8724" builtinId="9" hidden="1"/>
    <cellStyle name="Lien hypertexte visité" xfId="13396" builtinId="9" hidden="1"/>
    <cellStyle name="Lien hypertexte visité" xfId="21636" builtinId="9" hidden="1"/>
    <cellStyle name="Lien hypertexte visité" xfId="24132" builtinId="9" hidden="1"/>
    <cellStyle name="Lien hypertexte visité" xfId="429" builtinId="9" hidden="1"/>
    <cellStyle name="Lien hypertexte visité" xfId="5171" builtinId="9" hidden="1"/>
    <cellStyle name="Lien hypertexte visité" xfId="6871" builtinId="9" hidden="1"/>
    <cellStyle name="Lien hypertexte visité" xfId="6263" builtinId="9" hidden="1"/>
    <cellStyle name="Lien hypertexte visité" xfId="5799" builtinId="9" hidden="1"/>
    <cellStyle name="Lien hypertexte visité" xfId="1420" builtinId="9" hidden="1"/>
    <cellStyle name="Lien hypertexte visité" xfId="14677" builtinId="9" hidden="1"/>
    <cellStyle name="Lien hypertexte visité" xfId="22980" builtinId="9" hidden="1"/>
    <cellStyle name="Lien hypertexte visité" xfId="14068" builtinId="9" hidden="1"/>
    <cellStyle name="Lien hypertexte visité" xfId="9396" builtinId="9" hidden="1"/>
    <cellStyle name="Lien hypertexte visité" xfId="15895" builtinId="9" hidden="1"/>
    <cellStyle name="Lien hypertexte visité" xfId="2336" builtinId="9" hidden="1"/>
    <cellStyle name="Lien hypertexte visité" xfId="10094" builtinId="9" hidden="1"/>
    <cellStyle name="Lien hypertexte visité" xfId="21730" builtinId="9" hidden="1"/>
    <cellStyle name="Lien hypertexte visité" xfId="17473" builtinId="9" hidden="1"/>
    <cellStyle name="Lien hypertexte visité" xfId="19746" builtinId="9" hidden="1"/>
    <cellStyle name="Lien hypertexte visité" xfId="22184" builtinId="9" hidden="1"/>
    <cellStyle name="Lien hypertexte visité" xfId="14929" builtinId="9" hidden="1"/>
    <cellStyle name="Lien hypertexte visité" xfId="11086" builtinId="9" hidden="1"/>
    <cellStyle name="Lien hypertexte visité" xfId="14971" builtinId="9" hidden="1"/>
    <cellStyle name="Lien hypertexte visité" xfId="9287" builtinId="9" hidden="1"/>
    <cellStyle name="Lien hypertexte visité" xfId="3833" builtinId="9" hidden="1"/>
    <cellStyle name="Lien hypertexte visité" xfId="2798" builtinId="9" hidden="1"/>
    <cellStyle name="Lien hypertexte visité" xfId="8261" builtinId="9" hidden="1"/>
    <cellStyle name="Lien hypertexte visité" xfId="13717" builtinId="9" hidden="1"/>
    <cellStyle name="Lien hypertexte visité" xfId="5085" builtinId="9" hidden="1"/>
    <cellStyle name="Lien hypertexte visité" xfId="3083" builtinId="9" hidden="1"/>
    <cellStyle name="Lien hypertexte visité" xfId="3828" builtinId="9" hidden="1"/>
    <cellStyle name="Lien hypertexte visité" xfId="5877" builtinId="9" hidden="1"/>
    <cellStyle name="Lien hypertexte visité" xfId="21008" builtinId="9" hidden="1"/>
    <cellStyle name="Lien hypertexte visité" xfId="24578" builtinId="9" hidden="1"/>
    <cellStyle name="Lien hypertexte visité" xfId="14130" builtinId="9" hidden="1"/>
    <cellStyle name="Lien hypertexte visité" xfId="8670" builtinId="9" hidden="1"/>
    <cellStyle name="Lien hypertexte visité" xfId="8399" builtinId="9" hidden="1"/>
    <cellStyle name="Lien hypertexte visité" xfId="735" builtinId="9" hidden="1"/>
    <cellStyle name="Lien hypertexte visité" xfId="9149" builtinId="9" hidden="1"/>
    <cellStyle name="Lien hypertexte visité" xfId="20150" builtinId="9" hidden="1"/>
    <cellStyle name="Lien hypertexte visité" xfId="13612" builtinId="9" hidden="1"/>
    <cellStyle name="Lien hypertexte visité" xfId="5419" builtinId="9" hidden="1"/>
    <cellStyle name="Lien hypertexte visité" xfId="3935" builtinId="9" hidden="1"/>
    <cellStyle name="Lien hypertexte visité" xfId="2442" builtinId="9" hidden="1"/>
    <cellStyle name="Lien hypertexte visité" xfId="7905" builtinId="9" hidden="1"/>
    <cellStyle name="Lien hypertexte visité" xfId="13369" builtinId="9" hidden="1"/>
    <cellStyle name="Lien hypertexte visité" xfId="23134" builtinId="9" hidden="1"/>
    <cellStyle name="Lien hypertexte visité" xfId="15197" builtinId="9" hidden="1"/>
    <cellStyle name="Lien hypertexte visité" xfId="9392" builtinId="9" hidden="1"/>
    <cellStyle name="Lien hypertexte visité" xfId="16543" builtinId="9" hidden="1"/>
    <cellStyle name="Lien hypertexte visité" xfId="9163" builtinId="9" hidden="1"/>
    <cellStyle name="Lien hypertexte visité" xfId="4482" builtinId="9" hidden="1"/>
    <cellStyle name="Lien hypertexte visité" xfId="8611" builtinId="9" hidden="1"/>
    <cellStyle name="Lien hypertexte visité" xfId="13891" builtinId="9" hidden="1"/>
    <cellStyle name="Lien hypertexte visité" xfId="13067" builtinId="9" hidden="1"/>
    <cellStyle name="Lien hypertexte visité" xfId="12179" builtinId="9" hidden="1"/>
    <cellStyle name="Lien hypertexte visité" xfId="3573" builtinId="9" hidden="1"/>
    <cellStyle name="Lien hypertexte visité" xfId="8259" builtinId="9" hidden="1"/>
    <cellStyle name="Lien hypertexte visité" xfId="16395" builtinId="9" hidden="1"/>
    <cellStyle name="Lien hypertexte visité" xfId="9983" builtinId="9" hidden="1"/>
    <cellStyle name="Lien hypertexte visité" xfId="15769" builtinId="9" hidden="1"/>
    <cellStyle name="Lien hypertexte visité" xfId="17521" builtinId="9" hidden="1"/>
    <cellStyle name="Lien hypertexte visité" xfId="19256" builtinId="9" hidden="1"/>
    <cellStyle name="Lien hypertexte visité" xfId="21000" builtinId="9" hidden="1"/>
    <cellStyle name="Lien hypertexte visité" xfId="22752" builtinId="9" hidden="1"/>
    <cellStyle name="Lien hypertexte visité" xfId="24514" builtinId="9" hidden="1"/>
    <cellStyle name="Lien hypertexte visité" xfId="22762" builtinId="9" hidden="1"/>
    <cellStyle name="Lien hypertexte visité" xfId="21010" builtinId="9" hidden="1"/>
    <cellStyle name="Lien hypertexte visité" xfId="19266" builtinId="9" hidden="1"/>
    <cellStyle name="Lien hypertexte visité" xfId="17531" builtinId="9" hidden="1"/>
    <cellStyle name="Lien hypertexte visité" xfId="22010" builtinId="9" hidden="1"/>
    <cellStyle name="Lien hypertexte visité" xfId="21968" builtinId="9" hidden="1"/>
    <cellStyle name="Lien hypertexte visité" xfId="16225" builtinId="9" hidden="1"/>
    <cellStyle name="Lien hypertexte visité" xfId="12682" builtinId="9" hidden="1"/>
    <cellStyle name="Lien hypertexte visité" xfId="10058" builtinId="9" hidden="1"/>
    <cellStyle name="Lien hypertexte visité" xfId="4149" builtinId="9" hidden="1"/>
    <cellStyle name="Lien hypertexte visité" xfId="4897" builtinId="9" hidden="1"/>
    <cellStyle name="Lien hypertexte visité" xfId="5649" builtinId="9" hidden="1"/>
    <cellStyle name="Lien hypertexte visité" xfId="6397" builtinId="9" hidden="1"/>
    <cellStyle name="Lien hypertexte visité" xfId="7237" builtinId="9" hidden="1"/>
    <cellStyle name="Lien hypertexte visité" xfId="12959" builtinId="9" hidden="1"/>
    <cellStyle name="Lien hypertexte visité" xfId="8351" builtinId="9" hidden="1"/>
    <cellStyle name="Lien hypertexte visité" xfId="3745" builtinId="9" hidden="1"/>
    <cellStyle name="Lien hypertexte visité" xfId="2022" builtinId="9" hidden="1"/>
    <cellStyle name="Lien hypertexte visité" xfId="6636" builtinId="9" hidden="1"/>
    <cellStyle name="Lien hypertexte visité" xfId="11245" builtinId="9" hidden="1"/>
    <cellStyle name="Lien hypertexte visité" xfId="18215" builtinId="9" hidden="1"/>
    <cellStyle name="Lien hypertexte visité" xfId="21812" builtinId="9" hidden="1"/>
    <cellStyle name="Lien hypertexte visité" xfId="13564" builtinId="9" hidden="1"/>
    <cellStyle name="Lien hypertexte visité" xfId="8956" builtinId="9" hidden="1"/>
    <cellStyle name="Lien hypertexte visité" xfId="4347" builtinId="9" hidden="1"/>
    <cellStyle name="Lien hypertexte visité" xfId="1416" builtinId="9" hidden="1"/>
    <cellStyle name="Lien hypertexte visité" xfId="6031" builtinId="9" hidden="1"/>
    <cellStyle name="Lien hypertexte visité" xfId="1786" builtinId="9" hidden="1"/>
    <cellStyle name="Lien hypertexte visité" xfId="4864" builtinId="9" hidden="1"/>
    <cellStyle name="Lien hypertexte visité" xfId="7937" builtinId="9" hidden="1"/>
    <cellStyle name="Lien hypertexte visité" xfId="11009" builtinId="9" hidden="1"/>
    <cellStyle name="Lien hypertexte visité" xfId="14081" builtinId="9" hidden="1"/>
    <cellStyle name="Lien hypertexte visité" xfId="19774" builtinId="9" hidden="1"/>
    <cellStyle name="Lien hypertexte visité" xfId="23308" builtinId="9" hidden="1"/>
    <cellStyle name="Lien hypertexte visité" xfId="16493" builtinId="9" hidden="1"/>
    <cellStyle name="Lien hypertexte visité" xfId="12432" builtinId="9" hidden="1"/>
    <cellStyle name="Lien hypertexte visité" xfId="9360" builtinId="9" hidden="1"/>
    <cellStyle name="Lien hypertexte visité" xfId="18556" builtinId="9" hidden="1"/>
    <cellStyle name="Lien hypertexte visité" xfId="13385" builtinId="9" hidden="1"/>
    <cellStyle name="Lien hypertexte visité" xfId="7112" builtinId="9" hidden="1"/>
    <cellStyle name="Lien hypertexte visité" xfId="10185" builtinId="9" hidden="1"/>
    <cellStyle name="Lien hypertexte visité" xfId="13577" builtinId="9" hidden="1"/>
    <cellStyle name="Lien hypertexte visité" xfId="18766" builtinId="9" hidden="1"/>
    <cellStyle name="Lien hypertexte visité" xfId="24316" builtinId="9" hidden="1"/>
    <cellStyle name="Lien hypertexte visité" xfId="18189" builtinId="9" hidden="1"/>
    <cellStyle name="Lien hypertexte visité" xfId="13280" builtinId="9" hidden="1"/>
    <cellStyle name="Lien hypertexte visité" xfId="10208" builtinId="9" hidden="1"/>
    <cellStyle name="Lien hypertexte visité" xfId="9424" builtinId="9" hidden="1"/>
    <cellStyle name="Lien hypertexte visité" xfId="10576" builtinId="9" hidden="1"/>
    <cellStyle name="Lien hypertexte visité" xfId="11600" builtinId="9" hidden="1"/>
    <cellStyle name="Lien hypertexte visité" xfId="12624" builtinId="9" hidden="1"/>
    <cellStyle name="Lien hypertexte visité" xfId="13648" builtinId="9" hidden="1"/>
    <cellStyle name="Lien hypertexte visité" xfId="14829" builtinId="9" hidden="1"/>
    <cellStyle name="Lien hypertexte visité" xfId="16877" builtinId="9" hidden="1"/>
    <cellStyle name="Lien hypertexte visité" xfId="18908" builtinId="9" hidden="1"/>
    <cellStyle name="Lien hypertexte visité" xfId="21164" builtinId="9" hidden="1"/>
    <cellStyle name="Lien hypertexte visité" xfId="23212" builtinId="9" hidden="1"/>
    <cellStyle name="Lien hypertexte visité" xfId="23966" builtinId="9" hidden="1"/>
    <cellStyle name="Lien hypertexte visité" xfId="21918" builtinId="9" hidden="1"/>
    <cellStyle name="Lien hypertexte visité" xfId="19870" builtinId="9" hidden="1"/>
    <cellStyle name="Lien hypertexte visité" xfId="17839" builtinId="9" hidden="1"/>
    <cellStyle name="Lien hypertexte visité" xfId="15791" builtinId="9" hidden="1"/>
    <cellStyle name="Lien hypertexte visité" xfId="14017" builtinId="9" hidden="1"/>
    <cellStyle name="Lien hypertexte visité" xfId="12993" builtinId="9" hidden="1"/>
    <cellStyle name="Lien hypertexte visité" xfId="11969" builtinId="9" hidden="1"/>
    <cellStyle name="Lien hypertexte visité" xfId="10945" builtinId="9" hidden="1"/>
    <cellStyle name="Lien hypertexte visité" xfId="9921" builtinId="9" hidden="1"/>
    <cellStyle name="Lien hypertexte visité" xfId="8897" builtinId="9" hidden="1"/>
    <cellStyle name="Lien hypertexte visité" xfId="7873" builtinId="9" hidden="1"/>
    <cellStyle name="Lien hypertexte visité" xfId="6720" builtinId="9" hidden="1"/>
    <cellStyle name="Lien hypertexte visité" xfId="5696" builtinId="9" hidden="1"/>
    <cellStyle name="Lien hypertexte visité" xfId="4672" builtinId="9" hidden="1"/>
    <cellStyle name="Lien hypertexte visité" xfId="3643" builtinId="9" hidden="1"/>
    <cellStyle name="Lien hypertexte visité" xfId="2618" builtinId="9" hidden="1"/>
    <cellStyle name="Lien hypertexte visité" xfId="1594" builtinId="9" hidden="1"/>
    <cellStyle name="Lien hypertexte visité" xfId="57" builtinId="9" hidden="1"/>
    <cellStyle name="Lien hypertexte visité" xfId="7631" builtinId="9" hidden="1"/>
    <cellStyle name="Lien hypertexte visité" xfId="6095" builtinId="9" hidden="1"/>
    <cellStyle name="Lien hypertexte visité" xfId="4559" builtinId="9" hidden="1"/>
    <cellStyle name="Lien hypertexte visité" xfId="3017" builtinId="9" hidden="1"/>
    <cellStyle name="Lien hypertexte visité" xfId="1480" builtinId="9" hidden="1"/>
    <cellStyle name="Lien hypertexte visité" xfId="1204" builtinId="9" hidden="1"/>
    <cellStyle name="Lien hypertexte visité" xfId="2741" builtinId="9" hidden="1"/>
    <cellStyle name="Lien hypertexte visité" xfId="4443" builtinId="9" hidden="1"/>
    <cellStyle name="Lien hypertexte visité" xfId="5979" builtinId="9" hidden="1"/>
    <cellStyle name="Lien hypertexte visité" xfId="7515" builtinId="9" hidden="1"/>
    <cellStyle name="Lien hypertexte visité" xfId="9052" builtinId="9" hidden="1"/>
    <cellStyle name="Lien hypertexte visité" xfId="10588" builtinId="9" hidden="1"/>
    <cellStyle name="Lien hypertexte visité" xfId="12124" builtinId="9" hidden="1"/>
    <cellStyle name="Lien hypertexte visité" xfId="13660" builtinId="9" hidden="1"/>
    <cellStyle name="Lien hypertexte visité" xfId="16261" builtinId="9" hidden="1"/>
    <cellStyle name="Lien hypertexte visité" xfId="19316" builtinId="9" hidden="1"/>
    <cellStyle name="Lien hypertexte visité" xfId="22388" builtinId="9" hidden="1"/>
    <cellStyle name="Lien hypertexte visité" xfId="23766" builtinId="9" hidden="1"/>
    <cellStyle name="Lien hypertexte visité" xfId="20694" builtinId="9" hidden="1"/>
    <cellStyle name="Lien hypertexte visité" xfId="17639" builtinId="9" hidden="1"/>
    <cellStyle name="Lien hypertexte visité" xfId="14567" builtinId="9" hidden="1"/>
    <cellStyle name="Lien hypertexte visité" xfId="12845" builtinId="9" hidden="1"/>
    <cellStyle name="Lien hypertexte visité" xfId="11309" builtinId="9" hidden="1"/>
    <cellStyle name="Lien hypertexte visité" xfId="9773" builtinId="9" hidden="1"/>
    <cellStyle name="Lien hypertexte visité" xfId="8237" builtinId="9" hidden="1"/>
    <cellStyle name="Lien hypertexte visité" xfId="6700" builtinId="9" hidden="1"/>
    <cellStyle name="Lien hypertexte visité" xfId="5164" builtinId="9" hidden="1"/>
    <cellStyle name="Lien hypertexte visité" xfId="3623" builtinId="9" hidden="1"/>
    <cellStyle name="Lien hypertexte visité" xfId="1926" builtinId="9" hidden="1"/>
    <cellStyle name="Lien hypertexte visité" xfId="355" builtinId="9" hidden="1"/>
    <cellStyle name="Lien hypertexte visité" xfId="2296" builtinId="9" hidden="1"/>
    <cellStyle name="Lien hypertexte visité" xfId="3841" builtinId="9" hidden="1"/>
    <cellStyle name="Lien hypertexte visité" xfId="5374" builtinId="9" hidden="1"/>
    <cellStyle name="Lien hypertexte visité" xfId="6910" builtinId="9" hidden="1"/>
    <cellStyle name="Lien hypertexte visité" xfId="8447" builtinId="9" hidden="1"/>
    <cellStyle name="Lien hypertexte visité" xfId="3160" builtinId="9" hidden="1"/>
    <cellStyle name="Lien hypertexte visité" xfId="8909" builtinId="9" hidden="1"/>
    <cellStyle name="Lien hypertexte visité" xfId="24052" builtinId="9" hidden="1"/>
    <cellStyle name="Lien hypertexte visité" xfId="8380" builtinId="9" hidden="1"/>
    <cellStyle name="Lien hypertexte visité" xfId="3698" builtinId="9" hidden="1"/>
    <cellStyle name="Lien hypertexte visité" xfId="4120" builtinId="9" hidden="1"/>
    <cellStyle name="Lien hypertexte visité" xfId="11393" builtinId="9" hidden="1"/>
    <cellStyle name="Lien hypertexte visité" xfId="22814" builtinId="9" hidden="1"/>
    <cellStyle name="Lien hypertexte visité" xfId="13176" builtinId="9" hidden="1"/>
    <cellStyle name="Lien hypertexte visité" xfId="20860" builtinId="9" hidden="1"/>
    <cellStyle name="Lien hypertexte visité" xfId="12448" builtinId="9" hidden="1"/>
    <cellStyle name="Lien hypertexte visité" xfId="9649" builtinId="9" hidden="1"/>
    <cellStyle name="Lien hypertexte visité" xfId="11004" builtinId="9" hidden="1"/>
    <cellStyle name="Lien hypertexte visité" xfId="5790" builtinId="9" hidden="1"/>
    <cellStyle name="Lien hypertexte visité" xfId="8586" builtinId="9" hidden="1"/>
    <cellStyle name="Lien hypertexte visité" xfId="20034" builtinId="9" hidden="1"/>
    <cellStyle name="Lien hypertexte visité" xfId="16713" builtinId="9" hidden="1"/>
    <cellStyle name="Lien hypertexte visité" xfId="3263" builtinId="9" hidden="1"/>
    <cellStyle name="Lien hypertexte visité" xfId="2599" builtinId="9" hidden="1"/>
    <cellStyle name="Lien hypertexte visité" xfId="5321" builtinId="9" hidden="1"/>
    <cellStyle name="Lien hypertexte visité" xfId="7934" builtinId="9" hidden="1"/>
    <cellStyle name="Lien hypertexte visité" xfId="7293" builtinId="9" hidden="1"/>
    <cellStyle name="Lien hypertexte visité" xfId="6485" builtinId="9" hidden="1"/>
    <cellStyle name="Lien hypertexte visité" xfId="7181" builtinId="9" hidden="1"/>
    <cellStyle name="Lien hypertexte visité" xfId="7781" builtinId="9" hidden="1"/>
    <cellStyle name="Lien hypertexte visité" xfId="6505" builtinId="9" hidden="1"/>
    <cellStyle name="Lien hypertexte visité" xfId="2423" builtinId="9" hidden="1"/>
    <cellStyle name="Lien hypertexte visité" xfId="3055" builtinId="9" hidden="1"/>
    <cellStyle name="Lien hypertexte visité" xfId="4985" builtinId="9" hidden="1"/>
    <cellStyle name="Lien hypertexte visité" xfId="5661" builtinId="9" hidden="1"/>
    <cellStyle name="Lien hypertexte visité" xfId="6245" builtinId="9" hidden="1"/>
    <cellStyle name="Lien hypertexte visité" xfId="4381" builtinId="9" hidden="1"/>
    <cellStyle name="Lien hypertexte visité" xfId="8858" builtinId="9" hidden="1"/>
    <cellStyle name="Lien hypertexte visité" xfId="10714" builtinId="9" hidden="1"/>
    <cellStyle name="Lien hypertexte visité" xfId="9562" builtinId="9" hidden="1"/>
    <cellStyle name="Lien hypertexte visité" xfId="4109" builtinId="9" hidden="1"/>
    <cellStyle name="Lien hypertexte visité" xfId="6045" builtinId="9" hidden="1"/>
    <cellStyle name="Lien hypertexte visité" xfId="5369" builtinId="9" hidden="1"/>
    <cellStyle name="Lien hypertexte visité" xfId="4709" builtinId="9" hidden="1"/>
    <cellStyle name="Lien hypertexte visité" xfId="2783" builtinId="9" hidden="1"/>
    <cellStyle name="Lien hypertexte visité" xfId="4329" builtinId="9" hidden="1"/>
    <cellStyle name="Lien hypertexte visité" xfId="8166" builtinId="9" hidden="1"/>
    <cellStyle name="Lien hypertexte visité" xfId="7489" builtinId="9" hidden="1"/>
    <cellStyle name="Lien hypertexte visité" xfId="6885" builtinId="9" hidden="1"/>
    <cellStyle name="Lien hypertexte visité" xfId="377" builtinId="9" hidden="1"/>
    <cellStyle name="Lien hypertexte visité" xfId="7513" builtinId="9" hidden="1"/>
    <cellStyle name="Lien hypertexte visité" xfId="8138" builtinId="9" hidden="1"/>
    <cellStyle name="Lien hypertexte visité" xfId="2223" builtinId="9" hidden="1"/>
    <cellStyle name="Lien hypertexte visité" xfId="2871" builtinId="9" hidden="1"/>
    <cellStyle name="Lien hypertexte visité" xfId="3451" builtinId="9" hidden="1"/>
    <cellStyle name="Lien hypertexte visité" xfId="1511" builtinId="9" hidden="1"/>
    <cellStyle name="Lien hypertexte visité" xfId="2071" builtinId="9" hidden="1"/>
    <cellStyle name="Lien hypertexte visité" xfId="769" builtinId="9" hidden="1"/>
    <cellStyle name="Lien hypertexte visité" xfId="601" builtinId="9" hidden="1"/>
    <cellStyle name="Lien hypertexte visité" xfId="2051" builtinId="9" hidden="1"/>
    <cellStyle name="Lien hypertexte visité" xfId="2307" builtinId="9" hidden="1"/>
    <cellStyle name="Lien hypertexte visité" xfId="3447" builtinId="9" hidden="1"/>
    <cellStyle name="Lien hypertexte visité" xfId="8650" builtinId="9" hidden="1"/>
    <cellStyle name="Lien hypertexte visité" xfId="18498" builtinId="9" hidden="1"/>
    <cellStyle name="Lien hypertexte visité" xfId="18440" builtinId="9" hidden="1"/>
    <cellStyle name="Lien hypertexte visité" xfId="11026" builtinId="9" hidden="1"/>
    <cellStyle name="Lien hypertexte visité" xfId="9874" builtinId="9" hidden="1"/>
    <cellStyle name="Lien hypertexte visité" xfId="10642" builtinId="9" hidden="1"/>
    <cellStyle name="Lien hypertexte visité" xfId="11518" builtinId="9" hidden="1"/>
    <cellStyle name="Lien hypertexte visité" xfId="12306" builtinId="9" hidden="1"/>
    <cellStyle name="Lien hypertexte visité" xfId="13182" builtinId="9" hidden="1"/>
    <cellStyle name="Lien hypertexte visité" xfId="13970" builtinId="9" hidden="1"/>
    <cellStyle name="Lien hypertexte visité" xfId="23904" builtinId="9" hidden="1"/>
    <cellStyle name="Lien hypertexte visité" xfId="6501" builtinId="9" hidden="1"/>
    <cellStyle name="Lien hypertexte visité" xfId="5349" builtinId="9" hidden="1"/>
    <cellStyle name="Lien hypertexte visité" xfId="23392" builtinId="9" hidden="1"/>
    <cellStyle name="Lien hypertexte visité" xfId="21816" builtinId="9" hidden="1"/>
    <cellStyle name="Lien hypertexte visité" xfId="20064" builtinId="9" hidden="1"/>
    <cellStyle name="Lien hypertexte visité" xfId="18528" builtinId="9" hidden="1"/>
    <cellStyle name="Lien hypertexte visité" xfId="16969" builtinId="9" hidden="1"/>
    <cellStyle name="Lien hypertexte visité" xfId="15433" builtinId="9" hidden="1"/>
    <cellStyle name="Lien hypertexte visité" xfId="14078" builtinId="9" hidden="1"/>
    <cellStyle name="Lien hypertexte visité" xfId="13310" builtinId="9" hidden="1"/>
    <cellStyle name="Lien hypertexte visité" xfId="12518" builtinId="9" hidden="1"/>
    <cellStyle name="Lien hypertexte visité" xfId="11646" builtinId="9" hidden="1"/>
    <cellStyle name="Lien hypertexte visité" xfId="10878" builtinId="9" hidden="1"/>
    <cellStyle name="Lien hypertexte visité" xfId="10086" builtinId="9" hidden="1"/>
    <cellStyle name="Lien hypertexte visité" xfId="9298" builtinId="9" hidden="1"/>
    <cellStyle name="Lien hypertexte visité" xfId="15385" builtinId="9" hidden="1"/>
    <cellStyle name="Lien hypertexte visité" xfId="22930" builtinId="9" hidden="1"/>
    <cellStyle name="Lien hypertexte visité" xfId="16097" builtinId="9" hidden="1"/>
    <cellStyle name="Lien hypertexte visité" xfId="6581" builtinId="9" hidden="1"/>
    <cellStyle name="Lien hypertexte visité" xfId="3800" builtinId="9" hidden="1"/>
    <cellStyle name="Lien hypertexte visité" xfId="1755" builtinId="9" hidden="1"/>
    <cellStyle name="Lien hypertexte visité" xfId="1121" builtinId="9" hidden="1"/>
    <cellStyle name="Lien hypertexte visité" xfId="577" builtinId="9" hidden="1"/>
    <cellStyle name="Lien hypertexte visité" xfId="1262" builtinId="9" hidden="1"/>
    <cellStyle name="Lien hypertexte visité" xfId="1875" builtinId="9" hidden="1"/>
    <cellStyle name="Lien hypertexte visité" xfId="1156" builtinId="9" hidden="1"/>
    <cellStyle name="Lien hypertexte visité" xfId="21432" builtinId="9" hidden="1"/>
    <cellStyle name="Lien hypertexte visité" xfId="10890" builtinId="9" hidden="1"/>
    <cellStyle name="Lien hypertexte visité" xfId="13194" builtinId="9" hidden="1"/>
    <cellStyle name="Lien hypertexte visité" xfId="16609" builtinId="9" hidden="1"/>
    <cellStyle name="Lien hypertexte visité" xfId="21328" builtinId="9" hidden="1"/>
    <cellStyle name="Lien hypertexte visité" xfId="22650" builtinId="9" hidden="1"/>
    <cellStyle name="Lien hypertexte visité" xfId="18059" builtinId="9" hidden="1"/>
    <cellStyle name="Lien hypertexte visité" xfId="18626" builtinId="9" hidden="1"/>
    <cellStyle name="Lien hypertexte visité" xfId="20162" builtinId="9" hidden="1"/>
    <cellStyle name="Lien hypertexte visité" xfId="21738" builtinId="9" hidden="1"/>
    <cellStyle name="Lien hypertexte visité" xfId="23314" builtinId="9" hidden="1"/>
    <cellStyle name="Lien hypertexte visité" xfId="24376" builtinId="9" hidden="1"/>
    <cellStyle name="Lien hypertexte visité" xfId="9234" builtinId="9" hidden="1"/>
    <cellStyle name="Lien hypertexte visité" xfId="6597" builtinId="9" hidden="1"/>
    <cellStyle name="Lien hypertexte visité" xfId="5921" builtinId="9" hidden="1"/>
    <cellStyle name="Lien hypertexte visité" xfId="5245" builtinId="9" hidden="1"/>
    <cellStyle name="Lien hypertexte visité" xfId="4589" builtinId="9" hidden="1"/>
    <cellStyle name="Lien hypertexte visité" xfId="8266" builtinId="9" hidden="1"/>
    <cellStyle name="Lien hypertexte visité" xfId="7710" builtinId="9" hidden="1"/>
    <cellStyle name="Lien hypertexte visité" xfId="11807" builtinId="9" hidden="1"/>
    <cellStyle name="Lien hypertexte visité" xfId="2151" builtinId="9" hidden="1"/>
    <cellStyle name="Lien hypertexte visité" xfId="3096" builtinId="9" hidden="1"/>
    <cellStyle name="Lien hypertexte visité" xfId="2662" builtinId="9" hidden="1"/>
    <cellStyle name="Lien hypertexte visité" xfId="5740" builtinId="9" hidden="1"/>
    <cellStyle name="Lien hypertexte visité" xfId="5228" builtinId="9" hidden="1"/>
    <cellStyle name="Lien hypertexte visité" xfId="105" builtinId="9" hidden="1"/>
    <cellStyle name="Lien hypertexte visité" xfId="13343" builtinId="9" hidden="1"/>
    <cellStyle name="Lien hypertexte visité" xfId="9247" builtinId="9" hidden="1"/>
    <cellStyle name="Lien hypertexte visité" xfId="5150" builtinId="9" hidden="1"/>
    <cellStyle name="Lien hypertexte visité" xfId="4333" builtinId="9" hidden="1"/>
    <cellStyle name="Lien hypertexte visité" xfId="5009" builtinId="9" hidden="1"/>
    <cellStyle name="Lien hypertexte visité" xfId="5665" builtinId="9" hidden="1"/>
    <cellStyle name="Lien hypertexte visité" xfId="6341" builtinId="9" hidden="1"/>
    <cellStyle name="Lien hypertexte visité" xfId="7001" builtinId="9" hidden="1"/>
    <cellStyle name="Lien hypertexte visité" xfId="23776" builtinId="9" hidden="1"/>
    <cellStyle name="Lien hypertexte visité" xfId="23874" builtinId="9" hidden="1"/>
    <cellStyle name="Lien hypertexte visité" xfId="22338" builtinId="9" hidden="1"/>
    <cellStyle name="Lien hypertexte visité" xfId="20754" builtinId="9" hidden="1"/>
    <cellStyle name="Lien hypertexte visité" xfId="19218" builtinId="9" hidden="1"/>
    <cellStyle name="Lien hypertexte visité" xfId="17659" builtinId="9" hidden="1"/>
    <cellStyle name="Lien hypertexte visité" xfId="20986" builtinId="9" hidden="1"/>
    <cellStyle name="Lien hypertexte visité" xfId="22992" builtinId="9" hidden="1"/>
    <cellStyle name="Lien hypertexte visité" xfId="18384" builtinId="9" hidden="1"/>
    <cellStyle name="Lien hypertexte visité" xfId="14090" builtinId="9" hidden="1"/>
    <cellStyle name="Lien hypertexte visité" xfId="11786" builtinId="9" hidden="1"/>
    <cellStyle name="Lien hypertexte visité" xfId="9418" builtinId="9" hidden="1"/>
    <cellStyle name="Lien hypertexte visité" xfId="801" builtinId="9" hidden="1"/>
    <cellStyle name="Lien hypertexte visité" xfId="1659" builtinId="9" hidden="1"/>
    <cellStyle name="Lien hypertexte visité" xfId="1731" builtinId="9" hidden="1"/>
    <cellStyle name="Lien hypertexte visité" xfId="553" builtinId="9" hidden="1"/>
    <cellStyle name="Lien hypertexte visité" xfId="1354" builtinId="9" hidden="1"/>
    <cellStyle name="Lien hypertexte visité" xfId="1967" builtinId="9" hidden="1"/>
    <cellStyle name="Lien hypertexte visité" xfId="2563" builtinId="9" hidden="1"/>
    <cellStyle name="Lien hypertexte visité" xfId="3347" builtinId="9" hidden="1"/>
    <cellStyle name="Lien hypertexte visité" xfId="9162" builtinId="9" hidden="1"/>
    <cellStyle name="Lien hypertexte visité" xfId="18834" builtinId="9" hidden="1"/>
    <cellStyle name="Lien hypertexte visité" xfId="19464" builtinId="9" hidden="1"/>
    <cellStyle name="Lien hypertexte visité" xfId="10854" builtinId="9" hidden="1"/>
    <cellStyle name="Lien hypertexte visité" xfId="9790" builtinId="9" hidden="1"/>
    <cellStyle name="Lien hypertexte visité" xfId="10578" builtinId="9" hidden="1"/>
    <cellStyle name="Lien hypertexte visité" xfId="11346" builtinId="9" hidden="1"/>
    <cellStyle name="Lien hypertexte visité" xfId="12242" builtinId="9" hidden="1"/>
    <cellStyle name="Lien hypertexte visité" xfId="13010" builtinId="9" hidden="1"/>
    <cellStyle name="Lien hypertexte visité" xfId="13798" builtinId="9" hidden="1"/>
    <cellStyle name="Lien hypertexte visité" xfId="14617" builtinId="9" hidden="1"/>
    <cellStyle name="Lien hypertexte visité" xfId="16369" builtinId="9" hidden="1"/>
    <cellStyle name="Lien hypertexte visité" xfId="17945" builtinId="9" hidden="1"/>
    <cellStyle name="Lien hypertexte visité" xfId="19512" builtinId="9" hidden="1"/>
    <cellStyle name="Lien hypertexte visité" xfId="21048" builtinId="9" hidden="1"/>
    <cellStyle name="Lien hypertexte visité" xfId="22792" builtinId="9" hidden="1"/>
    <cellStyle name="Lien hypertexte visité" xfId="7089" builtinId="9" hidden="1"/>
    <cellStyle name="Lien hypertexte visité" xfId="4785" builtinId="9" hidden="1"/>
    <cellStyle name="Lien hypertexte visité" xfId="761" builtinId="9" hidden="1"/>
    <cellStyle name="Lien hypertexte visité" xfId="14354" builtinId="9" hidden="1"/>
    <cellStyle name="Lien hypertexte visité" xfId="13478" builtinId="9" hidden="1"/>
    <cellStyle name="Lien hypertexte visité" xfId="12690" builtinId="9" hidden="1"/>
    <cellStyle name="Lien hypertexte visité" xfId="11814" builtinId="9" hidden="1"/>
    <cellStyle name="Lien hypertexte visité" xfId="11046" builtinId="9" hidden="1"/>
    <cellStyle name="Lien hypertexte visité" xfId="10150" builtinId="9" hidden="1"/>
    <cellStyle name="Lien hypertexte visité" xfId="9278" builtinId="9" hidden="1"/>
    <cellStyle name="Lien hypertexte visité" xfId="14438" builtinId="9" hidden="1"/>
    <cellStyle name="Lien hypertexte visité" xfId="22594" builtinId="9" hidden="1"/>
    <cellStyle name="Lien hypertexte visité" xfId="15073" builtinId="9" hidden="1"/>
    <cellStyle name="Lien hypertexte visité" xfId="3227" builtinId="9" hidden="1"/>
    <cellStyle name="Lien hypertexte visité" xfId="3816" builtinId="9" hidden="1"/>
    <cellStyle name="Lien hypertexte visité" xfId="1835" builtinId="9" hidden="1"/>
    <cellStyle name="Lien hypertexte visité" xfId="1242" builtinId="9" hidden="1"/>
    <cellStyle name="Lien hypertexte visité" xfId="385" builtinId="9" hidden="1"/>
    <cellStyle name="Lien hypertexte visité" xfId="1178" builtinId="9" hidden="1"/>
    <cellStyle name="Lien hypertexte visité" xfId="1707" builtinId="9" hidden="1"/>
    <cellStyle name="Lien hypertexte visité" xfId="3752" builtinId="9" hidden="1"/>
    <cellStyle name="Lien hypertexte visité" xfId="3095" builtinId="9" hidden="1"/>
    <cellStyle name="Lien hypertexte visité" xfId="2515" builtinId="9" hidden="1"/>
    <cellStyle name="Lien hypertexte visité" xfId="6601" builtinId="9" hidden="1"/>
    <cellStyle name="Lien hypertexte visité" xfId="7749" builtinId="9" hidden="1"/>
    <cellStyle name="Lien hypertexte visité" xfId="2427" builtinId="9" hidden="1"/>
    <cellStyle name="Lien hypertexte visité" xfId="6669" builtinId="9" hidden="1"/>
    <cellStyle name="Lien hypertexte visité" xfId="7269" builtinId="9" hidden="1"/>
    <cellStyle name="Lien hypertexte visité" xfId="7950" builtinId="9" hidden="1"/>
    <cellStyle name="Lien hypertexte visité" xfId="5865" builtinId="9" hidden="1"/>
    <cellStyle name="Lien hypertexte visité" xfId="2579" builtinId="9" hidden="1"/>
    <cellStyle name="Lien hypertexte visité" xfId="3143" builtinId="9" hidden="1"/>
    <cellStyle name="Lien hypertexte visité" xfId="5149" builtinId="9" hidden="1"/>
    <cellStyle name="Lien hypertexte visité" xfId="5753" builtinId="9" hidden="1"/>
    <cellStyle name="Lien hypertexte visité" xfId="8346" builtinId="9" hidden="1"/>
    <cellStyle name="Lien hypertexte visité" xfId="4473" builtinId="9" hidden="1"/>
    <cellStyle name="Lien hypertexte visité" xfId="10394" builtinId="9" hidden="1"/>
    <cellStyle name="Lien hypertexte visité" xfId="9946" builtinId="9" hidden="1"/>
    <cellStyle name="Lien hypertexte visité" xfId="4601" builtinId="9" hidden="1"/>
    <cellStyle name="Lien hypertexte visité" xfId="3941" builtinId="9" hidden="1"/>
    <cellStyle name="Lien hypertexte visité" xfId="5881" builtinId="9" hidden="1"/>
    <cellStyle name="Lien hypertexte visité" xfId="5205" builtinId="9" hidden="1"/>
    <cellStyle name="Lien hypertexte visité" xfId="7401" builtinId="9" hidden="1"/>
    <cellStyle name="Lien hypertexte visité" xfId="2631" builtinId="9" hidden="1"/>
    <cellStyle name="Lien hypertexte visité" xfId="4969" builtinId="9" hidden="1"/>
    <cellStyle name="Lien hypertexte visité" xfId="8002" builtinId="9" hidden="1"/>
    <cellStyle name="Lien hypertexte visité" xfId="7397" builtinId="9" hidden="1"/>
    <cellStyle name="Lien hypertexte visité" xfId="6721" builtinId="9" hidden="1"/>
    <cellStyle name="Lien hypertexte visité" xfId="1723" builtinId="9" hidden="1"/>
    <cellStyle name="Lien hypertexte visité" xfId="7697" builtinId="9" hidden="1"/>
    <cellStyle name="Lien hypertexte visité" xfId="7497" builtinId="9" hidden="1"/>
    <cellStyle name="Lien hypertexte visité" xfId="2379" builtinId="9" hidden="1"/>
    <cellStyle name="Lien hypertexte visité" xfId="2959" builtinId="9" hidden="1"/>
    <cellStyle name="Lien hypertexte visité" xfId="3624" builtinId="9" hidden="1"/>
    <cellStyle name="Lien hypertexte visité" xfId="24504" builtinId="9" hidden="1"/>
    <cellStyle name="Lien hypertexte visité" xfId="16737" builtinId="9" hidden="1"/>
    <cellStyle name="Lien hypertexte visité" xfId="7149" builtinId="9" hidden="1"/>
    <cellStyle name="Lien hypertexte visité" xfId="17191" builtinId="9" hidden="1"/>
    <cellStyle name="Lien hypertexte visité" xfId="1449" builtinId="9" hidden="1"/>
    <cellStyle name="Lien hypertexte visité" xfId="17181" builtinId="9" hidden="1"/>
    <cellStyle name="Lien hypertexte visité" xfId="13257" builtinId="9" hidden="1"/>
    <cellStyle name="Lien hypertexte visité" xfId="10448" builtinId="9" hidden="1"/>
    <cellStyle name="Lien hypertexte visité" xfId="20956" builtinId="9" hidden="1"/>
    <cellStyle name="Lien hypertexte visité" xfId="14129" builtinId="9" hidden="1"/>
    <cellStyle name="Lien hypertexte visité" xfId="6848" builtinId="9" hidden="1"/>
    <cellStyle name="Lien hypertexte visité" xfId="7791" builtinId="9" hidden="1"/>
    <cellStyle name="Lien hypertexte visité" xfId="4283" builtinId="9" hidden="1"/>
    <cellStyle name="Lien hypertexte visité" xfId="15877" builtinId="9" hidden="1"/>
    <cellStyle name="Lien hypertexte visité" xfId="13005" builtinId="9" hidden="1"/>
    <cellStyle name="Lien hypertexte visité" xfId="2086" builtinId="9" hidden="1"/>
    <cellStyle name="Lien hypertexte visité" xfId="9151" builtinId="9" hidden="1"/>
    <cellStyle name="Lien hypertexte visité" xfId="7614" builtinId="9" hidden="1"/>
    <cellStyle name="Lien hypertexte visité" xfId="6078" builtinId="9" hidden="1"/>
    <cellStyle name="Lien hypertexte visité" xfId="4350" builtinId="9" hidden="1"/>
    <cellStyle name="Lien hypertexte visité" xfId="2808" builtinId="9" hidden="1"/>
    <cellStyle name="Lien hypertexte visité" xfId="1271" builtinId="9" hidden="1"/>
    <cellStyle name="Lien hypertexte visité" xfId="1413" builtinId="9" hidden="1"/>
    <cellStyle name="Lien hypertexte visité" xfId="2950" builtinId="9" hidden="1"/>
    <cellStyle name="Lien hypertexte visité" xfId="4492" builtinId="9" hidden="1"/>
    <cellStyle name="Lien hypertexte visité" xfId="6028" builtinId="9" hidden="1"/>
    <cellStyle name="Lien hypertexte visité" xfId="7724" builtinId="9" hidden="1"/>
    <cellStyle name="Lien hypertexte visité" xfId="9261" builtinId="9" hidden="1"/>
    <cellStyle name="Lien hypertexte visité" xfId="10797" builtinId="9" hidden="1"/>
    <cellStyle name="Lien hypertexte visité" xfId="12333" builtinId="9" hidden="1"/>
    <cellStyle name="Lien hypertexte visité" xfId="13869" builtinId="9" hidden="1"/>
    <cellStyle name="Lien hypertexte visité" xfId="16295" builtinId="9" hidden="1"/>
    <cellStyle name="Lien hypertexte visité" xfId="19350" builtinId="9" hidden="1"/>
    <cellStyle name="Lien hypertexte visité" xfId="22742" builtinId="9" hidden="1"/>
    <cellStyle name="Lien hypertexte visité" xfId="23412" builtinId="9" hidden="1"/>
    <cellStyle name="Lien hypertexte visité" xfId="20340" builtinId="9" hidden="1"/>
    <cellStyle name="Lien hypertexte visité" xfId="17285" builtinId="9" hidden="1"/>
    <cellStyle name="Lien hypertexte visité" xfId="14364" builtinId="9" hidden="1"/>
    <cellStyle name="Lien hypertexte visité" xfId="12828" builtinId="9" hidden="1"/>
    <cellStyle name="Lien hypertexte visité" xfId="11292" builtinId="9" hidden="1"/>
    <cellStyle name="Lien hypertexte visité" xfId="9564" builtinId="9" hidden="1"/>
    <cellStyle name="Lien hypertexte visité" xfId="8028" builtinId="9" hidden="1"/>
    <cellStyle name="Lien hypertexte visité" xfId="6491" builtinId="9" hidden="1"/>
    <cellStyle name="Lien hypertexte visité" xfId="4955" builtinId="9" hidden="1"/>
    <cellStyle name="Lien hypertexte visité" xfId="3413" builtinId="9" hidden="1"/>
    <cellStyle name="Lien hypertexte visité" xfId="1877" builtinId="9" hidden="1"/>
    <cellStyle name="Lien hypertexte visité" xfId="453" builtinId="9" hidden="1"/>
    <cellStyle name="Lien hypertexte visité" xfId="2505" builtinId="9" hidden="1"/>
    <cellStyle name="Lien hypertexte visité" xfId="4047" builtinId="9" hidden="1"/>
    <cellStyle name="Lien hypertexte visité" xfId="5583" builtinId="9" hidden="1"/>
    <cellStyle name="Lien hypertexte visité" xfId="7119" builtinId="9" hidden="1"/>
    <cellStyle name="Lien hypertexte visité" xfId="8656" builtinId="9" hidden="1"/>
    <cellStyle name="Lien hypertexte visité" xfId="1127" builtinId="9" hidden="1"/>
    <cellStyle name="Lien hypertexte visité" xfId="2170" builtinId="9" hidden="1"/>
    <cellStyle name="Lien hypertexte visité" xfId="3306" builtinId="9" hidden="1"/>
    <cellStyle name="Lien hypertexte visité" xfId="4336" builtinId="9" hidden="1"/>
    <cellStyle name="Lien hypertexte visité" xfId="5360" builtinId="9" hidden="1"/>
    <cellStyle name="Lien hypertexte visité" xfId="6384" builtinId="9" hidden="1"/>
    <cellStyle name="Lien hypertexte visité" xfId="7408" builtinId="9" hidden="1"/>
    <cellStyle name="Lien hypertexte visité" xfId="8433" builtinId="9" hidden="1"/>
    <cellStyle name="Lien hypertexte visité" xfId="9457" builtinId="9" hidden="1"/>
    <cellStyle name="Lien hypertexte visité" xfId="10609" builtinId="9" hidden="1"/>
    <cellStyle name="Lien hypertexte visité" xfId="11633" builtinId="9" hidden="1"/>
    <cellStyle name="Lien hypertexte visité" xfId="12657" builtinId="9" hidden="1"/>
    <cellStyle name="Lien hypertexte visité" xfId="13681" builtinId="9" hidden="1"/>
    <cellStyle name="Lien hypertexte visité" xfId="14895" builtinId="9" hidden="1"/>
    <cellStyle name="Lien hypertexte visité" xfId="16943" builtinId="9" hidden="1"/>
    <cellStyle name="Lien hypertexte visité" xfId="18974" builtinId="9" hidden="1"/>
    <cellStyle name="Lien hypertexte visité" xfId="21230" builtinId="9" hidden="1"/>
    <cellStyle name="Lien hypertexte visité" xfId="23278" builtinId="9" hidden="1"/>
    <cellStyle name="Lien hypertexte visité" xfId="23900" builtinId="9" hidden="1"/>
    <cellStyle name="Lien hypertexte visité" xfId="21852" builtinId="9" hidden="1"/>
    <cellStyle name="Lien hypertexte visité" xfId="19804" builtinId="9" hidden="1"/>
    <cellStyle name="Lien hypertexte visité" xfId="17773" builtinId="9" hidden="1"/>
    <cellStyle name="Lien hypertexte visité" xfId="15725" builtinId="9" hidden="1"/>
    <cellStyle name="Lien hypertexte visité" xfId="13992" builtinId="9" hidden="1"/>
    <cellStyle name="Lien hypertexte visité" xfId="12968" builtinId="9" hidden="1"/>
    <cellStyle name="Lien hypertexte visité" xfId="11944" builtinId="9" hidden="1"/>
    <cellStyle name="Lien hypertexte visité" xfId="10920" builtinId="9" hidden="1"/>
    <cellStyle name="Lien hypertexte visité" xfId="9896" builtinId="9" hidden="1"/>
    <cellStyle name="Lien hypertexte visité" xfId="8872" builtinId="9" hidden="1"/>
    <cellStyle name="Lien hypertexte visité" xfId="11872" builtinId="9" hidden="1"/>
    <cellStyle name="Lien hypertexte visité" xfId="16141" builtinId="9" hidden="1"/>
    <cellStyle name="Lien hypertexte visité" xfId="22268" builtinId="9" hidden="1"/>
    <cellStyle name="Lien hypertexte visité" xfId="20814" builtinId="9" hidden="1"/>
    <cellStyle name="Lien hypertexte visité" xfId="14687" builtinId="9" hidden="1"/>
    <cellStyle name="Lien hypertexte visité" xfId="11529" builtinId="9" hidden="1"/>
    <cellStyle name="Lien hypertexte visité" xfId="8457" builtinId="9" hidden="1"/>
    <cellStyle name="Lien hypertexte visité" xfId="9289" builtinId="9" hidden="1"/>
    <cellStyle name="Lien hypertexte visité" xfId="24526" builtinId="9" hidden="1"/>
    <cellStyle name="Lien hypertexte visité" xfId="10400" builtinId="9" hidden="1"/>
    <cellStyle name="Lien hypertexte visité" xfId="11408" builtinId="9" hidden="1"/>
    <cellStyle name="Lien hypertexte visité" xfId="14480" builtinId="9" hidden="1"/>
    <cellStyle name="Lien hypertexte visité" xfId="20572" builtinId="9" hidden="1"/>
    <cellStyle name="Lien hypertexte visité" xfId="22510" builtinId="9" hidden="1"/>
    <cellStyle name="Lien hypertexte visité" xfId="16383" builtinId="9" hidden="1"/>
    <cellStyle name="Lien hypertexte visité" xfId="12033" builtinId="9" hidden="1"/>
    <cellStyle name="Lien hypertexte visité" xfId="8961" builtinId="9" hidden="1"/>
    <cellStyle name="Lien hypertexte visité" xfId="5888" builtinId="9" hidden="1"/>
    <cellStyle name="Lien hypertexte visité" xfId="2810" builtinId="9" hidden="1"/>
    <cellStyle name="Lien hypertexte visité" xfId="8080" builtinId="9" hidden="1"/>
    <cellStyle name="Lien hypertexte visité" xfId="3465" builtinId="9" hidden="1"/>
    <cellStyle name="Lien hypertexte visité" xfId="2293" builtinId="9" hidden="1"/>
    <cellStyle name="Lien hypertexte visité" xfId="7419" builtinId="9" hidden="1"/>
    <cellStyle name="Lien hypertexte visité" xfId="12028" builtinId="9" hidden="1"/>
    <cellStyle name="Lien hypertexte visité" xfId="18740" builtinId="9" hidden="1"/>
    <cellStyle name="Lien hypertexte visité" xfId="21270" builtinId="9" hidden="1"/>
    <cellStyle name="Lien hypertexte visité" xfId="13293" builtinId="9" hidden="1"/>
    <cellStyle name="Lien hypertexte visité" xfId="8685" builtinId="9" hidden="1"/>
    <cellStyle name="Lien hypertexte visité" xfId="4076" builtinId="9" hidden="1"/>
    <cellStyle name="Lien hypertexte visité" xfId="2200" builtinId="9" hidden="1"/>
    <cellStyle name="Lien hypertexte visité" xfId="6814" builtinId="9" hidden="1"/>
    <cellStyle name="Lien hypertexte visité" xfId="11423" builtinId="9" hidden="1"/>
    <cellStyle name="Lien hypertexte visité" xfId="8294" builtinId="9" hidden="1"/>
    <cellStyle name="Lien hypertexte visité" xfId="6745" builtinId="9" hidden="1"/>
    <cellStyle name="Lien hypertexte visité" xfId="5977" builtinId="9" hidden="1"/>
    <cellStyle name="Lien hypertexte visité" xfId="5229" builtinId="9" hidden="1"/>
    <cellStyle name="Lien hypertexte visité" xfId="4405" builtinId="9" hidden="1"/>
    <cellStyle name="Lien hypertexte visité" xfId="9226" builtinId="9" hidden="1"/>
    <cellStyle name="Lien hypertexte visité" xfId="11850" builtinId="9" hidden="1"/>
    <cellStyle name="Lien hypertexte visité" xfId="14474" builtinId="9" hidden="1"/>
    <cellStyle name="Lien hypertexte visité" xfId="19664" builtinId="9" hidden="1"/>
    <cellStyle name="Lien hypertexte visité" xfId="24314" builtinId="9" hidden="1"/>
    <cellStyle name="Lien hypertexte visité" xfId="19066" builtinId="9" hidden="1"/>
    <cellStyle name="Lien hypertexte visité" xfId="18666" builtinId="9" hidden="1"/>
    <cellStyle name="Lien hypertexte visité" xfId="20418" builtinId="9" hidden="1"/>
    <cellStyle name="Lien hypertexte visité" xfId="22162" builtinId="9" hidden="1"/>
    <cellStyle name="Lien hypertexte visité" xfId="23914" builtinId="9" hidden="1"/>
    <cellStyle name="Lien hypertexte visité" xfId="23520" builtinId="9" hidden="1"/>
    <cellStyle name="Lien hypertexte visité" xfId="21768" builtinId="9" hidden="1"/>
    <cellStyle name="Lien hypertexte visité" xfId="20024" builtinId="9" hidden="1"/>
    <cellStyle name="Lien hypertexte visité" xfId="18073" builtinId="9" hidden="1"/>
    <cellStyle name="Lien hypertexte visité" xfId="16329" builtinId="9" hidden="1"/>
    <cellStyle name="Lien hypertexte visité" xfId="14577" builtinId="9" hidden="1"/>
    <cellStyle name="Lien hypertexte visité" xfId="13407" builtinId="9" hidden="1"/>
    <cellStyle name="Lien hypertexte visité" xfId="2114" builtinId="9" hidden="1"/>
    <cellStyle name="Lien hypertexte visité" xfId="5330" builtinId="9" hidden="1"/>
    <cellStyle name="Lien hypertexte visité" xfId="2652" builtinId="9" hidden="1"/>
    <cellStyle name="Lien hypertexte visité" xfId="9891" builtinId="9" hidden="1"/>
    <cellStyle name="Lien hypertexte visité" xfId="14787" builtinId="9" hidden="1"/>
    <cellStyle name="Lien hypertexte visité" xfId="11387" builtinId="9" hidden="1"/>
    <cellStyle name="Lien hypertexte visité" xfId="2724" builtinId="9" hidden="1"/>
    <cellStyle name="Lien hypertexte visité" xfId="7410" builtinId="9" hidden="1"/>
    <cellStyle name="Lien hypertexte visité" xfId="9385" builtinId="9" hidden="1"/>
    <cellStyle name="Lien hypertexte visité" xfId="13376" builtinId="9" hidden="1"/>
    <cellStyle name="Lien hypertexte visité" xfId="12808" builtinId="9" hidden="1"/>
    <cellStyle name="Lien hypertexte visité" xfId="21996" builtinId="9" hidden="1"/>
    <cellStyle name="Lien hypertexte visité" xfId="16319" builtinId="9" hidden="1"/>
    <cellStyle name="Lien hypertexte visité" xfId="9953" builtinId="9" hidden="1"/>
    <cellStyle name="Lien hypertexte visité" xfId="4496" builtinId="9" hidden="1"/>
    <cellStyle name="Lien hypertexte visité" xfId="7007" builtinId="9" hidden="1"/>
    <cellStyle name="Lien hypertexte visité" xfId="2341" builtinId="9" hidden="1"/>
    <cellStyle name="Lien hypertexte visité" xfId="10540" builtinId="9" hidden="1"/>
    <cellStyle name="Lien hypertexte visité" xfId="22932" builtinId="9" hidden="1"/>
    <cellStyle name="Lien hypertexte visité" xfId="12221" builtinId="9" hidden="1"/>
    <cellStyle name="Lien hypertexte visité" xfId="4028" builtinId="9" hidden="1"/>
    <cellStyle name="Lien hypertexte visité" xfId="5326" builtinId="9" hidden="1"/>
    <cellStyle name="Lien hypertexte visité" xfId="13519" builtinId="9" hidden="1"/>
    <cellStyle name="Lien hypertexte visité" xfId="7669" builtinId="9" hidden="1"/>
    <cellStyle name="Lien hypertexte visité" xfId="2215" builtinId="9" hidden="1"/>
    <cellStyle name="Lien hypertexte visité" xfId="2899" builtinId="9" hidden="1"/>
    <cellStyle name="Lien hypertexte visité" xfId="2883" builtinId="9" hidden="1"/>
    <cellStyle name="Lien hypertexte visité" xfId="1270" builtinId="9" hidden="1"/>
    <cellStyle name="Lien hypertexte visité" xfId="937" builtinId="9" hidden="1"/>
    <cellStyle name="Lien hypertexte visité" xfId="1727" builtinId="9" hidden="1"/>
    <cellStyle name="Lien hypertexte visité" xfId="3251" builtinId="9" hidden="1"/>
    <cellStyle name="Lien hypertexte visité" xfId="2503" builtinId="9" hidden="1"/>
    <cellStyle name="Lien hypertexte visité" xfId="7974" builtinId="9" hidden="1"/>
    <cellStyle name="Lien hypertexte visité" xfId="6805" builtinId="9" hidden="1"/>
    <cellStyle name="Lien hypertexte visité" xfId="6073" builtinId="9" hidden="1"/>
    <cellStyle name="Lien hypertexte visité" xfId="4901" builtinId="9" hidden="1"/>
    <cellStyle name="Lien hypertexte visité" xfId="8890" builtinId="9" hidden="1"/>
    <cellStyle name="Lien hypertexte visité" xfId="18790" builtinId="9" hidden="1"/>
    <cellStyle name="Lien hypertexte visité" xfId="16087" builtinId="9" hidden="1"/>
    <cellStyle name="Lien hypertexte visité" xfId="13941" builtinId="9" hidden="1"/>
    <cellStyle name="Lien hypertexte visité" xfId="12997" builtinId="9" hidden="1"/>
    <cellStyle name="Lien hypertexte visité" xfId="3430" builtinId="9" hidden="1"/>
    <cellStyle name="Lien hypertexte visité" xfId="3873" builtinId="9" hidden="1"/>
    <cellStyle name="Lien hypertexte visité" xfId="7967" builtinId="9" hidden="1"/>
    <cellStyle name="Lien hypertexte visité" xfId="14111" builtinId="9" hidden="1"/>
    <cellStyle name="Lien hypertexte visité" xfId="6801" builtinId="9" hidden="1"/>
    <cellStyle name="Lien hypertexte visité" xfId="6125" builtinId="9" hidden="1"/>
    <cellStyle name="Lien hypertexte visité" xfId="5137" builtinId="9" hidden="1"/>
    <cellStyle name="Lien hypertexte visité" xfId="4129" builtinId="9" hidden="1"/>
    <cellStyle name="Lien hypertexte visité" xfId="9866" builtinId="9" hidden="1"/>
    <cellStyle name="Lien hypertexte visité" xfId="13386" builtinId="9" hidden="1"/>
    <cellStyle name="Lien hypertexte visité" xfId="19280" builtinId="9" hidden="1"/>
    <cellStyle name="Lien hypertexte visité" xfId="23888" builtinId="9" hidden="1"/>
    <cellStyle name="Lien hypertexte visité" xfId="18312" builtinId="9" hidden="1"/>
    <cellStyle name="Lien hypertexte visité" xfId="19306" builtinId="9" hidden="1"/>
    <cellStyle name="Lien hypertexte visité" xfId="20842" builtinId="9" hidden="1"/>
    <cellStyle name="Lien hypertexte visité" xfId="23186" builtinId="9" hidden="1"/>
    <cellStyle name="Lien hypertexte visité" xfId="23688" builtinId="9" hidden="1"/>
    <cellStyle name="Lien hypertexte visité" xfId="22112" builtinId="9" hidden="1"/>
    <cellStyle name="Lien hypertexte visité" xfId="19768" builtinId="9" hidden="1"/>
    <cellStyle name="Lien hypertexte visité" xfId="17481" builtinId="9" hidden="1"/>
    <cellStyle name="Lien hypertexte visité" xfId="15897" builtinId="9" hidden="1"/>
    <cellStyle name="Lien hypertexte visité" xfId="14034" builtinId="9" hidden="1"/>
    <cellStyle name="Lien hypertexte visité" xfId="12862" builtinId="9" hidden="1"/>
    <cellStyle name="Lien hypertexte visité" xfId="12094" builtinId="9" hidden="1"/>
    <cellStyle name="Lien hypertexte visité" xfId="10918" builtinId="9" hidden="1"/>
    <cellStyle name="Lien hypertexte visité" xfId="9746" builtinId="9" hidden="1"/>
    <cellStyle name="Lien hypertexte visité" xfId="11198" builtinId="9" hidden="1"/>
    <cellStyle name="Lien hypertexte visité" xfId="24248" builtinId="9" hidden="1"/>
    <cellStyle name="Lien hypertexte visité" xfId="10186" builtinId="9" hidden="1"/>
    <cellStyle name="Lien hypertexte visité" xfId="3311" builtinId="9" hidden="1"/>
    <cellStyle name="Lien hypertexte visité" xfId="1571" builtinId="9" hidden="1"/>
    <cellStyle name="Lien hypertexte visité" xfId="1258" builtinId="9" hidden="1"/>
    <cellStyle name="Lien hypertexte visité" xfId="273" builtinId="9" hidden="1"/>
    <cellStyle name="Lien hypertexte visité" xfId="2123" builtinId="9" hidden="1"/>
    <cellStyle name="Lien hypertexte visité" xfId="3889" builtinId="9" hidden="1"/>
    <cellStyle name="Lien hypertexte visité" xfId="3299" builtinId="9" hidden="1"/>
    <cellStyle name="Lien hypertexte visité" xfId="2411" builtinId="9" hidden="1"/>
    <cellStyle name="Lien hypertexte visité" xfId="8118" builtinId="9" hidden="1"/>
    <cellStyle name="Lien hypertexte visité" xfId="7493" builtinId="9" hidden="1"/>
    <cellStyle name="Lien hypertexte visité" xfId="6521" builtinId="9" hidden="1"/>
    <cellStyle name="Lien hypertexte visité" xfId="7437" builtinId="9" hidden="1"/>
    <cellStyle name="Lien hypertexte visité" xfId="8038" builtinId="9" hidden="1"/>
    <cellStyle name="Lien hypertexte visité" xfId="2323" builtinId="9" hidden="1"/>
    <cellStyle name="Lien hypertexte visité" xfId="3159" builtinId="9" hidden="1"/>
    <cellStyle name="Lien hypertexte visité" xfId="5093" builtinId="9" hidden="1"/>
    <cellStyle name="Lien hypertexte visité" xfId="5989" builtinId="9" hidden="1"/>
    <cellStyle name="Lien hypertexte visité" xfId="4345" builtinId="9" hidden="1"/>
    <cellStyle name="Lien hypertexte visité" xfId="8986" builtinId="9" hidden="1"/>
    <cellStyle name="Lien hypertexte visité" xfId="10266" builtinId="9" hidden="1"/>
    <cellStyle name="Lien hypertexte visité" xfId="4289" builtinId="9" hidden="1"/>
    <cellStyle name="Lien hypertexte visité" xfId="6229" builtinId="9" hidden="1"/>
    <cellStyle name="Lien hypertexte visité" xfId="5333" builtinId="9" hidden="1"/>
    <cellStyle name="Lien hypertexte visité" xfId="3107" builtinId="9" hidden="1"/>
    <cellStyle name="Lien hypertexte visité" xfId="2543" builtinId="9" hidden="1"/>
    <cellStyle name="Lien hypertexte visité" xfId="7785" builtinId="9" hidden="1"/>
    <cellStyle name="Lien hypertexte visité" xfId="7381" builtinId="9" hidden="1"/>
    <cellStyle name="Lien hypertexte visité" xfId="6777" builtinId="9" hidden="1"/>
    <cellStyle name="Lien hypertexte visité" xfId="7313" builtinId="9" hidden="1"/>
    <cellStyle name="Lien hypertexte visité" xfId="8174" builtinId="9" hidden="1"/>
    <cellStyle name="Lien hypertexte visité" xfId="4041" builtinId="9" hidden="1"/>
    <cellStyle name="Lien hypertexte visité" xfId="3059" builtinId="9" hidden="1"/>
    <cellStyle name="Lien hypertexte visité" xfId="3788" builtinId="9" hidden="1"/>
    <cellStyle name="Lien hypertexte visité" xfId="1891" builtinId="9" hidden="1"/>
    <cellStyle name="Lien hypertexte visité" xfId="833" builtinId="9" hidden="1"/>
    <cellStyle name="Lien hypertexte visité" xfId="1190" builtinId="9" hidden="1"/>
    <cellStyle name="Lien hypertexte visité" xfId="1803" builtinId="9" hidden="1"/>
    <cellStyle name="Lien hypertexte visité" xfId="3551" builtinId="9" hidden="1"/>
    <cellStyle name="Lien hypertexte visité" xfId="11722" builtinId="9" hidden="1"/>
    <cellStyle name="Lien hypertexte visité" xfId="20546" builtinId="9" hidden="1"/>
    <cellStyle name="Lien hypertexte visité" xfId="13414" builtinId="9" hidden="1"/>
    <cellStyle name="Lien hypertexte visité" xfId="9810" builtinId="9" hidden="1"/>
    <cellStyle name="Lien hypertexte visité" xfId="10598" builtinId="9" hidden="1"/>
    <cellStyle name="Lien hypertexte visité" xfId="11774" builtinId="9" hidden="1"/>
    <cellStyle name="Lien hypertexte visité" xfId="12946" builtinId="9" hidden="1"/>
    <cellStyle name="Lien hypertexte visité" xfId="13714" builtinId="9" hidden="1"/>
    <cellStyle name="Lien hypertexte visité" xfId="15257" builtinId="9" hidden="1"/>
    <cellStyle name="Lien hypertexte visité" xfId="17609" builtinId="9" hidden="1"/>
    <cellStyle name="Lien hypertexte visité" xfId="19168" builtinId="9" hidden="1"/>
    <cellStyle name="Lien hypertexte visité" xfId="21472" builtinId="9" hidden="1"/>
    <cellStyle name="Lien hypertexte visité" xfId="23816" builtinId="9" hidden="1"/>
    <cellStyle name="Lien hypertexte visité" xfId="23826" builtinId="9" hidden="1"/>
    <cellStyle name="Lien hypertexte visité" xfId="21482" builtinId="9" hidden="1"/>
    <cellStyle name="Lien hypertexte visité" xfId="19138" builtinId="9" hidden="1"/>
    <cellStyle name="Lien hypertexte visité" xfId="17619" builtinId="9" hidden="1"/>
    <cellStyle name="Lien hypertexte visité" xfId="23418" builtinId="9" hidden="1"/>
    <cellStyle name="Lien hypertexte visité" xfId="18768" builtinId="9" hidden="1"/>
    <cellStyle name="Lien hypertexte visité" xfId="14346" builtinId="9" hidden="1"/>
    <cellStyle name="Lien hypertexte visité" xfId="10826" builtinId="9" hidden="1"/>
    <cellStyle name="Lien hypertexte visité" xfId="4185" builtinId="9" hidden="1"/>
    <cellStyle name="Lien hypertexte visité" xfId="4861" builtinId="9" hidden="1"/>
    <cellStyle name="Lien hypertexte visité" xfId="5869" builtinId="9" hidden="1"/>
    <cellStyle name="Lien hypertexte visité" xfId="6853" builtinId="9" hidden="1"/>
    <cellStyle name="Lien hypertexte visité" xfId="17035" builtinId="9" hidden="1"/>
    <cellStyle name="Lien hypertexte visité" xfId="9631" builtinId="9" hidden="1"/>
    <cellStyle name="Lien hypertexte visité" xfId="3480" builtinId="9" hidden="1"/>
    <cellStyle name="Lien hypertexte visité" xfId="1766" builtinId="9" hidden="1"/>
    <cellStyle name="Lien hypertexte visité" xfId="7917" builtinId="9" hidden="1"/>
    <cellStyle name="Lien hypertexte visité" xfId="14061" builtinId="9" hidden="1"/>
    <cellStyle name="Lien hypertexte visité" xfId="21782" builtinId="9" hidden="1"/>
    <cellStyle name="Lien hypertexte visité" xfId="15173" builtinId="9" hidden="1"/>
    <cellStyle name="Lien hypertexte visité" xfId="8700" builtinId="9" hidden="1"/>
    <cellStyle name="Lien hypertexte visité" xfId="4603" builtinId="9" hidden="1"/>
    <cellStyle name="Lien hypertexte visité" xfId="2697" builtinId="9" hidden="1"/>
    <cellStyle name="Lien hypertexte visité" xfId="8848" builtinId="9" hidden="1"/>
    <cellStyle name="Lien hypertexte visité" xfId="2986" builtinId="9" hidden="1"/>
    <cellStyle name="Lien hypertexte visité" xfId="7088" builtinId="9" hidden="1"/>
    <cellStyle name="Lien hypertexte visité" xfId="11185" builtinId="9" hidden="1"/>
    <cellStyle name="Lien hypertexte visité" xfId="13913" builtinId="9" hidden="1"/>
    <cellStyle name="Lien hypertexte visité" xfId="21486" builtinId="9" hidden="1"/>
    <cellStyle name="Lien hypertexte visité" xfId="19548" builtinId="9" hidden="1"/>
    <cellStyle name="Lien hypertexte visité" xfId="14312" builtinId="9" hidden="1"/>
    <cellStyle name="Lien hypertexte visité" xfId="10216" builtinId="9" hidden="1"/>
    <cellStyle name="Lien hypertexte visité" xfId="19580" builtinId="9" hidden="1"/>
    <cellStyle name="Lien hypertexte visité" xfId="13897" builtinId="9" hidden="1"/>
    <cellStyle name="Lien hypertexte visité" xfId="7945" builtinId="9" hidden="1"/>
    <cellStyle name="Lien hypertexte visité" xfId="12041" builtinId="9" hidden="1"/>
    <cellStyle name="Lien hypertexte visité" xfId="15071" builtinId="9" hidden="1"/>
    <cellStyle name="Lien hypertexte visité" xfId="23246" builtinId="9" hidden="1"/>
    <cellStyle name="Lien hypertexte visité" xfId="17805" builtinId="9" hidden="1"/>
    <cellStyle name="Lien hypertexte visité" xfId="13408" builtinId="9" hidden="1"/>
    <cellStyle name="Lien hypertexte visité" xfId="9312" builtinId="9" hidden="1"/>
    <cellStyle name="Lien hypertexte visité" xfId="10064" builtinId="9" hidden="1"/>
    <cellStyle name="Lien hypertexte visité" xfId="10960" builtinId="9" hidden="1"/>
    <cellStyle name="Lien hypertexte visité" xfId="12328" builtinId="9" hidden="1"/>
    <cellStyle name="Lien hypertexte visité" xfId="13688" builtinId="9" hidden="1"/>
    <cellStyle name="Lien hypertexte visité" xfId="14701" builtinId="9" hidden="1"/>
    <cellStyle name="Lien hypertexte visité" xfId="17437" builtinId="9" hidden="1"/>
    <cellStyle name="Lien hypertexte visité" xfId="20140" builtinId="9" hidden="1"/>
    <cellStyle name="Lien hypertexte visité" xfId="21980" builtinId="9" hidden="1"/>
    <cellStyle name="Lien hypertexte visité" xfId="24510" builtinId="9" hidden="1"/>
    <cellStyle name="Lien hypertexte visité" xfId="21790" builtinId="9" hidden="1"/>
    <cellStyle name="Lien hypertexte visité" xfId="19998" builtinId="9" hidden="1"/>
    <cellStyle name="Lien hypertexte visité" xfId="17279" builtinId="9" hidden="1"/>
    <cellStyle name="Lien hypertexte visité" xfId="14543" builtinId="9" hidden="1"/>
    <cellStyle name="Lien hypertexte visité" xfId="13617" builtinId="9" hidden="1"/>
    <cellStyle name="Lien hypertexte visité" xfId="12249" builtinId="9" hidden="1"/>
    <cellStyle name="Lien hypertexte visité" xfId="10881" builtinId="9" hidden="1"/>
    <cellStyle name="Lien hypertexte visité" xfId="9969" builtinId="9" hidden="1"/>
    <cellStyle name="Lien hypertexte visité" xfId="8601" builtinId="9" hidden="1"/>
    <cellStyle name="Lien hypertexte visité" xfId="7232" builtinId="9" hidden="1"/>
    <cellStyle name="Lien hypertexte visité" xfId="6336" builtinId="9" hidden="1"/>
    <cellStyle name="Lien hypertexte visité" xfId="4976" builtinId="9" hidden="1"/>
    <cellStyle name="Lien hypertexte visité" xfId="3603" builtinId="9" hidden="1"/>
    <cellStyle name="Lien hypertexte visité" xfId="2682" builtinId="9" hidden="1"/>
    <cellStyle name="Lien hypertexte visité" xfId="1321" builtinId="9" hidden="1"/>
    <cellStyle name="Lien hypertexte visité" xfId="8400" builtinId="9" hidden="1"/>
    <cellStyle name="Lien hypertexte visité" xfId="7023" builtinId="9" hidden="1"/>
    <cellStyle name="Lien hypertexte visité" xfId="4975" builtinId="9" hidden="1"/>
    <cellStyle name="Lien hypertexte visité" xfId="2921" builtinId="9" hidden="1"/>
    <cellStyle name="Lien hypertexte visité" xfId="1577" builtinId="9" hidden="1"/>
    <cellStyle name="Lien hypertexte visité" xfId="1621" builtinId="9" hidden="1"/>
    <cellStyle name="Lien hypertexte visité" xfId="3677" builtinId="9" hidden="1"/>
    <cellStyle name="Lien hypertexte visité" xfId="5051" builtinId="9" hidden="1"/>
    <cellStyle name="Lien hypertexte visité" xfId="7099" builtinId="9" hidden="1"/>
    <cellStyle name="Lien hypertexte visité" xfId="9148" builtinId="9" hidden="1"/>
    <cellStyle name="Lien hypertexte visité" xfId="10524" builtinId="9" hidden="1"/>
    <cellStyle name="Lien hypertexte visité" xfId="12572" builtinId="9" hidden="1"/>
    <cellStyle name="Lien hypertexte visité" xfId="14725" builtinId="9" hidden="1"/>
    <cellStyle name="Lien hypertexte visité" xfId="17413" builtinId="9" hidden="1"/>
    <cellStyle name="Lien hypertexte visité" xfId="21492" builtinId="9" hidden="1"/>
    <cellStyle name="Lien hypertexte visité" xfId="23638" builtinId="9" hidden="1"/>
    <cellStyle name="Lien hypertexte visité" xfId="20886" builtinId="9" hidden="1"/>
    <cellStyle name="Lien hypertexte visité" xfId="16807" builtinId="9" hidden="1"/>
    <cellStyle name="Lien hypertexte visité" xfId="13613" builtinId="9" hidden="1"/>
    <cellStyle name="Lien hypertexte visité" xfId="12237" builtinId="9" hidden="1"/>
    <cellStyle name="Lien hypertexte visité" xfId="10189" builtinId="9" hidden="1"/>
    <cellStyle name="Lien hypertexte visité" xfId="8141" builtinId="9" hidden="1"/>
    <cellStyle name="Lien hypertexte visité" xfId="6796" builtinId="9" hidden="1"/>
    <cellStyle name="Lien hypertexte visité" xfId="4748" builtinId="9" hidden="1"/>
    <cellStyle name="Lien hypertexte visité" xfId="2694" builtinId="9" hidden="1"/>
    <cellStyle name="Lien hypertexte visité" xfId="1317" builtinId="9" hidden="1"/>
    <cellStyle name="Lien hypertexte visité" xfId="1880" builtinId="9" hidden="1"/>
    <cellStyle name="Lien hypertexte visité" xfId="3934" builtinId="9" hidden="1"/>
    <cellStyle name="Lien hypertexte visité" xfId="5310" builtinId="9" hidden="1"/>
    <cellStyle name="Lien hypertexte visité" xfId="7358" builtinId="9" hidden="1"/>
    <cellStyle name="Lien hypertexte visité" xfId="9407" builtinId="9" hidden="1"/>
    <cellStyle name="Lien hypertexte visité" xfId="10751" builtinId="9" hidden="1"/>
    <cellStyle name="Lien hypertexte visité" xfId="12799" builtinId="9" hidden="1"/>
    <cellStyle name="Lien hypertexte visité" xfId="15179" builtinId="9" hidden="1"/>
    <cellStyle name="Lien hypertexte visité" xfId="8422" builtinId="9" hidden="1"/>
    <cellStyle name="Lien hypertexte visité" xfId="3916" builtinId="9" hidden="1"/>
    <cellStyle name="Lien hypertexte visité" xfId="8771" builtinId="9" hidden="1"/>
    <cellStyle name="Lien hypertexte visité" xfId="7602" builtinId="9" hidden="1"/>
    <cellStyle name="Lien hypertexte visité" xfId="5842" builtinId="9" hidden="1"/>
    <cellStyle name="Lien hypertexte visité" xfId="4090" builtinId="9" hidden="1"/>
    <cellStyle name="Lien hypertexte visité" xfId="2916" builtinId="9" hidden="1"/>
    <cellStyle name="Lien hypertexte visité" xfId="1147" builtinId="9" hidden="1"/>
    <cellStyle name="Lien hypertexte visité" xfId="12659" builtinId="9" hidden="1"/>
    <cellStyle name="Lien hypertexte visité" xfId="11571" builtinId="9" hidden="1"/>
    <cellStyle name="Lien hypertexte visité" xfId="9931" builtinId="9" hidden="1"/>
    <cellStyle name="Lien hypertexte visité" xfId="13531" builtinId="9" hidden="1"/>
    <cellStyle name="Lien hypertexte visité" xfId="15123" builtinId="9" hidden="1"/>
    <cellStyle name="Lien hypertexte visité" xfId="16099" builtinId="9" hidden="1"/>
    <cellStyle name="Lien hypertexte visité" xfId="13427" builtinId="9" hidden="1"/>
    <cellStyle name="Lien hypertexte visité" xfId="12579" builtinId="9" hidden="1"/>
    <cellStyle name="Lien hypertexte visité" xfId="10907" builtinId="9" hidden="1"/>
    <cellStyle name="Lien hypertexte visité" xfId="12547" builtinId="9" hidden="1"/>
    <cellStyle name="Lien hypertexte visité" xfId="4002" builtinId="9" hidden="1"/>
    <cellStyle name="Lien hypertexte visité" xfId="2212" builtinId="9" hidden="1"/>
    <cellStyle name="Lien hypertexte visité" xfId="3970" builtinId="9" hidden="1"/>
    <cellStyle name="Lien hypertexte visité" xfId="5138" builtinId="9" hidden="1"/>
    <cellStyle name="Lien hypertexte visité" xfId="6898" builtinId="9" hidden="1"/>
    <cellStyle name="Lien hypertexte visité" xfId="8651" builtinId="9" hidden="1"/>
    <cellStyle name="Lien hypertexte visité" xfId="1441" builtinId="9" hidden="1"/>
    <cellStyle name="Lien hypertexte visité" xfId="7592" builtinId="9" hidden="1"/>
    <cellStyle name="Lien hypertexte visité" xfId="13737" builtinId="9" hidden="1"/>
    <cellStyle name="Lien hypertexte visité" xfId="21134" builtinId="9" hidden="1"/>
    <cellStyle name="Lien hypertexte visité" xfId="15821" builtinId="9" hidden="1"/>
    <cellStyle name="Lien hypertexte visité" xfId="9024" builtinId="9" hidden="1"/>
    <cellStyle name="Lien hypertexte visité" xfId="10160" builtinId="9" hidden="1"/>
    <cellStyle name="Lien hypertexte visité" xfId="12208" builtinId="9" hidden="1"/>
    <cellStyle name="Lien hypertexte visité" xfId="14256" builtinId="9" hidden="1"/>
    <cellStyle name="Lien hypertexte visité" xfId="16733" builtinId="9" hidden="1"/>
    <cellStyle name="Lien hypertexte visité" xfId="20812" builtinId="9" hidden="1"/>
    <cellStyle name="Lien hypertexte visité" xfId="24318" builtinId="9" hidden="1"/>
    <cellStyle name="Lien hypertexte visité" xfId="21598" builtinId="9" hidden="1"/>
    <cellStyle name="Lien hypertexte visité" xfId="17519" builtinId="9" hidden="1"/>
    <cellStyle name="Lien hypertexte visité" xfId="13969" builtinId="9" hidden="1"/>
    <cellStyle name="Lien hypertexte visité" xfId="12601" builtinId="9" hidden="1"/>
    <cellStyle name="Lien hypertexte visité" xfId="10553" builtinId="9" hidden="1"/>
    <cellStyle name="Lien hypertexte visité" xfId="8505" builtinId="9" hidden="1"/>
    <cellStyle name="Lien hypertexte visité" xfId="7136" builtinId="9" hidden="1"/>
    <cellStyle name="Lien hypertexte visité" xfId="5088" builtinId="9" hidden="1"/>
    <cellStyle name="Lien hypertexte visité" xfId="3034" builtinId="9" hidden="1"/>
    <cellStyle name="Lien hypertexte visité" xfId="1674" builtinId="9" hidden="1"/>
    <cellStyle name="Lien hypertexte visité" xfId="7904" builtinId="9" hidden="1"/>
    <cellStyle name="Lien hypertexte visité" xfId="4831" builtinId="9" hidden="1"/>
    <cellStyle name="Lien hypertexte visité" xfId="2777" builtinId="9" hidden="1"/>
    <cellStyle name="Lien hypertexte visité" xfId="1444" builtinId="9" hidden="1"/>
    <cellStyle name="Lien hypertexte visité" xfId="4523" builtinId="9" hidden="1"/>
    <cellStyle name="Lien hypertexte visité" xfId="6571" builtinId="9" hidden="1"/>
    <cellStyle name="Lien hypertexte visité" xfId="9644" builtinId="9" hidden="1"/>
    <cellStyle name="Lien hypertexte visité" xfId="12716" builtinId="9" hidden="1"/>
    <cellStyle name="Lien hypertexte visité" xfId="15013" builtinId="9" hidden="1"/>
    <cellStyle name="Lien hypertexte visité" xfId="21140" builtinId="9" hidden="1"/>
    <cellStyle name="Lien hypertexte visité" xfId="21942" builtinId="9" hidden="1"/>
    <cellStyle name="Lien hypertexte visité" xfId="17863" builtinId="9" hidden="1"/>
    <cellStyle name="Lien hypertexte visité" xfId="13117" builtinId="9" hidden="1"/>
    <cellStyle name="Lien hypertexte visité" xfId="10045" builtinId="9" hidden="1"/>
    <cellStyle name="Lien hypertexte visité" xfId="7997" builtinId="9" hidden="1"/>
    <cellStyle name="Lien hypertexte visité" xfId="4924" builtinId="9" hidden="1"/>
    <cellStyle name="Lien hypertexte visité" xfId="1846" builtinId="9" hidden="1"/>
    <cellStyle name="Lien hypertexte visité" xfId="1351" builtinId="9" hidden="1"/>
    <cellStyle name="Lien hypertexte visité" xfId="4430" builtinId="9" hidden="1"/>
    <cellStyle name="Lien hypertexte visité" xfId="7502" builtinId="9" hidden="1"/>
    <cellStyle name="Lien hypertexte visité" xfId="9551" builtinId="9" hidden="1"/>
    <cellStyle name="Lien hypertexte visité" xfId="12623" builtinId="9" hidden="1"/>
    <cellStyle name="Lien hypertexte visité" xfId="16875" builtinId="9" hidden="1"/>
    <cellStyle name="Lien hypertexte visité" xfId="9438" builtinId="9" hidden="1"/>
    <cellStyle name="Lien hypertexte visité" xfId="11486" builtinId="9" hidden="1"/>
    <cellStyle name="Lien hypertexte visité" xfId="13534" builtinId="9" hidden="1"/>
    <cellStyle name="Lien hypertexte visité" xfId="15281" builtinId="9" hidden="1"/>
    <cellStyle name="Lien hypertexte visité" xfId="19360" builtinId="9" hidden="1"/>
    <cellStyle name="Lien hypertexte visité" xfId="23456" builtinId="9" hidden="1"/>
    <cellStyle name="Lien hypertexte visité" xfId="23042" builtinId="9" hidden="1"/>
    <cellStyle name="Lien hypertexte visité" xfId="18946" builtinId="9" hidden="1"/>
    <cellStyle name="Lien hypertexte visité" xfId="24592" builtinId="9" hidden="1"/>
    <cellStyle name="Lien hypertexte visité" xfId="16417" builtinId="9" hidden="1"/>
    <cellStyle name="Lien hypertexte visité" xfId="9322" builtinId="9" hidden="1"/>
    <cellStyle name="Lien hypertexte visité" xfId="5365" builtinId="9" hidden="1"/>
    <cellStyle name="Lien hypertexte visité" xfId="6533" builtinId="9" hidden="1"/>
    <cellStyle name="Lien hypertexte visité" xfId="7689" builtinId="9" hidden="1"/>
    <cellStyle name="Lien hypertexte visité" xfId="3343" builtinId="9" hidden="1"/>
    <cellStyle name="Lien hypertexte visité" xfId="1815" builtinId="9" hidden="1"/>
    <cellStyle name="Lien hypertexte visité" xfId="1378" builtinId="9" hidden="1"/>
    <cellStyle name="Lien hypertexte visité" xfId="3560" builtinId="9" hidden="1"/>
    <cellStyle name="Lien hypertexte visité" xfId="2467" builtinId="9" hidden="1"/>
    <cellStyle name="Lien hypertexte visité" xfId="7353" builtinId="9" hidden="1"/>
    <cellStyle name="Lien hypertexte visité" xfId="5597" builtinId="9" hidden="1"/>
    <cellStyle name="Lien hypertexte visité" xfId="4429" builtinId="9" hidden="1"/>
    <cellStyle name="Lien hypertexte visité" xfId="18231" builtinId="9" hidden="1"/>
    <cellStyle name="Lien hypertexte visité" xfId="14325" builtinId="9" hidden="1"/>
    <cellStyle name="Lien hypertexte visité" xfId="12949" builtinId="9" hidden="1"/>
    <cellStyle name="Lien hypertexte visité" xfId="10901" builtinId="9" hidden="1"/>
    <cellStyle name="Lien hypertexte visité" xfId="8853" builtinId="9" hidden="1"/>
    <cellStyle name="Lien hypertexte visité" xfId="7492" builtinId="9" hidden="1"/>
    <cellStyle name="Lien hypertexte visité" xfId="5444" builtinId="9" hidden="1"/>
    <cellStyle name="Lien hypertexte visité" xfId="3390" builtinId="9" hidden="1"/>
    <cellStyle name="Lien hypertexte visité" xfId="2030" builtinId="9" hidden="1"/>
    <cellStyle name="Lien hypertexte visité" xfId="1167" builtinId="9" hidden="1"/>
    <cellStyle name="Lien hypertexte visité" xfId="3216" builtinId="9" hidden="1"/>
    <cellStyle name="Lien hypertexte visité" xfId="4598" builtinId="9" hidden="1"/>
    <cellStyle name="Lien hypertexte visité" xfId="6646" builtinId="9" hidden="1"/>
    <cellStyle name="Lien hypertexte visité" xfId="8695" builtinId="9" hidden="1"/>
    <cellStyle name="Lien hypertexte visité" xfId="10055" builtinId="9" hidden="1"/>
    <cellStyle name="Lien hypertexte visité" xfId="12103" builtinId="9" hidden="1"/>
    <cellStyle name="Lien hypertexte visité" xfId="14151" builtinId="9" hidden="1"/>
    <cellStyle name="Lien hypertexte visité" xfId="16507" builtinId="9" hidden="1"/>
    <cellStyle name="Lien hypertexte visité" xfId="9314" builtinId="9" hidden="1"/>
    <cellStyle name="Lien hypertexte visité" xfId="10678" builtinId="9" hidden="1"/>
    <cellStyle name="Lien hypertexte visité" xfId="11598" builtinId="9" hidden="1"/>
    <cellStyle name="Lien hypertexte visité" xfId="12962" builtinId="9" hidden="1"/>
    <cellStyle name="Lien hypertexte visité" xfId="14326" builtinId="9" hidden="1"/>
    <cellStyle name="Lien hypertexte visité" xfId="15953" builtinId="9" hidden="1"/>
    <cellStyle name="Lien hypertexte visité" xfId="18664" builtinId="9" hidden="1"/>
    <cellStyle name="Lien hypertexte visité" xfId="21400" builtinId="9" hidden="1"/>
    <cellStyle name="Lien hypertexte visité" xfId="23208" builtinId="9" hidden="1"/>
    <cellStyle name="Lien hypertexte visité" xfId="23282" builtinId="9" hidden="1"/>
    <cellStyle name="Lien hypertexte visité" xfId="20554" builtinId="9" hidden="1"/>
    <cellStyle name="Lien hypertexte visité" xfId="18722" builtinId="9" hidden="1"/>
    <cellStyle name="Lien hypertexte visité" xfId="21210" builtinId="9" hidden="1"/>
    <cellStyle name="Lien hypertexte visité" xfId="19824" builtinId="9" hidden="1"/>
    <cellStyle name="Lien hypertexte visité" xfId="14458" builtinId="9" hidden="1"/>
    <cellStyle name="Lien hypertexte visité" xfId="14010" builtinId="9" hidden="1"/>
    <cellStyle name="Lien hypertexte visité" xfId="19338" builtinId="9" hidden="1"/>
    <cellStyle name="Lien hypertexte visité" xfId="24424" builtinId="9" hidden="1"/>
    <cellStyle name="Lien hypertexte visité" xfId="16249" builtinId="9" hidden="1"/>
    <cellStyle name="Lien hypertexte visité" xfId="11286" builtinId="9" hidden="1"/>
    <cellStyle name="Lien hypertexte visité" xfId="8558" builtinId="9" hidden="1"/>
    <cellStyle name="Lien hypertexte visité" xfId="10279" builtinId="9" hidden="1"/>
    <cellStyle name="Lien hypertexte visité" xfId="4134" builtinId="9" hidden="1"/>
    <cellStyle name="Lien hypertexte visité" xfId="1071" builtinId="9" hidden="1"/>
    <cellStyle name="Lien hypertexte visité" xfId="7268" builtinId="9" hidden="1"/>
    <cellStyle name="Lien hypertexte visité" xfId="13413" builtinId="9" hidden="1"/>
    <cellStyle name="Lien hypertexte visité" xfId="5363" builtinId="9" hidden="1"/>
    <cellStyle name="Lien hypertexte visité" xfId="7123" builtinId="9" hidden="1"/>
    <cellStyle name="Lien hypertexte visité" xfId="8884" builtinId="9" hidden="1"/>
    <cellStyle name="Lien hypertexte visité" xfId="10052" builtinId="9" hidden="1"/>
    <cellStyle name="Lien hypertexte visité" xfId="11812" builtinId="9" hidden="1"/>
    <cellStyle name="Lien hypertexte visité" xfId="13556" builtinId="9" hidden="1"/>
    <cellStyle name="Lien hypertexte visité" xfId="14965" builtinId="9" hidden="1"/>
    <cellStyle name="Lien hypertexte visité" xfId="18436" builtinId="9" hidden="1"/>
    <cellStyle name="Lien hypertexte visité" xfId="21956" builtinId="9" hidden="1"/>
    <cellStyle name="Lien hypertexte visité" xfId="24292" builtinId="9" hidden="1"/>
    <cellStyle name="Lien hypertexte visité" xfId="21414" builtinId="9" hidden="1"/>
    <cellStyle name="Lien hypertexte visité" xfId="21828" builtinId="9" hidden="1"/>
    <cellStyle name="Lien hypertexte visité" xfId="9988" builtinId="9" hidden="1"/>
    <cellStyle name="Lien hypertexte visité" xfId="1841" builtinId="9" hidden="1"/>
    <cellStyle name="Lien hypertexte visité" xfId="717" builtinId="9" hidden="1"/>
    <cellStyle name="Lien hypertexte visité" xfId="2029" builtinId="9" hidden="1"/>
    <cellStyle name="Lien hypertexte visité" xfId="3685" builtinId="9" hidden="1"/>
    <cellStyle name="Lien hypertexte visité" xfId="3069" builtinId="9" hidden="1"/>
    <cellStyle name="Lien hypertexte visité" xfId="5191" builtinId="9" hidden="1"/>
    <cellStyle name="Lien hypertexte visité" xfId="3602" builtinId="9" hidden="1"/>
    <cellStyle name="Lien hypertexte visité" xfId="6711" builtinId="9" hidden="1"/>
    <cellStyle name="Lien hypertexte visité" xfId="7896" builtinId="9" hidden="1"/>
    <cellStyle name="Lien hypertexte visité" xfId="8152" builtinId="9" hidden="1"/>
    <cellStyle name="Lien hypertexte visité" xfId="6407" builtinId="9" hidden="1"/>
    <cellStyle name="Lien hypertexte visité" xfId="5255" builtinId="9" hidden="1"/>
    <cellStyle name="Lien hypertexte visité" xfId="4359" builtinId="9" hidden="1"/>
    <cellStyle name="Lien hypertexte visité" xfId="5943" builtinId="9" hidden="1"/>
    <cellStyle name="Lien hypertexte visité" xfId="4547" builtinId="9" hidden="1"/>
    <cellStyle name="Lien hypertexte visité" xfId="2909" builtinId="9" hidden="1"/>
    <cellStyle name="Lien hypertexte visité" xfId="1260" builtinId="9" hidden="1"/>
    <cellStyle name="Lien hypertexte visité" xfId="789" builtinId="9" hidden="1"/>
    <cellStyle name="Lien hypertexte visité" xfId="2609" builtinId="9" hidden="1"/>
    <cellStyle name="Lien hypertexte visité" xfId="16981" builtinId="9" hidden="1"/>
    <cellStyle name="Lien hypertexte visité" xfId="19558" builtinId="9" hidden="1"/>
    <cellStyle name="Lien hypertexte visité" xfId="23078" builtinId="9" hidden="1"/>
    <cellStyle name="Lien hypertexte visité" xfId="22660" builtinId="9" hidden="1"/>
    <cellStyle name="Lien hypertexte visité" xfId="20324" builtinId="9" hidden="1"/>
    <cellStyle name="Lien hypertexte visité" xfId="16821" builtinId="9" hidden="1"/>
    <cellStyle name="Lien hypertexte visité" xfId="13908" builtinId="9" hidden="1"/>
    <cellStyle name="Lien hypertexte visité" xfId="12740" builtinId="9" hidden="1"/>
    <cellStyle name="Lien hypertexte visité" xfId="10980" builtinId="9" hidden="1"/>
    <cellStyle name="Lien hypertexte visité" xfId="9236" builtinId="9" hidden="1"/>
    <cellStyle name="Lien hypertexte visité" xfId="8052" builtinId="9" hidden="1"/>
    <cellStyle name="Lien hypertexte visité" xfId="6307" builtinId="9" hidden="1"/>
    <cellStyle name="Lien hypertexte visité" xfId="14743" builtinId="9" hidden="1"/>
    <cellStyle name="Lien hypertexte visité" xfId="10533" builtinId="9" hidden="1"/>
    <cellStyle name="Lien hypertexte visité" xfId="2250" builtinId="9" hidden="1"/>
    <cellStyle name="Lien hypertexte visité" xfId="599" builtinId="9" hidden="1"/>
    <cellStyle name="Lien hypertexte visité" xfId="8448" builtinId="9" hidden="1"/>
    <cellStyle name="Lien hypertexte visité" xfId="6399" builtinId="9" hidden="1"/>
    <cellStyle name="Lien hypertexte visité" xfId="4351" builtinId="9" hidden="1"/>
    <cellStyle name="Lien hypertexte visité" xfId="3001" builtinId="9" hidden="1"/>
    <cellStyle name="Lien hypertexte visité" xfId="741" builtinId="9" hidden="1"/>
    <cellStyle name="Lien hypertexte visité" xfId="2245" builtinId="9" hidden="1"/>
    <cellStyle name="Lien hypertexte visité" xfId="3654" builtinId="9" hidden="1"/>
    <cellStyle name="Lien hypertexte visité" xfId="5707" builtinId="9" hidden="1"/>
    <cellStyle name="Lien hypertexte visité" xfId="7755" builtinId="9" hidden="1"/>
    <cellStyle name="Lien hypertexte visité" xfId="9100" builtinId="9" hidden="1"/>
    <cellStyle name="Lien hypertexte visité" xfId="11148" builtinId="9" hidden="1"/>
    <cellStyle name="Lien hypertexte visité" xfId="13196" builtinId="9" hidden="1"/>
    <cellStyle name="Lien hypertexte visité" xfId="14565" builtinId="9" hidden="1"/>
    <cellStyle name="Lien hypertexte visité" xfId="18644" builtinId="9" hidden="1"/>
    <cellStyle name="Lien hypertexte visité" xfId="22740" builtinId="9" hidden="1"/>
    <cellStyle name="Lien hypertexte visité" xfId="23670" builtinId="9" hidden="1"/>
    <cellStyle name="Lien hypertexte visité" xfId="19574" builtinId="9" hidden="1"/>
    <cellStyle name="Lien hypertexte visité" xfId="15495" builtinId="9" hidden="1"/>
    <cellStyle name="Lien hypertexte visité" xfId="13661" builtinId="9" hidden="1"/>
    <cellStyle name="Lien hypertexte visité" xfId="11613" builtinId="9" hidden="1"/>
    <cellStyle name="Lien hypertexte visité" xfId="9565" builtinId="9" hidden="1"/>
    <cellStyle name="Lien hypertexte visité" xfId="8221" builtinId="9" hidden="1"/>
    <cellStyle name="Lien hypertexte visité" xfId="6172" builtinId="9" hidden="1"/>
    <cellStyle name="Lien hypertexte visité" xfId="4124" builtinId="9" hidden="1"/>
    <cellStyle name="Lien hypertexte visité" xfId="2710" builtinId="9" hidden="1"/>
    <cellStyle name="Lien hypertexte visité" xfId="159" builtinId="9" hidden="1"/>
    <cellStyle name="Lien hypertexte visité" xfId="2536" builtinId="9" hidden="1"/>
    <cellStyle name="Lien hypertexte visité" xfId="3890" builtinId="9" hidden="1"/>
    <cellStyle name="Lien hypertexte visité" xfId="5934" builtinId="9" hidden="1"/>
    <cellStyle name="Lien hypertexte visité" xfId="7983" builtinId="9" hidden="1"/>
    <cellStyle name="Lien hypertexte visité" xfId="9327" builtinId="9" hidden="1"/>
    <cellStyle name="Lien hypertexte visité" xfId="11375" builtinId="9" hidden="1"/>
    <cellStyle name="Lien hypertexte visité" xfId="13423" builtinId="9" hidden="1"/>
    <cellStyle name="Lien hypertexte visité" xfId="15147" builtinId="9" hidden="1"/>
    <cellStyle name="Lien hypertexte visité" xfId="8862" builtinId="9" hidden="1"/>
    <cellStyle name="Lien hypertexte visité" xfId="10226" builtinId="9" hidden="1"/>
    <cellStyle name="Lien hypertexte visité" xfId="11122" builtinId="9" hidden="1"/>
    <cellStyle name="Lien hypertexte visité" xfId="12486" builtinId="9" hidden="1"/>
    <cellStyle name="Lien hypertexte visité" xfId="13854" builtinId="9" hidden="1"/>
    <cellStyle name="Lien hypertexte visité" xfId="14985" builtinId="9" hidden="1"/>
    <cellStyle name="Lien hypertexte visité" xfId="17713" builtinId="9" hidden="1"/>
    <cellStyle name="Lien hypertexte visité" xfId="20424" builtinId="9" hidden="1"/>
    <cellStyle name="Lien hypertexte visité" xfId="22304" builtinId="9" hidden="1"/>
    <cellStyle name="Lien hypertexte visité" xfId="24194" builtinId="9" hidden="1"/>
    <cellStyle name="Lien hypertexte visité" xfId="21458" builtinId="9" hidden="1"/>
    <cellStyle name="Lien hypertexte visité" xfId="19666" builtinId="9" hidden="1"/>
    <cellStyle name="Lien hypertexte visité" xfId="18362" builtinId="9" hidden="1"/>
    <cellStyle name="Lien hypertexte visité" xfId="22672" builtinId="9" hidden="1"/>
    <cellStyle name="Lien hypertexte visité" xfId="17313" builtinId="9" hidden="1"/>
    <cellStyle name="Lien hypertexte visité" xfId="11818" builtinId="9" hidden="1"/>
    <cellStyle name="Lien hypertexte visité" xfId="4065" builtinId="9" hidden="1"/>
    <cellStyle name="Lien hypertexte visité" xfId="4869" builtinId="9" hidden="1"/>
    <cellStyle name="Lien hypertexte visité" xfId="6041" builtinId="9" hidden="1"/>
    <cellStyle name="Lien hypertexte visité" xfId="7213" builtinId="9" hidden="1"/>
    <cellStyle name="Lien hypertexte visité" xfId="7982" builtinId="9" hidden="1"/>
    <cellStyle name="Lien hypertexte visité" xfId="2507" builtinId="9" hidden="1"/>
    <cellStyle name="Lien hypertexte visité" xfId="3600" builtinId="9" hidden="1"/>
    <cellStyle name="Lien hypertexte visité" xfId="1699" builtinId="9" hidden="1"/>
    <cellStyle name="Lien hypertexte visité" xfId="881" builtinId="9" hidden="1"/>
    <cellStyle name="Lien hypertexte visité" xfId="2143" builtinId="9" hidden="1"/>
    <cellStyle name="Lien hypertexte visité" xfId="2435" builtinId="9" hidden="1"/>
    <cellStyle name="Lien hypertexte visité" xfId="2927" builtinId="9" hidden="1"/>
    <cellStyle name="Lien hypertexte visité" xfId="6697" builtinId="9" hidden="1"/>
    <cellStyle name="Lien hypertexte visité" xfId="7665" builtinId="9" hidden="1"/>
    <cellStyle name="Lien hypertexte visité" xfId="6493" builtinId="9" hidden="1"/>
    <cellStyle name="Lien hypertexte visité" xfId="5325" builtinId="9" hidden="1"/>
    <cellStyle name="Lien hypertexte visité" xfId="4557" builtinId="9" hidden="1"/>
    <cellStyle name="Lien hypertexte visité" xfId="10106" builtinId="9" hidden="1"/>
    <cellStyle name="Lien hypertexte visité" xfId="17143" builtinId="9" hidden="1"/>
    <cellStyle name="Lien hypertexte visité" xfId="15287" builtinId="9" hidden="1"/>
    <cellStyle name="Lien hypertexte visité" xfId="13525" builtinId="9" hidden="1"/>
    <cellStyle name="Lien hypertexte visité" xfId="12165" builtinId="9" hidden="1"/>
    <cellStyle name="Lien hypertexte visité" xfId="11269" builtinId="9" hidden="1"/>
    <cellStyle name="Lien hypertexte visité" xfId="9909" builtinId="9" hidden="1"/>
    <cellStyle name="Lien hypertexte visité" xfId="8533" builtinId="9" hidden="1"/>
    <cellStyle name="Lien hypertexte visité" xfId="7636" builtinId="9" hidden="1"/>
    <cellStyle name="Lien hypertexte visité" xfId="6276" builtinId="9" hidden="1"/>
    <cellStyle name="Lien hypertexte visité" xfId="4916" builtinId="9" hidden="1"/>
    <cellStyle name="Lien hypertexte visité" xfId="3972" builtinId="9" hidden="1"/>
    <cellStyle name="Lien hypertexte visité" xfId="2606" builtinId="9" hidden="1"/>
    <cellStyle name="Lien hypertexte visité" xfId="1229" builtinId="9" hidden="1"/>
    <cellStyle name="Lien hypertexte visité" xfId="467" builtinId="9" hidden="1"/>
    <cellStyle name="Lien hypertexte visité" xfId="2176" builtinId="9" hidden="1"/>
    <cellStyle name="Lien hypertexte visité" xfId="3536" builtinId="9" hidden="1"/>
    <cellStyle name="Lien hypertexte visité" xfId="4438" builtinId="9" hidden="1"/>
    <cellStyle name="Lien hypertexte visité" xfId="5814" builtinId="9" hidden="1"/>
    <cellStyle name="Lien hypertexte visité" xfId="7174" builtinId="9" hidden="1"/>
    <cellStyle name="Lien hypertexte visité" xfId="8119" builtinId="9" hidden="1"/>
    <cellStyle name="Lien hypertexte visité" xfId="9479" builtinId="9" hidden="1"/>
    <cellStyle name="Lien hypertexte visité" xfId="10839" builtinId="9" hidden="1"/>
    <cellStyle name="Lien hypertexte visité" xfId="11735" builtinId="9" hidden="1"/>
    <cellStyle name="Lien hypertexte visité" xfId="13111" builtinId="9" hidden="1"/>
    <cellStyle name="Lien hypertexte visité" xfId="14471" builtinId="9" hidden="1"/>
    <cellStyle name="Lien hypertexte visité" xfId="16219" builtinId="9" hidden="1"/>
    <cellStyle name="Lien hypertexte visité" xfId="8758" builtinId="9" hidden="1"/>
    <cellStyle name="Lien hypertexte visité" xfId="9678" builtinId="9" hidden="1"/>
    <cellStyle name="Lien hypertexte visité" xfId="10294" builtinId="9" hidden="1"/>
    <cellStyle name="Lien hypertexte visité" xfId="11214" builtinId="9" hidden="1"/>
    <cellStyle name="Lien hypertexte visité" xfId="12118" builtinId="9" hidden="1"/>
    <cellStyle name="Lien hypertexte visité" xfId="12718" builtinId="9" hidden="1"/>
    <cellStyle name="Lien hypertexte visité" xfId="13622" builtinId="9" hidden="1"/>
    <cellStyle name="Lien hypertexte visité" xfId="14569" builtinId="9" hidden="1"/>
    <cellStyle name="Lien hypertexte visité" xfId="15761" builtinId="9" hidden="1"/>
    <cellStyle name="Lien hypertexte visité" xfId="17577" builtinId="9" hidden="1"/>
    <cellStyle name="Lien hypertexte visité" xfId="19368" builtinId="9" hidden="1"/>
    <cellStyle name="Lien hypertexte visité" xfId="20632" builtinId="9" hidden="1"/>
    <cellStyle name="Lien hypertexte visité" xfId="22440" builtinId="9" hidden="1"/>
    <cellStyle name="Lien hypertexte visité" xfId="24280" builtinId="9" hidden="1"/>
    <cellStyle name="Lien hypertexte visité" xfId="23754" builtinId="9" hidden="1"/>
    <cellStyle name="Lien hypertexte visité" xfId="21938" builtinId="9" hidden="1"/>
    <cellStyle name="Lien hypertexte visité" xfId="20130" builtinId="9" hidden="1"/>
    <cellStyle name="Lien hypertexte visité" xfId="18930" builtinId="9" hidden="1"/>
    <cellStyle name="Lien hypertexte visité" xfId="17899" builtinId="9" hidden="1"/>
    <cellStyle name="Lien hypertexte visité" xfId="23322" builtinId="9" hidden="1"/>
    <cellStyle name="Lien hypertexte visité" xfId="22128" builtinId="9" hidden="1"/>
    <cellStyle name="Lien hypertexte visité" xfId="16705" builtinId="9" hidden="1"/>
    <cellStyle name="Lien hypertexte visité" xfId="12890" builtinId="9" hidden="1"/>
    <cellStyle name="Lien hypertexte visité" xfId="11834" builtinId="9" hidden="1"/>
    <cellStyle name="Lien hypertexte visité" xfId="23706" builtinId="9" hidden="1"/>
    <cellStyle name="Lien hypertexte visité" xfId="20618" builtinId="9" hidden="1"/>
    <cellStyle name="Lien hypertexte visité" xfId="24202" builtinId="9" hidden="1"/>
    <cellStyle name="Lien hypertexte visité" xfId="19560" builtinId="9" hidden="1"/>
    <cellStyle name="Lien hypertexte visité" xfId="14318" builtinId="9" hidden="1"/>
    <cellStyle name="Lien hypertexte visité" xfId="12438" builtinId="9" hidden="1"/>
    <cellStyle name="Lien hypertexte visité" xfId="9710" builtinId="9" hidden="1"/>
    <cellStyle name="Lien hypertexte visité" xfId="14055" builtinId="9" hidden="1"/>
    <cellStyle name="Lien hypertexte visité" xfId="11367" builtinId="9" hidden="1"/>
    <cellStyle name="Lien hypertexte visité" xfId="7270" builtinId="9" hidden="1"/>
    <cellStyle name="Lien hypertexte visité" xfId="3168" builtinId="9" hidden="1"/>
    <cellStyle name="Lien hypertexte visité" xfId="175" builtinId="9" hidden="1"/>
    <cellStyle name="Lien hypertexte visité" xfId="3879" builtinId="9" hidden="1"/>
    <cellStyle name="Lien hypertexte visité" xfId="9575" builtinId="9" hidden="1"/>
    <cellStyle name="Lien hypertexte visité" xfId="9454" builtinId="9" hidden="1"/>
    <cellStyle name="Lien hypertexte visité" xfId="20760" builtinId="9" hidden="1"/>
    <cellStyle name="Lien hypertexte visité" xfId="16321" builtinId="9" hidden="1"/>
    <cellStyle name="Lien hypertexte visité" xfId="16193" builtinId="9" hidden="1"/>
    <cellStyle name="Lien hypertexte visité" xfId="17523" builtinId="9" hidden="1"/>
    <cellStyle name="Lien hypertexte visité" xfId="22962" builtinId="9" hidden="1"/>
    <cellStyle name="Lien hypertexte visité" xfId="22616" builtinId="9" hidden="1"/>
    <cellStyle name="Lien hypertexte visité" xfId="17169" builtinId="9" hidden="1"/>
    <cellStyle name="Lien hypertexte visité" xfId="13110" builtinId="9" hidden="1"/>
    <cellStyle name="Lien hypertexte visité" xfId="11298" builtinId="9" hidden="1"/>
    <cellStyle name="Lien hypertexte visité" xfId="8566" builtinId="9" hidden="1"/>
    <cellStyle name="Lien hypertexte visité" xfId="12343" builtinId="9" hidden="1"/>
    <cellStyle name="Lien hypertexte visité" xfId="9607" builtinId="9" hidden="1"/>
    <cellStyle name="Lien hypertexte visité" xfId="5510" builtinId="9" hidden="1"/>
    <cellStyle name="Lien hypertexte visité" xfId="1407" builtinId="9" hidden="1"/>
    <cellStyle name="Lien hypertexte visité" xfId="2478" builtinId="9" hidden="1"/>
    <cellStyle name="Lien hypertexte visité" xfId="6580" builtinId="9" hidden="1"/>
    <cellStyle name="Lien hypertexte visité" xfId="10677" builtinId="9" hidden="1"/>
    <cellStyle name="Lien hypertexte visité" xfId="13397" builtinId="9" hidden="1"/>
    <cellStyle name="Lien hypertexte visité" xfId="9210" builtinId="9" hidden="1"/>
    <cellStyle name="Lien hypertexte visité" xfId="7153" builtinId="9" hidden="1"/>
    <cellStyle name="Lien hypertexte visité" xfId="2827" builtinId="9" hidden="1"/>
    <cellStyle name="Lien hypertexte visité" xfId="1350" builtinId="9" hidden="1"/>
    <cellStyle name="Lien hypertexte visité" xfId="6281" builtinId="9" hidden="1"/>
    <cellStyle name="Lien hypertexte visité" xfId="6149" builtinId="9" hidden="1"/>
    <cellStyle name="Lien hypertexte visité" xfId="12714" builtinId="9" hidden="1"/>
    <cellStyle name="Lien hypertexte visité" xfId="18474" builtinId="9" hidden="1"/>
    <cellStyle name="Lien hypertexte visité" xfId="23938" builtinId="9" hidden="1"/>
    <cellStyle name="Lien hypertexte visité" xfId="17113" builtinId="9" hidden="1"/>
    <cellStyle name="Lien hypertexte visité" xfId="11718" builtinId="9" hidden="1"/>
    <cellStyle name="Lien hypertexte visité" xfId="8990" builtinId="9" hidden="1"/>
    <cellStyle name="Lien hypertexte visité" xfId="10927" builtinId="9" hidden="1"/>
    <cellStyle name="Lien hypertexte visité" xfId="4782" builtinId="9" hidden="1"/>
    <cellStyle name="Lien hypertexte visité" xfId="195" builtinId="9" hidden="1"/>
    <cellStyle name="Lien hypertexte visité" xfId="6620" builtinId="9" hidden="1"/>
    <cellStyle name="Lien hypertexte visité" xfId="12765" builtinId="9" hidden="1"/>
    <cellStyle name="Lien hypertexte visité" xfId="19190" builtinId="9" hidden="1"/>
    <cellStyle name="Lien hypertexte visité" xfId="17765" builtinId="9" hidden="1"/>
    <cellStyle name="Lien hypertexte visité" xfId="9996" builtinId="9" hidden="1"/>
    <cellStyle name="Lien hypertexte visité" xfId="5899" builtinId="9" hidden="1"/>
    <cellStyle name="Lien hypertexte visité" xfId="1400" builtinId="9" hidden="1"/>
    <cellStyle name="Lien hypertexte visité" xfId="7551" builtinId="9" hidden="1"/>
    <cellStyle name="Lien hypertexte visité" xfId="2122" builtinId="9" hidden="1"/>
    <cellStyle name="Lien hypertexte visité" xfId="3773" builtinId="9" hidden="1"/>
    <cellStyle name="Lien hypertexte visité" xfId="4794" builtinId="9" hidden="1"/>
    <cellStyle name="Lien hypertexte visité" xfId="5450" builtinId="9" hidden="1"/>
    <cellStyle name="Lien hypertexte visité" xfId="6442" builtinId="9" hidden="1"/>
    <cellStyle name="Lien hypertexte visité" xfId="7466" builtinId="9" hidden="1"/>
    <cellStyle name="Lien hypertexte visité" xfId="8123" builtinId="9" hidden="1"/>
    <cellStyle name="Lien hypertexte visité" xfId="9107" builtinId="9" hidden="1"/>
    <cellStyle name="Lien hypertexte visité" xfId="2530" builtinId="9" hidden="1"/>
    <cellStyle name="Lien hypertexte visité" xfId="4840" builtinId="9" hidden="1"/>
    <cellStyle name="Lien hypertexte visité" xfId="8425" builtinId="9" hidden="1"/>
    <cellStyle name="Lien hypertexte visité" xfId="11881" builtinId="9" hidden="1"/>
    <cellStyle name="Lien hypertexte visité" xfId="14185" builtinId="9" hidden="1"/>
    <cellStyle name="Lien hypertexte visité" xfId="21006" builtinId="9" hidden="1"/>
    <cellStyle name="Lien hypertexte visité" xfId="21308" builtinId="9" hidden="1"/>
    <cellStyle name="Lien hypertexte visité" xfId="16717" builtinId="9" hidden="1"/>
    <cellStyle name="Lien hypertexte visité" xfId="12032" builtinId="9" hidden="1"/>
    <cellStyle name="Lien hypertexte visité" xfId="8944" builtinId="9" hidden="1"/>
    <cellStyle name="Lien hypertexte visité" xfId="9752" builtinId="9" hidden="1"/>
    <cellStyle name="Lien hypertexte visité" xfId="10904" builtinId="9" hidden="1"/>
    <cellStyle name="Lien hypertexte visité" xfId="12056" builtinId="9" hidden="1"/>
    <cellStyle name="Lien hypertexte visité" xfId="12872" builtinId="9" hidden="1"/>
    <cellStyle name="Lien hypertexte visité" xfId="14024" builtinId="9" hidden="1"/>
    <cellStyle name="Lien hypertexte visité" xfId="15917" builtinId="9" hidden="1"/>
    <cellStyle name="Lien hypertexte visité" xfId="17453" builtinId="9" hidden="1"/>
    <cellStyle name="Lien hypertexte visité" xfId="19740" builtinId="9" hidden="1"/>
    <cellStyle name="Lien hypertexte visité" xfId="22124" builtinId="9" hidden="1"/>
    <cellStyle name="Lien hypertexte visité" xfId="23660" builtinId="9" hidden="1"/>
    <cellStyle name="Lien hypertexte visité" xfId="23262" builtinId="9" hidden="1"/>
    <cellStyle name="Lien hypertexte visité" xfId="20862" builtinId="9" hidden="1"/>
    <cellStyle name="Lien hypertexte visité" xfId="19326" builtinId="9" hidden="1"/>
    <cellStyle name="Lien hypertexte visité" xfId="16959" builtinId="9" hidden="1"/>
    <cellStyle name="Lien hypertexte visité" xfId="14655" builtinId="9" hidden="1"/>
    <cellStyle name="Lien hypertexte visité" xfId="13817" builtinId="9" hidden="1"/>
    <cellStyle name="Lien hypertexte visité" xfId="12625" builtinId="9" hidden="1"/>
    <cellStyle name="Lien hypertexte visité" xfId="11473" builtinId="9" hidden="1"/>
    <cellStyle name="Lien hypertexte visité" xfId="10705" builtinId="9" hidden="1"/>
    <cellStyle name="Lien hypertexte visité" xfId="9505" builtinId="9" hidden="1"/>
    <cellStyle name="Lien hypertexte visité" xfId="8353" builtinId="9" hidden="1"/>
    <cellStyle name="Lien hypertexte visité" xfId="7544" builtinId="9" hidden="1"/>
    <cellStyle name="Lien hypertexte visité" xfId="6392" builtinId="9" hidden="1"/>
    <cellStyle name="Lien hypertexte visité" xfId="5240" builtinId="9" hidden="1"/>
    <cellStyle name="Lien hypertexte visité" xfId="4432" builtinId="9" hidden="1"/>
    <cellStyle name="Lien hypertexte visité" xfId="3274" builtinId="9" hidden="1"/>
    <cellStyle name="Lien hypertexte visité" xfId="3835" builtinId="9" hidden="1"/>
    <cellStyle name="Lien hypertexte visité" xfId="9297" builtinId="9" hidden="1"/>
    <cellStyle name="Lien hypertexte visité" xfId="20446" builtinId="9" hidden="1"/>
    <cellStyle name="Lien hypertexte visité" xfId="13464" builtinId="9" hidden="1"/>
    <cellStyle name="Lien hypertexte visité" xfId="11392" builtinId="9" hidden="1"/>
    <cellStyle name="Lien hypertexte visité" xfId="3170" builtinId="9" hidden="1"/>
    <cellStyle name="Lien hypertexte visité" xfId="3284" builtinId="9" hidden="1"/>
    <cellStyle name="Lien hypertexte visité" xfId="10355" builtinId="9" hidden="1"/>
    <cellStyle name="Lien hypertexte visité" xfId="9499" builtinId="9" hidden="1"/>
    <cellStyle name="Lien hypertexte visité" xfId="13843" builtinId="9" hidden="1"/>
    <cellStyle name="Lien hypertexte visité" xfId="13283" builtinId="9" hidden="1"/>
    <cellStyle name="Lien hypertexte visité" xfId="15027" builtinId="9" hidden="1"/>
    <cellStyle name="Lien hypertexte visité" xfId="16707" builtinId="9" hidden="1"/>
    <cellStyle name="Lien hypertexte visité" xfId="16883" builtinId="9" hidden="1"/>
    <cellStyle name="Lien hypertexte visité" xfId="15283" builtinId="9" hidden="1"/>
    <cellStyle name="Lien hypertexte visité" xfId="13411" builtinId="9" hidden="1"/>
    <cellStyle name="Lien hypertexte visité" xfId="13971" builtinId="9" hidden="1"/>
    <cellStyle name="Lien hypertexte visité" xfId="9595" builtinId="9" hidden="1"/>
    <cellStyle name="Lien hypertexte visité" xfId="10483" builtinId="9" hidden="1"/>
    <cellStyle name="Lien hypertexte visité" xfId="11067" builtinId="9" hidden="1"/>
    <cellStyle name="Lien hypertexte visité" xfId="11955" builtinId="9" hidden="1"/>
    <cellStyle name="Lien hypertexte visité" xfId="12803" builtinId="9" hidden="1"/>
    <cellStyle name="Lien hypertexte visité" xfId="5922" builtinId="9" hidden="1"/>
    <cellStyle name="Lien hypertexte visité" xfId="1099" builtinId="9" hidden="1"/>
    <cellStyle name="Lien hypertexte visité" xfId="2044" builtinId="9" hidden="1"/>
    <cellStyle name="Lien hypertexte visité" xfId="2668" builtinId="9" hidden="1"/>
    <cellStyle name="Lien hypertexte visité" xfId="15299" builtinId="9" hidden="1"/>
    <cellStyle name="Lien hypertexte visité" xfId="1157" builtinId="9" hidden="1"/>
    <cellStyle name="Lien hypertexte visité" xfId="3332" builtinId="9" hidden="1"/>
    <cellStyle name="Lien hypertexte visité" xfId="2420" builtinId="9" hidden="1"/>
    <cellStyle name="Lien hypertexte visité" xfId="1508" builtinId="9" hidden="1"/>
    <cellStyle name="Lien hypertexte visité" xfId="667" builtinId="9" hidden="1"/>
    <cellStyle name="Lien hypertexte visité" xfId="7138" builtinId="9" hidden="1"/>
    <cellStyle name="Lien hypertexte visité" xfId="12371" builtinId="9" hidden="1"/>
    <cellStyle name="Lien hypertexte visité" xfId="11827" builtinId="9" hidden="1"/>
    <cellStyle name="Lien hypertexte visité" xfId="10971" builtinId="9" hidden="1"/>
    <cellStyle name="Lien hypertexte visité" xfId="7402" builtinId="9" hidden="1"/>
    <cellStyle name="Lien hypertexte visité" xfId="6810" builtinId="9" hidden="1"/>
    <cellStyle name="Lien hypertexte visité" xfId="5898" builtinId="9" hidden="1"/>
    <cellStyle name="Lien hypertexte visité" xfId="5018" builtinId="9" hidden="1"/>
    <cellStyle name="Lien hypertexte visité" xfId="619" builtinId="9" hidden="1"/>
    <cellStyle name="Lien hypertexte visité" xfId="8603" builtinId="9" hidden="1"/>
    <cellStyle name="Lien hypertexte visité" xfId="2690" builtinId="9" hidden="1"/>
    <cellStyle name="Lien hypertexte visité" xfId="4872" builtinId="9" hidden="1"/>
    <cellStyle name="Lien hypertexte visité" xfId="5768" builtinId="9" hidden="1"/>
    <cellStyle name="Lien hypertexte visité" xfId="1281" builtinId="9" hidden="1"/>
    <cellStyle name="Lien hypertexte visité" xfId="3330" builtinId="9" hidden="1"/>
    <cellStyle name="Lien hypertexte visité" xfId="8787" builtinId="9" hidden="1"/>
    <cellStyle name="Lien hypertexte visité" xfId="4618" builtinId="9" hidden="1"/>
    <cellStyle name="Lien hypertexte visité" xfId="5202" builtinId="9" hidden="1"/>
    <cellStyle name="Lien hypertexte visité" xfId="6082" builtinId="9" hidden="1"/>
    <cellStyle name="Lien hypertexte visité" xfId="6994" builtinId="9" hidden="1"/>
    <cellStyle name="Lien hypertexte visité" xfId="7578" builtinId="9" hidden="1"/>
    <cellStyle name="Lien hypertexte visité" xfId="11139" builtinId="9" hidden="1"/>
    <cellStyle name="Lien hypertexte visité" xfId="11995" builtinId="9" hidden="1"/>
    <cellStyle name="Lien hypertexte visité" xfId="12539" builtinId="9" hidden="1"/>
    <cellStyle name="Lien hypertexte visité" xfId="5858" builtinId="9" hidden="1"/>
    <cellStyle name="Lien hypertexte visité" xfId="1035" builtinId="9" hidden="1"/>
    <cellStyle name="Lien hypertexte visité" xfId="1684" builtinId="9" hidden="1"/>
    <cellStyle name="Lien hypertexte visité" xfId="2604" builtinId="9" hidden="1"/>
    <cellStyle name="Lien hypertexte visité" xfId="3516" builtinId="9" hidden="1"/>
    <cellStyle name="Lien hypertexte visité" xfId="4106" builtinId="9" hidden="1"/>
    <cellStyle name="Lien hypertexte visité" xfId="15795" builtinId="9" hidden="1"/>
    <cellStyle name="Lien hypertexte visité" xfId="2484" builtinId="9" hidden="1"/>
    <cellStyle name="Lien hypertexte visité" xfId="1860" builtinId="9" hidden="1"/>
    <cellStyle name="Lien hypertexte visité" xfId="651" builtinId="9" hidden="1"/>
    <cellStyle name="Lien hypertexte visité" xfId="7202" builtinId="9" hidden="1"/>
    <cellStyle name="Lien hypertexte visité" xfId="12635" builtinId="9" hidden="1"/>
    <cellStyle name="Lien hypertexte visité" xfId="11747" builtinId="9" hidden="1"/>
    <cellStyle name="Lien hypertexte visité" xfId="10891" builtinId="9" hidden="1"/>
    <cellStyle name="Lien hypertexte visité" xfId="10315" builtinId="9" hidden="1"/>
    <cellStyle name="Lien hypertexte visité" xfId="10275" builtinId="9" hidden="1"/>
    <cellStyle name="Lien hypertexte visité" xfId="13771" builtinId="9" hidden="1"/>
    <cellStyle name="Lien hypertexte visité" xfId="13211" builtinId="9" hidden="1"/>
    <cellStyle name="Lien hypertexte visité" xfId="14947" builtinId="9" hidden="1"/>
    <cellStyle name="Lien hypertexte visité" xfId="17091" builtinId="9" hidden="1"/>
    <cellStyle name="Lien hypertexte visité" xfId="15955" builtinId="9" hidden="1"/>
    <cellStyle name="Lien hypertexte visité" xfId="15427" builtinId="9" hidden="1"/>
    <cellStyle name="Lien hypertexte visité" xfId="13451" builtinId="9" hidden="1"/>
    <cellStyle name="Lien hypertexte visité" xfId="14011" builtinId="9" hidden="1"/>
    <cellStyle name="Lien hypertexte visité" xfId="9675" builtinId="9" hidden="1"/>
    <cellStyle name="Lien hypertexte visité" xfId="10523" builtinId="9" hidden="1"/>
    <cellStyle name="Lien hypertexte visité" xfId="4754" builtinId="9" hidden="1"/>
    <cellStyle name="Lien hypertexte visité" xfId="8297" builtinId="9" hidden="1"/>
    <cellStyle name="Lien hypertexte visité" xfId="9712" builtinId="9" hidden="1"/>
    <cellStyle name="Lien hypertexte visité" xfId="15837" builtinId="9" hidden="1"/>
    <cellStyle name="Lien hypertexte visité" xfId="17039" builtinId="9" hidden="1"/>
    <cellStyle name="Lien hypertexte visité" xfId="7584" builtinId="9" hidden="1"/>
    <cellStyle name="Lien hypertexte visité" xfId="2330" builtinId="9" hidden="1"/>
    <cellStyle name="Lien hypertexte visité" xfId="3530" builtinId="9" hidden="1"/>
    <cellStyle name="Lien hypertexte visité" xfId="4688" builtinId="9" hidden="1"/>
    <cellStyle name="Lien hypertexte visité" xfId="5456" builtinId="9" hidden="1"/>
    <cellStyle name="Lien hypertexte visité" xfId="6648" builtinId="9" hidden="1"/>
    <cellStyle name="Lien hypertexte visité" xfId="7800" builtinId="9" hidden="1"/>
    <cellStyle name="Lien hypertexte visité" xfId="8569" builtinId="9" hidden="1"/>
    <cellStyle name="Lien hypertexte visité" xfId="9761" builtinId="9" hidden="1"/>
    <cellStyle name="Lien hypertexte visité" xfId="10913" builtinId="9" hidden="1"/>
    <cellStyle name="Lien hypertexte visité" xfId="11729" builtinId="9" hidden="1"/>
    <cellStyle name="Lien hypertexte visité" xfId="12881" builtinId="9" hidden="1"/>
    <cellStyle name="Lien hypertexte visité" xfId="14033" builtinId="9" hidden="1"/>
    <cellStyle name="Lien hypertexte visité" xfId="15167" builtinId="9" hidden="1"/>
    <cellStyle name="Lien hypertexte visité" xfId="17471" builtinId="9" hidden="1"/>
    <cellStyle name="Lien hypertexte visité" xfId="19838" builtinId="9" hidden="1"/>
    <cellStyle name="Lien hypertexte visité" xfId="21374" builtinId="9" hidden="1"/>
    <cellStyle name="Lien hypertexte visité" xfId="23678" builtinId="9" hidden="1"/>
    <cellStyle name="Lien hypertexte visité" xfId="23148" builtinId="9" hidden="1"/>
    <cellStyle name="Lien hypertexte visité" xfId="21612" builtinId="9" hidden="1"/>
    <cellStyle name="Lien hypertexte visité" xfId="19308" builtinId="9" hidden="1"/>
    <cellStyle name="Lien hypertexte visité" xfId="16941" builtinId="9" hidden="1"/>
    <cellStyle name="Lien hypertexte visité" xfId="15405" builtinId="9" hidden="1"/>
    <cellStyle name="Lien hypertexte visité" xfId="13768" builtinId="9" hidden="1"/>
    <cellStyle name="Lien hypertexte visité" xfId="12616" builtinId="9" hidden="1"/>
    <cellStyle name="Lien hypertexte visité" xfId="11848" builtinId="9" hidden="1"/>
    <cellStyle name="Lien hypertexte visité" xfId="10648" builtinId="9" hidden="1"/>
    <cellStyle name="Lien hypertexte visité" xfId="9496" builtinId="9" hidden="1"/>
    <cellStyle name="Lien hypertexte visité" xfId="9216" builtinId="9" hidden="1"/>
    <cellStyle name="Lien hypertexte visité" xfId="12800" builtinId="9" hidden="1"/>
    <cellStyle name="Lien hypertexte visité" xfId="17997" builtinId="9" hidden="1"/>
    <cellStyle name="Lien hypertexte visité" xfId="22844" builtinId="9" hidden="1"/>
    <cellStyle name="Lien hypertexte visité" xfId="19470" builtinId="9" hidden="1"/>
    <cellStyle name="Lien hypertexte visité" xfId="13545" builtinId="9" hidden="1"/>
    <cellStyle name="Lien hypertexte visité" xfId="11113" builtinId="9" hidden="1"/>
    <cellStyle name="Lien hypertexte visité" xfId="7656" builtinId="9" hidden="1"/>
    <cellStyle name="Lien hypertexte visité" xfId="4072" builtinId="9" hidden="1"/>
    <cellStyle name="Lien hypertexte visité" xfId="1762" builtinId="9" hidden="1"/>
    <cellStyle name="Lien hypertexte visité" xfId="8923" builtinId="9" hidden="1"/>
    <cellStyle name="Lien hypertexte visité" xfId="7899" builtinId="9" hidden="1"/>
    <cellStyle name="Lien hypertexte visité" xfId="7242" builtinId="9" hidden="1"/>
    <cellStyle name="Lien hypertexte visité" xfId="6258" builtinId="9" hidden="1"/>
    <cellStyle name="Lien hypertexte visité" xfId="5234" builtinId="9" hidden="1"/>
    <cellStyle name="Lien hypertexte visité" xfId="4570" builtinId="9" hidden="1"/>
    <cellStyle name="Lien hypertexte visité" xfId="3540" builtinId="9" hidden="1"/>
    <cellStyle name="Lien hypertexte visité" xfId="1265" builtinId="9" hidden="1"/>
    <cellStyle name="Lien hypertexte visité" xfId="6271" builtinId="9" hidden="1"/>
    <cellStyle name="Lien hypertexte visité" xfId="893" builtinId="9" hidden="1"/>
    <cellStyle name="Lien hypertexte visité" xfId="7179" builtinId="9" hidden="1"/>
    <cellStyle name="Lien hypertexte visité" xfId="11276" builtinId="9" hidden="1"/>
    <cellStyle name="Lien hypertexte visité" xfId="20308" builtinId="9" hidden="1"/>
    <cellStyle name="Lien hypertexte visité" xfId="16647" builtinId="9" hidden="1"/>
    <cellStyle name="Lien hypertexte visité" xfId="11485" builtinId="9" hidden="1"/>
    <cellStyle name="Lien hypertexte visité" xfId="5340" builtinId="9" hidden="1"/>
    <cellStyle name="Lien hypertexte visité" xfId="9663" builtinId="9" hidden="1"/>
    <cellStyle name="Lien hypertexte visité" xfId="10495" builtinId="9" hidden="1"/>
    <cellStyle name="Lien hypertexte visité" xfId="11871" builtinId="9" hidden="1"/>
    <cellStyle name="Lien hypertexte visité" xfId="13247" builtinId="9" hidden="1"/>
    <cellStyle name="Lien hypertexte visité" xfId="14271" builtinId="9" hidden="1"/>
    <cellStyle name="Lien hypertexte visité" xfId="16715" builtinId="9" hidden="1"/>
    <cellStyle name="Lien hypertexte visité" xfId="8934" builtinId="9" hidden="1"/>
    <cellStyle name="Lien hypertexte visité" xfId="5192" builtinId="9" hidden="1"/>
    <cellStyle name="Lien hypertexte visité" xfId="1015" builtinId="9" hidden="1"/>
    <cellStyle name="Lien hypertexte visité" xfId="8555" builtinId="9" hidden="1"/>
    <cellStyle name="Lien hypertexte visité" xfId="7819" builtinId="9" hidden="1"/>
    <cellStyle name="Lien hypertexte visité" xfId="6650" builtinId="9" hidden="1"/>
    <cellStyle name="Lien hypertexte visité" xfId="5482" builtinId="9" hidden="1"/>
    <cellStyle name="Lien hypertexte visité" xfId="4602" builtinId="9" hidden="1"/>
    <cellStyle name="Lien hypertexte visité" xfId="3428" builtinId="9" hidden="1"/>
    <cellStyle name="Lien hypertexte visité" xfId="2252" builtinId="9" hidden="1"/>
    <cellStyle name="Lien hypertexte visité" xfId="1524" builtinId="9" hidden="1"/>
    <cellStyle name="Lien hypertexte visité" xfId="4706" builtinId="9" hidden="1"/>
    <cellStyle name="Lien hypertexte visité" xfId="12459" builtinId="9" hidden="1"/>
    <cellStyle name="Lien hypertexte visité" xfId="11771" builtinId="9" hidden="1"/>
    <cellStyle name="Lien hypertexte visité" xfId="10683" builtinId="9" hidden="1"/>
    <cellStyle name="Lien hypertexte visité" xfId="9587" builtinId="9" hidden="1"/>
    <cellStyle name="Lien hypertexte visité" xfId="13995" builtinId="9" hidden="1"/>
    <cellStyle name="Lien hypertexte visité" xfId="12939" builtinId="9" hidden="1"/>
    <cellStyle name="Lien hypertexte visité" xfId="16179" builtinId="9" hidden="1"/>
    <cellStyle name="Lien hypertexte visité" xfId="17059" builtinId="9" hidden="1"/>
    <cellStyle name="Lien hypertexte visité" xfId="15315" builtinId="9" hidden="1"/>
    <cellStyle name="Lien hypertexte visité" xfId="13627" builtinId="9" hidden="1"/>
    <cellStyle name="Lien hypertexte visité" xfId="14283" builtinId="9" hidden="1"/>
    <cellStyle name="Lien hypertexte visité" xfId="10163" builtinId="9" hidden="1"/>
    <cellStyle name="Lien hypertexte visité" xfId="11251" builtinId="9" hidden="1"/>
    <cellStyle name="Lien hypertexte visité" xfId="12075" builtinId="9" hidden="1"/>
    <cellStyle name="Lien hypertexte visité" xfId="7586" builtinId="9" hidden="1"/>
    <cellStyle name="Lien hypertexte visité" xfId="1051" builtinId="9" hidden="1"/>
    <cellStyle name="Lien hypertexte visité" xfId="1844" builtinId="9" hidden="1"/>
    <cellStyle name="Lien hypertexte visité" xfId="3012" builtinId="9" hidden="1"/>
    <cellStyle name="Lien hypertexte visité" xfId="4186" builtinId="9" hidden="1"/>
    <cellStyle name="Lien hypertexte visité" xfId="4922" builtinId="9" hidden="1"/>
    <cellStyle name="Lien hypertexte visité" xfId="6090" builtinId="9" hidden="1"/>
    <cellStyle name="Lien hypertexte visité" xfId="7258" builtinId="9" hidden="1"/>
    <cellStyle name="Lien hypertexte visité" xfId="8139" builtinId="9" hidden="1"/>
    <cellStyle name="Lien hypertexte visité" xfId="9307" builtinId="9" hidden="1"/>
    <cellStyle name="Lien hypertexte visité" xfId="3755" builtinId="9" hidden="1"/>
    <cellStyle name="Lien hypertexte visité" xfId="6312" builtinId="9" hidden="1"/>
    <cellStyle name="Lien hypertexte visité" xfId="10409" builtinId="9" hidden="1"/>
    <cellStyle name="Lien hypertexte visité" xfId="14505" builtinId="9" hidden="1"/>
    <cellStyle name="Lien hypertexte visité" xfId="19598" builtinId="9" hidden="1"/>
    <cellStyle name="Lien hypertexte visité" xfId="21436" builtinId="9" hidden="1"/>
    <cellStyle name="Lien hypertexte visité" xfId="13888" builtinId="9" hidden="1"/>
    <cellStyle name="Lien hypertexte visité" xfId="10816" builtinId="9" hidden="1"/>
    <cellStyle name="Lien hypertexte visité" xfId="9560" builtinId="9" hidden="1"/>
    <cellStyle name="Lien hypertexte visité" xfId="10928" builtinId="9" hidden="1"/>
    <cellStyle name="Lien hypertexte visité" xfId="11784" builtinId="9" hidden="1"/>
    <cellStyle name="Lien hypertexte visité" xfId="13144" builtinId="9" hidden="1"/>
    <cellStyle name="Lien hypertexte visité" xfId="14512" builtinId="9" hidden="1"/>
    <cellStyle name="Lien hypertexte visité" xfId="16221" builtinId="9" hidden="1"/>
    <cellStyle name="Lien hypertexte visité" xfId="18924" builtinId="9" hidden="1"/>
    <cellStyle name="Lien hypertexte visité" xfId="21660" builtinId="9" hidden="1"/>
    <cellStyle name="Lien hypertexte visité" xfId="23708" builtinId="9" hidden="1"/>
    <cellStyle name="Lien hypertexte visité" xfId="22782" builtinId="9" hidden="1"/>
    <cellStyle name="Lien hypertexte visité" xfId="20062" builtinId="9" hidden="1"/>
    <cellStyle name="Lien hypertexte visité" xfId="18350" builtinId="9" hidden="1"/>
    <cellStyle name="Lien hypertexte visité" xfId="15631" builtinId="9" hidden="1"/>
    <cellStyle name="Lien hypertexte visité" xfId="13713" builtinId="9" hidden="1"/>
    <cellStyle name="Lien hypertexte visité" xfId="12857" builtinId="9" hidden="1"/>
    <cellStyle name="Lien hypertexte visité" xfId="11489" builtinId="9" hidden="1"/>
    <cellStyle name="Lien hypertexte visité" xfId="10129" builtinId="9" hidden="1"/>
    <cellStyle name="Lien hypertexte visité" xfId="9105" builtinId="9" hidden="1"/>
    <cellStyle name="Lien hypertexte visité" xfId="7736" builtinId="9" hidden="1"/>
    <cellStyle name="Lien hypertexte visité" xfId="6368" builtinId="9" hidden="1"/>
    <cellStyle name="Lien hypertexte visité" xfId="5520" builtinId="9" hidden="1"/>
    <cellStyle name="Lien hypertexte visité" xfId="4152" builtinId="9" hidden="1"/>
    <cellStyle name="Lien hypertexte visité" xfId="2778" builtinId="9" hidden="1"/>
    <cellStyle name="Lien hypertexte visité" xfId="1930" builtinId="9" hidden="1"/>
    <cellStyle name="Lien hypertexte visité" xfId="67" builtinId="9" hidden="1"/>
    <cellStyle name="Lien hypertexte visité" xfId="7263" builtinId="9" hidden="1"/>
    <cellStyle name="Lien hypertexte visité" xfId="5727" builtinId="9" hidden="1"/>
    <cellStyle name="Lien hypertexte visité" xfId="3681" builtinId="9" hidden="1"/>
    <cellStyle name="Lien hypertexte visité" xfId="1625" builtinId="9" hidden="1"/>
    <cellStyle name="Lien hypertexte visité" xfId="445" builtinId="9" hidden="1"/>
    <cellStyle name="Lien hypertexte visité" xfId="2853" builtinId="9" hidden="1"/>
    <cellStyle name="Lien hypertexte visité" xfId="4907" builtinId="9" hidden="1"/>
    <cellStyle name="Lien hypertexte visité" xfId="6187" builtinId="9" hidden="1"/>
    <cellStyle name="Lien hypertexte visité" xfId="8236" builtinId="9" hidden="1"/>
    <cellStyle name="Lien hypertexte visité" xfId="10284" builtinId="9" hidden="1"/>
    <cellStyle name="Lien hypertexte visité" xfId="11820" builtinId="9" hidden="1"/>
    <cellStyle name="Lien hypertexte visité" xfId="13868" builtinId="9" hidden="1"/>
    <cellStyle name="Lien hypertexte visité" xfId="17317" builtinId="9" hidden="1"/>
    <cellStyle name="Lien hypertexte visité" xfId="19860" builtinId="9" hidden="1"/>
    <cellStyle name="Lien hypertexte visité" xfId="23956" builtinId="9" hidden="1"/>
    <cellStyle name="Lien hypertexte visité" xfId="21174" builtinId="9" hidden="1"/>
    <cellStyle name="Lien hypertexte visité" xfId="18614" builtinId="9" hidden="1"/>
    <cellStyle name="Lien hypertexte visité" xfId="14535" builtinId="9" hidden="1"/>
    <cellStyle name="Lien hypertexte visité" xfId="12477" builtinId="9" hidden="1"/>
    <cellStyle name="Lien hypertexte visité" xfId="10941" builtinId="9" hidden="1"/>
    <cellStyle name="Lien hypertexte visité" xfId="8893" builtinId="9" hidden="1"/>
    <cellStyle name="Lien hypertexte visité" xfId="6844" builtinId="9" hidden="1"/>
    <cellStyle name="Lien hypertexte visité" xfId="5564" builtinId="9" hidden="1"/>
    <cellStyle name="Lien hypertexte visité" xfId="3510" builtinId="9" hidden="1"/>
    <cellStyle name="Lien hypertexte visité" xfId="1461" builtinId="9" hidden="1"/>
    <cellStyle name="Lien hypertexte visité" xfId="771" builtinId="9" hidden="1"/>
    <cellStyle name="Lien hypertexte visité" xfId="3016" builtinId="9" hidden="1"/>
    <cellStyle name="Lien hypertexte visité" xfId="5070" builtinId="9" hidden="1"/>
    <cellStyle name="Lien hypertexte visité" xfId="6606" builtinId="9" hidden="1"/>
    <cellStyle name="Lien hypertexte visité" xfId="8655" builtinId="9" hidden="1"/>
    <cellStyle name="Lien hypertexte visité" xfId="10703" builtinId="9" hidden="1"/>
    <cellStyle name="Lien hypertexte visité" xfId="11983" builtinId="9" hidden="1"/>
    <cellStyle name="Lien hypertexte visité" xfId="14031" builtinId="9" hidden="1"/>
    <cellStyle name="Lien hypertexte visité" xfId="8326" builtinId="9" hidden="1"/>
    <cellStyle name="Lien hypertexte visité" xfId="9182" builtinId="9" hidden="1"/>
    <cellStyle name="Lien hypertexte visité" xfId="10546" builtinId="9" hidden="1"/>
    <cellStyle name="Lien hypertexte visité" xfId="11910" builtinId="9" hidden="1"/>
    <cellStyle name="Lien hypertexte visité" xfId="12934" builtinId="9" hidden="1"/>
    <cellStyle name="Lien hypertexte visité" xfId="14302" builtinId="9" hidden="1"/>
    <cellStyle name="Lien hypertexte visité" xfId="16817" builtinId="9" hidden="1"/>
    <cellStyle name="Lien hypertexte visité" xfId="18504" builtinId="9" hidden="1"/>
    <cellStyle name="Lien hypertexte visité" xfId="21240" builtinId="9" hidden="1"/>
    <cellStyle name="Lien hypertexte visité" xfId="23968" builtinId="9" hidden="1"/>
    <cellStyle name="Lien hypertexte visité" xfId="23554" builtinId="9" hidden="1"/>
    <cellStyle name="Lien hypertexte visité" xfId="20818" builtinId="9" hidden="1"/>
    <cellStyle name="Lien hypertexte visité" xfId="18107" builtinId="9" hidden="1"/>
    <cellStyle name="Lien hypertexte visité" xfId="21050" builtinId="9" hidden="1"/>
    <cellStyle name="Lien hypertexte visité" xfId="19984" builtinId="9" hidden="1"/>
    <cellStyle name="Lien hypertexte visité" xfId="13162" builtinId="9" hidden="1"/>
    <cellStyle name="Lien hypertexte visité" xfId="10602" builtinId="9" hidden="1"/>
    <cellStyle name="Lien hypertexte visité" xfId="4413" builtinId="9" hidden="1"/>
    <cellStyle name="Lien hypertexte visité" xfId="5585" builtinId="9" hidden="1"/>
    <cellStyle name="Lien hypertexte visité" xfId="6317" builtinId="9" hidden="1"/>
    <cellStyle name="Lien hypertexte visité" xfId="7485" builtinId="9" hidden="1"/>
    <cellStyle name="Lien hypertexte visité" xfId="5129" builtinId="9" hidden="1"/>
    <cellStyle name="Lien hypertexte visité" xfId="2863" builtinId="9" hidden="1"/>
    <cellStyle name="Lien hypertexte visité" xfId="3395" builtinId="9" hidden="1"/>
    <cellStyle name="Lien hypertexte visité" xfId="1238" builtinId="9" hidden="1"/>
    <cellStyle name="Lien hypertexte visité" xfId="593" builtinId="9" hidden="1"/>
    <cellStyle name="Lien hypertexte visité" xfId="1827" builtinId="9" hidden="1"/>
    <cellStyle name="Lien hypertexte visité" xfId="3355" builtinId="9" hidden="1"/>
    <cellStyle name="Lien hypertexte visité" xfId="2671" builtinId="9" hidden="1"/>
    <cellStyle name="Lien hypertexte visité" xfId="8158" builtinId="9" hidden="1"/>
    <cellStyle name="Lien hypertexte visité" xfId="6989" builtinId="9" hidden="1"/>
    <cellStyle name="Lien hypertexte visité" xfId="6109" builtinId="9" hidden="1"/>
    <cellStyle name="Lien hypertexte visité" xfId="4941" builtinId="9" hidden="1"/>
    <cellStyle name="Lien hypertexte visité" xfId="8762" builtinId="9" hidden="1"/>
    <cellStyle name="Lien hypertexte visité" xfId="19046" builtinId="9" hidden="1"/>
    <cellStyle name="Lien hypertexte visité" xfId="16343" builtinId="9" hidden="1"/>
    <cellStyle name="Lien hypertexte visité" xfId="14069" builtinId="9" hidden="1"/>
    <cellStyle name="Lien hypertexte visité" xfId="13205" builtinId="9" hidden="1"/>
    <cellStyle name="Lien hypertexte visité" xfId="11845" builtinId="9" hidden="1"/>
    <cellStyle name="Lien hypertexte visité" xfId="10485" builtinId="9" hidden="1"/>
    <cellStyle name="Lien hypertexte visité" xfId="9461" builtinId="9" hidden="1"/>
    <cellStyle name="Lien hypertexte visité" xfId="8085" builtinId="9" hidden="1"/>
    <cellStyle name="Lien hypertexte visité" xfId="6724" builtinId="9" hidden="1"/>
    <cellStyle name="Lien hypertexte visité" xfId="5876" builtinId="9" hidden="1"/>
    <cellStyle name="Lien hypertexte visité" xfId="4500" builtinId="9" hidden="1"/>
    <cellStyle name="Lien hypertexte visité" xfId="3134" builtinId="9" hidden="1"/>
    <cellStyle name="Lien hypertexte visité" xfId="2286" builtinId="9" hidden="1"/>
    <cellStyle name="Lien hypertexte visité" xfId="655" builtinId="9" hidden="1"/>
    <cellStyle name="Lien hypertexte visité" xfId="1600" builtinId="9" hidden="1"/>
    <cellStyle name="Lien hypertexte visité" xfId="2624" builtinId="9" hidden="1"/>
    <cellStyle name="Lien hypertexte visité" xfId="3990" builtinId="9" hidden="1"/>
    <cellStyle name="Lien hypertexte visité" xfId="5366" builtinId="9" hidden="1"/>
    <cellStyle name="Lien hypertexte visité" xfId="6214" builtinId="9" hidden="1"/>
    <cellStyle name="Lien hypertexte visité" xfId="7574" builtinId="9" hidden="1"/>
    <cellStyle name="Lien hypertexte visité" xfId="8951" builtinId="9" hidden="1"/>
    <cellStyle name="Lien hypertexte visité" xfId="9799" builtinId="9" hidden="1"/>
    <cellStyle name="Lien hypertexte visité" xfId="11159" builtinId="9" hidden="1"/>
    <cellStyle name="Lien hypertexte visité" xfId="12535" builtinId="9" hidden="1"/>
    <cellStyle name="Lien hypertexte visité" xfId="13559" builtinId="9" hidden="1"/>
    <cellStyle name="Lien hypertexte visité" xfId="15323" builtinId="9" hidden="1"/>
    <cellStyle name="Lien hypertexte visité" xfId="8462" builtinId="9" hidden="1"/>
    <cellStyle name="Lien hypertexte visité" xfId="9038" builtinId="9" hidden="1"/>
    <cellStyle name="Lien hypertexte visité" xfId="9942" builtinId="9" hidden="1"/>
    <cellStyle name="Lien hypertexte visité" xfId="10850" builtinId="9" hidden="1"/>
    <cellStyle name="Lien hypertexte visité" xfId="11426" builtinId="9" hidden="1"/>
    <cellStyle name="Lien hypertexte visité" xfId="12334" builtinId="9" hidden="1"/>
    <cellStyle name="Lien hypertexte visité" xfId="13238" builtinId="9" hidden="1"/>
    <cellStyle name="Lien hypertexte visité" xfId="13922" builtinId="9" hidden="1"/>
    <cellStyle name="Lien hypertexte visité" xfId="15161" builtinId="9" hidden="1"/>
    <cellStyle name="Lien hypertexte visité" xfId="16977" builtinId="9" hidden="1"/>
    <cellStyle name="Lien hypertexte visité" xfId="18105" builtinId="9" hidden="1"/>
    <cellStyle name="Lien hypertexte visité" xfId="19928" builtinId="9" hidden="1"/>
    <cellStyle name="Lien hypertexte visité" xfId="21736" builtinId="9" hidden="1"/>
    <cellStyle name="Lien hypertexte visité" xfId="22872" builtinId="9" hidden="1"/>
    <cellStyle name="Lien hypertexte visité" xfId="24522" builtinId="9" hidden="1"/>
    <cellStyle name="Lien hypertexte visité" xfId="22706" builtinId="9" hidden="1"/>
    <cellStyle name="Lien hypertexte visité" xfId="21346" builtinId="9" hidden="1"/>
    <cellStyle name="Lien hypertexte visité" xfId="19530" builtinId="9" hidden="1"/>
    <cellStyle name="Lien hypertexte visité" xfId="17715" builtinId="9" hidden="1"/>
    <cellStyle name="Lien hypertexte visité" xfId="19482" builtinId="9" hidden="1"/>
    <cellStyle name="Lien hypertexte visité" xfId="24304" builtinId="9" hidden="1"/>
    <cellStyle name="Lien hypertexte visité" xfId="18800" builtinId="9" hidden="1"/>
    <cellStyle name="Lien hypertexte visité" xfId="15425" builtinId="9" hidden="1"/>
    <cellStyle name="Lien hypertexte visité" xfId="12250" builtinId="9" hidden="1"/>
    <cellStyle name="Lien hypertexte visité" xfId="18608" builtinId="9" hidden="1"/>
    <cellStyle name="Lien hypertexte visité" xfId="18330" builtinId="9" hidden="1"/>
    <cellStyle name="Lien hypertexte visité" xfId="22410" builtinId="9" hidden="1"/>
    <cellStyle name="Lien hypertexte visité" xfId="21352" builtinId="9" hidden="1"/>
    <cellStyle name="Lien hypertexte visité" xfId="17961" builtinId="9" hidden="1"/>
    <cellStyle name="Lien hypertexte visité" xfId="13506" builtinId="9" hidden="1"/>
    <cellStyle name="Lien hypertexte visité" xfId="10774" builtinId="9" hidden="1"/>
    <cellStyle name="Lien hypertexte visité" xfId="9070" builtinId="9" hidden="1"/>
    <cellStyle name="Lien hypertexte visité" xfId="13095" builtinId="9" hidden="1"/>
    <cellStyle name="Lien hypertexte visité" xfId="8999" builtinId="9" hidden="1"/>
    <cellStyle name="Lien hypertexte visité" xfId="5926" builtinId="9" hidden="1"/>
    <cellStyle name="Lien hypertexte visité" xfId="1824" builtinId="9" hidden="1"/>
    <cellStyle name="Lien hypertexte visité" xfId="3422" builtinId="9" hidden="1"/>
    <cellStyle name="Lien hypertexte visité" xfId="5988" builtinId="9" hidden="1"/>
    <cellStyle name="Lien hypertexte visité" xfId="10085" builtinId="9" hidden="1"/>
    <cellStyle name="Lien hypertexte visité" xfId="14181" builtinId="9" hidden="1"/>
    <cellStyle name="Lien hypertexte visité" xfId="18950" builtinId="9" hidden="1"/>
    <cellStyle name="Lien hypertexte visité" xfId="6323" builtinId="9" hidden="1"/>
    <cellStyle name="Lien hypertexte visité" xfId="7491" builtinId="9" hidden="1"/>
    <cellStyle name="Lien hypertexte visité" xfId="8372" builtinId="9" hidden="1"/>
    <cellStyle name="Lien hypertexte visité" xfId="9540" builtinId="9" hidden="1"/>
    <cellStyle name="Lien hypertexte visité" xfId="10708" builtinId="9" hidden="1"/>
    <cellStyle name="Lien hypertexte visité" xfId="11444" builtinId="9" hidden="1"/>
    <cellStyle name="Lien hypertexte visité" xfId="12612" builtinId="9" hidden="1"/>
    <cellStyle name="Lien hypertexte visité" xfId="13780" builtinId="9" hidden="1"/>
    <cellStyle name="Lien hypertexte visité" xfId="14517" builtinId="9" hidden="1"/>
    <cellStyle name="Lien hypertexte visité" xfId="16853" builtinId="9" hidden="1"/>
    <cellStyle name="Lien hypertexte visité" xfId="19172" builtinId="9" hidden="1"/>
    <cellStyle name="Lien hypertexte visité" xfId="20932" builtinId="9" hidden="1"/>
    <cellStyle name="Lien hypertexte visité" xfId="23268" builtinId="9" hidden="1"/>
    <cellStyle name="Lien hypertexte visité" xfId="23622" builtinId="9" hidden="1"/>
    <cellStyle name="Lien hypertexte visité" xfId="22150" builtinId="9" hidden="1"/>
    <cellStyle name="Lien hypertexte visité" xfId="19814" builtinId="9" hidden="1"/>
    <cellStyle name="Lien hypertexte visité" xfId="18756" builtinId="9" hidden="1"/>
    <cellStyle name="Lien hypertexte visité" xfId="11524" builtinId="9" hidden="1"/>
    <cellStyle name="Lien hypertexte visité" xfId="2593" builtinId="9" hidden="1"/>
    <cellStyle name="Lien hypertexte visité" xfId="1505" builtinId="9" hidden="1"/>
    <cellStyle name="Lien hypertexte visité" xfId="177" builtinId="9" hidden="1"/>
    <cellStyle name="Lien hypertexte visité" xfId="1565" builtinId="9" hidden="1"/>
    <cellStyle name="Lien hypertexte visité" xfId="2653" builtinId="9" hidden="1"/>
    <cellStyle name="Lien hypertexte visité" xfId="3341" builtinId="9" hidden="1"/>
    <cellStyle name="Lien hypertexte visité" xfId="4435" builtinId="9" hidden="1"/>
    <cellStyle name="Lien hypertexte visité" xfId="1141" builtinId="9" hidden="1"/>
    <cellStyle name="Lien hypertexte visité" xfId="5399" builtinId="9" hidden="1"/>
    <cellStyle name="Lien hypertexte visité" xfId="4343" builtinId="9" hidden="1"/>
    <cellStyle name="Lien hypertexte visité" xfId="3281" builtinId="9" hidden="1"/>
    <cellStyle name="Lien hypertexte visité" xfId="7175" builtinId="9" hidden="1"/>
    <cellStyle name="Lien hypertexte visité" xfId="6135" builtinId="9" hidden="1"/>
    <cellStyle name="Lien hypertexte visité" xfId="8392" builtinId="9" hidden="1"/>
    <cellStyle name="Lien hypertexte visité" xfId="8776" builtinId="9" hidden="1"/>
    <cellStyle name="Lien hypertexte visité" xfId="7783" builtinId="9" hidden="1"/>
    <cellStyle name="Lien hypertexte visité" xfId="6599" builtinId="9" hidden="1"/>
    <cellStyle name="Lien hypertexte visité" xfId="7255" builtinId="9" hidden="1"/>
    <cellStyle name="Lien hypertexte visité" xfId="3618" builtinId="9" hidden="1"/>
    <cellStyle name="Lien hypertexte visité" xfId="4679" builtinId="9" hidden="1"/>
    <cellStyle name="Lien hypertexte visité" xfId="5479" builtinId="9" hidden="1"/>
    <cellStyle name="Lien hypertexte visité" xfId="5027" builtinId="9" hidden="1"/>
    <cellStyle name="Lien hypertexte visité" xfId="3939" builtinId="9" hidden="1"/>
    <cellStyle name="Lien hypertexte visité" xfId="3245" builtinId="9" hidden="1"/>
    <cellStyle name="Lien hypertexte visité" xfId="2157" builtinId="9" hidden="1"/>
    <cellStyle name="Lien hypertexte visité" xfId="973" builtinId="9" hidden="1"/>
    <cellStyle name="Lien hypertexte visité" xfId="373" builtinId="9" hidden="1"/>
    <cellStyle name="Lien hypertexte visité" xfId="1857" builtinId="9" hidden="1"/>
    <cellStyle name="Lien hypertexte visité" xfId="6019" builtinId="9" hidden="1"/>
    <cellStyle name="Lien hypertexte visité" xfId="12164" builtinId="9" hidden="1"/>
    <cellStyle name="Lien hypertexte visité" xfId="23046" builtinId="9" hidden="1"/>
    <cellStyle name="Lien hypertexte visité" xfId="20870" builtinId="9" hidden="1"/>
    <cellStyle name="Lien hypertexte visité" xfId="22342" builtinId="9" hidden="1"/>
    <cellStyle name="Lien hypertexte visité" xfId="24548" builtinId="9" hidden="1"/>
    <cellStyle name="Lien hypertexte visité" xfId="22212" builtinId="9" hidden="1"/>
    <cellStyle name="Lien hypertexte visité" xfId="20740" builtinId="9" hidden="1"/>
    <cellStyle name="Lien hypertexte visité" xfId="18404" builtinId="9" hidden="1"/>
    <cellStyle name="Lien hypertexte visité" xfId="16085" builtinId="9" hidden="1"/>
    <cellStyle name="Lien hypertexte visité" xfId="14420" builtinId="9" hidden="1"/>
    <cellStyle name="Lien hypertexte visité" xfId="13252" builtinId="9" hidden="1"/>
    <cellStyle name="Lien hypertexte visité" xfId="12084" builtinId="9" hidden="1"/>
    <cellStyle name="Lien hypertexte visité" xfId="11348" builtinId="9" hidden="1"/>
    <cellStyle name="Lien hypertexte visité" xfId="10180" builtinId="9" hidden="1"/>
    <cellStyle name="Lien hypertexte visité" xfId="9012" builtinId="9" hidden="1"/>
    <cellStyle name="Lien hypertexte visité" xfId="8276" builtinId="9" hidden="1"/>
    <cellStyle name="Lien hypertexte visité" xfId="7107" builtinId="9" hidden="1"/>
    <cellStyle name="Lien hypertexte visité" xfId="5939" builtinId="9" hidden="1"/>
    <cellStyle name="Lien hypertexte visité" xfId="18318" builtinId="9" hidden="1"/>
    <cellStyle name="Lien hypertexte visité" xfId="12325" builtinId="9" hidden="1"/>
    <cellStyle name="Lien hypertexte visité" xfId="8229" builtinId="9" hidden="1"/>
    <cellStyle name="Lien hypertexte visité" xfId="5668" builtinId="9" hidden="1"/>
    <cellStyle name="Lien hypertexte visité" xfId="1650" builtinId="9" hidden="1"/>
    <cellStyle name="Lien hypertexte visité" xfId="263" builtinId="9" hidden="1"/>
    <cellStyle name="Lien hypertexte visité" xfId="8704" builtinId="9" hidden="1"/>
    <cellStyle name="Lien hypertexte visité" xfId="7359" builtinId="9" hidden="1"/>
    <cellStyle name="Lien hypertexte visité" xfId="5951" builtinId="9" hidden="1"/>
    <cellStyle name="Lien hypertexte visité" xfId="4927" builtinId="9" hidden="1"/>
    <cellStyle name="Lien hypertexte visité" xfId="3578" builtinId="9" hidden="1"/>
    <cellStyle name="Lien hypertexte visité" xfId="2233" builtinId="9" hidden="1"/>
    <cellStyle name="Lien hypertexte visité" xfId="1336" builtinId="9" hidden="1"/>
    <cellStyle name="Lien hypertexte visité" xfId="1149" builtinId="9" hidden="1"/>
    <cellStyle name="Lien hypertexte visité" xfId="2501" builtinId="9" hidden="1"/>
    <cellStyle name="Lien hypertexte visité" xfId="3397" builtinId="9" hidden="1"/>
    <cellStyle name="Lien hypertexte visité" xfId="4747" builtinId="9" hidden="1"/>
    <cellStyle name="Lien hypertexte visité" xfId="6091" builtinId="9" hidden="1"/>
    <cellStyle name="Lien hypertexte visité" xfId="7115" builtinId="9" hidden="1"/>
    <cellStyle name="Lien hypertexte visité" xfId="8524" builtinId="9" hidden="1"/>
    <cellStyle name="Lien hypertexte visité" xfId="9868" builtinId="9" hidden="1"/>
    <cellStyle name="Lien hypertexte visité" xfId="10700" builtinId="9" hidden="1"/>
    <cellStyle name="Lien hypertexte visité" xfId="12108" builtinId="9" hidden="1"/>
    <cellStyle name="Lien hypertexte visité" xfId="13452" builtinId="9" hidden="1"/>
    <cellStyle name="Lien hypertexte visité" xfId="14284" builtinId="9" hidden="1"/>
    <cellStyle name="Lien hypertexte visité" xfId="16869" builtinId="9" hidden="1"/>
    <cellStyle name="Lien hypertexte visité" xfId="19540" builtinId="9" hidden="1"/>
    <cellStyle name="Lien hypertexte visité" xfId="21588" builtinId="9" hidden="1"/>
    <cellStyle name="Lien hypertexte visité" xfId="24276" builtinId="9" hidden="1"/>
    <cellStyle name="Lien hypertexte visité" xfId="22134" builtinId="9" hidden="1"/>
    <cellStyle name="Lien hypertexte visité" xfId="20470" builtinId="9" hidden="1"/>
    <cellStyle name="Lien hypertexte visité" xfId="17799" builtinId="9" hidden="1"/>
    <cellStyle name="Lien hypertexte visité" xfId="14983" builtinId="9" hidden="1"/>
    <cellStyle name="Lien hypertexte visité" xfId="13917" builtinId="9" hidden="1"/>
    <cellStyle name="Lien hypertexte visité" xfId="12573" builtinId="9" hidden="1"/>
    <cellStyle name="Lien hypertexte visité" xfId="11165" builtinId="9" hidden="1"/>
    <cellStyle name="Lien hypertexte visité" xfId="10141" builtinId="9" hidden="1"/>
    <cellStyle name="Lien hypertexte visité" xfId="8797" builtinId="9" hidden="1"/>
    <cellStyle name="Lien hypertexte visité" xfId="7452" builtinId="9" hidden="1"/>
    <cellStyle name="Lien hypertexte visité" xfId="6556" builtinId="9" hidden="1"/>
    <cellStyle name="Lien hypertexte visité" xfId="5212" builtinId="9" hidden="1"/>
    <cellStyle name="Lien hypertexte visité" xfId="3871" builtinId="9" hidden="1"/>
    <cellStyle name="Lien hypertexte visité" xfId="2966" builtinId="9" hidden="1"/>
    <cellStyle name="Lien hypertexte visité" xfId="1622" builtinId="9" hidden="1"/>
    <cellStyle name="Lien hypertexte visité" xfId="579" builtinId="9" hidden="1"/>
    <cellStyle name="Lien hypertexte visité" xfId="1896" builtinId="9" hidden="1"/>
    <cellStyle name="Lien hypertexte visité" xfId="3304" builtinId="9" hidden="1"/>
    <cellStyle name="Lien hypertexte visité" xfId="4654" builtinId="9" hidden="1"/>
    <cellStyle name="Lien hypertexte visité" xfId="5486" builtinId="9" hidden="1"/>
    <cellStyle name="Lien hypertexte visité" xfId="6894" builtinId="9" hidden="1"/>
    <cellStyle name="Lien hypertexte visité" xfId="8239" builtinId="9" hidden="1"/>
    <cellStyle name="Lien hypertexte visité" xfId="9071" builtinId="9" hidden="1"/>
    <cellStyle name="Lien hypertexte visité" xfId="10479" builtinId="9" hidden="1"/>
    <cellStyle name="Lien hypertexte visité" xfId="11823" builtinId="9" hidden="1"/>
    <cellStyle name="Lien hypertexte visité" xfId="12847" builtinId="9" hidden="1"/>
    <cellStyle name="Lien hypertexte visité" xfId="14191" builtinId="9" hidden="1"/>
    <cellStyle name="Lien hypertexte visité" xfId="16683" builtinId="9" hidden="1"/>
    <cellStyle name="Lien hypertexte visité" xfId="8562" builtinId="9" hidden="1"/>
    <cellStyle name="Lien hypertexte visité" xfId="9458" builtinId="9" hidden="1"/>
    <cellStyle name="Lien hypertexte visité" xfId="10398" builtinId="9" hidden="1"/>
    <cellStyle name="Lien hypertexte visité" xfId="10950" builtinId="9" hidden="1"/>
    <cellStyle name="Lien hypertexte visité" xfId="11846" builtinId="9" hidden="1"/>
    <cellStyle name="Lien hypertexte visité" xfId="12786" builtinId="9" hidden="1"/>
    <cellStyle name="Lien hypertexte visité" xfId="13470" builtinId="9" hidden="1"/>
    <cellStyle name="Lien hypertexte visité" xfId="14366" builtinId="9" hidden="1"/>
    <cellStyle name="Lien hypertexte visité" xfId="16009" builtinId="9" hidden="1"/>
    <cellStyle name="Lien hypertexte visité" xfId="17201" builtinId="9" hidden="1"/>
    <cellStyle name="Lien hypertexte visité" xfId="18976" builtinId="9" hidden="1"/>
    <cellStyle name="Lien hypertexte visité" xfId="20768" builtinId="9" hidden="1"/>
    <cellStyle name="Lien hypertexte visité" xfId="21960" builtinId="9" hidden="1"/>
    <cellStyle name="Lien hypertexte visité" xfId="23752" builtinId="9" hidden="1"/>
    <cellStyle name="Lien hypertexte visité" xfId="23682" builtinId="9" hidden="1"/>
    <cellStyle name="Lien hypertexte visité" xfId="22314" builtinId="9" hidden="1"/>
    <cellStyle name="Lien hypertexte visité" xfId="20434" builtinId="9" hidden="1"/>
    <cellStyle name="Lien hypertexte visité" xfId="18642" builtinId="9" hidden="1"/>
    <cellStyle name="Lien hypertexte visité" xfId="17555" builtinId="9" hidden="1"/>
    <cellStyle name="Lien hypertexte visité" xfId="22202" builtinId="9" hidden="1"/>
    <cellStyle name="Lien hypertexte visité" xfId="21648" builtinId="9" hidden="1"/>
    <cellStyle name="Lien hypertexte visité" xfId="18323" builtinId="9" hidden="1"/>
    <cellStyle name="Lien hypertexte visité" xfId="13610" builtinId="9" hidden="1"/>
    <cellStyle name="Lien hypertexte visité" xfId="10922" builtinId="9" hidden="1"/>
    <cellStyle name="Lien hypertexte visité" xfId="8874" builtinId="9" hidden="1"/>
    <cellStyle name="Lien hypertexte visité" xfId="4505" builtinId="9" hidden="1"/>
    <cellStyle name="Lien hypertexte visité" xfId="5309" builtinId="9" hidden="1"/>
    <cellStyle name="Lien hypertexte visité" xfId="5785" builtinId="9" hidden="1"/>
    <cellStyle name="Lien hypertexte visité" xfId="6553" builtinId="9" hidden="1"/>
    <cellStyle name="Lien hypertexte visité" xfId="7357" builtinId="9" hidden="1"/>
    <cellStyle name="Lien hypertexte visité" xfId="7834" builtinId="9" hidden="1"/>
    <cellStyle name="Lien hypertexte visité" xfId="5513" builtinId="9" hidden="1"/>
    <cellStyle name="Lien hypertexte visité" xfId="2743" builtinId="9" hidden="1"/>
    <cellStyle name="Lien hypertexte visité" xfId="3291" builtinId="9" hidden="1"/>
    <cellStyle name="Lien hypertexte visité" xfId="2627" builtinId="9" hidden="1"/>
    <cellStyle name="Lien hypertexte visité" xfId="2095" builtinId="9" hidden="1"/>
    <cellStyle name="Lien hypertexte visité" xfId="1382" builtinId="9" hidden="1"/>
    <cellStyle name="Lien hypertexte visité" xfId="777" builtinId="9" hidden="1"/>
    <cellStyle name="Lien hypertexte visité" xfId="2011" builtinId="9" hidden="1"/>
    <cellStyle name="Lien hypertexte visité" xfId="1547" builtinId="9" hidden="1"/>
    <cellStyle name="Lien hypertexte visité" xfId="3439" builtinId="9" hidden="1"/>
    <cellStyle name="Lien hypertexte visité" xfId="2723" builtinId="9" hidden="1"/>
    <cellStyle name="Lien hypertexte visité" xfId="4137" builtinId="9" hidden="1"/>
    <cellStyle name="Lien hypertexte visité" xfId="7994" builtinId="9" hidden="1"/>
    <cellStyle name="Lien hypertexte visité" xfId="7225" builtinId="9" hidden="1"/>
    <cellStyle name="Lien hypertexte visité" xfId="6749" builtinId="9" hidden="1"/>
    <cellStyle name="Lien hypertexte visité" xfId="5945" builtinId="9" hidden="1"/>
    <cellStyle name="Lien hypertexte visité" xfId="5177" builtinId="9" hidden="1"/>
    <cellStyle name="Lien hypertexte visité" xfId="4701" builtinId="9" hidden="1"/>
    <cellStyle name="Lien hypertexte visité" xfId="8314" builtinId="9" hidden="1"/>
    <cellStyle name="Lien hypertexte visité" xfId="11002" builtinId="9" hidden="1"/>
    <cellStyle name="Lien hypertexte visité" xfId="17911" builtinId="9" hidden="1"/>
    <cellStyle name="Lien hypertexte visité" xfId="16119" builtinId="9" hidden="1"/>
    <cellStyle name="Lien hypertexte visité" xfId="14389" builtinId="9" hidden="1"/>
    <cellStyle name="Lien hypertexte visité" xfId="13829" builtinId="9" hidden="1"/>
    <cellStyle name="Lien hypertexte visité" xfId="12933" builtinId="9" hidden="1"/>
    <cellStyle name="Lien hypertexte visité" xfId="11989" builtinId="9" hidden="1"/>
    <cellStyle name="Lien hypertexte visité" xfId="11445" builtinId="9" hidden="1"/>
    <cellStyle name="Lien hypertexte visité" xfId="10549" builtinId="9" hidden="1"/>
    <cellStyle name="Lien hypertexte visité" xfId="9605" builtinId="9" hidden="1"/>
    <cellStyle name="Lien hypertexte visité" xfId="8917" builtinId="9" hidden="1"/>
    <cellStyle name="Lien hypertexte visité" xfId="8021" builtinId="9" hidden="1"/>
    <cellStyle name="Lien hypertexte visité" xfId="7124" builtinId="9" hidden="1"/>
    <cellStyle name="Lien hypertexte visité" xfId="6532" builtinId="9" hidden="1"/>
    <cellStyle name="Lien hypertexte visité" xfId="5636" builtinId="9" hidden="1"/>
    <cellStyle name="Lien hypertexte visité" xfId="4740" builtinId="9" hidden="1"/>
    <cellStyle name="Lien hypertexte visité" xfId="4148" builtinId="9" hidden="1"/>
    <cellStyle name="Lien hypertexte visité" xfId="3246" builtinId="9" hidden="1"/>
    <cellStyle name="Lien hypertexte visité" xfId="2350" builtinId="9" hidden="1"/>
    <cellStyle name="Lien hypertexte visité" xfId="1662" builtinId="9" hidden="1"/>
    <cellStyle name="Lien hypertexte visité" xfId="271" builtinId="9" hidden="1"/>
    <cellStyle name="Lien hypertexte visité" xfId="1327" builtinId="9" hidden="1"/>
    <cellStyle name="Lien hypertexte visité" xfId="1872" builtinId="9" hidden="1"/>
    <cellStyle name="Lien hypertexte visité" xfId="2816" builtinId="9" hidden="1"/>
    <cellStyle name="Lien hypertexte visité" xfId="3721" builtinId="9" hidden="1"/>
    <cellStyle name="Lien hypertexte visité" xfId="4278" builtinId="9" hidden="1"/>
    <cellStyle name="Lien hypertexte visité" xfId="5206" builtinId="9" hidden="1"/>
    <cellStyle name="Lien hypertexte visité" xfId="6102" builtinId="9" hidden="1"/>
    <cellStyle name="Lien hypertexte visité" xfId="6790" builtinId="9" hidden="1"/>
    <cellStyle name="Lien hypertexte visité" xfId="7686" builtinId="9" hidden="1"/>
    <cellStyle name="Lien hypertexte visité" xfId="8631" builtinId="9" hidden="1"/>
    <cellStyle name="Lien hypertexte visité" xfId="9175" builtinId="9" hidden="1"/>
    <cellStyle name="Lien hypertexte visité" xfId="10071" builtinId="9" hidden="1"/>
    <cellStyle name="Lien hypertexte visité" xfId="11015" builtinId="9" hidden="1"/>
    <cellStyle name="Lien hypertexte visité" xfId="11575" builtinId="9" hidden="1"/>
    <cellStyle name="Lien hypertexte visité" xfId="12471" builtinId="9" hidden="1"/>
    <cellStyle name="Lien hypertexte visité" xfId="13399" builtinId="9" hidden="1"/>
    <cellStyle name="Lien hypertexte visité" xfId="14087" builtinId="9" hidden="1"/>
    <cellStyle name="Lien hypertexte visité" xfId="15451" builtinId="9" hidden="1"/>
    <cellStyle name="Lien hypertexte visité" xfId="17243" builtinId="9" hidden="1"/>
    <cellStyle name="Lien hypertexte visité" xfId="8590" builtinId="9" hidden="1"/>
    <cellStyle name="Lien hypertexte visité" xfId="9186" builtinId="9" hidden="1"/>
    <cellStyle name="Lien hypertexte visité" xfId="9782" builtinId="9" hidden="1"/>
    <cellStyle name="Lien hypertexte visité" xfId="10190" builtinId="9" hidden="1"/>
    <cellStyle name="Lien hypertexte visité" xfId="10786" builtinId="9" hidden="1"/>
    <cellStyle name="Lien hypertexte visité" xfId="11382" builtinId="9" hidden="1"/>
    <cellStyle name="Lien hypertexte visité" xfId="11830" builtinId="9" hidden="1"/>
    <cellStyle name="Lien hypertexte visité" xfId="12462" builtinId="9" hidden="1"/>
    <cellStyle name="Lien hypertexte visité" xfId="13058" builtinId="9" hidden="1"/>
    <cellStyle name="Lien hypertexte visité" xfId="13430" builtinId="9" hidden="1"/>
    <cellStyle name="Lien hypertexte visité" xfId="14050" builtinId="9" hidden="1"/>
    <cellStyle name="Lien hypertexte visité" xfId="14777" builtinId="9" hidden="1"/>
    <cellStyle name="Lien hypertexte visité" xfId="15529" builtinId="9" hidden="1"/>
    <cellStyle name="Lien hypertexte visité" xfId="16785" builtinId="9" hidden="1"/>
    <cellStyle name="Lien hypertexte visité" xfId="17977" builtinId="9" hidden="1"/>
    <cellStyle name="Lien hypertexte visité" xfId="18856" builtinId="9" hidden="1"/>
    <cellStyle name="Lien hypertexte visité" xfId="20056" builtinId="9" hidden="1"/>
    <cellStyle name="Lien hypertexte visité" xfId="21312" builtinId="9" hidden="1"/>
    <cellStyle name="Lien hypertexte visité" xfId="22056" builtinId="9" hidden="1"/>
    <cellStyle name="Lien hypertexte visité" xfId="23256" builtinId="9" hidden="1"/>
    <cellStyle name="Lien hypertexte visité" xfId="24488" builtinId="9" hidden="1"/>
    <cellStyle name="Lien hypertexte visité" xfId="23986" builtinId="9" hidden="1"/>
    <cellStyle name="Lien hypertexte visité" xfId="22794" builtinId="9" hidden="1"/>
    <cellStyle name="Lien hypertexte visité" xfId="21538" builtinId="9" hidden="1"/>
    <cellStyle name="Lien hypertexte visité" xfId="20642" builtinId="9" hidden="1"/>
    <cellStyle name="Lien hypertexte visité" xfId="19442" builtinId="9" hidden="1"/>
    <cellStyle name="Lien hypertexte visité" xfId="18267" builtinId="9" hidden="1"/>
    <cellStyle name="Lien hypertexte visité" xfId="17459" builtinId="9" hidden="1"/>
    <cellStyle name="Lien hypertexte visité" xfId="20442" builtinId="9" hidden="1"/>
    <cellStyle name="Lien hypertexte visité" xfId="24026" builtinId="9" hidden="1"/>
    <cellStyle name="Lien hypertexte visité" xfId="22832" builtinId="9" hidden="1"/>
    <cellStyle name="Lien hypertexte visité" xfId="19248" builtinId="9" hidden="1"/>
    <cellStyle name="Lien hypertexte visité" xfId="15681" builtinId="9" hidden="1"/>
    <cellStyle name="Lien hypertexte visité" xfId="13722" builtinId="9" hidden="1"/>
    <cellStyle name="Lien hypertexte visité" xfId="11866" builtinId="9" hidden="1"/>
    <cellStyle name="Lien hypertexte visité" xfId="15297" builtinId="9" hidden="1"/>
    <cellStyle name="Lien hypertexte visité" xfId="21936" builtinId="9" hidden="1"/>
    <cellStyle name="Lien hypertexte visité" xfId="17731" builtinId="9" hidden="1"/>
    <cellStyle name="Lien hypertexte visité" xfId="21298" builtinId="9" hidden="1"/>
    <cellStyle name="Lien hypertexte visité" xfId="23522" builtinId="9" hidden="1"/>
    <cellStyle name="Lien hypertexte visité" xfId="21952" builtinId="9" hidden="1"/>
    <cellStyle name="Lien hypertexte visité" xfId="18368" builtinId="9" hidden="1"/>
    <cellStyle name="Lien hypertexte visité" xfId="15657" builtinId="9" hidden="1"/>
    <cellStyle name="Lien hypertexte visité" xfId="13294" builtinId="9" hidden="1"/>
    <cellStyle name="Lien hypertexte visité" xfId="11414" builtinId="9" hidden="1"/>
    <cellStyle name="Lien hypertexte visité" xfId="10306" builtinId="9" hidden="1"/>
    <cellStyle name="Lien hypertexte visité" xfId="8514" builtinId="9" hidden="1"/>
    <cellStyle name="Lien hypertexte visité" xfId="13543" builtinId="9" hidden="1"/>
    <cellStyle name="Lien hypertexte visité" xfId="11879" builtinId="9" hidden="1"/>
    <cellStyle name="Lien hypertexte visité" xfId="9191" builtinId="9" hidden="1"/>
    <cellStyle name="Lien hypertexte visité" xfId="6374" builtinId="9" hidden="1"/>
    <cellStyle name="Lien hypertexte visité" xfId="4326" builtinId="9" hidden="1"/>
    <cellStyle name="Lien hypertexte visité" xfId="1632" builtinId="9" hidden="1"/>
    <cellStyle name="Lien hypertexte visité" xfId="2207" builtinId="9" hidden="1"/>
    <cellStyle name="Lien hypertexte visité" xfId="4004" builtinId="9" hidden="1"/>
    <cellStyle name="Lien hypertexte visité" xfId="2912" builtinId="9" hidden="1"/>
    <cellStyle name="Lien hypertexte visité" xfId="11111" builtinId="9" hidden="1"/>
    <cellStyle name="Lien hypertexte visité" xfId="8430" builtinId="9" hidden="1"/>
    <cellStyle name="Lien hypertexte visité" xfId="13890" builtinId="9" hidden="1"/>
    <cellStyle name="Lien hypertexte visité" xfId="24168" builtinId="9" hidden="1"/>
    <cellStyle name="Lien hypertexte visité" xfId="18586" builtinId="9" hidden="1"/>
    <cellStyle name="Lien hypertexte visité" xfId="12954" builtinId="9" hidden="1"/>
    <cellStyle name="Lien hypertexte visité" xfId="22320" builtinId="9" hidden="1"/>
    <cellStyle name="Lien hypertexte visité" xfId="20058" builtinId="9" hidden="1"/>
    <cellStyle name="Lien hypertexte visité" xfId="20002" builtinId="9" hidden="1"/>
    <cellStyle name="Lien hypertexte visité" xfId="23650" builtinId="9" hidden="1"/>
    <cellStyle name="Lien hypertexte visité" xfId="23296" builtinId="9" hidden="1"/>
    <cellStyle name="Lien hypertexte visité" xfId="19672" builtinId="9" hidden="1"/>
    <cellStyle name="Lien hypertexte visité" xfId="16041" builtinId="9" hidden="1"/>
    <cellStyle name="Lien hypertexte visité" xfId="13910" builtinId="9" hidden="1"/>
    <cellStyle name="Lien hypertexte visité" xfId="12086" builtinId="9" hidden="1"/>
    <cellStyle name="Lien hypertexte visité" xfId="10274" builtinId="9" hidden="1"/>
    <cellStyle name="Lien hypertexte visité" xfId="9134" builtinId="9" hidden="1"/>
    <cellStyle name="Lien hypertexte visité" xfId="14587" builtinId="9" hidden="1"/>
    <cellStyle name="Lien hypertexte visité" xfId="11831" builtinId="9" hidden="1"/>
    <cellStyle name="Lien hypertexte visité" xfId="10119" builtinId="9" hidden="1"/>
    <cellStyle name="Lien hypertexte visité" xfId="7382" builtinId="9" hidden="1"/>
    <cellStyle name="Lien hypertexte visité" xfId="4662" builtinId="9" hidden="1"/>
    <cellStyle name="Lien hypertexte visité" xfId="2608" builtinId="9" hidden="1"/>
    <cellStyle name="Lien hypertexte visité" xfId="1277" builtinId="9" hidden="1"/>
    <cellStyle name="Lien hypertexte visité" xfId="4020" builtinId="9" hidden="1"/>
    <cellStyle name="Lien hypertexte visité" xfId="5716" builtinId="9" hidden="1"/>
    <cellStyle name="Lien hypertexte visité" xfId="8453" builtinId="9" hidden="1"/>
    <cellStyle name="Lien hypertexte visité" xfId="11189" builtinId="9" hidden="1"/>
    <cellStyle name="Lien hypertexte visité" xfId="12885" builtinId="9" hidden="1"/>
    <cellStyle name="Lien hypertexte visité" xfId="16727" builtinId="9" hidden="1"/>
    <cellStyle name="Lien hypertexte visité" xfId="4373" builtinId="9" hidden="1"/>
    <cellStyle name="Lien hypertexte visité" xfId="6129" builtinId="9" hidden="1"/>
    <cellStyle name="Lien hypertexte visité" xfId="6441" builtinId="9" hidden="1"/>
    <cellStyle name="Lien hypertexte visité" xfId="1446" builtinId="9" hidden="1"/>
    <cellStyle name="Lien hypertexte visité" xfId="905" builtinId="9" hidden="1"/>
    <cellStyle name="Lien hypertexte visité" xfId="3673" builtinId="9" hidden="1"/>
    <cellStyle name="Lien hypertexte visité" xfId="8054" builtinId="9" hidden="1"/>
    <cellStyle name="Lien hypertexte visité" xfId="6589" builtinId="9" hidden="1"/>
    <cellStyle name="Lien hypertexte visité" xfId="4249" builtinId="9" hidden="1"/>
    <cellStyle name="Lien hypertexte visité" xfId="16033" builtinId="9" hidden="1"/>
    <cellStyle name="Lien hypertexte visité" xfId="20922" builtinId="9" hidden="1"/>
    <cellStyle name="Lien hypertexte visité" xfId="21546" builtinId="9" hidden="1"/>
    <cellStyle name="Lien hypertexte visité" xfId="22216" builtinId="9" hidden="1"/>
    <cellStyle name="Lien hypertexte visité" xfId="18808" builtinId="9" hidden="1"/>
    <cellStyle name="Lien hypertexte visité" xfId="13938" builtinId="9" hidden="1"/>
    <cellStyle name="Lien hypertexte visité" xfId="11206" builtinId="9" hidden="1"/>
    <cellStyle name="Lien hypertexte visité" xfId="9502" builtinId="9" hidden="1"/>
    <cellStyle name="Lien hypertexte visité" xfId="13743" builtinId="9" hidden="1"/>
    <cellStyle name="Lien hypertexte visité" xfId="9647" builtinId="9" hidden="1"/>
    <cellStyle name="Lien hypertexte visité" xfId="6574" builtinId="9" hidden="1"/>
    <cellStyle name="Lien hypertexte visité" xfId="2472" builtinId="9" hidden="1"/>
    <cellStyle name="Lien hypertexte visité" xfId="5038" builtinId="9" hidden="1"/>
    <cellStyle name="Lien hypertexte visité" xfId="13231" builtinId="9" hidden="1"/>
    <cellStyle name="Lien hypertexte visité" xfId="14729" builtinId="9" hidden="1"/>
    <cellStyle name="Lien hypertexte visité" xfId="18147" builtinId="9" hidden="1"/>
    <cellStyle name="Lien hypertexte visité" xfId="3957" builtinId="9" hidden="1"/>
    <cellStyle name="Lien hypertexte visité" xfId="1599" builtinId="9" hidden="1"/>
    <cellStyle name="Lien hypertexte visité" xfId="7005" builtinId="9" hidden="1"/>
    <cellStyle name="Lien hypertexte visité" xfId="17399" builtinId="9" hidden="1"/>
    <cellStyle name="Lien hypertexte visité" xfId="7764" builtinId="9" hidden="1"/>
    <cellStyle name="Lien hypertexte visité" xfId="1584" builtinId="9" hidden="1"/>
    <cellStyle name="Lien hypertexte visité" xfId="7046" builtinId="9" hidden="1"/>
    <cellStyle name="Lien hypertexte visité" xfId="15963" builtinId="9" hidden="1"/>
    <cellStyle name="Lien hypertexte visité" xfId="13230" builtinId="9" hidden="1"/>
    <cellStyle name="Lien hypertexte visité" xfId="19200" builtinId="9" hidden="1"/>
    <cellStyle name="Lien hypertexte visité" xfId="19106" builtinId="9" hidden="1"/>
    <cellStyle name="Lien hypertexte visité" xfId="18352" builtinId="9" hidden="1"/>
    <cellStyle name="Lien hypertexte visité" xfId="14633" builtinId="9" hidden="1"/>
    <cellStyle name="Lien hypertexte visité" xfId="563" builtinId="9" hidden="1"/>
    <cellStyle name="Lien hypertexte visité" xfId="3296" builtinId="9" hidden="1"/>
    <cellStyle name="Lien hypertexte visité" xfId="8807" builtinId="9" hidden="1"/>
    <cellStyle name="Lien hypertexte visité" xfId="8942" builtinId="9" hidden="1"/>
    <cellStyle name="Lien hypertexte visité" xfId="14402" builtinId="9" hidden="1"/>
    <cellStyle name="Lien hypertexte visité" xfId="21608" builtinId="9" hidden="1"/>
    <cellStyle name="Lien hypertexte visité" xfId="19098" builtinId="9" hidden="1"/>
    <cellStyle name="Lien hypertexte visité" xfId="13050" builtinId="9" hidden="1"/>
    <cellStyle name="Lien hypertexte visité" xfId="18736" builtinId="9" hidden="1"/>
    <cellStyle name="Lien hypertexte visité" xfId="19546" builtinId="9" hidden="1"/>
    <cellStyle name="Lien hypertexte visité" xfId="20170" builtinId="9" hidden="1"/>
    <cellStyle name="Lien hypertexte visité" xfId="22626" builtinId="9" hidden="1"/>
    <cellStyle name="Lien hypertexte visité" xfId="22952" builtinId="9" hidden="1"/>
    <cellStyle name="Lien hypertexte visité" xfId="19328" builtinId="9" hidden="1"/>
    <cellStyle name="Lien hypertexte visité" xfId="16889" builtinId="9" hidden="1"/>
    <cellStyle name="Lien hypertexte visité" xfId="13878" builtinId="9" hidden="1"/>
    <cellStyle name="Lien hypertexte visité" xfId="12066" builtinId="9" hidden="1"/>
    <cellStyle name="Lien hypertexte visité" xfId="10870" builtinId="9" hidden="1"/>
    <cellStyle name="Lien hypertexte visité" xfId="9046" builtinId="9" hidden="1"/>
    <cellStyle name="Lien hypertexte visité" xfId="14423" builtinId="9" hidden="1"/>
    <cellStyle name="Lien hypertexte visité" xfId="12599" builtinId="9" hidden="1"/>
    <cellStyle name="Lien hypertexte visité" xfId="9863" builtinId="9" hidden="1"/>
    <cellStyle name="Lien hypertexte visité" xfId="7126" builtinId="9" hidden="1"/>
    <cellStyle name="Lien hypertexte visité" xfId="5302" builtinId="9" hidden="1"/>
    <cellStyle name="Lien hypertexte visité" xfId="2560" builtinId="9" hidden="1"/>
    <cellStyle name="Lien hypertexte visité" xfId="1325" builtinId="9" hidden="1"/>
    <cellStyle name="Lien hypertexte visité" xfId="3118" builtinId="9" hidden="1"/>
    <cellStyle name="Lien hypertexte visité" xfId="5844" builtinId="9" hidden="1"/>
    <cellStyle name="Lien hypertexte visité" xfId="8581" builtinId="9" hidden="1"/>
    <cellStyle name="Lien hypertexte visité" xfId="10421" builtinId="9" hidden="1"/>
    <cellStyle name="Lien hypertexte visité" xfId="13141" builtinId="9" hidden="1"/>
    <cellStyle name="Lien hypertexte visité" xfId="17239" builtinId="9" hidden="1"/>
    <cellStyle name="Lien hypertexte visité" xfId="8570" builtinId="9" hidden="1"/>
    <cellStyle name="Lien hypertexte visité" xfId="6165" builtinId="9" hidden="1"/>
    <cellStyle name="Lien hypertexte visité" xfId="6185" builtinId="9" hidden="1"/>
    <cellStyle name="Lien hypertexte visité" xfId="3339" builtinId="9" hidden="1"/>
    <cellStyle name="Lien hypertexte visité" xfId="561" builtinId="9" hidden="1"/>
    <cellStyle name="Lien hypertexte visité" xfId="3564" builtinId="9" hidden="1"/>
    <cellStyle name="Lien hypertexte visité" xfId="4745" builtinId="9" hidden="1"/>
    <cellStyle name="Lien hypertexte visité" xfId="6369" builtinId="9" hidden="1"/>
    <cellStyle name="Lien hypertexte visité" xfId="4029" builtinId="9" hidden="1"/>
    <cellStyle name="Lien hypertexte visité" xfId="13354" builtinId="9" hidden="1"/>
    <cellStyle name="Lien hypertexte visité" xfId="20666" builtinId="9" hidden="1"/>
    <cellStyle name="Lien hypertexte visité" xfId="21634" builtinId="9" hidden="1"/>
    <cellStyle name="Lien hypertexte visité" xfId="24008" builtinId="9" hidden="1"/>
    <cellStyle name="Lien hypertexte visité" xfId="18552" builtinId="9" hidden="1"/>
    <cellStyle name="Lien hypertexte visité" xfId="13810" builtinId="9" hidden="1"/>
    <cellStyle name="Lien hypertexte visité" xfId="11974" builtinId="9" hidden="1"/>
    <cellStyle name="Lien hypertexte visité" xfId="9246" builtinId="9" hidden="1"/>
    <cellStyle name="Lien hypertexte visité" xfId="13359" builtinId="9" hidden="1"/>
    <cellStyle name="Lien hypertexte visité" xfId="10607" builtinId="9" hidden="1"/>
    <cellStyle name="Lien hypertexte visité" xfId="6510" builtinId="9" hidden="1"/>
    <cellStyle name="Lien hypertexte visité" xfId="2408" builtinId="9" hidden="1"/>
    <cellStyle name="Lien hypertexte visité" xfId="1429" builtinId="9" hidden="1"/>
    <cellStyle name="Lien hypertexte visité" xfId="5532" builtinId="9" hidden="1"/>
    <cellStyle name="Lien hypertexte visité" xfId="9629" builtinId="9" hidden="1"/>
    <cellStyle name="Lien hypertexte visité" xfId="12381" builtinId="9" hidden="1"/>
    <cellStyle name="Lien hypertexte visité" xfId="18422" builtinId="9" hidden="1"/>
    <cellStyle name="Lien hypertexte visité" xfId="22612" builtinId="9" hidden="1"/>
    <cellStyle name="Lien hypertexte visité" xfId="17125" builtinId="9" hidden="1"/>
    <cellStyle name="Lien hypertexte visité" xfId="11724" builtinId="9" hidden="1"/>
    <cellStyle name="Lien hypertexte visité" xfId="7627" builtinId="9" hidden="1"/>
    <cellStyle name="Lien hypertexte visité" xfId="4939" builtinId="9" hidden="1"/>
    <cellStyle name="Lien hypertexte visité" xfId="509" builtinId="9" hidden="1"/>
    <cellStyle name="Lien hypertexte visité" xfId="4415" builtinId="9" hidden="1"/>
    <cellStyle name="Lien hypertexte visité" xfId="7167" builtinId="9" hidden="1"/>
    <cellStyle name="Lien hypertexte visité" xfId="1866" builtinId="9" hidden="1"/>
    <cellStyle name="Lien hypertexte visité" xfId="15255" builtinId="9" hidden="1"/>
    <cellStyle name="Lien hypertexte visité" xfId="6963" builtinId="9" hidden="1"/>
    <cellStyle name="Lien hypertexte visité" xfId="10468" builtinId="9" hidden="1"/>
    <cellStyle name="Lien hypertexte visité" xfId="13988" builtinId="9" hidden="1"/>
    <cellStyle name="Lien hypertexte visité" xfId="18133" builtinId="9" hidden="1"/>
    <cellStyle name="Lien hypertexte visité" xfId="24102" builtinId="9" hidden="1"/>
    <cellStyle name="Lien hypertexte visité" xfId="15957" builtinId="9" hidden="1"/>
    <cellStyle name="Lien hypertexte visité" xfId="2001" builtinId="9" hidden="1"/>
    <cellStyle name="Lien hypertexte visité" xfId="2429" builtinId="9" hidden="1"/>
    <cellStyle name="Lien hypertexte visité" xfId="5879" builtinId="9" hidden="1"/>
    <cellStyle name="Lien hypertexte visité" xfId="3770" builtinId="9" hidden="1"/>
    <cellStyle name="Lien hypertexte visité" xfId="7527" builtinId="9" hidden="1"/>
    <cellStyle name="Lien hypertexte visité" xfId="6775" builtinId="9" hidden="1"/>
    <cellStyle name="Lien hypertexte visité" xfId="4199" builtinId="9" hidden="1"/>
    <cellStyle name="Lien hypertexte visité" xfId="4163" builtinId="9" hidden="1"/>
    <cellStyle name="Lien hypertexte visité" xfId="589" builtinId="9" hidden="1"/>
    <cellStyle name="Lien hypertexte visité" xfId="2465" builtinId="9" hidden="1"/>
    <cellStyle name="Lien hypertexte visité" xfId="20390" builtinId="9" hidden="1"/>
    <cellStyle name="Lien hypertexte visité" xfId="21796" builtinId="9" hidden="1"/>
    <cellStyle name="Lien hypertexte visité" xfId="17141" builtinId="9" hidden="1"/>
    <cellStyle name="Lien hypertexte visité" xfId="12324" builtinId="9" hidden="1"/>
    <cellStyle name="Lien hypertexte visité" xfId="8804" builtinId="9" hidden="1"/>
    <cellStyle name="Lien hypertexte visité" xfId="6467" builtinId="9" hidden="1"/>
    <cellStyle name="Lien hypertexte visité" xfId="9061" builtinId="9" hidden="1"/>
    <cellStyle name="Lien hypertexte visité" xfId="4390" builtinId="9" hidden="1"/>
    <cellStyle name="Lien hypertexte visité" xfId="12583" builtinId="9" hidden="1"/>
    <cellStyle name="Lien hypertexte visité" xfId="14190" builtinId="9" hidden="1"/>
    <cellStyle name="Lien hypertexte visité" xfId="18994" builtinId="9" hidden="1"/>
    <cellStyle name="Lien hypertexte visité" xfId="11898" builtinId="9" hidden="1"/>
    <cellStyle name="Lien hypertexte visité" xfId="23578" builtinId="9" hidden="1"/>
    <cellStyle name="Lien hypertexte visité" xfId="20658" builtinId="9" hidden="1"/>
    <cellStyle name="Lien hypertexte visité" xfId="24306" builtinId="9" hidden="1"/>
    <cellStyle name="Lien hypertexte visité" xfId="19456" builtinId="9" hidden="1"/>
    <cellStyle name="Lien hypertexte visité" xfId="14262" builtinId="9" hidden="1"/>
    <cellStyle name="Lien hypertexte visité" xfId="12450" builtinId="9" hidden="1"/>
    <cellStyle name="Lien hypertexte visité" xfId="9718" builtinId="9" hidden="1"/>
    <cellStyle name="Lien hypertexte visité" xfId="14071" builtinId="9" hidden="1"/>
    <cellStyle name="Lien hypertexte visité" xfId="11335" builtinId="9" hidden="1"/>
    <cellStyle name="Lien hypertexte visité" xfId="7238" builtinId="9" hidden="1"/>
    <cellStyle name="Lien hypertexte visité" xfId="3136" builtinId="9" hidden="1"/>
    <cellStyle name="Lien hypertexte visité" xfId="335" builtinId="9" hidden="1"/>
    <cellStyle name="Lien hypertexte visité" xfId="4852" builtinId="9" hidden="1"/>
    <cellStyle name="Lien hypertexte visité" xfId="8949" builtinId="9" hidden="1"/>
    <cellStyle name="Lien hypertexte visité" xfId="11669" builtinId="9" hidden="1"/>
    <cellStyle name="Lien hypertexte visité" xfId="17015" builtinId="9" hidden="1"/>
    <cellStyle name="Lien hypertexte visité" xfId="5669" builtinId="9" hidden="1"/>
    <cellStyle name="Lien hypertexte visité" xfId="8014" builtinId="9" hidden="1"/>
    <cellStyle name="Lien hypertexte visité" xfId="2091" builtinId="9" hidden="1"/>
    <cellStyle name="Lien hypertexte visité" xfId="3275" builtinId="9" hidden="1"/>
    <cellStyle name="Lien hypertexte visité" xfId="7633" builtinId="9" hidden="1"/>
    <cellStyle name="Lien hypertexte visité" xfId="4121" builtinId="9" hidden="1"/>
    <cellStyle name="Lien hypertexte visité" xfId="24122" builtinId="9" hidden="1"/>
    <cellStyle name="Lien hypertexte visité" xfId="20482" builtinId="9" hidden="1"/>
    <cellStyle name="Lien hypertexte visité" xfId="20552" builtinId="9" hidden="1"/>
    <cellStyle name="Lien hypertexte visité" xfId="13446" builtinId="9" hidden="1"/>
    <cellStyle name="Lien hypertexte visité" xfId="10718" builtinId="9" hidden="1"/>
    <cellStyle name="Lien hypertexte visité" xfId="9350" builtinId="9" hidden="1"/>
    <cellStyle name="Lien hypertexte visité" xfId="23210" builtinId="9" hidden="1"/>
    <cellStyle name="Lien hypertexte visité" xfId="6461" builtinId="9" hidden="1"/>
    <cellStyle name="Lien hypertexte visité" xfId="2535" builtinId="9" hidden="1"/>
    <cellStyle name="Lien hypertexte visité" xfId="13045" builtinId="9" hidden="1"/>
    <cellStyle name="Lien hypertexte visité" xfId="2110" builtinId="9" hidden="1"/>
    <cellStyle name="Lien hypertexte visité" xfId="9975" builtinId="9" hidden="1"/>
    <cellStyle name="Lien hypertexte visité" xfId="11534" builtinId="9" hidden="1"/>
    <cellStyle name="Lien hypertexte visité" xfId="23104" builtinId="9" hidden="1"/>
    <cellStyle name="Lien hypertexte visité" xfId="14721" builtinId="9" hidden="1"/>
    <cellStyle name="Lien hypertexte visité" xfId="8726" builtinId="9" hidden="1"/>
    <cellStyle name="Lien hypertexte visité" xfId="5299" builtinId="9" hidden="1"/>
    <cellStyle name="Lien hypertexte visité" xfId="14805" builtinId="9" hidden="1"/>
    <cellStyle name="Lien hypertexte visité" xfId="10500" builtinId="9" hidden="1"/>
    <cellStyle name="Lien hypertexte visité" xfId="5271" builtinId="9" hidden="1"/>
    <cellStyle name="Lien hypertexte visité" xfId="7383" builtinId="9" hidden="1"/>
    <cellStyle name="Lien hypertexte visité" xfId="661" builtinId="9" hidden="1"/>
    <cellStyle name="Lien hypertexte visité" xfId="20452" builtinId="9" hidden="1"/>
    <cellStyle name="Lien hypertexte visité" xfId="8132" builtinId="9" hidden="1"/>
    <cellStyle name="Lien hypertexte visité" xfId="8512" builtinId="9" hidden="1"/>
    <cellStyle name="Lien hypertexte visité" xfId="3525" builtinId="9" hidden="1"/>
    <cellStyle name="Lien hypertexte visité" xfId="14476" builtinId="9" hidden="1"/>
    <cellStyle name="Lien hypertexte visité" xfId="13725" builtinId="9" hidden="1"/>
    <cellStyle name="Lien hypertexte visité" xfId="2838" builtinId="9" hidden="1"/>
    <cellStyle name="Lien hypertexte visité" xfId="9263" builtinId="9" hidden="1"/>
    <cellStyle name="Lien hypertexte visité" xfId="11078" builtinId="9" hidden="1"/>
    <cellStyle name="Lien hypertexte visité" xfId="22136" builtinId="9" hidden="1"/>
    <cellStyle name="Lien hypertexte visité" xfId="17569" builtinId="9" hidden="1"/>
    <cellStyle name="Lien hypertexte visité" xfId="7942" builtinId="9" hidden="1"/>
    <cellStyle name="Lien hypertexte visité" xfId="1482" builtinId="9" hidden="1"/>
    <cellStyle name="Lien hypertexte visité" xfId="4593" builtinId="9" hidden="1"/>
    <cellStyle name="Lien hypertexte visité" xfId="11317" builtinId="9" hidden="1"/>
    <cellStyle name="Lien hypertexte visité" xfId="4052" builtinId="9" hidden="1"/>
    <cellStyle name="Lien hypertexte visité" xfId="4406" builtinId="9" hidden="1"/>
    <cellStyle name="Lien hypertexte visité" xfId="11703" builtinId="9" hidden="1"/>
    <cellStyle name="Lien hypertexte visité" xfId="10242" builtinId="9" hidden="1"/>
    <cellStyle name="Lien hypertexte visité" xfId="15697" builtinId="9" hidden="1"/>
    <cellStyle name="Lien hypertexte visité" xfId="23818" builtinId="9" hidden="1"/>
    <cellStyle name="Lien hypertexte visité" xfId="22512" builtinId="9" hidden="1"/>
    <cellStyle name="Lien hypertexte visité" xfId="24034" builtinId="9" hidden="1"/>
    <cellStyle name="Lien hypertexte visité" xfId="11495" builtinId="9" hidden="1"/>
    <cellStyle name="Lien hypertexte visité" xfId="9110" builtinId="9" hidden="1"/>
    <cellStyle name="Lien hypertexte visité" xfId="22848" builtinId="9" hidden="1"/>
    <cellStyle name="Lien hypertexte visité" xfId="9783" builtinId="9" hidden="1"/>
    <cellStyle name="Lien hypertexte visité" xfId="13237" builtinId="9" hidden="1"/>
    <cellStyle name="Lien hypertexte visité" xfId="6297" builtinId="9" hidden="1"/>
    <cellStyle name="Lien hypertexte visité" xfId="9158" builtinId="9" hidden="1"/>
    <cellStyle name="Lien hypertexte visité" xfId="5550" builtinId="9" hidden="1"/>
    <cellStyle name="Lien hypertexte visité" xfId="8478" builtinId="9" hidden="1"/>
    <cellStyle name="Lien hypertexte visité" xfId="16777" builtinId="9" hidden="1"/>
    <cellStyle name="Lien hypertexte visité" xfId="17467" builtinId="9" hidden="1"/>
    <cellStyle name="Lien hypertexte visité" xfId="5713" builtinId="9" hidden="1"/>
    <cellStyle name="Lien hypertexte visité" xfId="1222" builtinId="9" hidden="1"/>
    <cellStyle name="Lien hypertexte visité" xfId="6713" builtinId="9" hidden="1"/>
    <cellStyle name="Lien hypertexte visité" xfId="13909" builtinId="9" hidden="1"/>
    <cellStyle name="Lien hypertexte visité" xfId="6740" builtinId="9" hidden="1"/>
    <cellStyle name="Lien hypertexte visité" xfId="1920" builtinId="9" hidden="1"/>
    <cellStyle name="Lien hypertexte visité" xfId="9095" builtinId="9" hidden="1"/>
    <cellStyle name="Lien hypertexte visité" xfId="8450" builtinId="9" hidden="1"/>
    <cellStyle name="Lien hypertexte visité" xfId="13454" builtinId="9" hidden="1"/>
    <cellStyle name="Lien hypertexte visité" xfId="21928" builtinId="9" hidden="1"/>
    <cellStyle name="Lien hypertexte visité" xfId="17755" builtinId="9" hidden="1"/>
    <cellStyle name="Lien hypertexte visité" xfId="22448" builtinId="9" hidden="1"/>
    <cellStyle name="Lien hypertexte visité" xfId="10478" builtinId="9" hidden="1"/>
    <cellStyle name="Lien hypertexte visité" xfId="3358" builtinId="9" hidden="1"/>
    <cellStyle name="Lien hypertexte visité" xfId="3688" builtinId="9" hidden="1"/>
    <cellStyle name="Lien hypertexte visité" xfId="10855" builtinId="9" hidden="1"/>
    <cellStyle name="Lien hypertexte visité" xfId="9622" builtinId="9" hidden="1"/>
    <cellStyle name="Lien hypertexte visité" xfId="14801" builtinId="9" hidden="1"/>
    <cellStyle name="Lien hypertexte visité" xfId="24344" builtinId="9" hidden="1"/>
    <cellStyle name="Lien hypertexte visité" xfId="23194" builtinId="9" hidden="1"/>
    <cellStyle name="Lien hypertexte visité" xfId="13210" builtinId="9" hidden="1"/>
    <cellStyle name="Lien hypertexte visité" xfId="21488" builtinId="9" hidden="1"/>
    <cellStyle name="Lien hypertexte visité" xfId="18219" builtinId="9" hidden="1"/>
    <cellStyle name="Lien hypertexte visité" xfId="20338" builtinId="9" hidden="1"/>
    <cellStyle name="Lien hypertexte visité" xfId="23538" builtinId="9" hidden="1"/>
    <cellStyle name="Lien hypertexte visité" xfId="22504" builtinId="9" hidden="1"/>
    <cellStyle name="Lien hypertexte visité" xfId="19160" builtinId="9" hidden="1"/>
    <cellStyle name="Lien hypertexte visité" xfId="15977" builtinId="9" hidden="1"/>
    <cellStyle name="Lien hypertexte visité" xfId="13654" builtinId="9" hidden="1"/>
    <cellStyle name="Lien hypertexte visité" xfId="12002" builtinId="9" hidden="1"/>
    <cellStyle name="Lien hypertexte visité" xfId="10414" builtinId="9" hidden="1"/>
    <cellStyle name="Lien hypertexte visité" xfId="8822" builtinId="9" hidden="1"/>
    <cellStyle name="Lien hypertexte visité" xfId="14295" builtinId="9" hidden="1"/>
    <cellStyle name="Lien hypertexte visité" xfId="11911" builtinId="9" hidden="1"/>
    <cellStyle name="Lien hypertexte visité" xfId="9527" builtinId="9" hidden="1"/>
    <cellStyle name="Lien hypertexte visité" xfId="6998" builtinId="9" hidden="1"/>
    <cellStyle name="Lien hypertexte visité" xfId="4614" builtinId="9" hidden="1"/>
    <cellStyle name="Lien hypertexte visité" xfId="2224" builtinId="9" hidden="1"/>
    <cellStyle name="Lien hypertexte visité" xfId="1405" builtinId="9" hidden="1"/>
    <cellStyle name="Lien hypertexte visité" xfId="3799" builtinId="9" hidden="1"/>
    <cellStyle name="Lien hypertexte visité" xfId="6196" builtinId="9" hidden="1"/>
    <cellStyle name="Lien hypertexte visité" xfId="8709" builtinId="9" hidden="1"/>
    <cellStyle name="Lien hypertexte visité" xfId="11093" builtinId="9" hidden="1"/>
    <cellStyle name="Lien hypertexte visité" xfId="13493" builtinId="9" hidden="1"/>
    <cellStyle name="Lien hypertexte visité" xfId="17495" builtinId="9" hidden="1"/>
    <cellStyle name="Lien hypertexte visité" xfId="4409" builtinId="9" hidden="1"/>
    <cellStyle name="Lien hypertexte visité" xfId="6457" builtinId="9" hidden="1"/>
    <cellStyle name="Lien hypertexte visité" xfId="5673" builtinId="9" hidden="1"/>
    <cellStyle name="Lien hypertexte visité" xfId="3893" builtinId="9" hidden="1"/>
    <cellStyle name="Lien hypertexte visité" xfId="473" builtinId="9" hidden="1"/>
    <cellStyle name="Lien hypertexte visité" xfId="3463" builtinId="9" hidden="1"/>
    <cellStyle name="Lien hypertexte visité" xfId="8126" builtinId="9" hidden="1"/>
    <cellStyle name="Lien hypertexte visité" xfId="6077" builtinId="9" hidden="1"/>
    <cellStyle name="Lien hypertexte visité" xfId="8234" builtinId="9" hidden="1"/>
    <cellStyle name="Lien hypertexte visité" xfId="16289" builtinId="9" hidden="1"/>
    <cellStyle name="Lien hypertexte visité" xfId="18618" builtinId="9" hidden="1"/>
    <cellStyle name="Lien hypertexte visité" xfId="21802" builtinId="9" hidden="1"/>
    <cellStyle name="Lien hypertexte visité" xfId="22648" builtinId="9" hidden="1"/>
    <cellStyle name="Lien hypertexte visité" xfId="17881" builtinId="9" hidden="1"/>
    <cellStyle name="Lien hypertexte visité" xfId="13682" builtinId="9" hidden="1"/>
    <cellStyle name="Lien hypertexte visité" xfId="11294" builtinId="9" hidden="1"/>
    <cellStyle name="Lien hypertexte visité" xfId="8902" builtinId="9" hidden="1"/>
    <cellStyle name="Lien hypertexte visité" xfId="13167" builtinId="9" hidden="1"/>
    <cellStyle name="Lien hypertexte visité" xfId="9583" builtinId="9" hidden="1"/>
    <cellStyle name="Lien hypertexte visité" xfId="5998" builtinId="9" hidden="1"/>
    <cellStyle name="Lien hypertexte visité" xfId="2280" builtinId="9" hidden="1"/>
    <cellStyle name="Lien hypertexte visité" xfId="2454" builtinId="9" hidden="1"/>
    <cellStyle name="Lien hypertexte visité" xfId="6044" builtinId="9" hidden="1"/>
    <cellStyle name="Lien hypertexte visité" xfId="9821" builtinId="9" hidden="1"/>
    <cellStyle name="Lien hypertexte visité" xfId="13405" builtinId="9" hidden="1"/>
    <cellStyle name="Lien hypertexte visité" xfId="19446" builtinId="9" hidden="1"/>
    <cellStyle name="Lien hypertexte visité" xfId="22228" builtinId="9" hidden="1"/>
    <cellStyle name="Lien hypertexte visité" xfId="15077" builtinId="9" hidden="1"/>
    <cellStyle name="Lien hypertexte visité" xfId="11212" builtinId="9" hidden="1"/>
    <cellStyle name="Lien hypertexte visité" xfId="7499" builtinId="9" hidden="1"/>
    <cellStyle name="Lien hypertexte visité" xfId="3919" builtinId="9" hidden="1"/>
    <cellStyle name="Lien hypertexte visité" xfId="485" builtinId="9" hidden="1"/>
    <cellStyle name="Lien hypertexte visité" xfId="4607" builtinId="9" hidden="1"/>
    <cellStyle name="Lien hypertexte visité" xfId="8192" builtinId="9" hidden="1"/>
    <cellStyle name="Lien hypertexte visité" xfId="2203" builtinId="9" hidden="1"/>
    <cellStyle name="Lien hypertexte visité" xfId="16279" builtinId="9" hidden="1"/>
    <cellStyle name="Lien hypertexte visité" xfId="7844" builtinId="9" hidden="1"/>
    <cellStyle name="Lien hypertexte visité" xfId="10916" builtinId="9" hidden="1"/>
    <cellStyle name="Lien hypertexte visité" xfId="14132" builtinId="9" hidden="1"/>
    <cellStyle name="Lien hypertexte visité" xfId="19876" builtinId="9" hidden="1"/>
    <cellStyle name="Lien hypertexte visité" xfId="23206" builtinId="9" hidden="1"/>
    <cellStyle name="Lien hypertexte visité" xfId="14212" builtinId="9" hidden="1"/>
    <cellStyle name="Lien hypertexte visité" xfId="1184" builtinId="9" hidden="1"/>
    <cellStyle name="Lien hypertexte visité" xfId="2845" builtinId="9" hidden="1"/>
    <cellStyle name="Lien hypertexte visité" xfId="5735" builtinId="9" hidden="1"/>
    <cellStyle name="Lien hypertexte visité" xfId="2961" builtinId="9" hidden="1"/>
    <cellStyle name="Lien hypertexte visité" xfId="8216" builtinId="9" hidden="1"/>
    <cellStyle name="Lien hypertexte visité" xfId="6919" builtinId="9" hidden="1"/>
    <cellStyle name="Lien hypertexte visité" xfId="4999" builtinId="9" hidden="1"/>
    <cellStyle name="Lien hypertexte visité" xfId="3750" builtinId="9" hidden="1"/>
    <cellStyle name="Lien hypertexte visité" xfId="301" builtinId="9" hidden="1"/>
    <cellStyle name="Lien hypertexte visité" xfId="8452" builtinId="9" hidden="1"/>
    <cellStyle name="Lien hypertexte visité" xfId="21286" builtinId="9" hidden="1"/>
    <cellStyle name="Lien hypertexte visité" xfId="21508" builtinId="9" hidden="1"/>
    <cellStyle name="Lien hypertexte visité" xfId="15381" builtinId="9" hidden="1"/>
    <cellStyle name="Lien hypertexte visité" xfId="11876" builtinId="9" hidden="1"/>
    <cellStyle name="Lien hypertexte visité" xfId="8660" builtinId="9" hidden="1"/>
    <cellStyle name="Lien hypertexte visité" xfId="5587" builtinId="9" hidden="1"/>
    <cellStyle name="Lien hypertexte visité" xfId="7524" builtinId="9" hidden="1"/>
    <cellStyle name="Lien hypertexte visité" xfId="4902" builtinId="9" hidden="1"/>
    <cellStyle name="Lien hypertexte visité" xfId="16795" builtinId="9" hidden="1"/>
    <cellStyle name="Lien hypertexte visité" xfId="15913" builtinId="9" hidden="1"/>
    <cellStyle name="Lien hypertexte visité" xfId="18320" builtinId="9" hidden="1"/>
    <cellStyle name="Lien hypertexte visité" xfId="13946" builtinId="9" hidden="1"/>
    <cellStyle name="Lien hypertexte visité" xfId="21530" builtinId="9" hidden="1"/>
    <cellStyle name="Lien hypertexte visité" xfId="20898" builtinId="9" hidden="1"/>
    <cellStyle name="Lien hypertexte visité" xfId="23552" builtinId="9" hidden="1"/>
    <cellStyle name="Lien hypertexte visité" xfId="18776" builtinId="9" hidden="1"/>
    <cellStyle name="Lien hypertexte visité" xfId="14158" builtinId="9" hidden="1"/>
    <cellStyle name="Lien hypertexte visité" xfId="11766" builtinId="9" hidden="1"/>
    <cellStyle name="Lien hypertexte visité" xfId="9378" builtinId="9" hidden="1"/>
    <cellStyle name="Lien hypertexte visité" xfId="13895" builtinId="9" hidden="1"/>
    <cellStyle name="Lien hypertexte visité" xfId="10311" builtinId="9" hidden="1"/>
    <cellStyle name="Lien hypertexte visité" xfId="6726" builtinId="9" hidden="1"/>
    <cellStyle name="Lien hypertexte visité" xfId="2960" builtinId="9" hidden="1"/>
    <cellStyle name="Lien hypertexte visité" xfId="1774" builtinId="9" hidden="1"/>
    <cellStyle name="Lien hypertexte visité" xfId="5364" builtinId="9" hidden="1"/>
    <cellStyle name="Lien hypertexte visité" xfId="9109" builtinId="9" hidden="1"/>
    <cellStyle name="Lien hypertexte visité" xfId="12693" builtinId="9" hidden="1"/>
    <cellStyle name="Lien hypertexte visité" xfId="18039" builtinId="9" hidden="1"/>
    <cellStyle name="Lien hypertexte visité" xfId="5817" builtinId="9" hidden="1"/>
    <cellStyle name="Lien hypertexte visité" xfId="2263" builtinId="9" hidden="1"/>
    <cellStyle name="Lien hypertexte visité" xfId="1314" builtinId="9" hidden="1"/>
    <cellStyle name="Lien hypertexte visité" xfId="3135" builtinId="9" hidden="1"/>
    <cellStyle name="Lien hypertexte visité" xfId="6753" builtinId="9" hidden="1"/>
    <cellStyle name="Lien hypertexte visité" xfId="9066" builtinId="9" hidden="1"/>
    <cellStyle name="Lien hypertexte visité" xfId="23098" builtinId="9" hidden="1"/>
    <cellStyle name="Lien hypertexte visité" xfId="22530" builtinId="9" hidden="1"/>
    <cellStyle name="Lien hypertexte visité" xfId="19528" builtinId="9" hidden="1"/>
    <cellStyle name="Lien hypertexte visité" xfId="13278" builtinId="9" hidden="1"/>
    <cellStyle name="Lien hypertexte visité" xfId="9694" builtinId="9" hidden="1"/>
    <cellStyle name="Lien hypertexte visité" xfId="12751" builtinId="9" hidden="1"/>
    <cellStyle name="Lien hypertexte visité" xfId="7118" builtinId="9" hidden="1"/>
    <cellStyle name="Lien hypertexte visité" xfId="1736" builtinId="9" hidden="1"/>
    <cellStyle name="Lien hypertexte visité" xfId="4796" builtinId="9" hidden="1"/>
    <cellStyle name="Lien hypertexte visité" xfId="10429" builtinId="9" hidden="1"/>
    <cellStyle name="Lien hypertexte visité" xfId="17095" builtinId="9" hidden="1"/>
    <cellStyle name="Lien hypertexte visité" xfId="21396" builtinId="9" hidden="1"/>
    <cellStyle name="Lien hypertexte visité" xfId="12332" builtinId="9" hidden="1"/>
    <cellStyle name="Lien hypertexte visité" xfId="6955" builtinId="9" hidden="1"/>
    <cellStyle name="Lien hypertexte visité" xfId="1573" builtinId="9" hidden="1"/>
    <cellStyle name="Lien hypertexte visité" xfId="5215" builtinId="9" hidden="1"/>
    <cellStyle name="Lien hypertexte visité" xfId="1417" builtinId="9" hidden="1"/>
    <cellStyle name="Lien hypertexte visité" xfId="5008" builtinId="9" hidden="1"/>
    <cellStyle name="Lien hypertexte visité" xfId="8761" builtinId="9" hidden="1"/>
    <cellStyle name="Lien hypertexte visité" xfId="12345" builtinId="9" hidden="1"/>
    <cellStyle name="Lien hypertexte visité" xfId="17343" builtinId="9" hidden="1"/>
    <cellStyle name="Lien hypertexte visité" xfId="24396" builtinId="9" hidden="1"/>
    <cellStyle name="Lien hypertexte visité" xfId="17245" builtinId="9" hidden="1"/>
    <cellStyle name="Lien hypertexte visité" xfId="12296" builtinId="9" hidden="1"/>
    <cellStyle name="Lien hypertexte visité" xfId="9792" builtinId="9" hidden="1"/>
    <cellStyle name="Lien hypertexte visité" xfId="22670" builtinId="9" hidden="1"/>
    <cellStyle name="Lien hypertexte visité" xfId="7849" builtinId="9" hidden="1"/>
    <cellStyle name="Lien hypertexte visité" xfId="8435" builtinId="9" hidden="1"/>
    <cellStyle name="Lien hypertexte visité" xfId="5362" builtinId="9" hidden="1"/>
    <cellStyle name="Lien hypertexte visité" xfId="2284" builtinId="9" hidden="1"/>
    <cellStyle name="Lien hypertexte visité" xfId="12347" builtinId="9" hidden="1"/>
    <cellStyle name="Lien hypertexte visité" xfId="9507" builtinId="9" hidden="1"/>
    <cellStyle name="Lien hypertexte visité" xfId="16227" builtinId="9" hidden="1"/>
    <cellStyle name="Lien hypertexte visité" xfId="13731" builtinId="9" hidden="1"/>
    <cellStyle name="Lien hypertexte visité" xfId="11363" builtinId="9" hidden="1"/>
    <cellStyle name="Lien hypertexte visité" xfId="1003" builtinId="9" hidden="1"/>
    <cellStyle name="Lien hypertexte visité" xfId="4306" builtinId="9" hidden="1"/>
    <cellStyle name="Lien hypertexte visité" xfId="7378" builtinId="9" hidden="1"/>
    <cellStyle name="Lien hypertexte visité" xfId="3651" builtinId="9" hidden="1"/>
    <cellStyle name="Lien hypertexte visité" xfId="14667" builtinId="9" hidden="1"/>
    <cellStyle name="Lien hypertexte visité" xfId="11007" builtinId="9" hidden="1"/>
    <cellStyle name="Lien hypertexte visité" xfId="9437" builtinId="9" hidden="1"/>
    <cellStyle name="Lien hypertexte visité" xfId="13324" builtinId="9" hidden="1"/>
    <cellStyle name="Lien hypertexte visité" xfId="4223" builtinId="9" hidden="1"/>
    <cellStyle name="Lien hypertexte visité" xfId="4242" builtinId="9" hidden="1"/>
    <cellStyle name="Lien hypertexte visité" xfId="6914" builtinId="9" hidden="1"/>
    <cellStyle name="Lien hypertexte visité" xfId="109" builtinId="9" hidden="1"/>
    <cellStyle name="Lien hypertexte visité" xfId="9961" builtinId="9" hidden="1"/>
    <cellStyle name="Lien hypertexte visité" xfId="24078" builtinId="9" hidden="1"/>
    <cellStyle name="Lien hypertexte visité" xfId="10496" builtinId="9" hidden="1"/>
    <cellStyle name="Lien hypertexte visité" xfId="11464" builtinId="9" hidden="1"/>
    <cellStyle name="Lien hypertexte visité" xfId="14637" builtinId="9" hidden="1"/>
    <cellStyle name="Lien hypertexte visité" xfId="20844" builtinId="9" hidden="1"/>
    <cellStyle name="Lien hypertexte visité" xfId="22142" builtinId="9" hidden="1"/>
    <cellStyle name="Lien hypertexte visité" xfId="15935" builtinId="9" hidden="1"/>
    <cellStyle name="Lien hypertexte visité" xfId="12113" builtinId="9" hidden="1"/>
    <cellStyle name="Lien hypertexte visité" xfId="8993" builtinId="9" hidden="1"/>
    <cellStyle name="Lien hypertexte visité" xfId="5840" builtinId="9" hidden="1"/>
    <cellStyle name="Lien hypertexte visité" xfId="2714" builtinId="9" hidden="1"/>
    <cellStyle name="Lien hypertexte visité" xfId="21276" builtinId="9" hidden="1"/>
    <cellStyle name="Lien hypertexte visité" xfId="7098" builtinId="9" hidden="1"/>
    <cellStyle name="Lien hypertexte visité" xfId="14307" builtinId="9" hidden="1"/>
    <cellStyle name="Lien hypertexte visité" xfId="16531" builtinId="9" hidden="1"/>
    <cellStyle name="Lien hypertexte visité" xfId="12947" builtinId="9" hidden="1"/>
    <cellStyle name="Lien hypertexte visité" xfId="10003" builtinId="9" hidden="1"/>
    <cellStyle name="Lien hypertexte visité" xfId="12331" builtinId="9" hidden="1"/>
    <cellStyle name="Lien hypertexte visité" xfId="1572" builtinId="9" hidden="1"/>
    <cellStyle name="Lien hypertexte visité" xfId="4434" builtinId="9" hidden="1"/>
    <cellStyle name="Lien hypertexte visité" xfId="2020" builtinId="9" hidden="1"/>
    <cellStyle name="Lien hypertexte visité" xfId="12851" builtinId="9" hidden="1"/>
    <cellStyle name="Lien hypertexte visité" xfId="7875" builtinId="9" hidden="1"/>
    <cellStyle name="Lien hypertexte visité" xfId="5498" builtinId="9" hidden="1"/>
    <cellStyle name="Lien hypertexte visité" xfId="8203" builtinId="9" hidden="1"/>
    <cellStyle name="Lien hypertexte visité" xfId="3851" builtinId="9" hidden="1"/>
    <cellStyle name="Lien hypertexte visité" xfId="9195" builtinId="9" hidden="1"/>
    <cellStyle name="Lien hypertexte visité" xfId="6482" builtinId="9" hidden="1"/>
    <cellStyle name="Lien hypertexte visité" xfId="11515" builtinId="9" hidden="1"/>
    <cellStyle name="Lien hypertexte visité" xfId="3036" builtinId="9" hidden="1"/>
    <cellStyle name="Lien hypertexte visité" xfId="3044" builtinId="9" hidden="1"/>
    <cellStyle name="Lien hypertexte visité" xfId="4642" builtinId="9" hidden="1"/>
    <cellStyle name="Lien hypertexte visité" xfId="3613" builtinId="9" hidden="1"/>
    <cellStyle name="Lien hypertexte visité" xfId="11339" builtinId="9" hidden="1"/>
    <cellStyle name="Lien hypertexte visité" xfId="14235" builtinId="9" hidden="1"/>
    <cellStyle name="Lien hypertexte visité" xfId="16387" builtinId="9" hidden="1"/>
    <cellStyle name="Lien hypertexte visité" xfId="12987" builtinId="9" hidden="1"/>
    <cellStyle name="Lien hypertexte visité" xfId="10083" builtinId="9" hidden="1"/>
    <cellStyle name="Lien hypertexte visité" xfId="24590" builtinId="9" hidden="1"/>
    <cellStyle name="Lien hypertexte visité" xfId="12025" builtinId="9" hidden="1"/>
    <cellStyle name="Lien hypertexte visité" xfId="4048" builtinId="9" hidden="1"/>
    <cellStyle name="Lien hypertexte visité" xfId="7160" builtinId="9" hidden="1"/>
    <cellStyle name="Lien hypertexte visité" xfId="10273" builtinId="9" hidden="1"/>
    <cellStyle name="Lien hypertexte visité" xfId="13433" builtinId="9" hidden="1"/>
    <cellStyle name="Lien hypertexte visité" xfId="18558" builtinId="9" hidden="1"/>
    <cellStyle name="Lien hypertexte visité" xfId="24428" builtinId="9" hidden="1"/>
    <cellStyle name="Lien hypertexte visité" xfId="18221" builtinId="9" hidden="1"/>
    <cellStyle name="Lien hypertexte visité" xfId="13256" builtinId="9" hidden="1"/>
    <cellStyle name="Lien hypertexte visité" xfId="10136" builtinId="9" hidden="1"/>
    <cellStyle name="Lien hypertexte visité" xfId="14336" builtinId="9" hidden="1"/>
    <cellStyle name="Lien hypertexte visité" xfId="16159" builtinId="9" hidden="1"/>
    <cellStyle name="Lien hypertexte visité" xfId="5992" builtinId="9" hidden="1"/>
    <cellStyle name="Lien hypertexte visité" xfId="8451" builtinId="9" hidden="1"/>
    <cellStyle name="Lien hypertexte visité" xfId="5778" builtinId="9" hidden="1"/>
    <cellStyle name="Lien hypertexte visité" xfId="3108" builtinId="9" hidden="1"/>
    <cellStyle name="Lien hypertexte visité" xfId="3854" builtinId="9" hidden="1"/>
    <cellStyle name="Lien hypertexte visité" xfId="23286" builtinId="9" hidden="1"/>
    <cellStyle name="Lien hypertexte visité" xfId="2518" builtinId="9" hidden="1"/>
    <cellStyle name="Lien hypertexte visité" xfId="15531" builtinId="9" hidden="1"/>
    <cellStyle name="Lien hypertexte visité" xfId="22560" builtinId="9" hidden="1"/>
    <cellStyle name="Lien hypertexte visité" xfId="4981" builtinId="9" hidden="1"/>
    <cellStyle name="Lien hypertexte visité" xfId="3925" builtinId="9" hidden="1"/>
    <cellStyle name="Lien hypertexte visité" xfId="15031" builtinId="9" hidden="1"/>
    <cellStyle name="Lien hypertexte visité" xfId="3847" builtinId="9" hidden="1"/>
    <cellStyle name="Lien hypertexte visité" xfId="8247" builtinId="9" hidden="1"/>
    <cellStyle name="Lien hypertexte visité" xfId="10382" builtinId="9" hidden="1"/>
    <cellStyle name="Lien hypertexte visité" xfId="20800" builtinId="9" hidden="1"/>
    <cellStyle name="Lien hypertexte visité" xfId="21616" builtinId="9" hidden="1"/>
    <cellStyle name="Lien hypertexte visité" xfId="12182" builtinId="9" hidden="1"/>
    <cellStyle name="Lien hypertexte visité" xfId="2078" builtinId="9" hidden="1"/>
    <cellStyle name="Lien hypertexte visité" xfId="9959" builtinId="9" hidden="1"/>
    <cellStyle name="Lien hypertexte visité" xfId="11586" builtinId="9" hidden="1"/>
    <cellStyle name="Lien hypertexte visité" xfId="23144" builtinId="9" hidden="1"/>
    <cellStyle name="Lien hypertexte visité" xfId="14785" builtinId="9" hidden="1"/>
    <cellStyle name="Lien hypertexte visité" xfId="20464" builtinId="9" hidden="1"/>
    <cellStyle name="Lien hypertexte visité" xfId="18307" builtinId="9" hidden="1"/>
    <cellStyle name="Lien hypertexte visité" xfId="23138" builtinId="9" hidden="1"/>
    <cellStyle name="Lien hypertexte visité" xfId="21208" builtinId="9" hidden="1"/>
    <cellStyle name="Lien hypertexte visité" xfId="16377" builtinId="9" hidden="1"/>
    <cellStyle name="Lien hypertexte visité" xfId="13026" builtinId="9" hidden="1"/>
    <cellStyle name="Lien hypertexte visité" xfId="10582" builtinId="9" hidden="1"/>
    <cellStyle name="Lien hypertexte visité" xfId="17147" builtinId="9" hidden="1"/>
    <cellStyle name="Lien hypertexte visité" xfId="12215" builtinId="9" hidden="1"/>
    <cellStyle name="Lien hypertexte visité" xfId="8535" builtinId="9" hidden="1"/>
    <cellStyle name="Lien hypertexte visité" xfId="4918" builtinId="9" hidden="1"/>
    <cellStyle name="Lien hypertexte visité" xfId="1279" builtinId="9" hidden="1"/>
    <cellStyle name="Lien hypertexte visité" xfId="3534" builtinId="9" hidden="1"/>
    <cellStyle name="Lien hypertexte visité" xfId="7172" builtinId="9" hidden="1"/>
    <cellStyle name="Lien hypertexte visité" xfId="10805" builtinId="9" hidden="1"/>
    <cellStyle name="Lien hypertexte visité" xfId="14469" builtinId="9" hidden="1"/>
    <cellStyle name="Lien hypertexte visité" xfId="4153" builtinId="9" hidden="1"/>
    <cellStyle name="Lien hypertexte visité" xfId="7261" builtinId="9" hidden="1"/>
    <cellStyle name="Lien hypertexte visité" xfId="3687" builtinId="9" hidden="1"/>
    <cellStyle name="Lien hypertexte visité" xfId="2063" builtinId="9" hidden="1"/>
    <cellStyle name="Lien hypertexte visité" xfId="7049" builtinId="9" hidden="1"/>
    <cellStyle name="Lien hypertexte visité" xfId="5237" builtinId="9" hidden="1"/>
    <cellStyle name="Lien hypertexte visité" xfId="14506" builtinId="9" hidden="1"/>
    <cellStyle name="Lien hypertexte visité" xfId="18730" builtinId="9" hidden="1"/>
    <cellStyle name="Lien hypertexte visité" xfId="23160" builtinId="9" hidden="1"/>
    <cellStyle name="Lien hypertexte visité" xfId="15921" builtinId="9" hidden="1"/>
    <cellStyle name="Lien hypertexte visité" xfId="11590" builtinId="9" hidden="1"/>
    <cellStyle name="Lien hypertexte visité" xfId="16427" builtinId="9" hidden="1"/>
    <cellStyle name="Lien hypertexte visité" xfId="10031" builtinId="9" hidden="1"/>
    <cellStyle name="Lien hypertexte visité" xfId="4590" builtinId="9" hidden="1"/>
    <cellStyle name="Lien hypertexte visité" xfId="2070" builtinId="9" hidden="1"/>
    <cellStyle name="Lien hypertexte visité" xfId="7516" builtinId="9" hidden="1"/>
    <cellStyle name="Lien hypertexte visité" xfId="12957" builtinId="9" hidden="1"/>
    <cellStyle name="Lien hypertexte visité" xfId="22390" builtinId="9" hidden="1"/>
    <cellStyle name="Lien hypertexte visité" xfId="15973" builtinId="9" hidden="1"/>
    <cellStyle name="Lien hypertexte visité" xfId="9804" builtinId="9" hidden="1"/>
    <cellStyle name="Lien hypertexte visité" xfId="4299" builtinId="9" hidden="1"/>
    <cellStyle name="Lien hypertexte visité" xfId="2297" builtinId="9" hidden="1"/>
    <cellStyle name="Lien hypertexte visité" xfId="7743" builtinId="9" hidden="1"/>
    <cellStyle name="Lien hypertexte visité" xfId="8485" builtinId="9" hidden="1"/>
    <cellStyle name="Lien hypertexte visité" xfId="7475" builtinId="9" hidden="1"/>
    <cellStyle name="Lien hypertexte visité" xfId="12148" builtinId="9" hidden="1"/>
    <cellStyle name="Lien hypertexte visité" xfId="19140" builtinId="9" hidden="1"/>
    <cellStyle name="Lien hypertexte visité" xfId="20710" builtinId="9" hidden="1"/>
    <cellStyle name="Lien hypertexte visité" xfId="1521" builtinId="9" hidden="1"/>
    <cellStyle name="Lien hypertexte visité" xfId="4003" builtinId="9" hidden="1"/>
    <cellStyle name="Lien hypertexte visité" xfId="3297" builtinId="9" hidden="1"/>
    <cellStyle name="Lien hypertexte visité" xfId="8456" builtinId="9" hidden="1"/>
    <cellStyle name="Lien hypertexte visité" xfId="4663" builtinId="9" hidden="1"/>
    <cellStyle name="Lien hypertexte visité" xfId="2589" builtinId="9" hidden="1"/>
    <cellStyle name="Lien hypertexte visité" xfId="5891" builtinId="9" hidden="1"/>
    <cellStyle name="Lien hypertexte visité" xfId="23750" builtinId="9" hidden="1"/>
    <cellStyle name="Lien hypertexte visité" xfId="16117" builtinId="9" hidden="1"/>
    <cellStyle name="Lien hypertexte visité" xfId="10644" builtinId="9" hidden="1"/>
    <cellStyle name="Lien hypertexte visité" xfId="5955" builtinId="9" hidden="1"/>
    <cellStyle name="Lien hypertexte visité" xfId="3166" builtinId="9" hidden="1"/>
    <cellStyle name="Lien hypertexte visité" xfId="14375" builtinId="9" hidden="1"/>
    <cellStyle name="Lien hypertexte visité" xfId="21696" builtinId="9" hidden="1"/>
    <cellStyle name="Lien hypertexte visité" xfId="13082" builtinId="9" hidden="1"/>
    <cellStyle name="Lien hypertexte visité" xfId="17843" builtinId="9" hidden="1"/>
    <cellStyle name="Lien hypertexte visité" xfId="24128" builtinId="9" hidden="1"/>
    <cellStyle name="Lien hypertexte visité" xfId="16873" builtinId="9" hidden="1"/>
    <cellStyle name="Lien hypertexte visité" xfId="12046" builtinId="9" hidden="1"/>
    <cellStyle name="Lien hypertexte visité" xfId="8406" builtinId="9" hidden="1"/>
    <cellStyle name="Lien hypertexte visité" xfId="10743" builtinId="9" hidden="1"/>
    <cellStyle name="Lien hypertexte visité" xfId="5270" builtinId="9" hidden="1"/>
    <cellStyle name="Lien hypertexte visité" xfId="1341" builtinId="9" hidden="1"/>
    <cellStyle name="Lien hypertexte visité" xfId="6804" builtinId="9" hidden="1"/>
    <cellStyle name="Lien hypertexte visité" xfId="12277" builtinId="9" hidden="1"/>
    <cellStyle name="Lien hypertexte visité" xfId="8506" builtinId="9" hidden="1"/>
    <cellStyle name="Lien hypertexte visité" xfId="6057" builtinId="9" hidden="1"/>
    <cellStyle name="Lien hypertexte visité" xfId="1170" builtinId="9" hidden="1"/>
    <cellStyle name="Lien hypertexte visité" xfId="7121" builtinId="9" hidden="1"/>
    <cellStyle name="Lien hypertexte visité" xfId="13418" builtinId="9" hidden="1"/>
    <cellStyle name="Lien hypertexte visité" xfId="21674" builtinId="9" hidden="1"/>
    <cellStyle name="Lien hypertexte visité" xfId="16649" builtinId="9" hidden="1"/>
    <cellStyle name="Lien hypertexte visité" xfId="10118" builtinId="9" hidden="1"/>
    <cellStyle name="Lien hypertexte visité" xfId="10575" builtinId="9" hidden="1"/>
    <cellStyle name="Lien hypertexte visité" xfId="2376" builtinId="9" hidden="1"/>
    <cellStyle name="Lien hypertexte visité" xfId="6972" builtinId="9" hidden="1"/>
    <cellStyle name="Lien hypertexte visité" xfId="15815" builtinId="9" hidden="1"/>
    <cellStyle name="Lien hypertexte visité" xfId="17061" builtinId="9" hidden="1"/>
    <cellStyle name="Lien hypertexte visité" xfId="7595" builtinId="9" hidden="1"/>
    <cellStyle name="Lien hypertexte visité" xfId="1753" builtinId="9" hidden="1"/>
    <cellStyle name="Lien hypertexte visité" xfId="807" builtinId="9" hidden="1"/>
    <cellStyle name="Lien hypertexte visité" xfId="6456" builtinId="9" hidden="1"/>
    <cellStyle name="Lien hypertexte visité" xfId="11921" builtinId="9" hidden="1"/>
    <cellStyle name="Lien hypertexte visité" xfId="20222" builtinId="9" hidden="1"/>
    <cellStyle name="Lien hypertexte visité" xfId="18093" builtinId="9" hidden="1"/>
    <cellStyle name="Lien hypertexte visité" xfId="10840" builtinId="9" hidden="1"/>
    <cellStyle name="Lien hypertexte visité" xfId="23996" builtinId="9" hidden="1"/>
    <cellStyle name="Lien hypertexte visité" xfId="3490" builtinId="9" hidden="1"/>
    <cellStyle name="Lien hypertexte visité" xfId="5722" builtinId="9" hidden="1"/>
    <cellStyle name="Lien hypertexte visité" xfId="907" builtinId="9" hidden="1"/>
    <cellStyle name="Lien hypertexte visité" xfId="9819" builtinId="9" hidden="1"/>
    <cellStyle name="Lien hypertexte visité" xfId="16307" builtinId="9" hidden="1"/>
    <cellStyle name="Lien hypertexte visité" xfId="11019" builtinId="9" hidden="1"/>
    <cellStyle name="Lien hypertexte visité" xfId="2324" builtinId="9" hidden="1"/>
    <cellStyle name="Lien hypertexte visité" xfId="7018" builtinId="9" hidden="1"/>
    <cellStyle name="Lien hypertexte visité" xfId="8870" builtinId="9" hidden="1"/>
    <cellStyle name="Lien hypertexte visité" xfId="11455" builtinId="9" hidden="1"/>
    <cellStyle name="Lien hypertexte visité" xfId="5982" builtinId="9" hidden="1"/>
    <cellStyle name="Lien hypertexte visité" xfId="127" builtinId="9" hidden="1"/>
    <cellStyle name="Lien hypertexte visité" xfId="6092" builtinId="9" hidden="1"/>
    <cellStyle name="Lien hypertexte visité" xfId="11565" builtinId="9" hidden="1"/>
    <cellStyle name="Lien hypertexte visité" xfId="19542" builtinId="9" hidden="1"/>
    <cellStyle name="Lien hypertexte visité" xfId="18804" builtinId="9" hidden="1"/>
    <cellStyle name="Lien hypertexte visité" xfId="11196" builtinId="9" hidden="1"/>
    <cellStyle name="Lien hypertexte visité" xfId="5723" builtinId="9" hidden="1"/>
    <cellStyle name="Lien hypertexte visité" xfId="581" builtinId="9" hidden="1"/>
    <cellStyle name="Lien hypertexte visité" xfId="6351" builtinId="9" hidden="1"/>
    <cellStyle name="Lien hypertexte visité" xfId="2234" builtinId="9" hidden="1"/>
    <cellStyle name="Lien hypertexte visité" xfId="5872" builtinId="9" hidden="1"/>
    <cellStyle name="Lien hypertexte visité" xfId="9521" builtinId="9" hidden="1"/>
    <cellStyle name="Lien hypertexte visité" xfId="13169" builtinId="9" hidden="1"/>
    <cellStyle name="Lien hypertexte visité" xfId="19054" builtinId="9" hidden="1"/>
    <cellStyle name="Lien hypertexte visité" xfId="22876" builtinId="9" hidden="1"/>
    <cellStyle name="Lien hypertexte visité" xfId="15597" builtinId="9" hidden="1"/>
    <cellStyle name="Lien hypertexte visité" xfId="11432" builtinId="9" hidden="1"/>
    <cellStyle name="Lien hypertexte visité" xfId="12064" builtinId="9" hidden="1"/>
    <cellStyle name="Lien hypertexte visité" xfId="17759" builtinId="9" hidden="1"/>
    <cellStyle name="Lien hypertexte visité" xfId="9801" builtinId="9" hidden="1"/>
    <cellStyle name="Lien hypertexte visité" xfId="12944" builtinId="9" hidden="1"/>
    <cellStyle name="Lien hypertexte visité" xfId="16047" builtinId="9" hidden="1"/>
    <cellStyle name="Lien hypertexte visité" xfId="4352" builtinId="9" hidden="1"/>
    <cellStyle name="Lien hypertexte visité" xfId="2549" builtinId="9" hidden="1"/>
    <cellStyle name="Lien hypertexte visité" xfId="23348" builtinId="9" hidden="1"/>
    <cellStyle name="Lien hypertexte visité" xfId="3823" builtinId="9" hidden="1"/>
    <cellStyle name="Lien hypertexte visité" xfId="13727" builtinId="9" hidden="1"/>
    <cellStyle name="Lien hypertexte visité" xfId="5189" builtinId="9" hidden="1"/>
    <cellStyle name="Lien hypertexte visité" xfId="13130" builtinId="9" hidden="1"/>
    <cellStyle name="Lien hypertexte visité" xfId="18682" builtinId="9" hidden="1"/>
    <cellStyle name="Lien hypertexte visité" xfId="23058" builtinId="9" hidden="1"/>
    <cellStyle name="Lien hypertexte visité" xfId="19936" builtinId="9" hidden="1"/>
    <cellStyle name="Lien hypertexte visité" xfId="14118" builtinId="9" hidden="1"/>
    <cellStyle name="Lien hypertexte visité" xfId="10982" builtinId="9" hidden="1"/>
    <cellStyle name="Lien hypertexte visité" xfId="23224" builtinId="9" hidden="1"/>
    <cellStyle name="Lien hypertexte visité" xfId="1523" builtinId="9" hidden="1"/>
    <cellStyle name="Lien hypertexte visité" xfId="2171" builtinId="9" hidden="1"/>
    <cellStyle name="Lien hypertexte visité" xfId="2479" builtinId="9" hidden="1"/>
    <cellStyle name="Lien hypertexte visité" xfId="6465" builtinId="9" hidden="1"/>
    <cellStyle name="Lien hypertexte visité" xfId="2255" builtinId="9" hidden="1"/>
    <cellStyle name="Lien hypertexte visité" xfId="5937" builtinId="9" hidden="1"/>
    <cellStyle name="Lien hypertexte visité" xfId="10074" builtinId="9" hidden="1"/>
    <cellStyle name="Lien hypertexte visité" xfId="5389" builtinId="9" hidden="1"/>
    <cellStyle name="Lien hypertexte visité" xfId="7273" builtinId="9" hidden="1"/>
    <cellStyle name="Lien hypertexte visité" xfId="8190" builtinId="9" hidden="1"/>
    <cellStyle name="Lien hypertexte visité" xfId="3007" builtinId="9" hidden="1"/>
    <cellStyle name="Lien hypertexte visité" xfId="737" builtinId="9" hidden="1"/>
    <cellStyle name="Lien hypertexte visité" xfId="3604" builtinId="9" hidden="1"/>
    <cellStyle name="Lien hypertexte visité" xfId="13926" builtinId="9" hidden="1"/>
    <cellStyle name="Lien hypertexte visité" xfId="11686" builtinId="9" hidden="1"/>
    <cellStyle name="Lien hypertexte visité" xfId="15129" builtinId="9" hidden="1"/>
    <cellStyle name="Lien hypertexte visité" xfId="21344" builtinId="9" hidden="1"/>
    <cellStyle name="Lien hypertexte visité" xfId="21650" builtinId="9" hidden="1"/>
    <cellStyle name="Lien hypertexte visité" xfId="23034" builtinId="9" hidden="1"/>
    <cellStyle name="Lien hypertexte visité" xfId="11018" builtinId="9" hidden="1"/>
    <cellStyle name="Lien hypertexte visité" xfId="5793" builtinId="9" hidden="1"/>
    <cellStyle name="Lien hypertexte visité" xfId="10015" builtinId="9" hidden="1"/>
    <cellStyle name="Lien hypertexte visité" xfId="7532" builtinId="9" hidden="1"/>
    <cellStyle name="Lien hypertexte visité" xfId="17975" builtinId="9" hidden="1"/>
    <cellStyle name="Lien hypertexte visité" xfId="5633" builtinId="9" hidden="1"/>
    <cellStyle name="Lien hypertexte visité" xfId="4265" builtinId="9" hidden="1"/>
    <cellStyle name="Lien hypertexte visité" xfId="1282" builtinId="9" hidden="1"/>
    <cellStyle name="Lien hypertexte visité" xfId="3307" builtinId="9" hidden="1"/>
    <cellStyle name="Lien hypertexte visité" xfId="6865" builtinId="9" hidden="1"/>
    <cellStyle name="Lien hypertexte visité" xfId="9671" builtinId="9" hidden="1"/>
    <cellStyle name="Lien hypertexte visité" xfId="10439" builtinId="9" hidden="1"/>
    <cellStyle name="Lien hypertexte visité" xfId="11639" builtinId="9" hidden="1"/>
    <cellStyle name="Lien hypertexte visité" xfId="12407" builtinId="9" hidden="1"/>
    <cellStyle name="Lien hypertexte visité" xfId="13175" builtinId="9" hidden="1"/>
    <cellStyle name="Lien hypertexte visité" xfId="14359" builtinId="9" hidden="1"/>
    <cellStyle name="Lien hypertexte visité" xfId="15739" builtinId="9" hidden="1"/>
    <cellStyle name="Lien hypertexte visité" xfId="17275" builtinId="9" hidden="1"/>
    <cellStyle name="Lien hypertexte visité" xfId="8718" builtinId="9" hidden="1"/>
    <cellStyle name="Lien hypertexte visité" xfId="9518" builtinId="9" hidden="1"/>
    <cellStyle name="Lien hypertexte visité" xfId="10030" builtinId="9" hidden="1"/>
    <cellStyle name="Lien hypertexte visité" xfId="10542" builtinId="9" hidden="1"/>
    <cellStyle name="Lien hypertexte visité" xfId="11342" builtinId="9" hidden="1"/>
    <cellStyle name="Lien hypertexte visité" xfId="11854" builtinId="9" hidden="1"/>
    <cellStyle name="Lien hypertexte visité" xfId="12366" builtinId="9" hidden="1"/>
    <cellStyle name="Lien hypertexte visité" xfId="12930" builtinId="9" hidden="1"/>
    <cellStyle name="Lien hypertexte visité" xfId="13666" builtinId="9" hidden="1"/>
    <cellStyle name="Lien hypertexte visité" xfId="14178" builtinId="9" hidden="1"/>
    <cellStyle name="Lien hypertexte visité" xfId="14993" builtinId="9" hidden="1"/>
    <cellStyle name="Lien hypertexte visité" xfId="16465" builtinId="9" hidden="1"/>
    <cellStyle name="Lien hypertexte visité" xfId="17489" builtinId="9" hidden="1"/>
    <cellStyle name="Lien hypertexte visité" xfId="18600" builtinId="9" hidden="1"/>
    <cellStyle name="Lien hypertexte visité" xfId="19624" builtinId="9" hidden="1"/>
    <cellStyle name="Lien hypertexte visité" xfId="21120" builtinId="9" hidden="1"/>
    <cellStyle name="Lien hypertexte visité" xfId="22248" builtinId="9" hidden="1"/>
    <cellStyle name="Lien hypertexte visité" xfId="23272" builtinId="9" hidden="1"/>
    <cellStyle name="Lien hypertexte visité" xfId="24482" builtinId="9" hidden="1"/>
    <cellStyle name="Lien hypertexte visité" xfId="23330" builtinId="9" hidden="1"/>
    <cellStyle name="Lien hypertexte visité" xfId="22306" builtinId="9" hidden="1"/>
    <cellStyle name="Lien hypertexte visité" xfId="21282" builtinId="9" hidden="1"/>
    <cellStyle name="Lien hypertexte visité" xfId="19698" builtinId="9" hidden="1"/>
    <cellStyle name="Lien hypertexte visité" xfId="18674" builtinId="9" hidden="1"/>
    <cellStyle name="Lien hypertexte visité" xfId="17667" builtinId="9" hidden="1"/>
    <cellStyle name="Lien hypertexte visité" xfId="21018" builtinId="9" hidden="1"/>
    <cellStyle name="Lien hypertexte visité" xfId="24090" builtinId="9" hidden="1"/>
    <cellStyle name="Lien hypertexte visité" xfId="22064" builtinId="9" hidden="1"/>
    <cellStyle name="Lien hypertexte visité" xfId="18992" builtinId="9" hidden="1"/>
    <cellStyle name="Lien hypertexte visité" xfId="14362" builtinId="9" hidden="1"/>
    <cellStyle name="Lien hypertexte visité" xfId="12826" builtinId="9" hidden="1"/>
    <cellStyle name="Lien hypertexte visité" xfId="11290" builtinId="9" hidden="1"/>
    <cellStyle name="Lien hypertexte visité" xfId="22192" builtinId="9" hidden="1"/>
    <cellStyle name="Lien hypertexte visité" xfId="17835" builtinId="9" hidden="1"/>
    <cellStyle name="Lien hypertexte visité" xfId="20194" builtinId="9" hidden="1"/>
    <cellStyle name="Lien hypertexte visité" xfId="23266" builtinId="9" hidden="1"/>
    <cellStyle name="Lien hypertexte visité" xfId="21184" builtinId="9" hidden="1"/>
    <cellStyle name="Lien hypertexte visité" xfId="18129" builtinId="9" hidden="1"/>
    <cellStyle name="Lien hypertexte visité" xfId="15057" builtinId="9" hidden="1"/>
    <cellStyle name="Lien hypertexte visité" xfId="12398" builtinId="9" hidden="1"/>
    <cellStyle name="Lien hypertexte visité" xfId="10862" builtinId="9" hidden="1"/>
    <cellStyle name="Lien hypertexte visité" xfId="9326" builtinId="9" hidden="1"/>
    <cellStyle name="Lien hypertexte visité" xfId="16027" builtinId="9" hidden="1"/>
    <cellStyle name="Lien hypertexte visité" xfId="11687" builtinId="9" hidden="1"/>
    <cellStyle name="Lien hypertexte visité" xfId="9383" builtinId="9" hidden="1"/>
    <cellStyle name="Lien hypertexte visité" xfId="7078" builtinId="9" hidden="1"/>
    <cellStyle name="Lien hypertexte visité" xfId="3488" builtinId="9" hidden="1"/>
    <cellStyle name="Lien hypertexte visité" xfId="1183" builtinId="9" hidden="1"/>
    <cellStyle name="Lien hypertexte visité" xfId="2270" builtinId="9" hidden="1"/>
    <cellStyle name="Lien hypertexte visité" xfId="4580" builtinId="9" hidden="1"/>
    <cellStyle name="Lien hypertexte visité" xfId="8165" builtinId="9" hidden="1"/>
    <cellStyle name="Lien hypertexte visité" xfId="10469" builtinId="9" hidden="1"/>
    <cellStyle name="Lien hypertexte visité" xfId="12773" builtinId="9" hidden="1"/>
    <cellStyle name="Lien hypertexte visité" xfId="18199" builtinId="9" hidden="1"/>
    <cellStyle name="Lien hypertexte visité" xfId="5699" builtinId="9" hidden="1"/>
    <cellStyle name="Lien hypertexte visité" xfId="6355" builtinId="9" hidden="1"/>
    <cellStyle name="Lien hypertexte visité" xfId="7091" builtinId="9" hidden="1"/>
    <cellStyle name="Lien hypertexte visité" xfId="8036" builtinId="9" hidden="1"/>
    <cellStyle name="Lien hypertexte visité" xfId="8692" builtinId="9" hidden="1"/>
    <cellStyle name="Lien hypertexte visité" xfId="9428" builtinId="9" hidden="1"/>
    <cellStyle name="Lien hypertexte visité" xfId="10388" builtinId="9" hidden="1"/>
    <cellStyle name="Lien hypertexte visité" xfId="11044" builtinId="9" hidden="1"/>
    <cellStyle name="Lien hypertexte visité" xfId="11764" builtinId="9" hidden="1"/>
    <cellStyle name="Lien hypertexte visité" xfId="12436" builtinId="9" hidden="1"/>
    <cellStyle name="Lien hypertexte visité" xfId="13380" builtinId="9" hidden="1"/>
    <cellStyle name="Lien hypertexte visité" xfId="14116" builtinId="9" hidden="1"/>
    <cellStyle name="Lien hypertexte visité" xfId="15029" builtinId="9" hidden="1"/>
    <cellStyle name="Lien hypertexte visité" xfId="16917" builtinId="9" hidden="1"/>
    <cellStyle name="Lien hypertexte visité" xfId="18372" builtinId="9" hidden="1"/>
    <cellStyle name="Lien hypertexte visité" xfId="19684" builtinId="9" hidden="1"/>
    <cellStyle name="Lien hypertexte visité" xfId="20996" builtinId="9" hidden="1"/>
    <cellStyle name="Lien hypertexte visité" xfId="13765" builtinId="9" hidden="1"/>
    <cellStyle name="Lien hypertexte visité" xfId="18470" builtinId="9" hidden="1"/>
    <cellStyle name="Lien hypertexte visité" xfId="5121" builtinId="9" hidden="1"/>
    <cellStyle name="Lien hypertexte visité" xfId="5289" builtinId="9" hidden="1"/>
    <cellStyle name="Lien hypertexte visité" xfId="1595" builtinId="9" hidden="1"/>
    <cellStyle name="Lien hypertexte visité" xfId="985" builtinId="9" hidden="1"/>
    <cellStyle name="Lien hypertexte visité" xfId="2695" builtinId="9" hidden="1"/>
    <cellStyle name="Lien hypertexte visité" xfId="5841" builtinId="9" hidden="1"/>
    <cellStyle name="Lien hypertexte visité" xfId="9706" builtinId="9" hidden="1"/>
    <cellStyle name="Lien hypertexte visité" xfId="21264" builtinId="9" hidden="1"/>
    <cellStyle name="Lien hypertexte visité" xfId="21930" builtinId="9" hidden="1"/>
    <cellStyle name="Lien hypertexte visité" xfId="21832" builtinId="9" hidden="1"/>
    <cellStyle name="Lien hypertexte visité" xfId="16393" builtinId="9" hidden="1"/>
    <cellStyle name="Lien hypertexte visité" xfId="12722" builtinId="9" hidden="1"/>
    <cellStyle name="Lien hypertexte visité" xfId="8626" builtinId="9" hidden="1"/>
    <cellStyle name="Lien hypertexte visité" xfId="12431" builtinId="9" hidden="1"/>
    <cellStyle name="Lien hypertexte visité" xfId="8335" builtinId="9" hidden="1"/>
    <cellStyle name="Lien hypertexte visité" xfId="2184" builtinId="9" hidden="1"/>
    <cellStyle name="Lien hypertexte visité" xfId="3062" builtinId="9" hidden="1"/>
    <cellStyle name="Lien hypertexte visité" xfId="7164" builtinId="9" hidden="1"/>
    <cellStyle name="Lien hypertexte visité" xfId="11261" builtinId="9" hidden="1"/>
    <cellStyle name="Lien hypertexte visité" xfId="20278" builtinId="9" hidden="1"/>
    <cellStyle name="Lien hypertexte visité" xfId="20756" builtinId="9" hidden="1"/>
    <cellStyle name="Lien hypertexte visité" xfId="13548" builtinId="9" hidden="1"/>
    <cellStyle name="Lien hypertexte visité" xfId="7403" builtinId="9" hidden="1"/>
    <cellStyle name="Lien hypertexte visité" xfId="3301" builtinId="9" hidden="1"/>
    <cellStyle name="Lien hypertexte visité" xfId="1945" builtinId="9" hidden="1"/>
    <cellStyle name="Lien hypertexte visité" xfId="6047" builtinId="9" hidden="1"/>
    <cellStyle name="Lien hypertexte visité" xfId="2482" builtinId="9" hidden="1"/>
    <cellStyle name="Lien hypertexte visité" xfId="5216" builtinId="9" hidden="1"/>
    <cellStyle name="Lien hypertexte visité" xfId="7953" builtinId="9" hidden="1"/>
    <cellStyle name="Lien hypertexte visité" xfId="12049" builtinId="9" hidden="1"/>
    <cellStyle name="Lien hypertexte visité" xfId="15039" builtinId="9" hidden="1"/>
    <cellStyle name="Lien hypertexte visité" xfId="20478" builtinId="9" hidden="1"/>
    <cellStyle name="Lien hypertexte visité" xfId="23276" builtinId="9" hidden="1"/>
    <cellStyle name="Lien hypertexte visité" xfId="15101" builtinId="9" hidden="1"/>
    <cellStyle name="Lien hypertexte visité" xfId="12080" builtinId="9" hidden="1"/>
    <cellStyle name="Lien hypertexte visité" xfId="9352" builtinId="9" hidden="1"/>
    <cellStyle name="Lien hypertexte visité" xfId="24462" builtinId="9" hidden="1"/>
    <cellStyle name="Lien hypertexte visité" xfId="11305" builtinId="9" hidden="1"/>
    <cellStyle name="Lien hypertexte visité" xfId="3106" builtinId="9" hidden="1"/>
    <cellStyle name="Lien hypertexte visité" xfId="7955" builtinId="9" hidden="1"/>
    <cellStyle name="Lien hypertexte visité" xfId="4442" builtinId="9" hidden="1"/>
    <cellStyle name="Lien hypertexte visité" xfId="2100" builtinId="9" hidden="1"/>
    <cellStyle name="Lien hypertexte visité" xfId="8867" builtinId="9" hidden="1"/>
    <cellStyle name="Lien hypertexte visité" xfId="9715" builtinId="9" hidden="1"/>
    <cellStyle name="Lien hypertexte visité" xfId="15763" builtinId="9" hidden="1"/>
    <cellStyle name="Lien hypertexte visité" xfId="16499" builtinId="9" hidden="1"/>
    <cellStyle name="Lien hypertexte visité" xfId="14163" builtinId="9" hidden="1"/>
    <cellStyle name="Lien hypertexte visité" xfId="12219" builtinId="9" hidden="1"/>
    <cellStyle name="Lien hypertexte visité" xfId="1267" builtinId="9" hidden="1"/>
    <cellStyle name="Lien hypertexte visité" xfId="3605" builtinId="9" hidden="1"/>
    <cellStyle name="Lien hypertexte visité" xfId="7122" builtinId="9" hidden="1"/>
    <cellStyle name="Lien hypertexte visité" xfId="9467" builtinId="9" hidden="1"/>
    <cellStyle name="Lien hypertexte visité" xfId="8786" builtinId="9" hidden="1"/>
    <cellStyle name="Lien hypertexte visité" xfId="14047" builtinId="9" hidden="1"/>
    <cellStyle name="Lien hypertexte visité" xfId="9951" builtinId="9" hidden="1"/>
    <cellStyle name="Lien hypertexte visité" xfId="7230" builtinId="9" hidden="1"/>
    <cellStyle name="Lien hypertexte visité" xfId="4478" builtinId="9" hidden="1"/>
    <cellStyle name="Lien hypertexte visité" xfId="383" builtinId="9" hidden="1"/>
    <cellStyle name="Lien hypertexte visité" xfId="3494" builtinId="9" hidden="1"/>
    <cellStyle name="Lien hypertexte visité" xfId="6220" builtinId="9" hidden="1"/>
    <cellStyle name="Lien hypertexte visité" xfId="8973" builtinId="9" hidden="1"/>
    <cellStyle name="Lien hypertexte visité" xfId="13069" builtinId="9" hidden="1"/>
    <cellStyle name="Lien hypertexte visité" xfId="17063" builtinId="9" hidden="1"/>
    <cellStyle name="Lien hypertexte visité" xfId="22486" builtinId="9" hidden="1"/>
    <cellStyle name="Lien hypertexte visité" xfId="18548" builtinId="9" hidden="1"/>
    <cellStyle name="Lien hypertexte visité" xfId="13788" builtinId="9" hidden="1"/>
    <cellStyle name="Lien hypertexte visité" xfId="11068" builtinId="9" hidden="1"/>
    <cellStyle name="Lien hypertexte visité" xfId="8348" builtinId="9" hidden="1"/>
    <cellStyle name="Lien hypertexte visité" xfId="4251" builtinId="9" hidden="1"/>
    <cellStyle name="Lien hypertexte visité" xfId="1492" builtinId="9" hidden="1"/>
    <cellStyle name="Lien hypertexte visité" xfId="2377" builtinId="9" hidden="1"/>
    <cellStyle name="Lien hypertexte visité" xfId="6479" builtinId="9" hidden="1"/>
    <cellStyle name="Lien hypertexte visité" xfId="155" builtinId="9" hidden="1"/>
    <cellStyle name="Lien hypertexte visité" xfId="2322" builtinId="9" hidden="1"/>
    <cellStyle name="Lien hypertexte visité" xfId="4144" builtinId="9" hidden="1"/>
    <cellStyle name="Lien hypertexte visité" xfId="6872" builtinId="9" hidden="1"/>
    <cellStyle name="Lien hypertexte visité" xfId="8689" builtinId="9" hidden="1"/>
    <cellStyle name="Lien hypertexte visité" xfId="10521" builtinId="9" hidden="1"/>
    <cellStyle name="Lien hypertexte visité" xfId="13249" builtinId="9" hidden="1"/>
    <cellStyle name="Lien hypertexte visité" xfId="15615" builtinId="9" hidden="1"/>
    <cellStyle name="Lien hypertexte visité" xfId="19230" builtinId="9" hidden="1"/>
    <cellStyle name="Lien hypertexte visité" xfId="22894" builtinId="9" hidden="1"/>
    <cellStyle name="Lien hypertexte visité" xfId="20876" builtinId="9" hidden="1"/>
    <cellStyle name="Lien hypertexte visité" xfId="17261" builtinId="9" hidden="1"/>
    <cellStyle name="Lien hypertexte visité" xfId="14072" builtinId="9" hidden="1"/>
    <cellStyle name="Lien hypertexte visité" xfId="11344" builtinId="9" hidden="1"/>
    <cellStyle name="Lien hypertexte visité" xfId="9512" builtinId="9" hidden="1"/>
    <cellStyle name="Lien hypertexte visité" xfId="12320" builtinId="9" hidden="1"/>
    <cellStyle name="Lien hypertexte visité" xfId="20988" builtinId="9" hidden="1"/>
    <cellStyle name="Lien hypertexte visité" xfId="13193" builtinId="9" hidden="1"/>
    <cellStyle name="Lien hypertexte visité" xfId="7688" builtinId="9" hidden="1"/>
    <cellStyle name="Lien hypertexte visité" xfId="22990" builtinId="9" hidden="1"/>
    <cellStyle name="Lien hypertexte visité" xfId="13200" builtinId="9" hidden="1"/>
    <cellStyle name="Lien hypertexte visité" xfId="22796" builtinId="9" hidden="1"/>
    <cellStyle name="Lien hypertexte visité" xfId="15535" builtinId="9" hidden="1"/>
    <cellStyle name="Lien hypertexte visité" xfId="9561" builtinId="9" hidden="1"/>
    <cellStyle name="Lien hypertexte visité" xfId="1361" builtinId="9" hidden="1"/>
    <cellStyle name="Lien hypertexte visité" xfId="2313" builtinId="9" hidden="1"/>
    <cellStyle name="Lien hypertexte visité" xfId="7035" builtinId="9" hidden="1"/>
    <cellStyle name="Lien hypertexte visité" xfId="24116" builtinId="9" hidden="1"/>
    <cellStyle name="Lien hypertexte visité" xfId="11629" builtinId="9" hidden="1"/>
    <cellStyle name="Lien hypertexte visité" xfId="9837" builtinId="9" hidden="1"/>
    <cellStyle name="Lien hypertexte visité" xfId="12397" builtinId="9" hidden="1"/>
    <cellStyle name="Lien hypertexte visité" xfId="18454" builtinId="9" hidden="1"/>
    <cellStyle name="Lien hypertexte visité" xfId="24086" builtinId="9" hidden="1"/>
    <cellStyle name="Lien hypertexte visité" xfId="19508" builtinId="9" hidden="1"/>
    <cellStyle name="Lien hypertexte visité" xfId="12924" builtinId="9" hidden="1"/>
    <cellStyle name="Lien hypertexte visité" xfId="10364" builtinId="9" hidden="1"/>
    <cellStyle name="Lien hypertexte visité" xfId="7547" builtinId="9" hidden="1"/>
    <cellStyle name="Lien hypertexte visité" xfId="4731" builtinId="9" hidden="1"/>
    <cellStyle name="Lien hypertexte visité" xfId="205" builtinId="9" hidden="1"/>
    <cellStyle name="Lien hypertexte visité" xfId="3081" builtinId="9" hidden="1"/>
    <cellStyle name="Lien hypertexte visité" xfId="5903" builtinId="9" hidden="1"/>
    <cellStyle name="Lien hypertexte visité" xfId="871" builtinId="9" hidden="1"/>
    <cellStyle name="Lien hypertexte visité" xfId="2898" builtinId="9" hidden="1"/>
    <cellStyle name="Lien hypertexte visité" xfId="4608" builtinId="9" hidden="1"/>
    <cellStyle name="Lien hypertexte visité" xfId="6488" builtinId="9" hidden="1"/>
    <cellStyle name="Lien hypertexte visité" xfId="9217" builtinId="9" hidden="1"/>
    <cellStyle name="Lien hypertexte visité" xfId="11097" builtinId="9" hidden="1"/>
    <cellStyle name="Lien hypertexte visité" xfId="12801" builtinId="9" hidden="1"/>
    <cellStyle name="Lien hypertexte visité" xfId="16559" builtinId="9" hidden="1"/>
    <cellStyle name="Lien hypertexte visité" xfId="20286" builtinId="9" hidden="1"/>
    <cellStyle name="Lien hypertexte visité" xfId="24046" builtinId="9" hidden="1"/>
    <cellStyle name="Lien hypertexte visité" xfId="21772" builtinId="9" hidden="1"/>
    <cellStyle name="Lien hypertexte visité" xfId="16317" builtinId="9" hidden="1"/>
    <cellStyle name="Lien hypertexte visité" xfId="13544" builtinId="9" hidden="1"/>
    <cellStyle name="Lien hypertexte visité" xfId="11664" builtinId="9" hidden="1"/>
    <cellStyle name="Lien hypertexte visité" xfId="8936" builtinId="9" hidden="1"/>
    <cellStyle name="Lien hypertexte visité" xfId="13728" builtinId="9" hidden="1"/>
    <cellStyle name="Lien hypertexte visité" xfId="24188" builtinId="9" hidden="1"/>
    <cellStyle name="Lien hypertexte visité" xfId="14153" builtinId="9" hidden="1"/>
    <cellStyle name="Lien hypertexte visité" xfId="6536" builtinId="9" hidden="1"/>
    <cellStyle name="Lien hypertexte visité" xfId="8201" builtinId="9" hidden="1"/>
    <cellStyle name="Lien hypertexte visité" xfId="10121" builtinId="9" hidden="1"/>
    <cellStyle name="Lien hypertexte visité" xfId="12809" builtinId="9" hidden="1"/>
    <cellStyle name="Lien hypertexte visité" xfId="14943" builtinId="9" hidden="1"/>
    <cellStyle name="Lien hypertexte visité" xfId="18271" builtinId="9" hidden="1"/>
    <cellStyle name="Lien hypertexte visité" xfId="22094" builtinId="9" hidden="1"/>
    <cellStyle name="Lien hypertexte visité" xfId="21756" builtinId="9" hidden="1"/>
    <cellStyle name="Lien hypertexte visité" xfId="17933" builtinId="9" hidden="1"/>
    <cellStyle name="Lien hypertexte visité" xfId="14605" builtinId="9" hidden="1"/>
    <cellStyle name="Lien hypertexte visité" xfId="11808" builtinId="9" hidden="1"/>
    <cellStyle name="Lien hypertexte visité" xfId="9952" builtinId="9" hidden="1"/>
    <cellStyle name="Lien hypertexte visité" xfId="9128" builtinId="9" hidden="1"/>
    <cellStyle name="Lien hypertexte visité" xfId="9680" builtinId="9" hidden="1"/>
    <cellStyle name="Lien hypertexte visité" xfId="10600" builtinId="9" hidden="1"/>
    <cellStyle name="Lien hypertexte visité" xfId="11216" builtinId="9" hidden="1"/>
    <cellStyle name="Lien hypertexte visité" xfId="11856" builtinId="9" hidden="1"/>
    <cellStyle name="Lien hypertexte visité" xfId="12752" builtinId="9" hidden="1"/>
    <cellStyle name="Lien hypertexte visité" xfId="13328" builtinId="9" hidden="1"/>
    <cellStyle name="Lien hypertexte visité" xfId="13944" builtinId="9" hidden="1"/>
    <cellStyle name="Lien hypertexte visité" xfId="14653" builtinId="9" hidden="1"/>
    <cellStyle name="Lien hypertexte visité" xfId="16445" builtinId="9" hidden="1"/>
    <cellStyle name="Lien hypertexte visité" xfId="17597" builtinId="9" hidden="1"/>
    <cellStyle name="Lien hypertexte visité" xfId="18828" builtinId="9" hidden="1"/>
    <cellStyle name="Lien hypertexte visité" xfId="20652" builtinId="9" hidden="1"/>
    <cellStyle name="Lien hypertexte visité" xfId="21900" builtinId="9" hidden="1"/>
    <cellStyle name="Lien hypertexte visité" xfId="23052" builtinId="9" hidden="1"/>
    <cellStyle name="Lien hypertexte visité" xfId="24284" builtinId="9" hidden="1"/>
    <cellStyle name="Lien hypertexte visité" xfId="23102" builtinId="9" hidden="1"/>
    <cellStyle name="Lien hypertexte visité" xfId="21870" builtinId="9" hidden="1"/>
    <cellStyle name="Lien hypertexte visité" xfId="20718" builtinId="9" hidden="1"/>
    <cellStyle name="Lien hypertexte visité" xfId="18878" builtinId="9" hidden="1"/>
    <cellStyle name="Lien hypertexte visité" xfId="17663" builtinId="9" hidden="1"/>
    <cellStyle name="Lien hypertexte visité" xfId="16431" builtinId="9" hidden="1"/>
    <cellStyle name="Lien hypertexte visité" xfId="15279" builtinId="9" hidden="1"/>
    <cellStyle name="Lien hypertexte visité" xfId="13977" builtinId="9" hidden="1"/>
    <cellStyle name="Lien hypertexte visité" xfId="13361" builtinId="9" hidden="1"/>
    <cellStyle name="Lien hypertexte visité" xfId="12737" builtinId="9" hidden="1"/>
    <cellStyle name="Lien hypertexte visité" xfId="11825" builtinId="9" hidden="1"/>
    <cellStyle name="Lien hypertexte visité" xfId="11249" builtinId="9" hidden="1"/>
    <cellStyle name="Lien hypertexte visité" xfId="10625" builtinId="9" hidden="1"/>
    <cellStyle name="Lien hypertexte visité" xfId="10009" builtinId="9" hidden="1"/>
    <cellStyle name="Lien hypertexte visité" xfId="9089" builtinId="9" hidden="1"/>
    <cellStyle name="Lien hypertexte visité" xfId="8513" builtinId="9" hidden="1"/>
    <cellStyle name="Lien hypertexte visité" xfId="7897" builtinId="9" hidden="1"/>
    <cellStyle name="Lien hypertexte visité" xfId="6976" builtinId="9" hidden="1"/>
    <cellStyle name="Lien hypertexte visité" xfId="6360" builtinId="9" hidden="1"/>
    <cellStyle name="Lien hypertexte visité" xfId="5784" builtinId="9" hidden="1"/>
    <cellStyle name="Lien hypertexte visité" xfId="5168" builtinId="9" hidden="1"/>
    <cellStyle name="Lien hypertexte visité" xfId="4248" builtinId="9" hidden="1"/>
    <cellStyle name="Lien hypertexte visité" xfId="3627" builtinId="9" hidden="1"/>
    <cellStyle name="Lien hypertexte visité" xfId="3050" builtinId="9" hidden="1"/>
    <cellStyle name="Lien hypertexte visité" xfId="2154" builtinId="9" hidden="1"/>
    <cellStyle name="Lien hypertexte visité" xfId="1514" builtinId="9" hidden="1"/>
    <cellStyle name="Lien hypertexte visité" xfId="615" builtinId="9" hidden="1"/>
    <cellStyle name="Lien hypertexte visité" xfId="507" builtinId="9" hidden="1"/>
    <cellStyle name="Lien hypertexte visité" xfId="7599" builtinId="9" hidden="1"/>
    <cellStyle name="Lien hypertexte visité" xfId="6639" builtinId="9" hidden="1"/>
    <cellStyle name="Lien hypertexte visité" xfId="5711" builtinId="9" hidden="1"/>
    <cellStyle name="Lien hypertexte visité" xfId="4335" builtinId="9" hidden="1"/>
    <cellStyle name="Lien hypertexte visité" xfId="3497" builtinId="9" hidden="1"/>
    <cellStyle name="Lien hypertexte visité" xfId="2537" builtinId="9" hidden="1"/>
    <cellStyle name="Lien hypertexte visité" xfId="1609" builtinId="9" hidden="1"/>
    <cellStyle name="Lien hypertexte visité" xfId="669" builtinId="9" hidden="1"/>
    <cellStyle name="Lien hypertexte visité" xfId="1749" builtinId="9" hidden="1"/>
    <cellStyle name="Lien hypertexte visité" xfId="2709" builtinId="9" hidden="1"/>
    <cellStyle name="Lien hypertexte visité" xfId="4059" builtinId="9" hidden="1"/>
    <cellStyle name="Lien hypertexte visité" xfId="5019" builtinId="9" hidden="1"/>
    <cellStyle name="Lien hypertexte visité" xfId="5851" builtinId="9" hidden="1"/>
    <cellStyle name="Lien hypertexte visité" xfId="6811" builtinId="9" hidden="1"/>
    <cellStyle name="Lien hypertexte visité" xfId="8156" builtinId="9" hidden="1"/>
    <cellStyle name="Lien hypertexte visité" xfId="9116" builtinId="9" hidden="1"/>
    <cellStyle name="Lien hypertexte visité" xfId="9948" builtinId="9" hidden="1"/>
    <cellStyle name="Lien hypertexte visité" xfId="11324" builtinId="9" hidden="1"/>
    <cellStyle name="Lien hypertexte visité" xfId="12252" builtinId="9" hidden="1"/>
    <cellStyle name="Lien hypertexte visité" xfId="13212" builtinId="9" hidden="1"/>
    <cellStyle name="Lien hypertexte visité" xfId="14044" builtinId="9" hidden="1"/>
    <cellStyle name="Lien hypertexte visité" xfId="16325" builtinId="9" hidden="1"/>
    <cellStyle name="Lien hypertexte visité" xfId="18181" builtinId="9" hidden="1"/>
    <cellStyle name="Lien hypertexte visité" xfId="20084" builtinId="9" hidden="1"/>
    <cellStyle name="Lien hypertexte visité" xfId="22772" builtinId="9" hidden="1"/>
    <cellStyle name="Lien hypertexte visité" xfId="24500" builtinId="9" hidden="1"/>
    <cellStyle name="Lien hypertexte visité" xfId="22870" builtinId="9" hidden="1"/>
    <cellStyle name="Lien hypertexte visité" xfId="20950" builtinId="9" hidden="1"/>
    <cellStyle name="Lien hypertexte visité" xfId="18279" builtinId="9" hidden="1"/>
    <cellStyle name="Lien hypertexte visité" xfId="16551" builtinId="9" hidden="1"/>
    <cellStyle name="Lien hypertexte visité" xfId="14695" builtinId="9" hidden="1"/>
    <cellStyle name="Lien hypertexte visité" xfId="13229" builtinId="9" hidden="1"/>
    <cellStyle name="Lien hypertexte visité" xfId="12301" builtinId="9" hidden="1"/>
    <cellStyle name="Lien hypertexte visité" xfId="11437" builtinId="9" hidden="1"/>
    <cellStyle name="Lien hypertexte visité" xfId="10509" builtinId="9" hidden="1"/>
    <cellStyle name="Lien hypertexte visité" xfId="9133" builtinId="9" hidden="1"/>
    <cellStyle name="Lien hypertexte visité" xfId="8205" builtinId="9" hidden="1"/>
    <cellStyle name="Lien hypertexte visité" xfId="7340" builtinId="9" hidden="1"/>
    <cellStyle name="Lien hypertexte visité" xfId="5964" builtinId="9" hidden="1"/>
    <cellStyle name="Lien hypertexte visité" xfId="5036" builtinId="9" hidden="1"/>
    <cellStyle name="Lien hypertexte visité" xfId="4108" builtinId="9" hidden="1"/>
    <cellStyle name="Lien hypertexte visité" xfId="3238" builtinId="9" hidden="1"/>
    <cellStyle name="Lien hypertexte visité" xfId="1862" builtinId="9" hidden="1"/>
    <cellStyle name="Lien hypertexte visité" xfId="703" builtinId="9" hidden="1"/>
    <cellStyle name="Lien hypertexte visité" xfId="1123" builtinId="9" hidden="1"/>
    <cellStyle name="Lien hypertexte visité" xfId="2520" builtinId="9" hidden="1"/>
    <cellStyle name="Lien hypertexte visité" xfId="3384" builtinId="9" hidden="1"/>
    <cellStyle name="Lien hypertexte visité" xfId="4318" builtinId="9" hidden="1"/>
    <cellStyle name="Lien hypertexte visité" xfId="5246" builtinId="9" hidden="1"/>
    <cellStyle name="Lien hypertexte visité" xfId="6622" builtinId="9" hidden="1"/>
    <cellStyle name="Lien hypertexte visité" xfId="7486" builtinId="9" hidden="1"/>
    <cellStyle name="Lien hypertexte visité" xfId="8415" builtinId="9" hidden="1"/>
    <cellStyle name="Lien hypertexte visité" xfId="9791" builtinId="9" hidden="1"/>
    <cellStyle name="Lien hypertexte visité" xfId="10719" builtinId="9" hidden="1"/>
    <cellStyle name="Lien hypertexte visité" xfId="11583" builtinId="9" hidden="1"/>
    <cellStyle name="Lien hypertexte visité" xfId="12511" builtinId="9" hidden="1"/>
    <cellStyle name="Lien hypertexte visité" xfId="13887" builtinId="9" hidden="1"/>
    <cellStyle name="Lien hypertexte visité" xfId="15115" builtinId="9" hidden="1"/>
    <cellStyle name="Lien hypertexte visité" xfId="16843" builtinId="9" hidden="1"/>
    <cellStyle name="Lien hypertexte visité" xfId="8958" builtinId="9" hidden="1"/>
    <cellStyle name="Lien hypertexte visité" xfId="4808" builtinId="9" hidden="1"/>
    <cellStyle name="Lien hypertexte visité" xfId="1986" builtinId="9" hidden="1"/>
    <cellStyle name="Lien hypertexte visité" xfId="9243" builtinId="9" hidden="1"/>
    <cellStyle name="Lien hypertexte visité" xfId="8075" builtinId="9" hidden="1"/>
    <cellStyle name="Lien hypertexte visité" xfId="7274" builtinId="9" hidden="1"/>
    <cellStyle name="Lien hypertexte visité" xfId="6466" builtinId="9" hidden="1"/>
    <cellStyle name="Lien hypertexte visité" xfId="5298" builtinId="9" hidden="1"/>
    <cellStyle name="Lien hypertexte visité" xfId="4562" builtinId="9" hidden="1"/>
    <cellStyle name="Lien hypertexte visité" xfId="3765" builtinId="9" hidden="1"/>
    <cellStyle name="Lien hypertexte visité" xfId="2948" builtinId="9" hidden="1"/>
    <cellStyle name="Lien hypertexte visité" xfId="1780" builtinId="9" hidden="1"/>
    <cellStyle name="Lien hypertexte visité" xfId="923" builtinId="9" hidden="1"/>
    <cellStyle name="Lien hypertexte visité" xfId="5474" builtinId="9" hidden="1"/>
    <cellStyle name="Lien hypertexte visité" xfId="12355" builtinId="9" hidden="1"/>
    <cellStyle name="Lien hypertexte visité" xfId="11603" builtinId="9" hidden="1"/>
    <cellStyle name="Lien hypertexte visité" xfId="10923" builtinId="9" hidden="1"/>
    <cellStyle name="Lien hypertexte visité" xfId="10171" builtinId="9" hidden="1"/>
    <cellStyle name="Lien hypertexte visité" xfId="14291" builtinId="9" hidden="1"/>
    <cellStyle name="Lien hypertexte visité" xfId="13563" builtinId="9" hidden="1"/>
    <cellStyle name="Lien hypertexte visité" xfId="13091" builtinId="9" hidden="1"/>
    <cellStyle name="Lien hypertexte visité" xfId="16115" builtinId="9" hidden="1"/>
    <cellStyle name="Lien hypertexte visité" xfId="16723" builtinId="9" hidden="1"/>
    <cellStyle name="Lien hypertexte visité" xfId="14851" builtinId="9" hidden="1"/>
    <cellStyle name="Lien hypertexte visité" xfId="12995" builtinId="9" hidden="1"/>
    <cellStyle name="Lien hypertexte visité" xfId="14051" builtinId="9" hidden="1"/>
    <cellStyle name="Lien hypertexte visité" xfId="9579" builtinId="9" hidden="1"/>
    <cellStyle name="Lien hypertexte visité" xfId="10331" builtinId="9" hidden="1"/>
    <cellStyle name="Lien hypertexte visité" xfId="11419" builtinId="9" hidden="1"/>
    <cellStyle name="Lien hypertexte visité" xfId="12107" builtinId="9" hidden="1"/>
    <cellStyle name="Lien hypertexte visité" xfId="12859" builtinId="9" hidden="1"/>
    <cellStyle name="Lien hypertexte visité" xfId="4258" builtinId="9" hidden="1"/>
    <cellStyle name="Lien hypertexte visité" xfId="1588" builtinId="9" hidden="1"/>
    <cellStyle name="Lien hypertexte visité" xfId="2316" builtinId="9" hidden="1"/>
    <cellStyle name="Lien hypertexte visité" xfId="3124" builtinId="9" hidden="1"/>
    <cellStyle name="Lien hypertexte visité" xfId="4298" builtinId="9" hidden="1"/>
    <cellStyle name="Lien hypertexte visité" xfId="5106" builtinId="9" hidden="1"/>
    <cellStyle name="Lien hypertexte visité" xfId="5834" builtinId="9" hidden="1"/>
    <cellStyle name="Lien hypertexte visité" xfId="6642" builtinId="9" hidden="1"/>
    <cellStyle name="Lien hypertexte visité" xfId="7811" builtinId="9" hidden="1"/>
    <cellStyle name="Lien hypertexte visité" xfId="8619" builtinId="9" hidden="1"/>
    <cellStyle name="Lien hypertexte visité" xfId="9347" builtinId="9" hidden="1"/>
    <cellStyle name="Lien hypertexte visité" xfId="3883" builtinId="9" hidden="1"/>
    <cellStyle name="Lien hypertexte visité" xfId="6696" builtinId="9" hidden="1"/>
    <cellStyle name="Lien hypertexte visité" xfId="9513" builtinId="9" hidden="1"/>
    <cellStyle name="Lien hypertexte visité" xfId="12073" builtinId="9" hidden="1"/>
    <cellStyle name="Lien hypertexte visité" xfId="17823" builtinId="9" hidden="1"/>
    <cellStyle name="Lien hypertexte visité" xfId="23438" builtinId="9" hidden="1"/>
    <cellStyle name="Lien hypertexte visité" xfId="20156" builtinId="9" hidden="1"/>
    <cellStyle name="Lien hypertexte visité" xfId="13248" builtinId="9" hidden="1"/>
    <cellStyle name="Lien hypertexte visité" xfId="10688" builtinId="9" hidden="1"/>
    <cellStyle name="Lien hypertexte visité" xfId="9176" builtinId="9" hidden="1"/>
    <cellStyle name="Lien hypertexte visité" xfId="10120" builtinId="9" hidden="1"/>
    <cellStyle name="Lien hypertexte visité" xfId="11480" builtinId="9" hidden="1"/>
    <cellStyle name="Lien hypertexte visité" xfId="12336" builtinId="9" hidden="1"/>
    <cellStyle name="Lien hypertexte visité" xfId="13272" builtinId="9" hidden="1"/>
    <cellStyle name="Lien hypertexte visité" xfId="14765" builtinId="9" hidden="1"/>
    <cellStyle name="Lien hypertexte visité" xfId="16637" builtinId="9" hidden="1"/>
    <cellStyle name="Lien hypertexte visité" xfId="18332" builtinId="9" hidden="1"/>
    <cellStyle name="Lien hypertexte visité" xfId="20204" builtinId="9" hidden="1"/>
    <cellStyle name="Lien hypertexte visité" xfId="22940" builtinId="9" hidden="1"/>
    <cellStyle name="Lien hypertexte visité" xfId="24414" builtinId="9" hidden="1"/>
    <cellStyle name="Lien hypertexte visité" xfId="22702" builtinId="9" hidden="1"/>
    <cellStyle name="Lien hypertexte visité" xfId="19966" builtinId="9" hidden="1"/>
    <cellStyle name="Lien hypertexte visité" xfId="18111" builtinId="9" hidden="1"/>
    <cellStyle name="Lien hypertexte visité" xfId="16239" builtinId="9" hidden="1"/>
    <cellStyle name="Lien hypertexte visité" xfId="14527" builtinId="9" hidden="1"/>
    <cellStyle name="Lien hypertexte visité" xfId="13153" builtinId="9" hidden="1"/>
    <cellStyle name="Lien hypertexte visité" xfId="12217" builtinId="9" hidden="1"/>
    <cellStyle name="Lien hypertexte visité" xfId="11281" builtinId="9" hidden="1"/>
    <cellStyle name="Lien hypertexte visité" xfId="9913" builtinId="9" hidden="1"/>
    <cellStyle name="Lien hypertexte visité" xfId="9057" builtinId="9" hidden="1"/>
    <cellStyle name="Lien hypertexte visité" xfId="8121" builtinId="9" hidden="1"/>
    <cellStyle name="Lien hypertexte visité" xfId="7184" builtinId="9" hidden="1"/>
    <cellStyle name="Lien hypertexte visité" xfId="5816" builtinId="9" hidden="1"/>
    <cellStyle name="Lien hypertexte visité" xfId="4960" builtinId="9" hidden="1"/>
    <cellStyle name="Lien hypertexte visité" xfId="4024" builtinId="9" hidden="1"/>
    <cellStyle name="Lien hypertexte visité" xfId="2650" builtinId="9" hidden="1"/>
    <cellStyle name="Lien hypertexte visité" xfId="1714" builtinId="9" hidden="1"/>
    <cellStyle name="Lien hypertexte visité" xfId="551" builtinId="9" hidden="1"/>
    <cellStyle name="Lien hypertexte visité" xfId="8352" builtinId="9" hidden="1"/>
    <cellStyle name="Lien hypertexte visité" xfId="6303" builtinId="9" hidden="1"/>
    <cellStyle name="Lien hypertexte visité" xfId="4895" builtinId="9" hidden="1"/>
    <cellStyle name="Lien hypertexte visité" xfId="3610" builtinId="9" hidden="1"/>
    <cellStyle name="Lien hypertexte visité" xfId="1561" builtinId="9" hidden="1"/>
    <cellStyle name="Lien hypertexte visité" xfId="829" builtinId="9" hidden="1"/>
    <cellStyle name="Lien hypertexte visité" xfId="2405" builtinId="9" hidden="1"/>
    <cellStyle name="Lien hypertexte visité" xfId="3693" builtinId="9" hidden="1"/>
    <cellStyle name="Lien hypertexte visité" xfId="5739" builtinId="9" hidden="1"/>
    <cellStyle name="Lien hypertexte visité" xfId="7147" builtinId="9" hidden="1"/>
    <cellStyle name="Lien hypertexte visité" xfId="8556" builtinId="9" hidden="1"/>
    <cellStyle name="Lien hypertexte visité" xfId="10604" builtinId="9" hidden="1"/>
    <cellStyle name="Lien hypertexte visité" xfId="11884" builtinId="9" hidden="1"/>
    <cellStyle name="Lien hypertexte visité" xfId="13292" builtinId="9" hidden="1"/>
    <cellStyle name="Lien hypertexte visité" xfId="14885" builtinId="9" hidden="1"/>
    <cellStyle name="Lien hypertexte visité" xfId="18964" builtinId="9" hidden="1"/>
    <cellStyle name="Lien hypertexte visité" xfId="21524" builtinId="9" hidden="1"/>
    <cellStyle name="Lien hypertexte visité" xfId="24340" builtinId="9" hidden="1"/>
    <cellStyle name="Lien hypertexte visité" xfId="20790" builtinId="9" hidden="1"/>
    <cellStyle name="Lien hypertexte visité" xfId="17991" builtinId="9" hidden="1"/>
    <cellStyle name="Lien hypertexte visité" xfId="15431" builtinId="9" hidden="1"/>
    <cellStyle name="Lien hypertexte visité" xfId="13565" builtinId="9" hidden="1"/>
    <cellStyle name="Lien hypertexte visité" xfId="11517" builtinId="9" hidden="1"/>
    <cellStyle name="Lien hypertexte visité" xfId="10109" builtinId="9" hidden="1"/>
    <cellStyle name="Lien hypertexte visité" xfId="8829" builtinId="9" hidden="1"/>
    <cellStyle name="Lien hypertexte visité" xfId="6780" builtinId="9" hidden="1"/>
    <cellStyle name="Lien hypertexte visité" xfId="5372" builtinId="9" hidden="1"/>
    <cellStyle name="Lien hypertexte visité" xfId="3964" builtinId="9" hidden="1"/>
    <cellStyle name="Lien hypertexte visité" xfId="2678" builtinId="9" hidden="1"/>
    <cellStyle name="Lien hypertexte visité" xfId="83" builtinId="9" hidden="1"/>
    <cellStyle name="Lien hypertexte visité" xfId="1928" builtinId="9" hidden="1"/>
    <cellStyle name="Lien hypertexte visité" xfId="3336" builtinId="9" hidden="1"/>
    <cellStyle name="Lien hypertexte visité" xfId="5390" builtinId="9" hidden="1"/>
    <cellStyle name="Lien hypertexte visité" xfId="6670" builtinId="9" hidden="1"/>
    <cellStyle name="Lien hypertexte visité" xfId="8079" builtinId="9" hidden="1"/>
    <cellStyle name="Lien hypertexte visité" xfId="9487" builtinId="9" hidden="1"/>
    <cellStyle name="Lien hypertexte visité" xfId="11535" builtinId="9" hidden="1"/>
    <cellStyle name="Lien hypertexte visité" xfId="12815" builtinId="9" hidden="1"/>
    <cellStyle name="Lien hypertexte visité" xfId="14223" builtinId="9" hidden="1"/>
    <cellStyle name="Lien hypertexte visité" xfId="8454" builtinId="9" hidden="1"/>
    <cellStyle name="Lien hypertexte visité" xfId="9394" builtinId="9" hidden="1"/>
    <cellStyle name="Lien hypertexte visité" xfId="10246" builtinId="9" hidden="1"/>
    <cellStyle name="Lien hypertexte visité" xfId="11186" builtinId="9" hidden="1"/>
    <cellStyle name="Lien hypertexte visité" xfId="12550" builtinId="9" hidden="1"/>
    <cellStyle name="Lien hypertexte visité" xfId="13490" builtinId="9" hidden="1"/>
    <cellStyle name="Lien hypertexte visité" xfId="14342" builtinId="9" hidden="1"/>
    <cellStyle name="Lien hypertexte visité" xfId="16905" builtinId="9" hidden="1"/>
    <cellStyle name="Lien hypertexte visité" xfId="18760" builtinId="9" hidden="1"/>
    <cellStyle name="Lien hypertexte visité" xfId="20640" builtinId="9" hidden="1"/>
    <cellStyle name="Lien hypertexte visité" xfId="22344" builtinId="9" hidden="1"/>
    <cellStyle name="Lien hypertexte visité" xfId="24146" builtinId="9" hidden="1"/>
    <cellStyle name="Lien hypertexte visité" xfId="22274" builtinId="9" hidden="1"/>
    <cellStyle name="Lien hypertexte visité" xfId="20394" builtinId="9" hidden="1"/>
    <cellStyle name="Lien hypertexte visité" xfId="17683" builtinId="9" hidden="1"/>
    <cellStyle name="Lien hypertexte visité" xfId="21306" builtinId="9" hidden="1"/>
    <cellStyle name="Lien hypertexte visité" xfId="22288" builtinId="9" hidden="1"/>
    <cellStyle name="Lien hypertexte visité" xfId="16673" builtinId="9" hidden="1"/>
    <cellStyle name="Lien hypertexte visité" xfId="11498" builtinId="9" hidden="1"/>
    <cellStyle name="Lien hypertexte visité" xfId="8938" builtinId="9" hidden="1"/>
    <cellStyle name="Lien hypertexte visité" xfId="4525" builtinId="9" hidden="1"/>
    <cellStyle name="Lien hypertexte visité" xfId="5693" builtinId="9" hidden="1"/>
    <cellStyle name="Lien hypertexte visité" xfId="6497" builtinId="9" hidden="1"/>
    <cellStyle name="Lien hypertexte visité" xfId="14314" builtinId="9" hidden="1"/>
    <cellStyle name="Lien hypertexte visité" xfId="23368" builtinId="9" hidden="1"/>
    <cellStyle name="Lien hypertexte visité" xfId="11614" builtinId="9" hidden="1"/>
    <cellStyle name="Lien hypertexte visité" xfId="10127" builtinId="9" hidden="1"/>
    <cellStyle name="Lien hypertexte visité" xfId="1910" builtinId="9" hidden="1"/>
    <cellStyle name="Lien hypertexte visité" xfId="12925" builtinId="9" hidden="1"/>
    <cellStyle name="Lien hypertexte visité" xfId="16165" builtinId="9" hidden="1"/>
    <cellStyle name="Lien hypertexte visité" xfId="4459" builtinId="9" hidden="1"/>
    <cellStyle name="Lien hypertexte visité" xfId="7711" builtinId="9" hidden="1"/>
    <cellStyle name="Lien hypertexte visité" xfId="6752" builtinId="9" hidden="1"/>
    <cellStyle name="Lien hypertexte visité" xfId="14009" builtinId="9" hidden="1"/>
    <cellStyle name="Lien hypertexte visité" xfId="21068" builtinId="9" hidden="1"/>
    <cellStyle name="Lien hypertexte visité" xfId="10544" builtinId="9" hidden="1"/>
    <cellStyle name="Lien hypertexte visité" xfId="13609" builtinId="9" hidden="1"/>
    <cellStyle name="Lien hypertexte visité" xfId="7002" builtinId="9" hidden="1"/>
    <cellStyle name="Lien hypertexte visité" xfId="1692" builtinId="9" hidden="1"/>
    <cellStyle name="Lien hypertexte visité" xfId="13395" builtinId="9" hidden="1"/>
    <cellStyle name="Lien hypertexte visité" xfId="9827" builtinId="9" hidden="1"/>
    <cellStyle name="Lien hypertexte visité" xfId="2580" builtinId="9" hidden="1"/>
    <cellStyle name="Lien hypertexte visité" xfId="8811" builtinId="9" hidden="1"/>
    <cellStyle name="Lien hypertexte visité" xfId="12927" builtinId="9" hidden="1"/>
    <cellStyle name="Lien hypertexte visité" xfId="5694" builtinId="9" hidden="1"/>
    <cellStyle name="Lien hypertexte visité" xfId="2726" builtinId="9" hidden="1"/>
    <cellStyle name="Lien hypertexte visité" xfId="10061" builtinId="9" hidden="1"/>
    <cellStyle name="Lien hypertexte visité" xfId="20118" builtinId="9" hidden="1"/>
    <cellStyle name="Lien hypertexte visité" xfId="14597" builtinId="9" hidden="1"/>
    <cellStyle name="Lien hypertexte visité" xfId="7227" builtinId="9" hidden="1"/>
    <cellStyle name="Lien hypertexte visité" xfId="1192" builtinId="9" hidden="1"/>
    <cellStyle name="Lien hypertexte visité" xfId="8432" builtinId="9" hidden="1"/>
    <cellStyle name="Lien hypertexte visité" xfId="4888" builtinId="9" hidden="1"/>
    <cellStyle name="Lien hypertexte visité" xfId="9713" builtinId="9" hidden="1"/>
    <cellStyle name="Lien hypertexte visité" xfId="14591" builtinId="9" hidden="1"/>
    <cellStyle name="Lien hypertexte visité" xfId="24350" builtinId="9" hidden="1"/>
    <cellStyle name="Lien hypertexte visité" xfId="15213" builtinId="9" hidden="1"/>
    <cellStyle name="Lien hypertexte visité" xfId="10024" builtinId="9" hidden="1"/>
    <cellStyle name="Lien hypertexte visité" xfId="23758" builtinId="9" hidden="1"/>
    <cellStyle name="Lien hypertexte visité" xfId="11593" builtinId="9" hidden="1"/>
    <cellStyle name="Lien hypertexte visité" xfId="19724" builtinId="9" hidden="1"/>
    <cellStyle name="Lien hypertexte visité" xfId="7344" builtinId="9" hidden="1"/>
    <cellStyle name="Lien hypertexte visité" xfId="3445" builtinId="9" hidden="1"/>
    <cellStyle name="Lien hypertexte visité" xfId="13933" builtinId="9" hidden="1"/>
    <cellStyle name="Lien hypertexte visité" xfId="6832" builtinId="9" hidden="1"/>
    <cellStyle name="Lien hypertexte visité" xfId="22734" builtinId="9" hidden="1"/>
    <cellStyle name="Lien hypertexte visité" xfId="24540" builtinId="9" hidden="1"/>
    <cellStyle name="Lien hypertexte visité" xfId="5056" builtinId="9" hidden="1"/>
    <cellStyle name="Lien hypertexte visité" xfId="6971" builtinId="9" hidden="1"/>
    <cellStyle name="Lien hypertexte visité" xfId="10317" builtinId="9" hidden="1"/>
    <cellStyle name="Lien hypertexte visité" xfId="12671" builtinId="9" hidden="1"/>
    <cellStyle name="Lien hypertexte visité" xfId="10035" builtinId="9" hidden="1"/>
    <cellStyle name="Lien hypertexte visité" xfId="6786" builtinId="9" hidden="1"/>
    <cellStyle name="Lien hypertexte visité" xfId="20556" builtinId="9" hidden="1"/>
    <cellStyle name="Lien hypertexte visité" xfId="8096" builtinId="9" hidden="1"/>
    <cellStyle name="Lien hypertexte visité" xfId="13309" builtinId="9" hidden="1"/>
    <cellStyle name="Lien hypertexte visité" xfId="11358" builtinId="9" hidden="1"/>
    <cellStyle name="Lien hypertexte visité" xfId="8182" builtinId="9" hidden="1"/>
    <cellStyle name="Lien hypertexte visité" xfId="21604" builtinId="9" hidden="1"/>
    <cellStyle name="Lien hypertexte visité" xfId="12724" builtinId="9" hidden="1"/>
    <cellStyle name="Lien hypertexte visité" xfId="7379" builtinId="9" hidden="1"/>
    <cellStyle name="Lien hypertexte visité" xfId="5860" builtinId="9" hidden="1"/>
    <cellStyle name="Lien hypertexte visité" xfId="13991" builtinId="9" hidden="1"/>
    <cellStyle name="Lien hypertexte visité" xfId="24256" builtinId="9" hidden="1"/>
    <cellStyle name="Lien hypertexte visité" xfId="17281" builtinId="9" hidden="1"/>
    <cellStyle name="Lien hypertexte visité" xfId="20834" builtinId="9" hidden="1"/>
    <cellStyle name="Lien hypertexte visité" xfId="20096" builtinId="9" hidden="1"/>
    <cellStyle name="Lien hypertexte visité" xfId="13154" builtinId="9" hidden="1"/>
    <cellStyle name="Lien hypertexte visité" xfId="9006" builtinId="9" hidden="1"/>
    <cellStyle name="Lien hypertexte visité" xfId="10871" builtinId="9" hidden="1"/>
    <cellStyle name="Lien hypertexte visité" xfId="3987" builtinId="9" hidden="1"/>
    <cellStyle name="Lien hypertexte visité" xfId="3373" builtinId="9" hidden="1"/>
    <cellStyle name="Lien hypertexte visité" xfId="2829" builtinId="9" hidden="1"/>
    <cellStyle name="Lien hypertexte visité" xfId="2206" builtinId="9" hidden="1"/>
    <cellStyle name="Lien hypertexte visité" xfId="1324" builtinId="9" hidden="1"/>
    <cellStyle name="Lien hypertexte visité" xfId="397" builtinId="9" hidden="1"/>
    <cellStyle name="Lien hypertexte visité" xfId="821" builtinId="9" hidden="1"/>
    <cellStyle name="Lien hypertexte visité" xfId="1537" builtinId="9" hidden="1"/>
    <cellStyle name="Lien hypertexte visité" xfId="2145" builtinId="9" hidden="1"/>
    <cellStyle name="Lien hypertexte visité" xfId="2705" builtinId="9" hidden="1"/>
    <cellStyle name="Lien hypertexte visité" xfId="8708" builtinId="9" hidden="1"/>
    <cellStyle name="Lien hypertexte visité" xfId="12804" builtinId="9" hidden="1"/>
    <cellStyle name="Lien hypertexte visité" xfId="24388" builtinId="9" hidden="1"/>
    <cellStyle name="Lien hypertexte visité" xfId="19590" builtinId="9" hidden="1"/>
    <cellStyle name="Lien hypertexte visité" xfId="20774" builtinId="9" hidden="1"/>
    <cellStyle name="Lien hypertexte visité" xfId="22086" builtinId="9" hidden="1"/>
    <cellStyle name="Lien hypertexte visité" xfId="23238" builtinId="9" hidden="1"/>
    <cellStyle name="Lien hypertexte visité" xfId="24550" builtinId="9" hidden="1"/>
    <cellStyle name="Lien hypertexte visité" xfId="23492" builtinId="9" hidden="1"/>
    <cellStyle name="Lien hypertexte visité" xfId="6659" builtinId="9" hidden="1"/>
    <cellStyle name="Lien hypertexte visité" xfId="4775" builtinId="9" hidden="1"/>
    <cellStyle name="Lien hypertexte visité" xfId="3185" builtinId="9" hidden="1"/>
    <cellStyle name="Lien hypertexte visité" xfId="15733" builtinId="9" hidden="1"/>
    <cellStyle name="Lien hypertexte visité" xfId="16885" builtinId="9" hidden="1"/>
    <cellStyle name="Lien hypertexte visité" xfId="18197" builtinId="9" hidden="1"/>
    <cellStyle name="Lien hypertexte visité" xfId="19364" builtinId="9" hidden="1"/>
    <cellStyle name="Lien hypertexte visité" xfId="20516" builtinId="9" hidden="1"/>
    <cellStyle name="Lien hypertexte visité" xfId="22436" builtinId="9" hidden="1"/>
    <cellStyle name="Lien hypertexte visité" xfId="23588" builtinId="9" hidden="1"/>
    <cellStyle name="Lien hypertexte visité" xfId="24454" builtinId="9" hidden="1"/>
    <cellStyle name="Lien hypertexte visité" xfId="23270" builtinId="9" hidden="1"/>
    <cellStyle name="Lien hypertexte visité" xfId="21958" builtinId="9" hidden="1"/>
    <cellStyle name="Lien hypertexte visité" xfId="20806" builtinId="9" hidden="1"/>
    <cellStyle name="Lien hypertexte visité" xfId="19622" builtinId="9" hidden="1"/>
    <cellStyle name="Lien hypertexte visité" xfId="20548" builtinId="9" hidden="1"/>
    <cellStyle name="Lien hypertexte visité" xfId="13444" builtinId="9" hidden="1"/>
    <cellStyle name="Lien hypertexte visité" xfId="9348" builtinId="9" hidden="1"/>
    <cellStyle name="Lien hypertexte visité" xfId="5251" builtinId="9" hidden="1"/>
    <cellStyle name="Lien hypertexte visité" xfId="2241" builtinId="9" hidden="1"/>
    <cellStyle name="Lien hypertexte visité" xfId="1697" builtinId="9" hidden="1"/>
    <cellStyle name="Lien hypertexte visité" xfId="1109" builtinId="9" hidden="1"/>
    <cellStyle name="Lien hypertexte visité" xfId="141" builtinId="9" hidden="1"/>
    <cellStyle name="Lien hypertexte visité" xfId="1436" builtinId="9" hidden="1"/>
    <cellStyle name="Lien hypertexte visité" xfId="1981" builtinId="9" hidden="1"/>
    <cellStyle name="Lien hypertexte visité" xfId="23620" builtinId="9" hidden="1"/>
    <cellStyle name="Lien hypertexte visité" xfId="8532" builtinId="9" hidden="1"/>
    <cellStyle name="Lien hypertexte visité" xfId="9124" builtinId="9" hidden="1"/>
    <cellStyle name="Lien hypertexte visité" xfId="9700" builtinId="9" hidden="1"/>
    <cellStyle name="Lien hypertexte visité" xfId="10292" builtinId="9" hidden="1"/>
    <cellStyle name="Lien hypertexte visité" xfId="11236" builtinId="9" hidden="1"/>
    <cellStyle name="Lien hypertexte visité" xfId="11828" builtinId="9" hidden="1"/>
    <cellStyle name="Lien hypertexte visité" xfId="12404" builtinId="9" hidden="1"/>
    <cellStyle name="Lien hypertexte visité" xfId="12996" builtinId="9" hidden="1"/>
    <cellStyle name="Lien hypertexte visité" xfId="13588" builtinId="9" hidden="1"/>
    <cellStyle name="Lien hypertexte visité" xfId="14164" builtinId="9" hidden="1"/>
    <cellStyle name="Lien hypertexte visité" xfId="14997" builtinId="9" hidden="1"/>
    <cellStyle name="Lien hypertexte visité" xfId="5235" builtinId="9" hidden="1"/>
    <cellStyle name="Lien hypertexte visité" xfId="6115" builtinId="9" hidden="1"/>
    <cellStyle name="Lien hypertexte visité" xfId="6707" builtinId="9" hidden="1"/>
    <cellStyle name="Lien hypertexte visité" xfId="7283" builtinId="9" hidden="1"/>
    <cellStyle name="Lien hypertexte visité" xfId="7876" builtinId="9" hidden="1"/>
    <cellStyle name="Lien hypertexte visité" xfId="11173" builtinId="9" hidden="1"/>
    <cellStyle name="Lien hypertexte visité" xfId="13221" builtinId="9" hidden="1"/>
    <cellStyle name="Lien hypertexte visité" xfId="16023" builtinId="9" hidden="1"/>
    <cellStyle name="Lien hypertexte visité" xfId="9893" builtinId="9" hidden="1"/>
    <cellStyle name="Lien hypertexte visité" xfId="5284" builtinId="9" hidden="1"/>
    <cellStyle name="Lien hypertexte visité" xfId="5540" builtinId="9" hidden="1"/>
    <cellStyle name="Lien hypertexte visité" xfId="10149" builtinId="9" hidden="1"/>
    <cellStyle name="Lien hypertexte visité" xfId="8101" builtinId="9" hidden="1"/>
    <cellStyle name="Lien hypertexte visité" xfId="14501" builtinId="9" hidden="1"/>
    <cellStyle name="Lien hypertexte visité" xfId="12453" builtinId="9" hidden="1"/>
    <cellStyle name="Lien hypertexte visité" xfId="10405" builtinId="9" hidden="1"/>
    <cellStyle name="Lien hypertexte visité" xfId="7363" builtinId="9" hidden="1"/>
    <cellStyle name="Lien hypertexte visité" xfId="6771" builtinId="9" hidden="1"/>
    <cellStyle name="Lien hypertexte visité" xfId="6195" builtinId="9" hidden="1"/>
    <cellStyle name="Lien hypertexte visité" xfId="5603" builtinId="9" hidden="1"/>
    <cellStyle name="Lien hypertexte visité" xfId="18071" builtinId="9" hidden="1"/>
    <cellStyle name="Lien hypertexte visité" xfId="14549" builtinId="9" hidden="1"/>
    <cellStyle name="Lien hypertexte visité" xfId="13940" builtinId="9" hidden="1"/>
    <cellStyle name="Lien hypertexte visité" xfId="13076" builtinId="9" hidden="1"/>
    <cellStyle name="Lien hypertexte visité" xfId="12484" builtinId="9" hidden="1"/>
    <cellStyle name="Lien hypertexte visité" xfId="11892" builtinId="9" hidden="1"/>
    <cellStyle name="Lien hypertexte visité" xfId="11316" builtinId="9" hidden="1"/>
    <cellStyle name="Lien hypertexte visité" xfId="10660" builtinId="9" hidden="1"/>
    <cellStyle name="Lien hypertexte visité" xfId="10068" builtinId="9" hidden="1"/>
    <cellStyle name="Lien hypertexte visité" xfId="9492" builtinId="9" hidden="1"/>
    <cellStyle name="Lien hypertexte visité" xfId="8900" builtinId="9" hidden="1"/>
    <cellStyle name="Lien hypertexte visité" xfId="22854" builtinId="9" hidden="1"/>
    <cellStyle name="Lien hypertexte visité" xfId="2061" builtinId="9" hidden="1"/>
    <cellStyle name="Lien hypertexte visité" xfId="1501" builtinId="9" hidden="1"/>
    <cellStyle name="Lien hypertexte visité" xfId="749" builtinId="9" hidden="1"/>
    <cellStyle name="Lien hypertexte visité" xfId="437" builtinId="9" hidden="1"/>
    <cellStyle name="Lien hypertexte visité" xfId="1344" builtinId="9" hidden="1"/>
    <cellStyle name="Lien hypertexte visité" xfId="1889" builtinId="9" hidden="1"/>
    <cellStyle name="Lien hypertexte visité" xfId="2785" builtinId="9" hidden="1"/>
    <cellStyle name="Lien hypertexte visité" xfId="8836" builtinId="9" hidden="1"/>
    <cellStyle name="Lien hypertexte visité" xfId="12932" builtinId="9" hidden="1"/>
    <cellStyle name="Lien hypertexte visité" xfId="19524" builtinId="9" hidden="1"/>
    <cellStyle name="Lien hypertexte visité" xfId="20486" builtinId="9" hidden="1"/>
    <cellStyle name="Lien hypertexte visité" xfId="20070" builtinId="9" hidden="1"/>
    <cellStyle name="Lien hypertexte visité" xfId="21222" builtinId="9" hidden="1"/>
    <cellStyle name="Lien hypertexte visité" xfId="22406" builtinId="9" hidden="1"/>
    <cellStyle name="Lien hypertexte visité" xfId="24294" builtinId="9" hidden="1"/>
    <cellStyle name="Lien hypertexte visité" xfId="23748" builtinId="9" hidden="1"/>
    <cellStyle name="Lien hypertexte visité" xfId="22564" builtinId="9" hidden="1"/>
    <cellStyle name="Lien hypertexte visité" xfId="21252" builtinId="9" hidden="1"/>
    <cellStyle name="Lien hypertexte visité" xfId="20100" builtinId="9" hidden="1"/>
    <cellStyle name="Lien hypertexte visité" xfId="18916" builtinId="9" hidden="1"/>
    <cellStyle name="Lien hypertexte visité" xfId="17781" builtinId="9" hidden="1"/>
    <cellStyle name="Lien hypertexte visité" xfId="15861" builtinId="9" hidden="1"/>
    <cellStyle name="Lien hypertexte visité" xfId="4263" builtinId="9" hidden="1"/>
    <cellStyle name="Lien hypertexte visité" xfId="3706" builtinId="9" hidden="1"/>
    <cellStyle name="Lien hypertexte visité" xfId="1953" builtinId="9" hidden="1"/>
    <cellStyle name="Lien hypertexte visité" xfId="22628" builtinId="9" hidden="1"/>
    <cellStyle name="Lien hypertexte visité" xfId="23940" builtinId="9" hidden="1"/>
    <cellStyle name="Lien hypertexte visité" xfId="24134" builtinId="9" hidden="1"/>
    <cellStyle name="Lien hypertexte visité" xfId="22822" builtinId="9" hidden="1"/>
    <cellStyle name="Lien hypertexte visité" xfId="20902" builtinId="9" hidden="1"/>
    <cellStyle name="Lien hypertexte visité" xfId="19750" builtinId="9" hidden="1"/>
    <cellStyle name="Lien hypertexte visité" xfId="23814" builtinId="9" hidden="1"/>
    <cellStyle name="Lien hypertexte visité" xfId="17237" builtinId="9" hidden="1"/>
    <cellStyle name="Lien hypertexte visité" xfId="11268" builtinId="9" hidden="1"/>
    <cellStyle name="Lien hypertexte visité" xfId="7171" builtinId="9" hidden="1"/>
    <cellStyle name="Lien hypertexte visité" xfId="2497" builtinId="9" hidden="1"/>
    <cellStyle name="Lien hypertexte visité" xfId="1601" builtinId="9" hidden="1"/>
    <cellStyle name="Lien hypertexte visité" xfId="949" builtinId="9" hidden="1"/>
    <cellStyle name="Lien hypertexte visité" xfId="161" builtinId="9" hidden="1"/>
    <cellStyle name="Lien hypertexte visité" xfId="1244" builtinId="9" hidden="1"/>
    <cellStyle name="Lien hypertexte visité" xfId="1869" builtinId="9" hidden="1"/>
    <cellStyle name="Lien hypertexte visité" xfId="2413" builtinId="9" hidden="1"/>
    <cellStyle name="Lien hypertexte visité" xfId="3021" builtinId="9" hidden="1"/>
    <cellStyle name="Lien hypertexte visité" xfId="3646" builtinId="9" hidden="1"/>
    <cellStyle name="Lien hypertexte visité" xfId="4467" builtinId="9" hidden="1"/>
    <cellStyle name="Lien hypertexte visité" xfId="5075" builtinId="9" hidden="1"/>
    <cellStyle name="Lien hypertexte visité" xfId="2689" builtinId="9" hidden="1"/>
    <cellStyle name="Lien hypertexte visité" xfId="5367" builtinId="9" hidden="1"/>
    <cellStyle name="Lien hypertexte visité" xfId="4839" builtinId="9" hidden="1"/>
    <cellStyle name="Lien hypertexte visité" xfId="4247" builtinId="9" hidden="1"/>
    <cellStyle name="Lien hypertexte visité" xfId="3634" builtinId="9" hidden="1"/>
    <cellStyle name="Lien hypertexte visité" xfId="2849" builtinId="9" hidden="1"/>
    <cellStyle name="Lien hypertexte visité" xfId="6951" builtinId="9" hidden="1"/>
    <cellStyle name="Lien hypertexte visité" xfId="6423" builtinId="9" hidden="1"/>
    <cellStyle name="Lien hypertexte visité" xfId="8056" builtinId="9" hidden="1"/>
    <cellStyle name="Lien hypertexte visité" xfId="7543" builtinId="9" hidden="1"/>
    <cellStyle name="Lien hypertexte visité" xfId="8568" builtinId="9" hidden="1"/>
    <cellStyle name="Lien hypertexte visité" xfId="8648" builtinId="9" hidden="1"/>
    <cellStyle name="Lien hypertexte visité" xfId="7559" builtinId="9" hidden="1"/>
    <cellStyle name="Lien hypertexte visité" xfId="6183" builtinId="9" hidden="1"/>
    <cellStyle name="Lien hypertexte visité" xfId="6695" builtinId="9" hidden="1"/>
    <cellStyle name="Lien hypertexte visité" xfId="7287" builtinId="9" hidden="1"/>
    <cellStyle name="Lien hypertexte visité" xfId="3121" builtinId="9" hidden="1"/>
    <cellStyle name="Lien hypertexte visité" xfId="3738" builtinId="9" hidden="1"/>
    <cellStyle name="Lien hypertexte visité" xfId="4327" builtinId="9" hidden="1"/>
    <cellStyle name="Lien hypertexte visité" xfId="4855" builtinId="9" hidden="1"/>
    <cellStyle name="Lien hypertexte visité" xfId="5703" builtinId="9" hidden="1"/>
    <cellStyle name="Lien hypertexte visité" xfId="2813" builtinId="9" hidden="1"/>
    <cellStyle name="Lien hypertexte visité" xfId="4723" builtinId="9" hidden="1"/>
    <cellStyle name="Lien hypertexte visité" xfId="4179" builtinId="9" hidden="1"/>
    <cellStyle name="Lien hypertexte visité" xfId="3549" builtinId="9" hidden="1"/>
    <cellStyle name="Lien hypertexte visité" xfId="2941" builtinId="9" hidden="1"/>
    <cellStyle name="Lien hypertexte visité" xfId="2397" builtinId="9" hidden="1"/>
    <cellStyle name="Lien hypertexte visité" xfId="14036" builtinId="9" hidden="1"/>
    <cellStyle name="Lien hypertexte visité" xfId="7011" builtinId="9" hidden="1"/>
    <cellStyle name="Lien hypertexte visité" xfId="6884" builtinId="9" hidden="1"/>
    <cellStyle name="Lien hypertexte visité" xfId="10663" builtinId="9" hidden="1"/>
    <cellStyle name="Lien hypertexte visité" xfId="16761" builtinId="9" hidden="1"/>
    <cellStyle name="Lien hypertexte visité" xfId="13242" builtinId="9" hidden="1"/>
    <cellStyle name="Lien hypertexte visité" xfId="20698" builtinId="9" hidden="1"/>
    <cellStyle name="Lien hypertexte visité" xfId="23458" builtinId="9" hidden="1"/>
    <cellStyle name="Lien hypertexte visité" xfId="14865" builtinId="9" hidden="1"/>
    <cellStyle name="Lien hypertexte visité" xfId="11054" builtinId="9" hidden="1"/>
    <cellStyle name="Lien hypertexte visité" xfId="14907" builtinId="9" hidden="1"/>
    <cellStyle name="Lien hypertexte visité" xfId="9239" builtinId="9" hidden="1"/>
    <cellStyle name="Lien hypertexte visité" xfId="3785" builtinId="9" hidden="1"/>
    <cellStyle name="Lien hypertexte visité" xfId="2830" builtinId="9" hidden="1"/>
    <cellStyle name="Lien hypertexte visité" xfId="8309" builtinId="9" hidden="1"/>
    <cellStyle name="Lien hypertexte visité" xfId="12565" builtinId="9" hidden="1"/>
    <cellStyle name="Lien hypertexte visité" xfId="11381" builtinId="9" hidden="1"/>
    <cellStyle name="Lien hypertexte visité" xfId="10613" builtinId="9" hidden="1"/>
    <cellStyle name="Lien hypertexte visité" xfId="9845" builtinId="9" hidden="1"/>
    <cellStyle name="Lien hypertexte visité" xfId="9077" builtinId="9" hidden="1"/>
    <cellStyle name="Lien hypertexte visité" xfId="8213" builtinId="9" hidden="1"/>
    <cellStyle name="Lien hypertexte visité" xfId="7444" builtinId="9" hidden="1"/>
    <cellStyle name="Lien hypertexte visité" xfId="6676" builtinId="9" hidden="1"/>
    <cellStyle name="Lien hypertexte visité" xfId="5492" builtinId="9" hidden="1"/>
    <cellStyle name="Lien hypertexte visité" xfId="4724" builtinId="9" hidden="1"/>
    <cellStyle name="Lien hypertexte visité" xfId="3956" builtinId="9" hidden="1"/>
    <cellStyle name="Lien hypertexte visité" xfId="3182" builtinId="9" hidden="1"/>
    <cellStyle name="Lien hypertexte visité" xfId="2414" builtinId="9" hidden="1"/>
    <cellStyle name="Lien hypertexte visité" xfId="1646" builtinId="9" hidden="1"/>
    <cellStyle name="Lien hypertexte visité" xfId="591" builtinId="9" hidden="1"/>
    <cellStyle name="Lien hypertexte visité" xfId="1107" builtinId="9" hidden="1"/>
    <cellStyle name="Lien hypertexte visité" xfId="2240" builtinId="9" hidden="1"/>
    <cellStyle name="Lien hypertexte visité" xfId="3008" builtinId="9" hidden="1"/>
    <cellStyle name="Lien hypertexte visité" xfId="3865" builtinId="9" hidden="1"/>
    <cellStyle name="Lien hypertexte visité" xfId="4630" builtinId="9" hidden="1"/>
    <cellStyle name="Lien hypertexte visité" xfId="5398" builtinId="9" hidden="1"/>
    <cellStyle name="Lien hypertexte visité" xfId="6166" builtinId="9" hidden="1"/>
    <cellStyle name="Lien hypertexte visité" xfId="6934" builtinId="9" hidden="1"/>
    <cellStyle name="Lien hypertexte visité" xfId="8135" builtinId="9" hidden="1"/>
    <cellStyle name="Lien hypertexte visité" xfId="8903" builtinId="9" hidden="1"/>
    <cellStyle name="Lien hypertexte visité" xfId="1471" builtinId="9" hidden="1"/>
    <cellStyle name="Lien hypertexte visité" xfId="12149" builtinId="9" hidden="1"/>
    <cellStyle name="Lien hypertexte visité" xfId="11700" builtinId="9" hidden="1"/>
    <cellStyle name="Lien hypertexte visité" xfId="7816" builtinId="9" hidden="1"/>
    <cellStyle name="Lien hypertexte visité" xfId="1158" builtinId="9" hidden="1"/>
    <cellStyle name="Lien hypertexte visité" xfId="22214" builtinId="9" hidden="1"/>
    <cellStyle name="Lien hypertexte visité" xfId="23142" builtinId="9" hidden="1"/>
    <cellStyle name="Lien hypertexte visité" xfId="8612" builtinId="9" hidden="1"/>
    <cellStyle name="Lien hypertexte visité" xfId="7956" builtinId="9" hidden="1"/>
    <cellStyle name="Lien hypertexte visité" xfId="5539" builtinId="9" hidden="1"/>
    <cellStyle name="Lien hypertexte visité" xfId="621" builtinId="9" hidden="1"/>
    <cellStyle name="Lien hypertexte visité" xfId="21124" builtinId="9" hidden="1"/>
    <cellStyle name="Lien hypertexte visité" xfId="16213" builtinId="9" hidden="1"/>
    <cellStyle name="Lien hypertexte visité" xfId="17721" builtinId="9" hidden="1"/>
    <cellStyle name="Lien hypertexte visité" xfId="16569" builtinId="9" hidden="1"/>
    <cellStyle name="Lien hypertexte visité" xfId="15545" builtinId="9" hidden="1"/>
    <cellStyle name="Lien hypertexte visité" xfId="14521" builtinId="9" hidden="1"/>
    <cellStyle name="Lien hypertexte visité" xfId="14006" builtinId="9" hidden="1"/>
    <cellStyle name="Lien hypertexte visité" xfId="13494" builtinId="9" hidden="1"/>
    <cellStyle name="Lien hypertexte visité" xfId="12706" builtinId="9" hidden="1"/>
    <cellStyle name="Lien hypertexte visité" xfId="12194" builtinId="9" hidden="1"/>
    <cellStyle name="Lien hypertexte visité" xfId="11682" builtinId="9" hidden="1"/>
    <cellStyle name="Lien hypertexte visité" xfId="11170" builtinId="9" hidden="1"/>
    <cellStyle name="Lien hypertexte visité" xfId="10658" builtinId="9" hidden="1"/>
    <cellStyle name="Lien hypertexte visité" xfId="10082" builtinId="9" hidden="1"/>
    <cellStyle name="Lien hypertexte visité" xfId="9570" builtinId="9" hidden="1"/>
    <cellStyle name="Lien hypertexte visité" xfId="9058" builtinId="9" hidden="1"/>
    <cellStyle name="Lien hypertexte visité" xfId="8546" builtinId="9" hidden="1"/>
    <cellStyle name="Lien hypertexte visité" xfId="16763" builtinId="9" hidden="1"/>
    <cellStyle name="Lien hypertexte visité" xfId="15227" builtinId="9" hidden="1"/>
    <cellStyle name="Lien hypertexte visité" xfId="14103" builtinId="9" hidden="1"/>
    <cellStyle name="Lien hypertexte visité" xfId="13255" builtinId="9" hidden="1"/>
    <cellStyle name="Lien hypertexte visité" xfId="12487" builtinId="9" hidden="1"/>
    <cellStyle name="Lien hypertexte visité" xfId="11719" builtinId="9" hidden="1"/>
    <cellStyle name="Lien hypertexte visité" xfId="10519" builtinId="9" hidden="1"/>
    <cellStyle name="Lien hypertexte visité" xfId="9751" builtinId="9" hidden="1"/>
    <cellStyle name="Lien hypertexte visité" xfId="8983" builtinId="9" hidden="1"/>
    <cellStyle name="Lien hypertexte visité" xfId="8215" builtinId="9" hidden="1"/>
    <cellStyle name="Lien hypertexte visité" xfId="7446" builtinId="9" hidden="1"/>
    <cellStyle name="Lien hypertexte visité" xfId="6678" builtinId="9" hidden="1"/>
    <cellStyle name="Lien hypertexte visité" xfId="5910" builtinId="9" hidden="1"/>
    <cellStyle name="Lien hypertexte visité" xfId="5062" builtinId="9" hidden="1"/>
    <cellStyle name="Lien hypertexte visité" xfId="4294" builtinId="9" hidden="1"/>
    <cellStyle name="Lien hypertexte visité" xfId="3520" builtinId="9" hidden="1"/>
    <cellStyle name="Lien hypertexte visité" xfId="2752" builtinId="9" hidden="1"/>
    <cellStyle name="Lien hypertexte visité" xfId="1984" builtinId="9" hidden="1"/>
    <cellStyle name="Lien hypertexte visité" xfId="1215" builtinId="9" hidden="1"/>
    <cellStyle name="Lien hypertexte visité" xfId="239" builtinId="9" hidden="1"/>
    <cellStyle name="Lien hypertexte visité" xfId="1550" builtinId="9" hidden="1"/>
    <cellStyle name="Lien hypertexte visité" xfId="2318" builtinId="9" hidden="1"/>
    <cellStyle name="Lien hypertexte visité" xfId="3438" builtinId="9" hidden="1"/>
    <cellStyle name="Lien hypertexte visité" xfId="4292" builtinId="9" hidden="1"/>
    <cellStyle name="Lien hypertexte visité" xfId="5060" builtinId="9" hidden="1"/>
    <cellStyle name="Lien hypertexte visité" xfId="5828" builtinId="9" hidden="1"/>
    <cellStyle name="Lien hypertexte visité" xfId="6596" builtinId="9" hidden="1"/>
    <cellStyle name="Lien hypertexte visité" xfId="7364" builtinId="9" hidden="1"/>
    <cellStyle name="Lien hypertexte visité" xfId="8133" builtinId="9" hidden="1"/>
    <cellStyle name="Lien hypertexte visité" xfId="8901" builtinId="9" hidden="1"/>
    <cellStyle name="Lien hypertexte visité" xfId="9749" builtinId="9" hidden="1"/>
    <cellStyle name="Lien hypertexte visité" xfId="10517" builtinId="9" hidden="1"/>
    <cellStyle name="Lien hypertexte visité" xfId="11285" builtinId="9" hidden="1"/>
    <cellStyle name="Lien hypertexte visité" xfId="12053" builtinId="9" hidden="1"/>
    <cellStyle name="Lien hypertexte visité" xfId="11717" builtinId="9" hidden="1"/>
    <cellStyle name="Lien hypertexte visité" xfId="6260" builtinId="9" hidden="1"/>
    <cellStyle name="Lien hypertexte visité" xfId="399" builtinId="9" hidden="1"/>
    <cellStyle name="Lien hypertexte visité" xfId="8567" builtinId="9" hidden="1"/>
    <cellStyle name="Lien hypertexte visité" xfId="14023" builtinId="9" hidden="1"/>
    <cellStyle name="Lien hypertexte visité" xfId="10594" builtinId="9" hidden="1"/>
    <cellStyle name="Lien hypertexte visité" xfId="14242" builtinId="9" hidden="1"/>
    <cellStyle name="Lien hypertexte visité" xfId="21224" builtinId="9" hidden="1"/>
    <cellStyle name="Lien hypertexte visité" xfId="20722" builtinId="9" hidden="1"/>
    <cellStyle name="Lien hypertexte visité" xfId="20336" builtinId="9" hidden="1"/>
    <cellStyle name="Lien hypertexte visité" xfId="18826" builtinId="9" hidden="1"/>
    <cellStyle name="Lien hypertexte visité" xfId="11542" builtinId="9" hidden="1"/>
    <cellStyle name="Lien hypertexte visité" xfId="4518" builtinId="9" hidden="1"/>
    <cellStyle name="Lien hypertexte visité" xfId="13029" builtinId="9" hidden="1"/>
    <cellStyle name="Lien hypertexte visité" xfId="8772" builtinId="9" hidden="1"/>
    <cellStyle name="Lien hypertexte visité" xfId="13460" builtinId="9" hidden="1"/>
    <cellStyle name="Lien hypertexte visité" xfId="21732" builtinId="9" hidden="1"/>
    <cellStyle name="Lien hypertexte visité" xfId="2877" builtinId="9" hidden="1"/>
    <cellStyle name="Lien hypertexte visité" xfId="3485" builtinId="9" hidden="1"/>
    <cellStyle name="Lien hypertexte visité" xfId="4387" builtinId="9" hidden="1"/>
    <cellStyle name="Lien hypertexte visité" xfId="4931" builtinId="9" hidden="1"/>
    <cellStyle name="Lien hypertexte visité" xfId="1408" builtinId="9" hidden="1"/>
    <cellStyle name="Lien hypertexte visité" xfId="5511" builtinId="9" hidden="1"/>
    <cellStyle name="Lien hypertexte visité" xfId="4919" builtinId="9" hidden="1"/>
    <cellStyle name="Lien hypertexte visité" xfId="4391" builtinId="9" hidden="1"/>
    <cellStyle name="Lien hypertexte visité" xfId="3802" builtinId="9" hidden="1"/>
    <cellStyle name="Lien hypertexte visité" xfId="3265" builtinId="9" hidden="1"/>
    <cellStyle name="Lien hypertexte visité" xfId="7351" builtinId="9" hidden="1"/>
    <cellStyle name="Lien hypertexte visité" xfId="6759" builtinId="9" hidden="1"/>
    <cellStyle name="Lien hypertexte visité" xfId="6247" builtinId="9" hidden="1"/>
    <cellStyle name="Lien hypertexte visité" xfId="7880" builtinId="9" hidden="1"/>
    <cellStyle name="Lien hypertexte visité" xfId="8440" builtinId="9" hidden="1"/>
    <cellStyle name="Lien hypertexte visité" xfId="8808" builtinId="9" hidden="1"/>
    <cellStyle name="Lien hypertexte visité" xfId="8232" builtinId="9" hidden="1"/>
    <cellStyle name="Lien hypertexte visité" xfId="7992" builtinId="9" hidden="1"/>
    <cellStyle name="Lien hypertexte visité" xfId="6359" builtinId="9" hidden="1"/>
    <cellStyle name="Lien hypertexte visité" xfId="6887" builtinId="9" hidden="1"/>
    <cellStyle name="Lien hypertexte visité" xfId="4743" builtinId="9" hidden="1"/>
    <cellStyle name="Lien hypertexte visité" xfId="3313" builtinId="9" hidden="1"/>
    <cellStyle name="Lien hypertexte visité" xfId="3915" builtinId="9" hidden="1"/>
    <cellStyle name="Lien hypertexte visité" xfId="4439" builtinId="9" hidden="1"/>
    <cellStyle name="Lien hypertexte visité" xfId="5031" builtinId="9" hidden="1"/>
    <cellStyle name="Lien hypertexte visité" xfId="5559" builtinId="9" hidden="1"/>
    <cellStyle name="Lien hypertexte visité" xfId="1533" builtinId="9" hidden="1"/>
    <cellStyle name="Lien hypertexte visité" xfId="4883" builtinId="9" hidden="1"/>
    <cellStyle name="Lien hypertexte visité" xfId="7735" builtinId="9" hidden="1"/>
    <cellStyle name="Lien hypertexte visité" xfId="5830" builtinId="9" hidden="1"/>
    <cellStyle name="Lien hypertexte visité" xfId="10951" builtinId="9" hidden="1"/>
    <cellStyle name="Lien hypertexte visité" xfId="14309" builtinId="9" hidden="1"/>
    <cellStyle name="Lien hypertexte visité" xfId="12005" builtinId="9" hidden="1"/>
    <cellStyle name="Lien hypertexte visité" xfId="9701" builtinId="9" hidden="1"/>
    <cellStyle name="Lien hypertexte visité" xfId="7396" builtinId="9" hidden="1"/>
    <cellStyle name="Lien hypertexte visité" xfId="5092" builtinId="9" hidden="1"/>
    <cellStyle name="Lien hypertexte visité" xfId="2526" builtinId="9" hidden="1"/>
    <cellStyle name="Lien hypertexte visité" xfId="691" builtinId="9" hidden="1"/>
    <cellStyle name="Lien hypertexte visité" xfId="3232" builtinId="9" hidden="1"/>
    <cellStyle name="Lien hypertexte visité" xfId="5542" builtinId="9" hidden="1"/>
    <cellStyle name="Lien hypertexte visité" xfId="7847" builtinId="9" hidden="1"/>
    <cellStyle name="Lien hypertexte visité" xfId="10151" builtinId="9" hidden="1"/>
    <cellStyle name="Lien hypertexte visité" xfId="12455" builtinId="9" hidden="1"/>
    <cellStyle name="Lien hypertexte visité" xfId="15515" builtinId="9" hidden="1"/>
    <cellStyle name="Lien hypertexte visité" xfId="9154" builtinId="9" hidden="1"/>
    <cellStyle name="Lien hypertexte visité" xfId="10690" builtinId="9" hidden="1"/>
    <cellStyle name="Lien hypertexte visité" xfId="12226" builtinId="9" hidden="1"/>
    <cellStyle name="Lien hypertexte visité" xfId="13762" builtinId="9" hidden="1"/>
    <cellStyle name="Lien hypertexte visité" xfId="16081" builtinId="9" hidden="1"/>
    <cellStyle name="Lien hypertexte visité" xfId="19136" builtinId="9" hidden="1"/>
    <cellStyle name="Lien hypertexte visité" xfId="22552" builtinId="9" hidden="1"/>
    <cellStyle name="Lien hypertexte visité" xfId="22242" builtinId="9" hidden="1"/>
    <cellStyle name="Lien hypertexte visité" xfId="19170" builtinId="9" hidden="1"/>
    <cellStyle name="Lien hypertexte visité" xfId="21914" builtinId="9" hidden="1"/>
    <cellStyle name="Lien hypertexte visité" xfId="18113" builtinId="9" hidden="1"/>
    <cellStyle name="Lien hypertexte visité" xfId="11706" builtinId="9" hidden="1"/>
    <cellStyle name="Lien hypertexte visité" xfId="12666" builtinId="9" hidden="1"/>
    <cellStyle name="Lien hypertexte visité" xfId="14202" builtinId="9" hidden="1"/>
    <cellStyle name="Lien hypertexte visité" xfId="16961" builtinId="9" hidden="1"/>
    <cellStyle name="Lien hypertexte visité" xfId="20016" builtinId="9" hidden="1"/>
    <cellStyle name="Lien hypertexte visité" xfId="23408" builtinId="9" hidden="1"/>
    <cellStyle name="Lien hypertexte visité" xfId="22746" builtinId="9" hidden="1"/>
    <cellStyle name="Lien hypertexte visité" xfId="19674" builtinId="9" hidden="1"/>
    <cellStyle name="Lien hypertexte visité" xfId="17539" builtinId="9" hidden="1"/>
    <cellStyle name="Lien hypertexte visité" xfId="18546" builtinId="9" hidden="1"/>
    <cellStyle name="Lien hypertexte visité" xfId="19570" builtinId="9" hidden="1"/>
    <cellStyle name="Lien hypertexte visité" xfId="20594" builtinId="9" hidden="1"/>
    <cellStyle name="Lien hypertexte visité" xfId="21746" builtinId="9" hidden="1"/>
    <cellStyle name="Lien hypertexte visité" xfId="22770" builtinId="9" hidden="1"/>
    <cellStyle name="Lien hypertexte visité" xfId="23794" builtinId="9" hidden="1"/>
    <cellStyle name="Lien hypertexte visité" xfId="24408" builtinId="9" hidden="1"/>
    <cellStyle name="Lien hypertexte visité" xfId="23384" builtinId="9" hidden="1"/>
    <cellStyle name="Lien hypertexte visité" xfId="22360" builtinId="9" hidden="1"/>
    <cellStyle name="Lien hypertexte visité" xfId="21336" builtinId="9" hidden="1"/>
    <cellStyle name="Lien hypertexte visité" xfId="20200" builtinId="9" hidden="1"/>
    <cellStyle name="Lien hypertexte visité" xfId="19176" builtinId="9" hidden="1"/>
    <cellStyle name="Lien hypertexte visité" xfId="18169" builtinId="9" hidden="1"/>
    <cellStyle name="Lien hypertexte visité" xfId="11194" builtinId="9" hidden="1"/>
    <cellStyle name="Lien hypertexte visité" xfId="14101" builtinId="9" hidden="1"/>
    <cellStyle name="Lien hypertexte visité" xfId="21892" builtinId="9" hidden="1"/>
    <cellStyle name="Lien hypertexte visité" xfId="20420" builtinId="9" hidden="1"/>
    <cellStyle name="Lien hypertexte visité" xfId="19108" builtinId="9" hidden="1"/>
    <cellStyle name="Lien hypertexte visité" xfId="17813" builtinId="9" hidden="1"/>
    <cellStyle name="Lien hypertexte visité" xfId="16501" builtinId="9" hidden="1"/>
    <cellStyle name="Lien hypertexte visité" xfId="15157" builtinId="9" hidden="1"/>
    <cellStyle name="Lien hypertexte visité" xfId="14180" builtinId="9" hidden="1"/>
    <cellStyle name="Lien hypertexte visité" xfId="13524" builtinId="9" hidden="1"/>
    <cellStyle name="Lien hypertexte visité" xfId="12788" builtinId="9" hidden="1"/>
    <cellStyle name="Lien hypertexte visité" xfId="12132" builtinId="9" hidden="1"/>
    <cellStyle name="Lien hypertexte visité" xfId="11476" builtinId="9" hidden="1"/>
    <cellStyle name="Lien hypertexte visité" xfId="10820" builtinId="9" hidden="1"/>
    <cellStyle name="Lien hypertexte visité" xfId="10164" builtinId="9" hidden="1"/>
    <cellStyle name="Lien hypertexte visité" xfId="9508" builtinId="9" hidden="1"/>
    <cellStyle name="Lien hypertexte visité" xfId="8852" builtinId="9" hidden="1"/>
    <cellStyle name="Lien hypertexte visité" xfId="8116" builtinId="9" hidden="1"/>
    <cellStyle name="Lien hypertexte visité" xfId="7459" builtinId="9" hidden="1"/>
    <cellStyle name="Lien hypertexte visité" xfId="6803" builtinId="9" hidden="1"/>
    <cellStyle name="Lien hypertexte visité" xfId="6131" builtinId="9" hidden="1"/>
    <cellStyle name="Lien hypertexte visité" xfId="5475" builtinId="9" hidden="1"/>
    <cellStyle name="Lien hypertexte visité" xfId="16663" builtinId="9" hidden="1"/>
    <cellStyle name="Lien hypertexte visité" xfId="22610" builtinId="9" hidden="1"/>
    <cellStyle name="Lien hypertexte visité" xfId="17739" builtinId="9" hidden="1"/>
    <cellStyle name="Lien hypertexte visité" xfId="15137" builtinId="9" hidden="1"/>
    <cellStyle name="Lien hypertexte visité" xfId="4377" builtinId="9" hidden="1"/>
    <cellStyle name="Lien hypertexte visité" xfId="6717" builtinId="9" hidden="1"/>
    <cellStyle name="Lien hypertexte visité" xfId="2419" builtinId="9" hidden="1"/>
    <cellStyle name="Lien hypertexte visité" xfId="1979" builtinId="9" hidden="1"/>
    <cellStyle name="Lien hypertexte visité" xfId="1863" builtinId="9" hidden="1"/>
    <cellStyle name="Lien hypertexte visité" xfId="2295" builtinId="9" hidden="1"/>
    <cellStyle name="Lien hypertexte visité" xfId="6585" builtinId="9" hidden="1"/>
    <cellStyle name="Lien hypertexte visité" xfId="4245" builtinId="9" hidden="1"/>
    <cellStyle name="Lien hypertexte visité" xfId="11919" builtinId="9" hidden="1"/>
    <cellStyle name="Lien hypertexte visité" xfId="8286" builtinId="9" hidden="1"/>
    <cellStyle name="Lien hypertexte visité" xfId="11014" builtinId="9" hidden="1"/>
    <cellStyle name="Lien hypertexte visité" xfId="13746" builtinId="9" hidden="1"/>
    <cellStyle name="Lien hypertexte visité" xfId="18424" builtinId="9" hidden="1"/>
    <cellStyle name="Lien hypertexte visité" xfId="3575" builtinId="9" hidden="1"/>
    <cellStyle name="Lien hypertexte visité" xfId="1672" builtinId="9" hidden="1"/>
    <cellStyle name="Lien hypertexte visité" xfId="5774" builtinId="9" hidden="1"/>
    <cellStyle name="Lien hypertexte visité" xfId="9725" builtinId="9" hidden="1"/>
    <cellStyle name="Lien hypertexte visité" xfId="5628" builtinId="9" hidden="1"/>
    <cellStyle name="Lien hypertexte visité" xfId="13821" builtinId="9" hidden="1"/>
    <cellStyle name="Lien hypertexte visité" xfId="11773" builtinId="9" hidden="1"/>
    <cellStyle name="Lien hypertexte visité" xfId="7676" builtinId="9" hidden="1"/>
    <cellStyle name="Lien hypertexte visité" xfId="7823" builtinId="9" hidden="1"/>
    <cellStyle name="Lien hypertexte visité" xfId="3729" builtinId="9" hidden="1"/>
    <cellStyle name="Lien hypertexte visité" xfId="1526" builtinId="9" hidden="1"/>
    <cellStyle name="Lien hypertexte visité" xfId="21152" builtinId="9" hidden="1"/>
    <cellStyle name="Lien hypertexte visité" xfId="15705" builtinId="9" hidden="1"/>
    <cellStyle name="Lien hypertexte visité" xfId="12382" builtinId="9" hidden="1"/>
    <cellStyle name="Lien hypertexte visité" xfId="9650" builtinId="9" hidden="1"/>
    <cellStyle name="Lien hypertexte visité" xfId="13967" builtinId="9" hidden="1"/>
    <cellStyle name="Lien hypertexte visité" xfId="9871" builtinId="9" hidden="1"/>
    <cellStyle name="Lien hypertexte visité" xfId="5413" builtinId="9" hidden="1"/>
    <cellStyle name="Lien hypertexte visité" xfId="7757" builtinId="9" hidden="1"/>
    <cellStyle name="Lien hypertexte visité" xfId="3387" builtinId="9" hidden="1"/>
    <cellStyle name="Lien hypertexte visité" xfId="393" builtinId="9" hidden="1"/>
    <cellStyle name="Lien hypertexte visité" xfId="3511" builtinId="9" hidden="1"/>
    <cellStyle name="Lien hypertexte visité" xfId="7890" builtinId="9" hidden="1"/>
    <cellStyle name="Lien hypertexte visité" xfId="5549" builtinId="9" hidden="1"/>
    <cellStyle name="Lien hypertexte visité" xfId="10730" builtinId="9" hidden="1"/>
    <cellStyle name="Lien hypertexte visité" xfId="23312" builtinId="9" hidden="1"/>
    <cellStyle name="Lien hypertexte visité" xfId="19882" builtinId="9" hidden="1"/>
    <cellStyle name="Lien hypertexte visité" xfId="23880" builtinId="9" hidden="1"/>
    <cellStyle name="Lien hypertexte visité" xfId="18694" builtinId="9" hidden="1"/>
    <cellStyle name="Lien hypertexte visité" xfId="5779" builtinId="9" hidden="1"/>
    <cellStyle name="Lien hypertexte visité" xfId="6499" builtinId="9" hidden="1"/>
    <cellStyle name="Lien hypertexte visité" xfId="7155" builtinId="9" hidden="1"/>
    <cellStyle name="Lien hypertexte visité" xfId="7828" builtinId="9" hidden="1"/>
    <cellStyle name="Lien hypertexte visité" xfId="8484" builtinId="9" hidden="1"/>
    <cellStyle name="Lien hypertexte visité" xfId="9140" builtinId="9" hidden="1"/>
    <cellStyle name="Lien hypertexte visité" xfId="9796" builtinId="9" hidden="1"/>
    <cellStyle name="Lien hypertexte visité" xfId="10452" builtinId="9" hidden="1"/>
    <cellStyle name="Lien hypertexte visité" xfId="11188" builtinId="9" hidden="1"/>
    <cellStyle name="Lien hypertexte visité" xfId="11844" builtinId="9" hidden="1"/>
    <cellStyle name="Lien hypertexte visité" xfId="12500" builtinId="9" hidden="1"/>
    <cellStyle name="Lien hypertexte visité" xfId="13156" builtinId="9" hidden="1"/>
    <cellStyle name="Lien hypertexte visité" xfId="13812" builtinId="9" hidden="1"/>
    <cellStyle name="Lien hypertexte visité" xfId="14484" builtinId="9" hidden="1"/>
    <cellStyle name="Lien hypertexte visité" xfId="15765" builtinId="9" hidden="1"/>
    <cellStyle name="Lien hypertexte visité" xfId="17205" builtinId="9" hidden="1"/>
    <cellStyle name="Lien hypertexte visité" xfId="18532" builtinId="9" hidden="1"/>
    <cellStyle name="Lien hypertexte visité" xfId="19844" builtinId="9" hidden="1"/>
    <cellStyle name="Lien hypertexte visité" xfId="21156" builtinId="9" hidden="1"/>
    <cellStyle name="Lien hypertexte visité" xfId="12741" builtinId="9" hidden="1"/>
    <cellStyle name="Lien hypertexte visité" xfId="16439" builtinId="9" hidden="1"/>
    <cellStyle name="Lien hypertexte visité" xfId="23912" builtinId="9" hidden="1"/>
    <cellStyle name="Lien hypertexte visité" xfId="18728" builtinId="9" hidden="1"/>
    <cellStyle name="Lien hypertexte visité" xfId="19752" builtinId="9" hidden="1"/>
    <cellStyle name="Lien hypertexte visité" xfId="20776" builtinId="9" hidden="1"/>
    <cellStyle name="Lien hypertexte visité" xfId="21800" builtinId="9" hidden="1"/>
    <cellStyle name="Lien hypertexte visité" xfId="22824" builtinId="9" hidden="1"/>
    <cellStyle name="Lien hypertexte visité" xfId="23848" builtinId="9" hidden="1"/>
    <cellStyle name="Lien hypertexte visité" xfId="24242" builtinId="9" hidden="1"/>
    <cellStyle name="Lien hypertexte visité" xfId="23218" builtinId="9" hidden="1"/>
    <cellStyle name="Lien hypertexte visité" xfId="22194" builtinId="9" hidden="1"/>
    <cellStyle name="Lien hypertexte visité" xfId="21170" builtinId="9" hidden="1"/>
    <cellStyle name="Lien hypertexte visité" xfId="20146" builtinId="9" hidden="1"/>
    <cellStyle name="Lien hypertexte visité" xfId="19122" builtinId="9" hidden="1"/>
    <cellStyle name="Lien hypertexte visité" xfId="18115" builtinId="9" hidden="1"/>
    <cellStyle name="Lien hypertexte visité" xfId="18283" builtinId="9" hidden="1"/>
    <cellStyle name="Lien hypertexte visité" xfId="21338" builtinId="9" hidden="1"/>
    <cellStyle name="Lien hypertexte visité" xfId="24410" builtinId="9" hidden="1"/>
    <cellStyle name="Lien hypertexte visité" xfId="21744" builtinId="9" hidden="1"/>
    <cellStyle name="Lien hypertexte visité" xfId="18672" builtinId="9" hidden="1"/>
    <cellStyle name="Lien hypertexte visité" xfId="15617" builtinId="9" hidden="1"/>
    <cellStyle name="Lien hypertexte visité" xfId="13530" builtinId="9" hidden="1"/>
    <cellStyle name="Lien hypertexte visité" xfId="11802" builtinId="9" hidden="1"/>
    <cellStyle name="Lien hypertexte visité" xfId="14266" builtinId="9" hidden="1"/>
    <cellStyle name="Lien hypertexte visité" xfId="23216" builtinId="9" hidden="1"/>
    <cellStyle name="Lien hypertexte visité" xfId="17475" builtinId="9" hidden="1"/>
    <cellStyle name="Lien hypertexte visité" xfId="20530" builtinId="9" hidden="1"/>
    <cellStyle name="Lien hypertexte visité" xfId="23602" builtinId="9" hidden="1"/>
    <cellStyle name="Lien hypertexte visité" xfId="20840" builtinId="9" hidden="1"/>
    <cellStyle name="Lien hypertexte visité" xfId="17785" builtinId="9" hidden="1"/>
    <cellStyle name="Lien hypertexte visité" xfId="14713" builtinId="9" hidden="1"/>
    <cellStyle name="Lien hypertexte visité" xfId="13078" builtinId="9" hidden="1"/>
    <cellStyle name="Lien hypertexte visité" xfId="11374" builtinId="9" hidden="1"/>
    <cellStyle name="Lien hypertexte visité" xfId="9838" builtinId="9" hidden="1"/>
    <cellStyle name="Lien hypertexte visité" xfId="8302" builtinId="9" hidden="1"/>
    <cellStyle name="Lien hypertexte visité" xfId="13735" builtinId="9" hidden="1"/>
    <cellStyle name="Lien hypertexte visité" xfId="11431" builtinId="9" hidden="1"/>
    <cellStyle name="Lien hypertexte visité" xfId="9127" builtinId="9" hidden="1"/>
    <cellStyle name="Lien hypertexte visité" xfId="6822" builtinId="9" hidden="1"/>
    <cellStyle name="Lien hypertexte visité" xfId="4262" builtinId="9" hidden="1"/>
    <cellStyle name="Lien hypertexte visité" xfId="1952" builtinId="9" hidden="1"/>
    <cellStyle name="Lien hypertexte visité" xfId="1502" builtinId="9" hidden="1"/>
    <cellStyle name="Lien hypertexte visité" xfId="3815" builtinId="9" hidden="1"/>
    <cellStyle name="Lien hypertexte visité" xfId="6116" builtinId="9" hidden="1"/>
    <cellStyle name="Lien hypertexte visité" xfId="8421" builtinId="9" hidden="1"/>
    <cellStyle name="Lien hypertexte visité" xfId="10725" builtinId="9" hidden="1"/>
    <cellStyle name="Lien hypertexte visité" xfId="13285" builtinId="9" hidden="1"/>
    <cellStyle name="Lien hypertexte visité" xfId="13218" builtinId="9" hidden="1"/>
    <cellStyle name="Lien hypertexte visité" xfId="2670" builtinId="9" hidden="1"/>
    <cellStyle name="Lien hypertexte visité" xfId="3766" builtinId="9" hidden="1"/>
    <cellStyle name="Lien hypertexte visité" xfId="4531" builtinId="9" hidden="1"/>
    <cellStyle name="Lien hypertexte visité" xfId="5155" builtinId="9" hidden="1"/>
    <cellStyle name="Lien hypertexte visité" xfId="5895" builtinId="9" hidden="1"/>
    <cellStyle name="Lien hypertexte visité" xfId="5303" builtinId="9" hidden="1"/>
    <cellStyle name="Lien hypertexte visité" xfId="4695" builtinId="9" hidden="1"/>
    <cellStyle name="Lien hypertexte visité" xfId="4167" builtinId="9" hidden="1"/>
    <cellStyle name="Lien hypertexte visité" xfId="3570" builtinId="9" hidden="1"/>
    <cellStyle name="Lien hypertexte visité" xfId="3041" builtinId="9" hidden="1"/>
    <cellStyle name="Lien hypertexte visité" xfId="7143" builtinId="9" hidden="1"/>
    <cellStyle name="Lien hypertexte visité" xfId="6615" builtinId="9" hidden="1"/>
    <cellStyle name="Lien hypertexte visité" xfId="6039" builtinId="9" hidden="1"/>
    <cellStyle name="Lien hypertexte visité" xfId="8488" builtinId="9" hidden="1"/>
    <cellStyle name="Lien hypertexte visité" xfId="8504" builtinId="9" hidden="1"/>
    <cellStyle name="Lien hypertexte visité" xfId="8184" builtinId="9" hidden="1"/>
    <cellStyle name="Lien hypertexte visité" xfId="7623" builtinId="9" hidden="1"/>
    <cellStyle name="Lien hypertexte visité" xfId="5991" builtinId="9" hidden="1"/>
    <cellStyle name="Lien hypertexte visité" xfId="6503" builtinId="9" hidden="1"/>
    <cellStyle name="Lien hypertexte visité" xfId="7095" builtinId="9" hidden="1"/>
    <cellStyle name="Lien hypertexte visité" xfId="2929" builtinId="9" hidden="1"/>
    <cellStyle name="Lien hypertexte visité" xfId="3521" builtinId="9" hidden="1"/>
    <cellStyle name="Lien hypertexte visité" xfId="4055" builtinId="9" hidden="1"/>
    <cellStyle name="Lien hypertexte visité" xfId="4647" builtinId="9" hidden="1"/>
    <cellStyle name="Lien hypertexte visité" xfId="5175" builtinId="9" hidden="1"/>
    <cellStyle name="Lien hypertexte visité" xfId="5783" builtinId="9" hidden="1"/>
    <cellStyle name="Lien hypertexte visité" xfId="3846" builtinId="9" hidden="1"/>
    <cellStyle name="Lien hypertexte visité" xfId="4659" builtinId="9" hidden="1"/>
    <cellStyle name="Lien hypertexte visité" xfId="4035" builtinId="9" hidden="1"/>
    <cellStyle name="Lien hypertexte visité" xfId="3213" builtinId="9" hidden="1"/>
    <cellStyle name="Lien hypertexte visité" xfId="2605" builtinId="9" hidden="1"/>
    <cellStyle name="Lien hypertexte visité" xfId="17077" builtinId="9" hidden="1"/>
    <cellStyle name="Lien hypertexte visité" xfId="11108" builtinId="9" hidden="1"/>
    <cellStyle name="Lien hypertexte visité" xfId="6435" builtinId="9" hidden="1"/>
    <cellStyle name="Lien hypertexte visité" xfId="4836" builtinId="9" hidden="1"/>
    <cellStyle name="Lien hypertexte visité" xfId="12711" builtinId="9" hidden="1"/>
    <cellStyle name="Lien hypertexte visité" xfId="19480" builtinId="9" hidden="1"/>
    <cellStyle name="Lien hypertexte visité" xfId="11994" builtinId="9" hidden="1"/>
    <cellStyle name="Lien hypertexte visité" xfId="17963" builtinId="9" hidden="1"/>
    <cellStyle name="Lien hypertexte visité" xfId="24354" builtinId="9" hidden="1"/>
    <cellStyle name="Lien hypertexte visité" xfId="17593" builtinId="9" hidden="1"/>
    <cellStyle name="Lien hypertexte visité" xfId="12418" builtinId="9" hidden="1"/>
    <cellStyle name="Lien hypertexte visité" xfId="8782" builtinId="9" hidden="1"/>
    <cellStyle name="Lien hypertexte visité" xfId="11287" builtinId="9" hidden="1"/>
    <cellStyle name="Lien hypertexte visité" xfId="3088" builtinId="9" hidden="1"/>
    <cellStyle name="Lien hypertexte visité" xfId="3518" builtinId="9" hidden="1"/>
    <cellStyle name="Lien hypertexte visité" xfId="8981" builtinId="9" hidden="1"/>
    <cellStyle name="Lien hypertexte visité" xfId="12485" builtinId="9" hidden="1"/>
    <cellStyle name="Lien hypertexte visité" xfId="11637" builtinId="9" hidden="1"/>
    <cellStyle name="Lien hypertexte visité" xfId="10869" builtinId="9" hidden="1"/>
    <cellStyle name="Lien hypertexte visité" xfId="10101" builtinId="9" hidden="1"/>
    <cellStyle name="Lien hypertexte visité" xfId="9333" builtinId="9" hidden="1"/>
    <cellStyle name="Lien hypertexte visité" xfId="8565" builtinId="9" hidden="1"/>
    <cellStyle name="Lien hypertexte visité" xfId="7796" builtinId="9" hidden="1"/>
    <cellStyle name="Lien hypertexte visité" xfId="7028" builtinId="9" hidden="1"/>
    <cellStyle name="Lien hypertexte visité" xfId="6164" builtinId="9" hidden="1"/>
    <cellStyle name="Lien hypertexte visité" xfId="5396" builtinId="9" hidden="1"/>
    <cellStyle name="Lien hypertexte visité" xfId="4628" builtinId="9" hidden="1"/>
    <cellStyle name="Lien hypertexte visité" xfId="3863" builtinId="9" hidden="1"/>
    <cellStyle name="Lien hypertexte visité" xfId="3086" builtinId="9" hidden="1"/>
    <cellStyle name="Lien hypertexte visité" xfId="1902" builtinId="9" hidden="1"/>
    <cellStyle name="Lien hypertexte visité" xfId="1103" builtinId="9" hidden="1"/>
    <cellStyle name="Lien hypertexte visité" xfId="403" builtinId="9" hidden="1"/>
    <cellStyle name="Lien hypertexte visité" xfId="1552" builtinId="9" hidden="1"/>
    <cellStyle name="Lien hypertexte visité" xfId="2320" builtinId="9" hidden="1"/>
    <cellStyle name="Lien hypertexte visité" xfId="3184" builtinId="9" hidden="1"/>
    <cellStyle name="Lien hypertexte visité" xfId="3958" builtinId="9" hidden="1"/>
    <cellStyle name="Lien hypertexte visité" xfId="4726" builtinId="9" hidden="1"/>
    <cellStyle name="Lien hypertexte visité" xfId="5494" builtinId="9" hidden="1"/>
    <cellStyle name="Lien hypertexte visité" xfId="6262" builtinId="9" hidden="1"/>
    <cellStyle name="Lien hypertexte visité" xfId="7030" builtinId="9" hidden="1"/>
    <cellStyle name="Lien hypertexte visité" xfId="7798" builtinId="9" hidden="1"/>
    <cellStyle name="Lien hypertexte visité" xfId="8647" builtinId="9" hidden="1"/>
    <cellStyle name="Lien hypertexte visité" xfId="9415" builtinId="9" hidden="1"/>
    <cellStyle name="Lien hypertexte visité" xfId="10183" builtinId="9" hidden="1"/>
    <cellStyle name="Lien hypertexte visité" xfId="11383" builtinId="9" hidden="1"/>
    <cellStyle name="Lien hypertexte visité" xfId="12151" builtinId="9" hidden="1"/>
    <cellStyle name="Lien hypertexte visité" xfId="12919" builtinId="9" hidden="1"/>
    <cellStyle name="Lien hypertexte visité" xfId="13687" builtinId="9" hidden="1"/>
    <cellStyle name="Lien hypertexte visité" xfId="14455" builtinId="9" hidden="1"/>
    <cellStyle name="Lien hypertexte visité" xfId="15931" builtinId="9" hidden="1"/>
    <cellStyle name="Lien hypertexte visité" xfId="8270" builtinId="9" hidden="1"/>
    <cellStyle name="Lien hypertexte visité" xfId="8834" builtinId="9" hidden="1"/>
    <cellStyle name="Lien hypertexte visité" xfId="9346" builtinId="9" hidden="1"/>
    <cellStyle name="Lien hypertexte visité" xfId="9858" builtinId="9" hidden="1"/>
    <cellStyle name="Lien hypertexte visité" xfId="10370" builtinId="9" hidden="1"/>
    <cellStyle name="Lien hypertexte visité" xfId="10882" builtinId="9" hidden="1"/>
    <cellStyle name="Lien hypertexte visité" xfId="11394" builtinId="9" hidden="1"/>
    <cellStyle name="Lien hypertexte visité" xfId="11906" builtinId="9" hidden="1"/>
    <cellStyle name="Lien hypertexte visité" xfId="12470" builtinId="9" hidden="1"/>
    <cellStyle name="Lien hypertexte visité" xfId="12982" builtinId="9" hidden="1"/>
    <cellStyle name="Lien hypertexte visité" xfId="13730" builtinId="9" hidden="1"/>
    <cellStyle name="Lien hypertexte visité" xfId="14294" builtinId="9" hidden="1"/>
    <cellStyle name="Lien hypertexte visité" xfId="15097" builtinId="9" hidden="1"/>
    <cellStyle name="Lien hypertexte visité" xfId="16121" builtinId="9" hidden="1"/>
    <cellStyle name="Lien hypertexte visité" xfId="17145" builtinId="9" hidden="1"/>
    <cellStyle name="Lien hypertexte visité" xfId="1661" builtinId="9" hidden="1"/>
    <cellStyle name="Lien hypertexte visité" xfId="23974" builtinId="9" hidden="1"/>
    <cellStyle name="Lien hypertexte visité" xfId="23558" builtinId="9" hidden="1"/>
    <cellStyle name="Lien hypertexte visité" xfId="10868" builtinId="9" hidden="1"/>
    <cellStyle name="Lien hypertexte visité" xfId="8869" builtinId="9" hidden="1"/>
    <cellStyle name="Lien hypertexte visité" xfId="13364" builtinId="9" hidden="1"/>
    <cellStyle name="Lien hypertexte visité" xfId="2449" builtinId="9" hidden="1"/>
    <cellStyle name="Lien hypertexte visité" xfId="16437" builtinId="9" hidden="1"/>
    <cellStyle name="Lien hypertexte visité" xfId="1873" builtinId="9" hidden="1"/>
    <cellStyle name="Lien hypertexte visité" xfId="3105" builtinId="9" hidden="1"/>
    <cellStyle name="Lien hypertexte visité" xfId="5447" builtinId="9" hidden="1"/>
    <cellStyle name="Lien hypertexte visité" xfId="18496" builtinId="9" hidden="1"/>
    <cellStyle name="Lien hypertexte visité" xfId="5908" builtinId="9" hidden="1"/>
    <cellStyle name="Lien hypertexte visité" xfId="7702" builtinId="9" hidden="1"/>
    <cellStyle name="Lien hypertexte visité" xfId="8471" builtinId="9" hidden="1"/>
    <cellStyle name="Lien hypertexte visité" xfId="7366" builtinId="9" hidden="1"/>
    <cellStyle name="Lien hypertexte visité" xfId="6598" builtinId="9" hidden="1"/>
    <cellStyle name="Lien hypertexte visité" xfId="5750" builtinId="9" hidden="1"/>
    <cellStyle name="Lien hypertexte visité" xfId="4982" builtinId="9" hidden="1"/>
    <cellStyle name="Lien hypertexte visité" xfId="4214" builtinId="9" hidden="1"/>
    <cellStyle name="Lien hypertexte visité" xfId="3440" builtinId="9" hidden="1"/>
    <cellStyle name="Lien hypertexte visité" xfId="2672" builtinId="9" hidden="1"/>
    <cellStyle name="Lien hypertexte visité" xfId="1904" builtinId="9" hidden="1"/>
    <cellStyle name="Lien hypertexte visité" xfId="243" builtinId="9" hidden="1"/>
    <cellStyle name="Lien hypertexte visité" xfId="1213" builtinId="9" hidden="1"/>
    <cellStyle name="Lien hypertexte visité" xfId="1982" builtinId="9" hidden="1"/>
    <cellStyle name="Lien hypertexte visité" xfId="2750" builtinId="9" hidden="1"/>
    <cellStyle name="Lien hypertexte visité" xfId="3599" builtinId="9" hidden="1"/>
    <cellStyle name="Lien hypertexte visité" xfId="4372" builtinId="9" hidden="1"/>
    <cellStyle name="Lien hypertexte visité" xfId="5140" builtinId="9" hidden="1"/>
    <cellStyle name="Lien hypertexte visité" xfId="6340" builtinId="9" hidden="1"/>
    <cellStyle name="Lien hypertexte visité" xfId="7108" builtinId="9" hidden="1"/>
    <cellStyle name="Lien hypertexte visité" xfId="7877" builtinId="9" hidden="1"/>
    <cellStyle name="Lien hypertexte visité" xfId="8645" builtinId="9" hidden="1"/>
    <cellStyle name="Lien hypertexte visité" xfId="9413" builtinId="9" hidden="1"/>
    <cellStyle name="Lien hypertexte visité" xfId="10181" builtinId="9" hidden="1"/>
    <cellStyle name="Lien hypertexte visité" xfId="10949" builtinId="9" hidden="1"/>
    <cellStyle name="Lien hypertexte visité" xfId="11797" builtinId="9" hidden="1"/>
    <cellStyle name="Lien hypertexte visité" xfId="11029" builtinId="9" hidden="1"/>
    <cellStyle name="Lien hypertexte visité" xfId="5572" builtinId="9" hidden="1"/>
    <cellStyle name="Lien hypertexte visité" xfId="915" builtinId="9" hidden="1"/>
    <cellStyle name="Lien hypertexte visité" xfId="6518" builtinId="9" hidden="1"/>
    <cellStyle name="Lien hypertexte visité" xfId="11975" builtinId="9" hidden="1"/>
    <cellStyle name="Lien hypertexte visité" xfId="9230" builtinId="9" hidden="1"/>
    <cellStyle name="Lien hypertexte visité" xfId="12878" builtinId="9" hidden="1"/>
    <cellStyle name="Lien hypertexte visité" xfId="22144" builtinId="9" hidden="1"/>
    <cellStyle name="Lien hypertexte visité" xfId="19810" builtinId="9" hidden="1"/>
    <cellStyle name="Lien hypertexte visité" xfId="17665" builtinId="9" hidden="1"/>
    <cellStyle name="Lien hypertexte visité" xfId="21554" builtinId="9" hidden="1"/>
    <cellStyle name="Lien hypertexte visité" xfId="10178" builtinId="9" hidden="1"/>
    <cellStyle name="Lien hypertexte visité" xfId="2464" builtinId="9" hidden="1"/>
    <cellStyle name="Lien hypertexte visité" xfId="15639" builtinId="9" hidden="1"/>
    <cellStyle name="Lien hypertexte visité" xfId="9364" builtinId="9" hidden="1"/>
    <cellStyle name="Lien hypertexte visité" xfId="18229" builtinId="9" hidden="1"/>
    <cellStyle name="Lien hypertexte visité" xfId="2669" builtinId="9" hidden="1"/>
    <cellStyle name="Lien hypertexte visité" xfId="3277" builtinId="9" hidden="1"/>
    <cellStyle name="Lien hypertexte visité" xfId="3830" builtinId="9" hidden="1"/>
    <cellStyle name="Lien hypertexte visité" xfId="4451" builtinId="9" hidden="1"/>
    <cellStyle name="Lien hypertexte visité" xfId="4995" builtinId="9" hidden="1"/>
    <cellStyle name="Lien hypertexte visité" xfId="2433" builtinId="9" hidden="1"/>
    <cellStyle name="Lien hypertexte visité" xfId="5111" builtinId="9" hidden="1"/>
    <cellStyle name="Lien hypertexte visité" xfId="4583" builtinId="9" hidden="1"/>
    <cellStyle name="Lien hypertexte visité" xfId="3991" builtinId="9" hidden="1"/>
    <cellStyle name="Lien hypertexte visité" xfId="3457" builtinId="9" hidden="1"/>
    <cellStyle name="Lien hypertexte visité" xfId="2865" builtinId="9" hidden="1"/>
    <cellStyle name="Lien hypertexte visité" xfId="7031" builtinId="9" hidden="1"/>
    <cellStyle name="Lien hypertexte visité" xfId="6439" builtinId="9" hidden="1"/>
    <cellStyle name="Lien hypertexte visité" xfId="8136" builtinId="9" hidden="1"/>
    <cellStyle name="Lien hypertexte visité" xfId="8376" builtinId="9" hidden="1"/>
    <cellStyle name="Lien hypertexte visité" xfId="8840" builtinId="9" hidden="1"/>
    <cellStyle name="Lien hypertexte visité" xfId="8296" builtinId="9" hidden="1"/>
    <cellStyle name="Lien hypertexte visité" xfId="7799" builtinId="9" hidden="1"/>
    <cellStyle name="Lien hypertexte visité" xfId="6103" builtinId="9" hidden="1"/>
    <cellStyle name="Lien hypertexte visité" xfId="6679" builtinId="9" hidden="1"/>
    <cellStyle name="Lien hypertexte visité" xfId="7207" builtinId="9" hidden="1"/>
    <cellStyle name="Lien hypertexte visité" xfId="3377" builtinId="9" hidden="1"/>
    <cellStyle name="Lien hypertexte visité" xfId="3975" builtinId="9" hidden="1"/>
    <cellStyle name="Lien hypertexte visité" xfId="4503" builtinId="9" hidden="1"/>
    <cellStyle name="Lien hypertexte visité" xfId="5095" builtinId="9" hidden="1"/>
    <cellStyle name="Lien hypertexte visité" xfId="5623" builtinId="9" hidden="1"/>
    <cellStyle name="Lien hypertexte visité" xfId="2557" builtinId="9" hidden="1"/>
    <cellStyle name="Lien hypertexte visité" xfId="4803" builtinId="9" hidden="1"/>
    <cellStyle name="Lien hypertexte visité" xfId="4195" builtinId="9" hidden="1"/>
    <cellStyle name="Lien hypertexte visité" xfId="3293" builtinId="9" hidden="1"/>
    <cellStyle name="Lien hypertexte visité" xfId="2749" builtinId="9" hidden="1"/>
    <cellStyle name="Lien hypertexte visité" xfId="2141" builtinId="9" hidden="1"/>
    <cellStyle name="Lien hypertexte visité" xfId="1597" builtinId="9" hidden="1"/>
    <cellStyle name="Lien hypertexte visité" xfId="781" builtinId="9" hidden="1"/>
    <cellStyle name="Lien hypertexte visité" xfId="277" builtinId="9" hidden="1"/>
    <cellStyle name="Lien hypertexte visité" xfId="1328" builtinId="9" hidden="1"/>
    <cellStyle name="Lien hypertexte visité" xfId="2225" builtinId="9" hidden="1"/>
    <cellStyle name="Lien hypertexte visité" xfId="2769" builtinId="9" hidden="1"/>
    <cellStyle name="Lien hypertexte visité" xfId="9220" builtinId="9" hidden="1"/>
    <cellStyle name="Lien hypertexte visité" xfId="13316" builtinId="9" hidden="1"/>
    <cellStyle name="Lien hypertexte visité" xfId="21316" builtinId="9" hidden="1"/>
    <cellStyle name="Lien hypertexte visité" xfId="19718" builtinId="9" hidden="1"/>
    <cellStyle name="Lien hypertexte visité" xfId="20326" builtinId="9" hidden="1"/>
    <cellStyle name="Lien hypertexte visité" xfId="21478" builtinId="9" hidden="1"/>
    <cellStyle name="Lien hypertexte visité" xfId="23398" builtinId="9" hidden="1"/>
    <cellStyle name="Lien hypertexte visité" xfId="24516" builtinId="9" hidden="1"/>
    <cellStyle name="Lien hypertexte visité" xfId="23332" builtinId="9" hidden="1"/>
    <cellStyle name="Lien hypertexte visité" xfId="21638" builtinId="9" hidden="1"/>
    <cellStyle name="Lien hypertexte visité" xfId="3566" builtinId="9" hidden="1"/>
    <cellStyle name="Lien hypertexte visité" xfId="8584" builtinId="9" hidden="1"/>
    <cellStyle name="Lien hypertexte visité" xfId="3005" builtinId="9" hidden="1"/>
    <cellStyle name="Lien hypertexte visité" xfId="17173" builtinId="9" hidden="1"/>
    <cellStyle name="Lien hypertexte visité" xfId="18340" builtinId="9" hidden="1"/>
    <cellStyle name="Lien hypertexte visité" xfId="19492" builtinId="9" hidden="1"/>
    <cellStyle name="Lien hypertexte visité" xfId="20676" builtinId="9" hidden="1"/>
    <cellStyle name="Lien hypertexte visité" xfId="21988" builtinId="9" hidden="1"/>
    <cellStyle name="Lien hypertexte visité" xfId="23172" builtinId="9" hidden="1"/>
    <cellStyle name="Lien hypertexte visité" xfId="24324" builtinId="9" hidden="1"/>
    <cellStyle name="Lien hypertexte visité" xfId="23718" builtinId="9" hidden="1"/>
    <cellStyle name="Lien hypertexte visité" xfId="21830" builtinId="9" hidden="1"/>
    <cellStyle name="Lien hypertexte visité" xfId="20646" builtinId="9" hidden="1"/>
    <cellStyle name="Lien hypertexte visité" xfId="19494" builtinId="9" hidden="1"/>
    <cellStyle name="Lien hypertexte visité" xfId="24582" builtinId="9" hidden="1"/>
    <cellStyle name="Lien hypertexte visité" xfId="15445" builtinId="9" hidden="1"/>
    <cellStyle name="Lien hypertexte visité" xfId="10884" builtinId="9" hidden="1"/>
    <cellStyle name="Lien hypertexte visité" xfId="6787" builtinId="9" hidden="1"/>
    <cellStyle name="Lien hypertexte visité" xfId="2161" builtinId="9" hidden="1"/>
    <cellStyle name="Lien hypertexte visité" xfId="1617" builtinId="9" hidden="1"/>
    <cellStyle name="Lien hypertexte visité" xfId="981" builtinId="9" hidden="1"/>
    <cellStyle name="Lien hypertexte visité" xfId="173" builtinId="9" hidden="1"/>
    <cellStyle name="Lien hypertexte visité" xfId="1228" builtinId="9" hidden="1"/>
    <cellStyle name="Lien hypertexte visité" xfId="1773" builtinId="9" hidden="1"/>
    <cellStyle name="Lien hypertexte visité" xfId="2333" builtinId="9" hidden="1"/>
    <cellStyle name="Lien hypertexte visité" xfId="8308" builtinId="9" hidden="1"/>
    <cellStyle name="Lien hypertexte visité" xfId="9188" builtinId="9" hidden="1"/>
    <cellStyle name="Lien hypertexte visité" xfId="9780" builtinId="9" hidden="1"/>
    <cellStyle name="Lien hypertexte visité" xfId="10356" builtinId="9" hidden="1"/>
    <cellStyle name="Lien hypertexte visité" xfId="10948" builtinId="9" hidden="1"/>
    <cellStyle name="Lien hypertexte visité" xfId="11604" builtinId="9" hidden="1"/>
    <cellStyle name="Lien hypertexte visité" xfId="12196" builtinId="9" hidden="1"/>
    <cellStyle name="Lien hypertexte visité" xfId="12772" builtinId="9" hidden="1"/>
    <cellStyle name="Lien hypertexte visité" xfId="13652" builtinId="9" hidden="1"/>
    <cellStyle name="Lien hypertexte visité" xfId="14244" builtinId="9" hidden="1"/>
    <cellStyle name="Lien hypertexte visité" xfId="15125" builtinId="9" hidden="1"/>
    <cellStyle name="Lien hypertexte visité" xfId="5315" builtinId="9" hidden="1"/>
    <cellStyle name="Lien hypertexte visité" xfId="5907" builtinId="9" hidden="1"/>
    <cellStyle name="Lien hypertexte visité" xfId="6483" builtinId="9" hidden="1"/>
    <cellStyle name="Lien hypertexte visité" xfId="7075" builtinId="9" hidden="1"/>
    <cellStyle name="Lien hypertexte visité" xfId="7651" builtinId="9" hidden="1"/>
    <cellStyle name="Lien hypertexte visité" xfId="11429" builtinId="9" hidden="1"/>
    <cellStyle name="Lien hypertexte visité" xfId="13477" builtinId="9" hidden="1"/>
    <cellStyle name="Lien hypertexte visité" xfId="16535" builtinId="9" hidden="1"/>
    <cellStyle name="Lien hypertexte visité" xfId="9125" builtinId="9" hidden="1"/>
    <cellStyle name="Lien hypertexte visité" xfId="6820" builtinId="9" hidden="1"/>
    <cellStyle name="Lien hypertexte visité" xfId="4772" builtinId="9" hidden="1"/>
    <cellStyle name="Lien hypertexte visité" xfId="6564" builtinId="9" hidden="1"/>
    <cellStyle name="Lien hypertexte visité" xfId="7845" builtinId="9" hidden="1"/>
    <cellStyle name="Lien hypertexte visité" xfId="14245" builtinId="9" hidden="1"/>
    <cellStyle name="Lien hypertexte visité" xfId="12197" builtinId="9" hidden="1"/>
    <cellStyle name="Lien hypertexte visité" xfId="8164" builtinId="9" hidden="1"/>
    <cellStyle name="Lien hypertexte visité" xfId="7587" builtinId="9" hidden="1"/>
    <cellStyle name="Lien hypertexte visité" xfId="6995" builtinId="9" hidden="1"/>
    <cellStyle name="Lien hypertexte visité" xfId="6419" builtinId="9" hidden="1"/>
    <cellStyle name="Lien hypertexte visité" xfId="5827" builtinId="9" hidden="1"/>
    <cellStyle name="Lien hypertexte visité" xfId="17559" builtinId="9" hidden="1"/>
    <cellStyle name="Lien hypertexte visité" xfId="14452" builtinId="9" hidden="1"/>
    <cellStyle name="Lien hypertexte visité" xfId="13876" builtinId="9" hidden="1"/>
    <cellStyle name="Lien hypertexte visité" xfId="13284" builtinId="9" hidden="1"/>
    <cellStyle name="Lien hypertexte visité" xfId="12708" builtinId="9" hidden="1"/>
    <cellStyle name="Lien hypertexte visité" xfId="12116" builtinId="9" hidden="1"/>
    <cellStyle name="Lien hypertexte visité" xfId="11540" builtinId="9" hidden="1"/>
    <cellStyle name="Lien hypertexte visité" xfId="10580" builtinId="9" hidden="1"/>
    <cellStyle name="Lien hypertexte visité" xfId="10004" builtinId="9" hidden="1"/>
    <cellStyle name="Lien hypertexte visité" xfId="9412" builtinId="9" hidden="1"/>
    <cellStyle name="Lien hypertexte visité" xfId="8820" builtinId="9" hidden="1"/>
    <cellStyle name="Lien hypertexte visité" xfId="8244" builtinId="9" hidden="1"/>
    <cellStyle name="Lien hypertexte visité" xfId="2253" builtinId="9" hidden="1"/>
    <cellStyle name="Lien hypertexte visité" xfId="1709" builtinId="9" hidden="1"/>
    <cellStyle name="Lien hypertexte visité" xfId="1164" builtinId="9" hidden="1"/>
    <cellStyle name="Lien hypertexte visité" xfId="565" builtinId="9" hidden="1"/>
    <cellStyle name="Lien hypertexte visité" xfId="1424" builtinId="9" hidden="1"/>
    <cellStyle name="Lien hypertexte visité" xfId="1969" builtinId="9" hidden="1"/>
    <cellStyle name="Lien hypertexte visité" xfId="2577" builtinId="9" hidden="1"/>
    <cellStyle name="Lien hypertexte visité" xfId="7299" builtinId="9" hidden="1"/>
    <cellStyle name="Lien hypertexte visité" xfId="11396" builtinId="9" hidden="1"/>
    <cellStyle name="Lien hypertexte visité" xfId="16469" builtinId="9" hidden="1"/>
    <cellStyle name="Lien hypertexte visité" xfId="19462" builtinId="9" hidden="1"/>
    <cellStyle name="Lien hypertexte visité" xfId="20198" builtinId="9" hidden="1"/>
    <cellStyle name="Lien hypertexte visité" xfId="21382" builtinId="9" hidden="1"/>
    <cellStyle name="Lien hypertexte visité" xfId="22566" builtinId="9" hidden="1"/>
    <cellStyle name="Lien hypertexte visité" xfId="23878" builtinId="9" hidden="1"/>
    <cellStyle name="Lien hypertexte visité" xfId="24196" builtinId="9" hidden="1"/>
    <cellStyle name="Lien hypertexte visité" xfId="23012" builtinId="9" hidden="1"/>
    <cellStyle name="Lien hypertexte visité" xfId="21860" builtinId="9" hidden="1"/>
    <cellStyle name="Lien hypertexte visité" xfId="19940" builtinId="9" hidden="1"/>
    <cellStyle name="Lien hypertexte visité" xfId="18788" builtinId="9" hidden="1"/>
    <cellStyle name="Lien hypertexte visité" xfId="17621" builtinId="9" hidden="1"/>
    <cellStyle name="Lien hypertexte visité" xfId="16309" builtinId="9" hidden="1"/>
    <cellStyle name="Lien hypertexte visité" xfId="4115" builtinId="9" hidden="1"/>
    <cellStyle name="Lien hypertexte visité" xfId="7479" builtinId="9" hidden="1"/>
    <cellStyle name="Lien hypertexte visité" xfId="2477" builtinId="9" hidden="1"/>
    <cellStyle name="Lien hypertexte visité" xfId="22756" builtinId="9" hidden="1"/>
    <cellStyle name="Lien hypertexte visité" xfId="24068" builtinId="9" hidden="1"/>
    <cellStyle name="Lien hypertexte visité" xfId="23846" builtinId="9" hidden="1"/>
    <cellStyle name="Lien hypertexte visité" xfId="22662" builtinId="9" hidden="1"/>
    <cellStyle name="Lien hypertexte visité" xfId="21350" builtinId="9" hidden="1"/>
    <cellStyle name="Lien hypertexte visité" xfId="20166" builtinId="9" hidden="1"/>
    <cellStyle name="Lien hypertexte visité" xfId="20742" builtinId="9" hidden="1"/>
    <cellStyle name="Lien hypertexte visité" xfId="20292" builtinId="9" hidden="1"/>
    <cellStyle name="Lien hypertexte visité" xfId="10756" builtinId="9" hidden="1"/>
    <cellStyle name="Lien hypertexte visité" xfId="6147" builtinId="9" hidden="1"/>
    <cellStyle name="Lien hypertexte visité" xfId="2417" builtinId="9" hidden="1"/>
    <cellStyle name="Lien hypertexte visité" xfId="1809" builtinId="9" hidden="1"/>
    <cellStyle name="Lien hypertexte visité" xfId="1264" builtinId="9" hidden="1"/>
    <cellStyle name="Lien hypertexte visité" xfId="217" builtinId="9" hidden="1"/>
    <cellStyle name="Lien hypertexte visité" xfId="941" builtinId="9" hidden="1"/>
    <cellStyle name="Lien hypertexte visité" xfId="1933" builtinId="9" hidden="1"/>
    <cellStyle name="Lien hypertexte visité" xfId="2541" builtinId="9" hidden="1"/>
    <cellStyle name="Lien hypertexte visité" xfId="3101" builtinId="9" hidden="1"/>
    <cellStyle name="Lien hypertexte visité" xfId="3718" builtinId="9" hidden="1"/>
    <cellStyle name="Lien hypertexte visité" xfId="4259" builtinId="9" hidden="1"/>
    <cellStyle name="Lien hypertexte visité" xfId="13943" builtinId="9" hidden="1"/>
    <cellStyle name="Lien hypertexte visité" xfId="11106" builtinId="9" hidden="1"/>
    <cellStyle name="Lien hypertexte visité" xfId="16017" builtinId="9" hidden="1"/>
    <cellStyle name="Lien hypertexte visité" xfId="24296" builtinId="9" hidden="1"/>
    <cellStyle name="Lien hypertexte visité" xfId="19290" builtinId="9" hidden="1"/>
    <cellStyle name="Lien hypertexte visité" xfId="17089" builtinId="9" hidden="1"/>
    <cellStyle name="Lien hypertexte visité" xfId="13250" builtinId="9" hidden="1"/>
    <cellStyle name="Lien hypertexte visité" xfId="4774" builtinId="9" hidden="1"/>
    <cellStyle name="Lien hypertexte visité" xfId="16151" builtinId="9" hidden="1"/>
    <cellStyle name="Lien hypertexte visité" xfId="10084" builtinId="9" hidden="1"/>
    <cellStyle name="Lien hypertexte visité" xfId="16341" builtinId="9" hidden="1"/>
    <cellStyle name="Lien hypertexte visité" xfId="7461" builtinId="9" hidden="1"/>
    <cellStyle name="Lien hypertexte visité" xfId="19202" builtinId="9" hidden="1"/>
    <cellStyle name="Lien hypertexte visité" xfId="4238" builtinId="9" hidden="1"/>
    <cellStyle name="Lien hypertexte visité" xfId="9452" builtinId="9" hidden="1"/>
    <cellStyle name="Lien hypertexte visité" xfId="10681" builtinId="9" hidden="1"/>
    <cellStyle name="Lien hypertexte visité" xfId="16589" builtinId="9" hidden="1"/>
    <cellStyle name="Lien hypertexte visité" xfId="10811" builtinId="9" hidden="1"/>
    <cellStyle name="Lien hypertexte visité" xfId="5954" builtinId="9" hidden="1"/>
    <cellStyle name="Lien hypertexte visité" xfId="1752" builtinId="9" hidden="1"/>
    <cellStyle name="Lien hypertexte visité" xfId="21236" builtinId="9" hidden="1"/>
    <cellStyle name="Lien hypertexte visité" xfId="5103" builtinId="9" hidden="1"/>
    <cellStyle name="Lien hypertexte visité" xfId="12337" builtinId="9" hidden="1"/>
    <cellStyle name="Lien hypertexte visité" xfId="12240" builtinId="9" hidden="1"/>
    <cellStyle name="Lien hypertexte visité" xfId="10472" builtinId="9" hidden="1"/>
    <cellStyle name="Lien hypertexte visité" xfId="15941" builtinId="9" hidden="1"/>
    <cellStyle name="Lien hypertexte visité" xfId="14460" builtinId="9" hidden="1"/>
    <cellStyle name="Lien hypertexte visité" xfId="8720" builtinId="9" hidden="1"/>
    <cellStyle name="Lien hypertexte visité" xfId="14847" builtinId="9" hidden="1"/>
    <cellStyle name="Lien hypertexte visité" xfId="9960" builtinId="9" hidden="1"/>
    <cellStyle name="Lien hypertexte visité" xfId="11977" builtinId="9" hidden="1"/>
    <cellStyle name="Lien hypertexte visité" xfId="12640" builtinId="9" hidden="1"/>
    <cellStyle name="Lien hypertexte visité" xfId="12408" builtinId="9" hidden="1"/>
    <cellStyle name="Lien hypertexte visité" xfId="20108" builtinId="9" hidden="1"/>
    <cellStyle name="Lien hypertexte visité" xfId="19486" builtinId="9" hidden="1"/>
    <cellStyle name="Lien hypertexte visité" xfId="12161" builtinId="9" hidden="1"/>
    <cellStyle name="Lien hypertexte visité" xfId="7280" builtinId="9" hidden="1"/>
    <cellStyle name="Lien hypertexte visité" xfId="2426" builtinId="9" hidden="1"/>
    <cellStyle name="Lien hypertexte visité" xfId="4847" builtinId="9" hidden="1"/>
    <cellStyle name="Lien hypertexte visité" xfId="3638" builtinId="9" hidden="1"/>
    <cellStyle name="Lien hypertexte visité" xfId="10908" builtinId="9" hidden="1"/>
    <cellStyle name="Lien hypertexte visité" xfId="21748" builtinId="9" hidden="1"/>
    <cellStyle name="Lien hypertexte visité" xfId="13645" builtinId="9" hidden="1"/>
    <cellStyle name="Lien hypertexte visité" xfId="6412" builtinId="9" hidden="1"/>
    <cellStyle name="Lien hypertexte visité" xfId="2008" builtinId="9" hidden="1"/>
    <cellStyle name="Lien hypertexte visité" xfId="9343" builtinId="9" hidden="1"/>
    <cellStyle name="Lien hypertexte visité" xfId="8678" builtinId="9" hidden="1"/>
    <cellStyle name="Lien hypertexte visité" xfId="5738" builtinId="9" hidden="1"/>
    <cellStyle name="Lien hypertexte visité" xfId="12691" builtinId="9" hidden="1"/>
    <cellStyle name="Lien hypertexte visité" xfId="14547" builtinId="9" hidden="1"/>
    <cellStyle name="Lien hypertexte visité" xfId="11011" builtinId="9" hidden="1"/>
    <cellStyle name="Lien hypertexte visité" xfId="3930" builtinId="9" hidden="1"/>
    <cellStyle name="Lien hypertexte visité" xfId="2594" builtinId="9" hidden="1"/>
    <cellStyle name="Lien hypertexte visité" xfId="15053" builtinId="9" hidden="1"/>
    <cellStyle name="Lien hypertexte visité" xfId="14216" builtinId="9" hidden="1"/>
    <cellStyle name="Lien hypertexte visité" xfId="20830" builtinId="9" hidden="1"/>
    <cellStyle name="Lien hypertexte visité" xfId="10425" builtinId="9" hidden="1"/>
    <cellStyle name="Lien hypertexte visité" xfId="3082" builtinId="9" hidden="1"/>
    <cellStyle name="Lien hypertexte visité" xfId="2202" builtinId="9" hidden="1"/>
    <cellStyle name="Lien hypertexte visité" xfId="9836" builtinId="9" hidden="1"/>
    <cellStyle name="Lien hypertexte visité" xfId="22070" builtinId="9" hidden="1"/>
    <cellStyle name="Lien hypertexte visité" xfId="7420" builtinId="9" hidden="1"/>
    <cellStyle name="Lien hypertexte visité" xfId="4622" builtinId="9" hidden="1"/>
    <cellStyle name="Lien hypertexte visité" xfId="16747" builtinId="9" hidden="1"/>
    <cellStyle name="Lien hypertexte visité" xfId="16049" builtinId="9" hidden="1"/>
    <cellStyle name="Lien hypertexte visité" xfId="18690" builtinId="9" hidden="1"/>
    <cellStyle name="Lien hypertexte visité" xfId="5329" builtinId="9" hidden="1"/>
    <cellStyle name="Lien hypertexte visité" xfId="6061" builtinId="9" hidden="1"/>
    <cellStyle name="Lien hypertexte visité" xfId="4889" builtinId="9" hidden="1"/>
    <cellStyle name="Lien hypertexte visité" xfId="4157" builtinId="9" hidden="1"/>
    <cellStyle name="Lien hypertexte visité" xfId="10218" builtinId="9" hidden="1"/>
    <cellStyle name="Lien hypertexte visité" xfId="13034" builtinId="9" hidden="1"/>
    <cellStyle name="Lien hypertexte visité" xfId="19728" builtinId="9" hidden="1"/>
    <cellStyle name="Lien hypertexte visité" xfId="24378" builtinId="9" hidden="1"/>
    <cellStyle name="Lien hypertexte visité" xfId="18746" builtinId="9" hidden="1"/>
    <cellStyle name="Lien hypertexte visité" xfId="19538" builtinId="9" hidden="1"/>
    <cellStyle name="Lien hypertexte visité" xfId="21418" builtinId="9" hidden="1"/>
    <cellStyle name="Lien hypertexte visité" xfId="23122" builtinId="9" hidden="1"/>
    <cellStyle name="Lien hypertexte visité" xfId="24224" builtinId="9" hidden="1"/>
    <cellStyle name="Lien hypertexte visité" xfId="21496" builtinId="9" hidden="1"/>
    <cellStyle name="Lien hypertexte visité" xfId="19616" builtinId="9" hidden="1"/>
    <cellStyle name="Lien hypertexte visité" xfId="17929" builtinId="9" hidden="1"/>
    <cellStyle name="Lien hypertexte visité" xfId="15193" builtinId="9" hidden="1"/>
    <cellStyle name="Lien hypertexte visité" xfId="13918" builtinId="9" hidden="1"/>
    <cellStyle name="Lien hypertexte visité" xfId="12978" builtinId="9" hidden="1"/>
    <cellStyle name="Lien hypertexte visité" xfId="12126" builtinId="9" hidden="1"/>
    <cellStyle name="Lien hypertexte visité" xfId="10758" builtinId="9" hidden="1"/>
    <cellStyle name="Lien hypertexte visité" xfId="9822" builtinId="9" hidden="1"/>
    <cellStyle name="Lien hypertexte visité" xfId="8882" builtinId="9" hidden="1"/>
    <cellStyle name="Lien hypertexte visité" xfId="15211" builtinId="9" hidden="1"/>
    <cellStyle name="Lien hypertexte visité" xfId="13583" builtinId="9" hidden="1"/>
    <cellStyle name="Lien hypertexte visité" xfId="12175" builtinId="9" hidden="1"/>
    <cellStyle name="Lien hypertexte visité" xfId="10767" builtinId="9" hidden="1"/>
    <cellStyle name="Lien hypertexte visité" xfId="8719" builtinId="9" hidden="1"/>
    <cellStyle name="Lien hypertexte visité" xfId="7438" builtinId="9" hidden="1"/>
    <cellStyle name="Lien hypertexte visité" xfId="6030" builtinId="9" hidden="1"/>
    <cellStyle name="Lien hypertexte visité" xfId="3982" builtinId="9" hidden="1"/>
    <cellStyle name="Lien hypertexte visité" xfId="2568" builtinId="9" hidden="1"/>
    <cellStyle name="Lien hypertexte visité" xfId="1287" builtinId="9" hidden="1"/>
    <cellStyle name="Lien hypertexte visité" xfId="1269" builtinId="9" hidden="1"/>
    <cellStyle name="Lien hypertexte visité" xfId="3318" builtinId="9" hidden="1"/>
    <cellStyle name="Lien hypertexte visité" xfId="4732" builtinId="9" hidden="1"/>
    <cellStyle name="Lien hypertexte visité" xfId="6012" builtinId="9" hidden="1"/>
    <cellStyle name="Lien hypertexte visité" xfId="8061" builtinId="9" hidden="1"/>
    <cellStyle name="Lien hypertexte visité" xfId="9469" builtinId="9" hidden="1"/>
    <cellStyle name="Lien hypertexte visité" xfId="10877" builtinId="9" hidden="1"/>
    <cellStyle name="Lien hypertexte visité" xfId="12157" builtinId="9" hidden="1"/>
    <cellStyle name="Lien hypertexte visité" xfId="14205" builtinId="9" hidden="1"/>
    <cellStyle name="Lien hypertexte visité" xfId="16711" builtinId="9" hidden="1"/>
    <cellStyle name="Lien hypertexte visité" xfId="19510" builtinId="9" hidden="1"/>
    <cellStyle name="Lien hypertexte visité" xfId="23606" builtinId="9" hidden="1"/>
    <cellStyle name="Lien hypertexte visité" xfId="23060" builtinId="9" hidden="1"/>
    <cellStyle name="Lien hypertexte visité" xfId="20244" builtinId="9" hidden="1"/>
    <cellStyle name="Lien hypertexte visité" xfId="17445" builtinId="9" hidden="1"/>
    <cellStyle name="Lien hypertexte visité" xfId="13932" builtinId="9" hidden="1"/>
    <cellStyle name="Lien hypertexte visité" xfId="12652" builtinId="9" hidden="1"/>
    <cellStyle name="Lien hypertexte visité" xfId="11244" builtinId="9" hidden="1"/>
    <cellStyle name="Lien hypertexte visité" xfId="9196" builtinId="9" hidden="1"/>
    <cellStyle name="Lien hypertexte visité" xfId="7787" builtinId="9" hidden="1"/>
    <cellStyle name="Lien hypertexte visité" xfId="6507" builtinId="9" hidden="1"/>
    <cellStyle name="Lien hypertexte visité" xfId="5099" builtinId="9" hidden="1"/>
    <cellStyle name="Lien hypertexte visité" xfId="3045" builtinId="9" hidden="1"/>
    <cellStyle name="Lien hypertexte visité" xfId="1637" builtinId="9" hidden="1"/>
    <cellStyle name="Lien hypertexte visité" xfId="421" builtinId="9" hidden="1"/>
    <cellStyle name="Lien hypertexte visité" xfId="2841" builtinId="9" hidden="1"/>
    <cellStyle name="Lien hypertexte visité" xfId="4255" builtinId="9" hidden="1"/>
    <cellStyle name="Lien hypertexte visité" xfId="5663" builtinId="9" hidden="1"/>
    <cellStyle name="Lien hypertexte visité" xfId="6943" builtinId="9" hidden="1"/>
    <cellStyle name="Lien hypertexte visité" xfId="443" builtinId="9" hidden="1"/>
    <cellStyle name="Lien hypertexte visité" xfId="1289" builtinId="9" hidden="1"/>
    <cellStyle name="Lien hypertexte visité" xfId="2226" builtinId="9" hidden="1"/>
    <cellStyle name="Lien hypertexte visité" xfId="3595" builtinId="9" hidden="1"/>
    <cellStyle name="Lien hypertexte visité" xfId="4448" builtinId="9" hidden="1"/>
    <cellStyle name="Lien hypertexte visité" xfId="5392" builtinId="9" hidden="1"/>
    <cellStyle name="Lien hypertexte visité" xfId="6328" builtinId="9" hidden="1"/>
    <cellStyle name="Lien hypertexte visité" xfId="7696" builtinId="9" hidden="1"/>
    <cellStyle name="Lien hypertexte visité" xfId="8545" builtinId="9" hidden="1"/>
    <cellStyle name="Lien hypertexte visité" xfId="9489" builtinId="9" hidden="1"/>
    <cellStyle name="Lien hypertexte visité" xfId="10849" builtinId="9" hidden="1"/>
    <cellStyle name="Lien hypertexte visité" xfId="11793" builtinId="9" hidden="1"/>
    <cellStyle name="Lien hypertexte visité" xfId="12641" builtinId="9" hidden="1"/>
    <cellStyle name="Lien hypertexte visité" xfId="13585" builtinId="9" hidden="1"/>
    <cellStyle name="Lien hypertexte visité" xfId="15375" builtinId="9" hidden="1"/>
    <cellStyle name="Lien hypertexte visité" xfId="17263" builtinId="9" hidden="1"/>
    <cellStyle name="Lien hypertexte visité" xfId="18942" builtinId="9" hidden="1"/>
    <cellStyle name="Lien hypertexte visité" xfId="21678" builtinId="9" hidden="1"/>
    <cellStyle name="Lien hypertexte visité" xfId="23550" builtinId="9" hidden="1"/>
    <cellStyle name="Lien hypertexte visité" xfId="23788" builtinId="9" hidden="1"/>
    <cellStyle name="Lien hypertexte visité" xfId="22092" builtinId="9" hidden="1"/>
    <cellStyle name="Lien hypertexte visité" xfId="19356" builtinId="9" hidden="1"/>
    <cellStyle name="Lien hypertexte visité" xfId="17501" builtinId="9" hidden="1"/>
    <cellStyle name="Lien hypertexte visité" xfId="15613" builtinId="9" hidden="1"/>
    <cellStyle name="Lien hypertexte visité" xfId="13704" builtinId="9" hidden="1"/>
    <cellStyle name="Lien hypertexte visité" xfId="12848" builtinId="9" hidden="1"/>
    <cellStyle name="Lien hypertexte visité" xfId="11912" builtinId="9" hidden="1"/>
    <cellStyle name="Lien hypertexte visité" xfId="10968" builtinId="9" hidden="1"/>
    <cellStyle name="Lien hypertexte visité" xfId="9608" builtinId="9" hidden="1"/>
    <cellStyle name="Lien hypertexte visité" xfId="9152" builtinId="9" hidden="1"/>
    <cellStyle name="Lien hypertexte visité" xfId="11968" builtinId="9" hidden="1"/>
    <cellStyle name="Lien hypertexte visité" xfId="17613" builtinId="9" hidden="1"/>
    <cellStyle name="Lien hypertexte visité" xfId="23228" builtinId="9" hidden="1"/>
    <cellStyle name="Lien hypertexte visité" xfId="20878" builtinId="9" hidden="1"/>
    <cellStyle name="Lien hypertexte visité" xfId="15263" builtinId="9" hidden="1"/>
    <cellStyle name="Lien hypertexte visité" xfId="10793" builtinId="9" hidden="1"/>
    <cellStyle name="Lien hypertexte visité" xfId="7977" builtinId="9" hidden="1"/>
    <cellStyle name="Lien hypertexte visité" xfId="5416" builtinId="9" hidden="1"/>
    <cellStyle name="Lien hypertexte visité" xfId="1313" builtinId="9" hidden="1"/>
    <cellStyle name="Lien hypertexte visité" xfId="8979" builtinId="9" hidden="1"/>
    <cellStyle name="Lien hypertexte visité" xfId="8179" builtinId="9" hidden="1"/>
    <cellStyle name="Lien hypertexte visité" xfId="7442" builtinId="9" hidden="1"/>
    <cellStyle name="Lien hypertexte visité" xfId="6274" builtinId="9" hidden="1"/>
    <cellStyle name="Lien hypertexte visité" xfId="5466" builtinId="9" hidden="1"/>
    <cellStyle name="Lien hypertexte visité" xfId="4666" builtinId="9" hidden="1"/>
    <cellStyle name="Lien hypertexte visité" xfId="3492" builtinId="9" hidden="1"/>
    <cellStyle name="Lien hypertexte visité" xfId="2756" builtinId="9" hidden="1"/>
    <cellStyle name="Lien hypertexte visité" xfId="1956" builtinId="9" hidden="1"/>
    <cellStyle name="Lien hypertexte visité" xfId="1131" builtinId="9" hidden="1"/>
    <cellStyle name="Lien hypertexte visité" xfId="7330" builtinId="9" hidden="1"/>
    <cellStyle name="Lien hypertexte visité" xfId="12515" builtinId="9" hidden="1"/>
    <cellStyle name="Lien hypertexte visité" xfId="11763" builtinId="9" hidden="1"/>
    <cellStyle name="Lien hypertexte visité" xfId="10675" builtinId="9" hidden="1"/>
    <cellStyle name="Lien hypertexte visité" xfId="9923" builtinId="9" hidden="1"/>
    <cellStyle name="Lien hypertexte visité" xfId="14451" builtinId="9" hidden="1"/>
    <cellStyle name="Lien hypertexte visité" xfId="13723" builtinId="9" hidden="1"/>
    <cellStyle name="Lien hypertexte visité" xfId="15507" builtinId="9" hidden="1"/>
    <cellStyle name="Lien hypertexte visité" xfId="16291" builtinId="9" hidden="1"/>
    <cellStyle name="Lien hypertexte visité" xfId="17219" builtinId="9" hidden="1"/>
    <cellStyle name="Lien hypertexte visité" xfId="15187" builtinId="9" hidden="1"/>
    <cellStyle name="Lien hypertexte visité" xfId="13235" builtinId="9" hidden="1"/>
    <cellStyle name="Lien hypertexte visité" xfId="13963" builtinId="9" hidden="1"/>
    <cellStyle name="Lien hypertexte visité" xfId="10403" builtinId="9" hidden="1"/>
    <cellStyle name="Lien hypertexte visité" xfId="10507" builtinId="9" hidden="1"/>
    <cellStyle name="Lien hypertexte visité" xfId="11259" builtinId="9" hidden="1"/>
    <cellStyle name="Lien hypertexte visité" xfId="12011" builtinId="9" hidden="1"/>
    <cellStyle name="Lien hypertexte visité" xfId="8035" builtinId="9" hidden="1"/>
    <cellStyle name="Lien hypertexte visité" xfId="2908" builtinId="9" hidden="1"/>
    <cellStyle name="Lien hypertexte visité" xfId="1411" builtinId="9" hidden="1"/>
    <cellStyle name="Lien hypertexte visité" xfId="2220" builtinId="9" hidden="1"/>
    <cellStyle name="Lien hypertexte visité" xfId="3388" builtinId="9" hidden="1"/>
    <cellStyle name="Lien hypertexte visité" xfId="4122" builtinId="9" hidden="1"/>
    <cellStyle name="Lien hypertexte visité" xfId="4930" builtinId="9" hidden="1"/>
    <cellStyle name="Lien hypertexte visité" xfId="6098" builtinId="9" hidden="1"/>
    <cellStyle name="Lien hypertexte visité" xfId="6906" builtinId="9" hidden="1"/>
    <cellStyle name="Lien hypertexte visité" xfId="7634" builtinId="9" hidden="1"/>
    <cellStyle name="Lien hypertexte visité" xfId="8443" builtinId="9" hidden="1"/>
    <cellStyle name="Lien hypertexte visité" xfId="247" builtinId="9" hidden="1"/>
    <cellStyle name="Lien hypertexte visité" xfId="3522" builtinId="9" hidden="1"/>
    <cellStyle name="Lien hypertexte visité" xfId="6088" builtinId="9" hidden="1"/>
    <cellStyle name="Lien hypertexte visité" xfId="8402" builtinId="9" hidden="1"/>
    <cellStyle name="Lien hypertexte visité" xfId="15947" builtinId="9" hidden="1"/>
    <cellStyle name="Lien hypertexte visité" xfId="14303" builtinId="9" hidden="1"/>
    <cellStyle name="Lien hypertexte visité" xfId="13439" builtinId="9" hidden="1"/>
    <cellStyle name="Lien hypertexte visité" xfId="12095" builtinId="9" hidden="1"/>
    <cellStyle name="Lien hypertexte visité" xfId="11135" builtinId="9" hidden="1"/>
    <cellStyle name="Lien hypertexte visité" xfId="10207" builtinId="9" hidden="1"/>
    <cellStyle name="Lien hypertexte visité" xfId="8831" builtinId="9" hidden="1"/>
    <cellStyle name="Lien hypertexte visité" xfId="7999" builtinId="9" hidden="1"/>
    <cellStyle name="Lien hypertexte visité" xfId="7038" builtinId="9" hidden="1"/>
    <cellStyle name="Lien hypertexte visité" xfId="6110" builtinId="9" hidden="1"/>
    <cellStyle name="Lien hypertexte visité" xfId="4734" builtinId="9" hidden="1"/>
    <cellStyle name="Lien hypertexte visité" xfId="3906" builtinId="9" hidden="1"/>
    <cellStyle name="Lien hypertexte visité" xfId="2936" builtinId="9" hidden="1"/>
    <cellStyle name="Lien hypertexte visité" xfId="1592" builtinId="9" hidden="1"/>
    <cellStyle name="Lien hypertexte visité" xfId="81" builtinId="9" hidden="1"/>
    <cellStyle name="Lien hypertexte visité" xfId="1349" builtinId="9" hidden="1"/>
    <cellStyle name="Lien hypertexte visité" xfId="2310" builtinId="9" hidden="1"/>
    <cellStyle name="Lien hypertexte visité" xfId="3657" builtinId="9" hidden="1"/>
    <cellStyle name="Lien hypertexte visité" xfId="4620" builtinId="9" hidden="1"/>
    <cellStyle name="Lien hypertexte visité" xfId="5452" builtinId="9" hidden="1"/>
    <cellStyle name="Lien hypertexte visité" xfId="6828" builtinId="9" hidden="1"/>
    <cellStyle name="Lien hypertexte visité" xfId="7756" builtinId="9" hidden="1"/>
    <cellStyle name="Lien hypertexte visité" xfId="8717" builtinId="9" hidden="1"/>
    <cellStyle name="Lien hypertexte visité" xfId="9549" builtinId="9" hidden="1"/>
    <cellStyle name="Lien hypertexte visité" xfId="10925" builtinId="9" hidden="1"/>
    <cellStyle name="Lien hypertexte visité" xfId="11853" builtinId="9" hidden="1"/>
    <cellStyle name="Lien hypertexte visité" xfId="12813" builtinId="9" hidden="1"/>
    <cellStyle name="Lien hypertexte visité" xfId="14157" builtinId="9" hidden="1"/>
    <cellStyle name="Lien hypertexte visité" xfId="15527" builtinId="9" hidden="1"/>
    <cellStyle name="Lien hypertexte visité" xfId="17383" builtinId="9" hidden="1"/>
    <cellStyle name="Lien hypertexte visité" xfId="19286" builtinId="9" hidden="1"/>
    <cellStyle name="Lien hypertexte visité" xfId="21974" builtinId="9" hidden="1"/>
    <cellStyle name="Lien hypertexte visité" xfId="23702" builtinId="9" hidden="1"/>
    <cellStyle name="Lien hypertexte visité" xfId="23668" builtinId="9" hidden="1"/>
    <cellStyle name="Lien hypertexte visité" xfId="20916" builtinId="9" hidden="1"/>
    <cellStyle name="Lien hypertexte visité" xfId="19060" builtinId="9" hidden="1"/>
    <cellStyle name="Lien hypertexte visité" xfId="17349" builtinId="9" hidden="1"/>
    <cellStyle name="Lien hypertexte visité" xfId="15493" builtinId="9" hidden="1"/>
    <cellStyle name="Lien hypertexte visité" xfId="13628" builtinId="9" hidden="1"/>
    <cellStyle name="Lien hypertexte visité" xfId="12700" builtinId="9" hidden="1"/>
    <cellStyle name="Lien hypertexte visité" xfId="11836" builtinId="9" hidden="1"/>
    <cellStyle name="Lien hypertexte visité" xfId="10460" builtinId="9" hidden="1"/>
    <cellStyle name="Lien hypertexte visité" xfId="9532" builtinId="9" hidden="1"/>
    <cellStyle name="Lien hypertexte visité" xfId="8604" builtinId="9" hidden="1"/>
    <cellStyle name="Lien hypertexte visité" xfId="7739" builtinId="9" hidden="1"/>
    <cellStyle name="Lien hypertexte visité" xfId="6363" builtinId="9" hidden="1"/>
    <cellStyle name="Lien hypertexte visité" xfId="5435" builtinId="9" hidden="1"/>
    <cellStyle name="Lien hypertexte visité" xfId="4507" builtinId="9" hidden="1"/>
    <cellStyle name="Lien hypertexte visité" xfId="3125" builtinId="9" hidden="1"/>
    <cellStyle name="Lien hypertexte visité" xfId="2261" builtinId="9" hidden="1"/>
    <cellStyle name="Lien hypertexte visité" xfId="1332" builtinId="9" hidden="1"/>
    <cellStyle name="Lien hypertexte visité" xfId="325" builtinId="9" hidden="1"/>
    <cellStyle name="Lien hypertexte visité" xfId="2121" builtinId="9" hidden="1"/>
    <cellStyle name="Lien hypertexte visité" xfId="2985" builtinId="9" hidden="1"/>
    <cellStyle name="Lien hypertexte visité" xfId="3923" builtinId="9" hidden="1"/>
    <cellStyle name="Lien hypertexte visité" xfId="5295" builtinId="9" hidden="1"/>
    <cellStyle name="Lien hypertexte visité" xfId="6223" builtinId="9" hidden="1"/>
    <cellStyle name="Lien hypertexte visité" xfId="7087" builtinId="9" hidden="1"/>
    <cellStyle name="Lien hypertexte visité" xfId="8016" builtinId="9" hidden="1"/>
    <cellStyle name="Lien hypertexte visité" xfId="99" builtinId="9" hidden="1"/>
    <cellStyle name="Lien hypertexte visité" xfId="1233" builtinId="9" hidden="1"/>
    <cellStyle name="Lien hypertexte visité" xfId="1810" builtinId="9" hidden="1"/>
    <cellStyle name="Lien hypertexte visité" xfId="2706" builtinId="9" hidden="1"/>
    <cellStyle name="Lien hypertexte visité" xfId="3346" builtinId="9" hidden="1"/>
    <cellStyle name="Lien hypertexte visité" xfId="3968" builtinId="9" hidden="1"/>
    <cellStyle name="Lien hypertexte visité" xfId="4544" builtinId="9" hidden="1"/>
    <cellStyle name="Lien hypertexte visité" xfId="5440" builtinId="9" hidden="1"/>
    <cellStyle name="Lien hypertexte visité" xfId="6080" builtinId="9" hidden="1"/>
    <cellStyle name="Lien hypertexte visité" xfId="6704" builtinId="9" hidden="1"/>
    <cellStyle name="Lien hypertexte visité" xfId="7616" builtinId="9" hidden="1"/>
    <cellStyle name="Lien hypertexte visité" xfId="8177" builtinId="9" hidden="1"/>
    <cellStyle name="Lien hypertexte visité" xfId="8817" builtinId="9" hidden="1"/>
    <cellStyle name="Lien hypertexte visité" xfId="9433" builtinId="9" hidden="1"/>
    <cellStyle name="Lien hypertexte visité" xfId="10353" builtinId="9" hidden="1"/>
    <cellStyle name="Lien hypertexte visité" xfId="10905" builtinId="9" hidden="1"/>
    <cellStyle name="Lien hypertexte visité" xfId="11545" builtinId="9" hidden="1"/>
    <cellStyle name="Lien hypertexte visité" xfId="12441" builtinId="9" hidden="1"/>
    <cellStyle name="Lien hypertexte visité" xfId="13081" builtinId="9" hidden="1"/>
    <cellStyle name="Lien hypertexte visité" xfId="13633" builtinId="9" hidden="1"/>
    <cellStyle name="Lien hypertexte visité" xfId="14273" builtinId="9" hidden="1"/>
    <cellStyle name="Lien hypertexte visité" xfId="15823" builtinId="9" hidden="1"/>
    <cellStyle name="Lien hypertexte visité" xfId="17103" builtinId="9" hidden="1"/>
    <cellStyle name="Lien hypertexte visité" xfId="18223" builtinId="9" hidden="1"/>
    <cellStyle name="Lien hypertexte visité" xfId="20030" builtinId="9" hidden="1"/>
    <cellStyle name="Lien hypertexte visité" xfId="21278" builtinId="9" hidden="1"/>
    <cellStyle name="Lien hypertexte visité" xfId="22558" builtinId="9" hidden="1"/>
    <cellStyle name="Lien hypertexte visité" xfId="23662" builtinId="9" hidden="1"/>
    <cellStyle name="Lien hypertexte visité" xfId="23724" builtinId="9" hidden="1"/>
    <cellStyle name="Lien hypertexte visité" xfId="22492" builtinId="9" hidden="1"/>
    <cellStyle name="Lien hypertexte visité" xfId="21212" builtinId="9" hidden="1"/>
    <cellStyle name="Lien hypertexte visité" xfId="19420" builtinId="9" hidden="1"/>
    <cellStyle name="Lien hypertexte visité" xfId="18285" builtinId="9" hidden="1"/>
    <cellStyle name="Lien hypertexte visité" xfId="17053" builtinId="9" hidden="1"/>
    <cellStyle name="Lien hypertexte visité" xfId="15773" builtinId="9" hidden="1"/>
    <cellStyle name="Lien hypertexte visité" xfId="14248" builtinId="9" hidden="1"/>
    <cellStyle name="Lien hypertexte visité" xfId="13672" builtinId="9" hidden="1"/>
    <cellStyle name="Lien hypertexte visité" xfId="13048" builtinId="9" hidden="1"/>
    <cellStyle name="Lien hypertexte visité" xfId="12136" builtinId="9" hidden="1"/>
    <cellStyle name="Lien hypertexte visité" xfId="11512" builtinId="9" hidden="1"/>
    <cellStyle name="Lien hypertexte visité" xfId="10936" builtinId="9" hidden="1"/>
    <cellStyle name="Lien hypertexte visité" xfId="10320" builtinId="9" hidden="1"/>
    <cellStyle name="Lien hypertexte visité" xfId="9400" builtinId="9" hidden="1"/>
    <cellStyle name="Lien hypertexte visité" xfId="9056" builtinId="9" hidden="1"/>
    <cellStyle name="Lien hypertexte visité" xfId="10784" builtinId="9" hidden="1"/>
    <cellStyle name="Lien hypertexte visité" xfId="13536" builtinId="9" hidden="1"/>
    <cellStyle name="Lien hypertexte visité" xfId="16269" builtinId="9" hidden="1"/>
    <cellStyle name="Lien hypertexte visité" xfId="19964" builtinId="9" hidden="1"/>
    <cellStyle name="Lien hypertexte visité" xfId="23420" builtinId="9" hidden="1"/>
    <cellStyle name="Lien hypertexte visité" xfId="20302" builtinId="9" hidden="1"/>
    <cellStyle name="Lien hypertexte visité" xfId="16607" builtinId="9" hidden="1"/>
    <cellStyle name="Lien hypertexte visité" xfId="13705" builtinId="9" hidden="1"/>
    <cellStyle name="Lien hypertexte visité" xfId="10953" builtinId="9" hidden="1"/>
    <cellStyle name="Lien hypertexte visité" xfId="9225" builtinId="9" hidden="1"/>
    <cellStyle name="Lien hypertexte visité" xfId="7368" builtinId="9" hidden="1"/>
    <cellStyle name="Lien hypertexte visité" xfId="9033" builtinId="9" hidden="1"/>
    <cellStyle name="Lien hypertexte visité" xfId="19918" builtinId="9" hidden="1"/>
    <cellStyle name="Lien hypertexte visité" xfId="19068" builtinId="9" hidden="1"/>
    <cellStyle name="Lien hypertexte visité" xfId="11168" builtinId="9" hidden="1"/>
    <cellStyle name="Lien hypertexte visité" xfId="10808" builtinId="9" hidden="1"/>
    <cellStyle name="Lien hypertexte visité" xfId="12688" builtinId="9" hidden="1"/>
    <cellStyle name="Lien hypertexte visité" xfId="14392" builtinId="9" hidden="1"/>
    <cellStyle name="Lien hypertexte visité" xfId="18029" builtinId="9" hidden="1"/>
    <cellStyle name="Lien hypertexte visité" xfId="23468" builtinId="9" hidden="1"/>
    <cellStyle name="Lien hypertexte visité" xfId="21998" builtinId="9" hidden="1"/>
    <cellStyle name="Lien hypertexte visité" xfId="18590" builtinId="9" hidden="1"/>
    <cellStyle name="Lien hypertexte visité" xfId="13825" builtinId="9" hidden="1"/>
    <cellStyle name="Lien hypertexte visité" xfId="11953" builtinId="9" hidden="1"/>
    <cellStyle name="Lien hypertexte visité" xfId="10073" builtinId="9" hidden="1"/>
    <cellStyle name="Lien hypertexte visité" xfId="8369" builtinId="9" hidden="1"/>
    <cellStyle name="Lien hypertexte visité" xfId="5632" builtinId="9" hidden="1"/>
    <cellStyle name="Lien hypertexte visité" xfId="3763" builtinId="9" hidden="1"/>
    <cellStyle name="Lien hypertexte visité" xfId="1874" builtinId="9" hidden="1"/>
    <cellStyle name="Lien hypertexte visité" xfId="7183" builtinId="9" hidden="1"/>
    <cellStyle name="Lien hypertexte visité" xfId="4623" builtinId="9" hidden="1"/>
    <cellStyle name="Lien hypertexte visité" xfId="1801" builtinId="9" hidden="1"/>
    <cellStyle name="Lien hypertexte visité" xfId="2165" builtinId="9" hidden="1"/>
    <cellStyle name="Lien hypertexte visité" xfId="6267" builtinId="9" hidden="1"/>
    <cellStyle name="Lien hypertexte visité" xfId="8828" builtinId="9" hidden="1"/>
    <cellStyle name="Lien hypertexte visité" xfId="11644" builtinId="9" hidden="1"/>
    <cellStyle name="Lien hypertexte visité" xfId="16965" builtinId="9" hidden="1"/>
    <cellStyle name="Lien hypertexte visité" xfId="22580" builtinId="9" hidden="1"/>
    <cellStyle name="Lien hypertexte visité" xfId="21526" builtinId="9" hidden="1"/>
    <cellStyle name="Lien hypertexte visité" xfId="15911" builtinId="9" hidden="1"/>
    <cellStyle name="Lien hypertexte visité" xfId="11117" builtinId="9" hidden="1"/>
    <cellStyle name="Lien hypertexte visité" xfId="8301" builtinId="9" hidden="1"/>
    <cellStyle name="Lien hypertexte visité" xfId="16935" builtinId="9" hidden="1"/>
    <cellStyle name="Lien hypertexte visité" xfId="11132" builtinId="9" hidden="1"/>
    <cellStyle name="Lien hypertexte visité" xfId="2933" builtinId="9" hidden="1"/>
    <cellStyle name="Lien hypertexte visité" xfId="6415" builtinId="9" hidden="1"/>
    <cellStyle name="Lien hypertexte visité" xfId="4096" builtinId="9" hidden="1"/>
    <cellStyle name="Lien hypertexte visité" xfId="12289" builtinId="9" hidden="1"/>
    <cellStyle name="Lien hypertexte visité" xfId="20974" builtinId="9" hidden="1"/>
    <cellStyle name="Lien hypertexte visité" xfId="17341" builtinId="9" hidden="1"/>
    <cellStyle name="Lien hypertexte visité" xfId="12192" builtinId="9" hidden="1"/>
    <cellStyle name="Lien hypertexte visité" xfId="10569" builtinId="9" hidden="1"/>
    <cellStyle name="Lien hypertexte visité" xfId="10441" builtinId="9" hidden="1"/>
    <cellStyle name="Lien hypertexte visité" xfId="17247" builtinId="9" hidden="1"/>
    <cellStyle name="Lien hypertexte visité" xfId="15629" builtinId="9" hidden="1"/>
    <cellStyle name="Lien hypertexte visité" xfId="9568" builtinId="9" hidden="1"/>
    <cellStyle name="Lien hypertexte visité" xfId="10424" builtinId="9" hidden="1"/>
    <cellStyle name="Lien hypertexte visité" xfId="13160" builtinId="9" hidden="1"/>
    <cellStyle name="Lien hypertexte visité" xfId="15421" builtinId="9" hidden="1"/>
    <cellStyle name="Lien hypertexte visité" xfId="19084" builtinId="9" hidden="1"/>
    <cellStyle name="Lien hypertexte visité" xfId="22700" builtinId="9" hidden="1"/>
    <cellStyle name="Lien hypertexte visité" xfId="21054" builtinId="9" hidden="1"/>
    <cellStyle name="Lien hypertexte visité" xfId="17455" builtinId="9" hidden="1"/>
    <cellStyle name="Lien hypertexte visité" xfId="14145" builtinId="9" hidden="1"/>
    <cellStyle name="Lien hypertexte visité" xfId="11417" builtinId="9" hidden="1"/>
    <cellStyle name="Lien hypertexte visité" xfId="9601" builtinId="9" hidden="1"/>
    <cellStyle name="Lien hypertexte visité" xfId="7792" builtinId="9" hidden="1"/>
    <cellStyle name="Lien hypertexte visité" xfId="5952" builtinId="9" hidden="1"/>
    <cellStyle name="Lien hypertexte visité" xfId="3218" builtinId="9" hidden="1"/>
    <cellStyle name="Lien hypertexte visité" xfId="1401" builtinId="9" hidden="1"/>
    <cellStyle name="Lien hypertexte visité" xfId="7856" builtinId="9" hidden="1"/>
    <cellStyle name="Lien hypertexte visité" xfId="3762" builtinId="9" hidden="1"/>
    <cellStyle name="Lien hypertexte visité" xfId="837" builtinId="9" hidden="1"/>
    <cellStyle name="Lien hypertexte visité" xfId="2869" builtinId="9" hidden="1"/>
    <cellStyle name="Lien hypertexte visité" xfId="5595" builtinId="9" hidden="1"/>
    <cellStyle name="Lien hypertexte visité" xfId="9692" builtinId="9" hidden="1"/>
    <cellStyle name="Lien hypertexte visité" xfId="12444" builtinId="9" hidden="1"/>
    <cellStyle name="Lien hypertexte visité" xfId="15813" builtinId="9" hidden="1"/>
    <cellStyle name="Lien hypertexte visité" xfId="23988" builtinId="9" hidden="1"/>
    <cellStyle name="Lien hypertexte visité" xfId="19798" builtinId="9" hidden="1"/>
    <cellStyle name="Lien hypertexte visité" xfId="14413" builtinId="9" hidden="1"/>
    <cellStyle name="Lien hypertexte visité" xfId="11693" builtinId="9" hidden="1"/>
    <cellStyle name="Lien hypertexte visité" xfId="7596" builtinId="9" hidden="1"/>
    <cellStyle name="Lien hypertexte visité" xfId="4876" builtinId="9" hidden="1"/>
    <cellStyle name="Lien hypertexte visité" xfId="2118" builtinId="9" hidden="1"/>
    <cellStyle name="Lien hypertexte visité" xfId="3128" builtinId="9" hidden="1"/>
    <cellStyle name="Lien hypertexte visité" xfId="5854" builtinId="9" hidden="1"/>
    <cellStyle name="Lien hypertexte visité" xfId="8575" builtinId="9" hidden="1"/>
    <cellStyle name="Lien hypertexte visité" xfId="11327" builtinId="9" hidden="1"/>
    <cellStyle name="Lien hypertexte visité" xfId="16331" builtinId="9" hidden="1"/>
    <cellStyle name="Lien hypertexte visité" xfId="4296" builtinId="9" hidden="1"/>
    <cellStyle name="Lien hypertexte visité" xfId="8299" builtinId="9" hidden="1"/>
    <cellStyle name="Lien hypertexte visité" xfId="4786" builtinId="9" hidden="1"/>
    <cellStyle name="Lien hypertexte visité" xfId="2436" builtinId="9" hidden="1"/>
    <cellStyle name="Lien hypertexte visité" xfId="6498" builtinId="9" hidden="1"/>
    <cellStyle name="Lien hypertexte visité" xfId="11123" builtinId="9" hidden="1"/>
    <cellStyle name="Lien hypertexte visité" xfId="13107" builtinId="9" hidden="1"/>
    <cellStyle name="Lien hypertexte visité" xfId="15907" builtinId="9" hidden="1"/>
    <cellStyle name="Lien hypertexte visité" xfId="13851" builtinId="9" hidden="1"/>
    <cellStyle name="Lien hypertexte visité" xfId="11899" builtinId="9" hidden="1"/>
    <cellStyle name="Lien hypertexte visité" xfId="699" builtinId="9" hidden="1"/>
    <cellStyle name="Lien hypertexte visité" xfId="3268" builtinId="9" hidden="1"/>
    <cellStyle name="Lien hypertexte visité" xfId="5618" builtinId="9" hidden="1"/>
    <cellStyle name="Lien hypertexte visité" xfId="9131" builtinId="9" hidden="1"/>
    <cellStyle name="Lien hypertexte visité" xfId="7208" builtinId="9" hidden="1"/>
    <cellStyle name="Lien hypertexte visité" xfId="16287" builtinId="9" hidden="1"/>
    <cellStyle name="Lien hypertexte visité" xfId="11456" builtinId="9" hidden="1"/>
    <cellStyle name="Lien hypertexte visité" xfId="10712" builtinId="9" hidden="1"/>
    <cellStyle name="Lien hypertexte visité" xfId="13448" builtinId="9" hidden="1"/>
    <cellStyle name="Lien hypertexte visité" xfId="17837" builtinId="9" hidden="1"/>
    <cellStyle name="Lien hypertexte visité" xfId="23214" builtinId="9" hidden="1"/>
    <cellStyle name="Lien hypertexte visité" xfId="17775" builtinId="9" hidden="1"/>
    <cellStyle name="Lien hypertexte visité" xfId="13409" builtinId="9" hidden="1"/>
    <cellStyle name="Lien hypertexte visité" xfId="9313" builtinId="9" hidden="1"/>
    <cellStyle name="Lien hypertexte visité" xfId="6584" builtinId="9" hidden="1"/>
    <cellStyle name="Lien hypertexte visité" xfId="3859" builtinId="9" hidden="1"/>
    <cellStyle name="Lien hypertexte visité" xfId="1063" builtinId="9" hidden="1"/>
    <cellStyle name="Lien hypertexte visité" xfId="3999" builtinId="9" hidden="1"/>
    <cellStyle name="Lien hypertexte visité" xfId="1252" builtinId="9" hidden="1"/>
    <cellStyle name="Lien hypertexte visité" xfId="5355" builtinId="9" hidden="1"/>
    <cellStyle name="Lien hypertexte visité" xfId="11500" builtinId="9" hidden="1"/>
    <cellStyle name="Lien hypertexte visité" xfId="16677" builtinId="9" hidden="1"/>
    <cellStyle name="Lien hypertexte visité" xfId="24374" builtinId="9" hidden="1"/>
    <cellStyle name="Lien hypertexte visité" xfId="16199" builtinId="9" hidden="1"/>
    <cellStyle name="Lien hypertexte visité" xfId="9213" builtinId="9" hidden="1"/>
    <cellStyle name="Lien hypertexte visité" xfId="5116" builtinId="9" hidden="1"/>
    <cellStyle name="Lien hypertexte visité" xfId="863" builtinId="9" hidden="1"/>
    <cellStyle name="Lien hypertexte visité" xfId="6286" builtinId="9" hidden="1"/>
    <cellStyle name="Lien hypertexte visité" xfId="10383" builtinId="9" hidden="1"/>
    <cellStyle name="Lien hypertexte visité" xfId="14479" builtinId="9" hidden="1"/>
    <cellStyle name="Lien hypertexte visité" xfId="9990" builtinId="9" hidden="1"/>
    <cellStyle name="Lien hypertexte visité" xfId="14086" builtinId="9" hidden="1"/>
    <cellStyle name="Lien hypertexte visité" xfId="19104" builtinId="9" hidden="1"/>
    <cellStyle name="Lien hypertexte visité" xfId="24568" builtinId="9" hidden="1"/>
    <cellStyle name="Lien hypertexte visité" xfId="19770" builtinId="9" hidden="1"/>
    <cellStyle name="Lien hypertexte visité" xfId="13802" builtinId="9" hidden="1"/>
    <cellStyle name="Lien hypertexte visité" xfId="4669" builtinId="9" hidden="1"/>
    <cellStyle name="Lien hypertexte visité" xfId="7009" builtinId="9" hidden="1"/>
    <cellStyle name="Lien hypertexte visité" xfId="3796" builtinId="9" hidden="1"/>
    <cellStyle name="Lien hypertexte visité" xfId="681" builtinId="9" hidden="1"/>
    <cellStyle name="Lien hypertexte visité" xfId="3115" builtinId="9" hidden="1"/>
    <cellStyle name="Lien hypertexte visité" xfId="6293" builtinId="9" hidden="1"/>
    <cellStyle name="Lien hypertexte visité" xfId="3953" builtinId="9" hidden="1"/>
    <cellStyle name="Lien hypertexte visité" xfId="15735" builtinId="9" hidden="1"/>
    <cellStyle name="Lien hypertexte visité" xfId="22308" builtinId="9" hidden="1"/>
    <cellStyle name="Lien hypertexte visité" xfId="20260" builtinId="9" hidden="1"/>
    <cellStyle name="Lien hypertexte visité" xfId="18948" builtinId="9" hidden="1"/>
    <cellStyle name="Lien hypertexte visité" xfId="17653" builtinId="9" hidden="1"/>
    <cellStyle name="Lien hypertexte visité" xfId="15605" builtinId="9" hidden="1"/>
    <cellStyle name="Lien hypertexte visité" xfId="14404" builtinId="9" hidden="1"/>
    <cellStyle name="Lien hypertexte visité" xfId="13748" builtinId="9" hidden="1"/>
    <cellStyle name="Lien hypertexte visité" xfId="13092" builtinId="9" hidden="1"/>
    <cellStyle name="Lien hypertexte visité" xfId="12068" builtinId="9" hidden="1"/>
    <cellStyle name="Lien hypertexte visité" xfId="11412" builtinId="9" hidden="1"/>
    <cellStyle name="Lien hypertexte visité" xfId="10740" builtinId="9" hidden="1"/>
    <cellStyle name="Lien hypertexte visité" xfId="9716" builtinId="9" hidden="1"/>
    <cellStyle name="Lien hypertexte visité" xfId="9060" builtinId="9" hidden="1"/>
    <cellStyle name="Lien hypertexte visité" xfId="8404" builtinId="9" hidden="1"/>
    <cellStyle name="Lien hypertexte visité" xfId="7747" builtinId="9" hidden="1"/>
    <cellStyle name="Lien hypertexte visité" xfId="6723" builtinId="9" hidden="1"/>
    <cellStyle name="Lien hypertexte visité" xfId="6067" builtinId="9" hidden="1"/>
    <cellStyle name="Lien hypertexte visité" xfId="5411" builtinId="9" hidden="1"/>
    <cellStyle name="Lien hypertexte visité" xfId="14053" builtinId="9" hidden="1"/>
    <cellStyle name="Lien hypertexte visité" xfId="11749" builtinId="9" hidden="1"/>
    <cellStyle name="Lien hypertexte visité" xfId="9445" builtinId="9" hidden="1"/>
    <cellStyle name="Lien hypertexte visité" xfId="7140" builtinId="9" hidden="1"/>
    <cellStyle name="Lien hypertexte visité" xfId="3550" builtinId="9" hidden="1"/>
    <cellStyle name="Lien hypertexte visité" xfId="1245" builtinId="9" hidden="1"/>
    <cellStyle name="Lien hypertexte visité" xfId="2209" builtinId="9" hidden="1"/>
    <cellStyle name="Lien hypertexte visité" xfId="5798" builtinId="9" hidden="1"/>
    <cellStyle name="Lien hypertexte visité" xfId="8103" builtinId="9" hidden="1"/>
    <cellStyle name="Lien hypertexte visité" xfId="10407" builtinId="9" hidden="1"/>
    <cellStyle name="Lien hypertexte visité" xfId="12967" builtinId="9" hidden="1"/>
    <cellStyle name="Lien hypertexte visité" xfId="8470" builtinId="9" hidden="1"/>
    <cellStyle name="Lien hypertexte visité" xfId="10006" builtinId="9" hidden="1"/>
    <cellStyle name="Lien hypertexte visité" xfId="11714" builtinId="9" hidden="1"/>
    <cellStyle name="Lien hypertexte visité" xfId="13934" builtinId="9" hidden="1"/>
    <cellStyle name="Lien hypertexte visité" xfId="16425" builtinId="9" hidden="1"/>
    <cellStyle name="Lien hypertexte visité" xfId="19816" builtinId="9" hidden="1"/>
    <cellStyle name="Lien hypertexte visité" xfId="22888" builtinId="9" hidden="1"/>
    <cellStyle name="Lien hypertexte visité" xfId="21898" builtinId="9" hidden="1"/>
    <cellStyle name="Lien hypertexte visité" xfId="18482" builtinId="9" hidden="1"/>
    <cellStyle name="Lien hypertexte visité" xfId="22938" builtinId="9" hidden="1"/>
    <cellStyle name="Lien hypertexte visité" xfId="13754" builtinId="9" hidden="1"/>
    <cellStyle name="Lien hypertexte visité" xfId="12154" builtinId="9" hidden="1"/>
    <cellStyle name="Lien hypertexte visité" xfId="13690" builtinId="9" hidden="1"/>
    <cellStyle name="Lien hypertexte visité" xfId="15937" builtinId="9" hidden="1"/>
    <cellStyle name="Lien hypertexte visité" xfId="20720" builtinId="9" hidden="1"/>
    <cellStyle name="Lien hypertexte visité" xfId="23792" builtinId="9" hidden="1"/>
    <cellStyle name="Lien hypertexte visité" xfId="22362" builtinId="9" hidden="1"/>
    <cellStyle name="Lien hypertexte visité" xfId="17643" builtinId="9" hidden="1"/>
    <cellStyle name="Lien hypertexte visité" xfId="18227" builtinId="9" hidden="1"/>
    <cellStyle name="Lien hypertexte visité" xfId="19234" builtinId="9" hidden="1"/>
    <cellStyle name="Lien hypertexte visité" xfId="20258" builtinId="9" hidden="1"/>
    <cellStyle name="Lien hypertexte visité" xfId="21858" builtinId="9" hidden="1"/>
    <cellStyle name="Lien hypertexte visité" xfId="22882" builtinId="9" hidden="1"/>
    <cellStyle name="Lien hypertexte visité" xfId="23906" builtinId="9" hidden="1"/>
    <cellStyle name="Lien hypertexte visité" xfId="23720" builtinId="9" hidden="1"/>
    <cellStyle name="Lien hypertexte visité" xfId="22696" builtinId="9" hidden="1"/>
    <cellStyle name="Lien hypertexte visité" xfId="21672" builtinId="9" hidden="1"/>
    <cellStyle name="Lien hypertexte visité" xfId="20648" builtinId="9" hidden="1"/>
    <cellStyle name="Lien hypertexte visité" xfId="19072" builtinId="9" hidden="1"/>
    <cellStyle name="Lien hypertexte visité" xfId="18065" builtinId="9" hidden="1"/>
    <cellStyle name="Lien hypertexte visité" xfId="17041" builtinId="9" hidden="1"/>
    <cellStyle name="Lien hypertexte visité" xfId="15441" builtinId="9" hidden="1"/>
    <cellStyle name="Lien hypertexte visité" xfId="14466" builtinId="9" hidden="1"/>
    <cellStyle name="Lien hypertexte visité" xfId="13954" builtinId="9" hidden="1"/>
    <cellStyle name="Lien hypertexte visité" xfId="13442" builtinId="9" hidden="1"/>
    <cellStyle name="Lien hypertexte visité" xfId="12642" builtinId="9" hidden="1"/>
    <cellStyle name="Lien hypertexte visité" xfId="12130" builtinId="9" hidden="1"/>
    <cellStyle name="Lien hypertexte visité" xfId="11618" builtinId="9" hidden="1"/>
    <cellStyle name="Lien hypertexte visité" xfId="10830" builtinId="9" hidden="1"/>
    <cellStyle name="Lien hypertexte visité" xfId="10318" builtinId="9" hidden="1"/>
    <cellStyle name="Lien hypertexte visité" xfId="9806" builtinId="9" hidden="1"/>
    <cellStyle name="Lien hypertexte visité" xfId="9294" builtinId="9" hidden="1"/>
    <cellStyle name="Lien hypertexte visité" xfId="8494" builtinId="9" hidden="1"/>
    <cellStyle name="Lien hypertexte visité" xfId="16603" builtinId="9" hidden="1"/>
    <cellStyle name="Lien hypertexte visité" xfId="15067" builtinId="9" hidden="1"/>
    <cellStyle name="Lien hypertexte visité" xfId="13591" builtinId="9" hidden="1"/>
    <cellStyle name="Lien hypertexte visité" xfId="12823" builtinId="9" hidden="1"/>
    <cellStyle name="Lien hypertexte visité" xfId="12055" builtinId="9" hidden="1"/>
    <cellStyle name="Lien hypertexte visité" xfId="11207" builtinId="9" hidden="1"/>
    <cellStyle name="Lien hypertexte visité" xfId="10103" builtinId="9" hidden="1"/>
    <cellStyle name="Lien hypertexte visité" xfId="9335" builtinId="9" hidden="1"/>
    <cellStyle name="Lien hypertexte visité" xfId="6921" builtinId="9" hidden="1"/>
    <cellStyle name="Lien hypertexte visité" xfId="2111" builtinId="9" hidden="1"/>
    <cellStyle name="Lien hypertexte visité" xfId="3596" builtinId="9" hidden="1"/>
    <cellStyle name="Lien hypertexte visité" xfId="7245" builtinId="9" hidden="1"/>
    <cellStyle name="Lien hypertexte visité" xfId="4097" builtinId="9" hidden="1"/>
    <cellStyle name="Lien hypertexte visité" xfId="14357" builtinId="9" hidden="1"/>
    <cellStyle name="Lien hypertexte visité" xfId="1816" builtinId="9" hidden="1"/>
    <cellStyle name="Lien hypertexte visité" xfId="7129" builtinId="9" hidden="1"/>
    <cellStyle name="Lien hypertexte visité" xfId="4461" builtinId="9" hidden="1"/>
    <cellStyle name="Lien hypertexte visité" xfId="16865" builtinId="9" hidden="1"/>
    <cellStyle name="Lien hypertexte visité" xfId="18538" builtinId="9" hidden="1"/>
    <cellStyle name="Lien hypertexte visité" xfId="24456" builtinId="9" hidden="1"/>
    <cellStyle name="Lien hypertexte visité" xfId="18249" builtinId="9" hidden="1"/>
    <cellStyle name="Lien hypertexte visité" xfId="13266" builtinId="9" hidden="1"/>
    <cellStyle name="Lien hypertexte visité" xfId="10130" builtinId="9" hidden="1"/>
    <cellStyle name="Lien hypertexte visité" xfId="22224" builtinId="9" hidden="1"/>
    <cellStyle name="Lien hypertexte visité" xfId="1494" builtinId="9" hidden="1"/>
    <cellStyle name="Lien hypertexte visité" xfId="1559" builtinId="9" hidden="1"/>
    <cellStyle name="Lien hypertexte visité" xfId="6729" builtinId="9" hidden="1"/>
    <cellStyle name="Lien hypertexte visité" xfId="7125" builtinId="9" hidden="1"/>
    <cellStyle name="Lien hypertexte visité" xfId="2887" builtinId="9" hidden="1"/>
    <cellStyle name="Lien hypertexte visité" xfId="4053" builtinId="9" hidden="1"/>
    <cellStyle name="Lien hypertexte visité" xfId="4581" builtinId="9" hidden="1"/>
    <cellStyle name="Lien hypertexte visité" xfId="4749" builtinId="9" hidden="1"/>
    <cellStyle name="Lien hypertexte visité" xfId="7673" builtinId="9" hidden="1"/>
    <cellStyle name="Lien hypertexte visité" xfId="7862" builtinId="9" hidden="1"/>
    <cellStyle name="Lien hypertexte visité" xfId="3640" builtinId="9" hidden="1"/>
    <cellStyle name="Lien hypertexte visité" xfId="697" builtinId="9" hidden="1"/>
    <cellStyle name="Lien hypertexte visité" xfId="5265" builtinId="9" hidden="1"/>
    <cellStyle name="Lien hypertexte visité" xfId="9426" builtinId="9" hidden="1"/>
    <cellStyle name="Lien hypertexte visité" xfId="12542" builtinId="9" hidden="1"/>
    <cellStyle name="Lien hypertexte visité" xfId="16841" builtinId="9" hidden="1"/>
    <cellStyle name="Lien hypertexte visité" xfId="23048" builtinId="9" hidden="1"/>
    <cellStyle name="Lien hypertexte visité" xfId="19946" builtinId="9" hidden="1"/>
    <cellStyle name="Lien hypertexte visité" xfId="21072" builtinId="9" hidden="1"/>
    <cellStyle name="Lien hypertexte visité" xfId="8458" builtinId="9" hidden="1"/>
    <cellStyle name="Lien hypertexte visité" xfId="6525" builtinId="9" hidden="1"/>
    <cellStyle name="Lien hypertexte visité" xfId="5534" builtinId="9" hidden="1"/>
    <cellStyle name="Lien hypertexte visité" xfId="12013" builtinId="9" hidden="1"/>
    <cellStyle name="Lien hypertexte visité" xfId="10748" builtinId="9" hidden="1"/>
    <cellStyle name="Lien hypertexte visité" xfId="6799" builtinId="9" hidden="1"/>
    <cellStyle name="Lien hypertexte visité" xfId="9817" builtinId="9" hidden="1"/>
    <cellStyle name="Lien hypertexte visité" xfId="22284" builtinId="9" hidden="1"/>
    <cellStyle name="Lien hypertexte visité" xfId="12960" builtinId="9" hidden="1"/>
    <cellStyle name="Lien hypertexte visité" xfId="10697" builtinId="9" hidden="1"/>
    <cellStyle name="Lien hypertexte visité" xfId="20476" builtinId="9" hidden="1"/>
    <cellStyle name="Lien hypertexte visité" xfId="9592" builtinId="9" hidden="1"/>
    <cellStyle name="Lien hypertexte visité" xfId="13240" builtinId="9" hidden="1"/>
    <cellStyle name="Lien hypertexte visité" xfId="19244" builtinId="9" hidden="1"/>
    <cellStyle name="Lien hypertexte visité" xfId="22718" builtinId="9" hidden="1"/>
    <cellStyle name="Lien hypertexte visité" xfId="15439" builtinId="9" hidden="1"/>
    <cellStyle name="Lien hypertexte visité" xfId="11329" builtinId="9" hidden="1"/>
    <cellStyle name="Lien hypertexte visité" xfId="7704" builtinId="9" hidden="1"/>
    <cellStyle name="Lien hypertexte visité" xfId="4056" builtinId="9" hidden="1"/>
    <cellStyle name="Lien hypertexte visité" xfId="331" builtinId="9" hidden="1"/>
    <cellStyle name="Lien hypertexte visité" xfId="3626" builtinId="9" hidden="1"/>
    <cellStyle name="Lien hypertexte visité" xfId="2997" builtinId="9" hidden="1"/>
    <cellStyle name="Lien hypertexte visité" xfId="8476" builtinId="9" hidden="1"/>
    <cellStyle name="Lien hypertexte visité" xfId="13916" builtinId="9" hidden="1"/>
    <cellStyle name="Lien hypertexte visité" xfId="24244" builtinId="9" hidden="1"/>
    <cellStyle name="Lien hypertexte visité" xfId="14285" builtinId="9" hidden="1"/>
    <cellStyle name="Lien hypertexte visité" xfId="8845" builtinId="9" hidden="1"/>
    <cellStyle name="Lien hypertexte visité" xfId="3366" builtinId="9" hidden="1"/>
    <cellStyle name="Lien hypertexte visité" xfId="3256" builtinId="9" hidden="1"/>
    <cellStyle name="Lien hypertexte visité" xfId="8703" builtinId="9" hidden="1"/>
    <cellStyle name="Lien hypertexte visité" xfId="14175" builtinId="9" hidden="1"/>
    <cellStyle name="Lien hypertexte visité" xfId="9355" builtinId="9" hidden="1"/>
    <cellStyle name="Lien hypertexte visité" xfId="4674" builtinId="9" hidden="1"/>
    <cellStyle name="Lien hypertexte visité" xfId="7266" builtinId="9" hidden="1"/>
    <cellStyle name="Lien hypertexte visité" xfId="14059" builtinId="9" hidden="1"/>
    <cellStyle name="Lien hypertexte visité" xfId="13347" builtinId="9" hidden="1"/>
    <cellStyle name="Lien hypertexte visité" xfId="12003" builtinId="9" hidden="1"/>
    <cellStyle name="Lien hypertexte visité" xfId="3380" builtinId="9" hidden="1"/>
    <cellStyle name="Lien hypertexte visité" xfId="8067" builtinId="9" hidden="1"/>
    <cellStyle name="Lien hypertexte visité" xfId="11689" builtinId="9" hidden="1"/>
    <cellStyle name="Lien hypertexte visité" xfId="11072" builtinId="9" hidden="1"/>
    <cellStyle name="Lien hypertexte visité" xfId="13576" builtinId="9" hidden="1"/>
    <cellStyle name="Lien hypertexte visité" xfId="23532" builtinId="9" hidden="1"/>
    <cellStyle name="Lien hypertexte visité" xfId="14783" builtinId="9" hidden="1"/>
    <cellStyle name="Lien hypertexte visité" xfId="9185" builtinId="9" hidden="1"/>
    <cellStyle name="Lien hypertexte visité" xfId="3731" builtinId="9" hidden="1"/>
    <cellStyle name="Lien hypertexte visité" xfId="5855" builtinId="9" hidden="1"/>
    <cellStyle name="Lien hypertexte visité" xfId="3493" builtinId="9" hidden="1"/>
    <cellStyle name="Lien hypertexte visité" xfId="11692" builtinId="9" hidden="1"/>
    <cellStyle name="Lien hypertexte visité" xfId="23990" builtinId="9" hidden="1"/>
    <cellStyle name="Lien hypertexte visité" xfId="11069" builtinId="9" hidden="1"/>
    <cellStyle name="Lien hypertexte visité" xfId="2870" builtinId="9" hidden="1"/>
    <cellStyle name="Lien hypertexte visité" xfId="6478" builtinId="9" hidden="1"/>
    <cellStyle name="Lien hypertexte visité" xfId="14827" builtinId="9" hidden="1"/>
    <cellStyle name="Lien hypertexte visité" xfId="12850" builtinId="9" hidden="1"/>
    <cellStyle name="Lien hypertexte visité" xfId="22088" builtinId="9" hidden="1"/>
    <cellStyle name="Lien hypertexte visité" xfId="20538" builtinId="9" hidden="1"/>
    <cellStyle name="Lien hypertexte visité" xfId="4781" builtinId="9" hidden="1"/>
    <cellStyle name="Lien hypertexte visité" xfId="2795" builtinId="9" hidden="1"/>
    <cellStyle name="Lien hypertexte visité" xfId="1499" builtinId="9" hidden="1"/>
    <cellStyle name="Lien hypertexte visité" xfId="6181" builtinId="9" hidden="1"/>
    <cellStyle name="Lien hypertexte visité" xfId="15479" builtinId="9" hidden="1"/>
    <cellStyle name="Lien hypertexte visité" xfId="9541" builtinId="9" hidden="1"/>
    <cellStyle name="Lien hypertexte visité" xfId="4084" builtinId="9" hidden="1"/>
    <cellStyle name="Lien hypertexte visité" xfId="2544" builtinId="9" hidden="1"/>
    <cellStyle name="Lien hypertexte visité" xfId="8007" builtinId="9" hidden="1"/>
    <cellStyle name="Lien hypertexte visité" xfId="13463" builtinId="9" hidden="1"/>
    <cellStyle name="Lien hypertexte visité" xfId="10230" builtinId="9" hidden="1"/>
    <cellStyle name="Lien hypertexte visité" xfId="13870" builtinId="9" hidden="1"/>
    <cellStyle name="Lien hypertexte visité" xfId="20480" builtinId="9" hidden="1"/>
    <cellStyle name="Lien hypertexte visité" xfId="21450" builtinId="9" hidden="1"/>
    <cellStyle name="Lien hypertexte visité" xfId="22576" builtinId="9" hidden="1"/>
    <cellStyle name="Lien hypertexte visité" xfId="19354" builtinId="9" hidden="1"/>
    <cellStyle name="Lien hypertexte visité" xfId="12654" builtinId="9" hidden="1"/>
    <cellStyle name="Lien hypertexte visité" xfId="6182" builtinId="9" hidden="1"/>
    <cellStyle name="Lien hypertexte visité" xfId="11365" builtinId="9" hidden="1"/>
    <cellStyle name="Lien hypertexte visité" xfId="8292" builtinId="9" hidden="1"/>
    <cellStyle name="Lien hypertexte visité" xfId="12980" builtinId="9" hidden="1"/>
    <cellStyle name="Lien hypertexte visité" xfId="20772" builtinId="9" hidden="1"/>
    <cellStyle name="Lien hypertexte visité" xfId="19206" builtinId="9" hidden="1"/>
    <cellStyle name="Lien hypertexte visité" xfId="341" builtinId="9" hidden="1"/>
    <cellStyle name="Lien hypertexte visité" xfId="4771" builtinId="9" hidden="1"/>
    <cellStyle name="Lien hypertexte visité" xfId="7239" builtinId="9" hidden="1"/>
    <cellStyle name="Lien hypertexte visité" xfId="8104" builtinId="9" hidden="1"/>
    <cellStyle name="Lien hypertexte visité" xfId="5415" builtinId="9" hidden="1"/>
    <cellStyle name="Lien hypertexte visité" xfId="1821" builtinId="9" hidden="1"/>
    <cellStyle name="Lien hypertexte visité" xfId="11652" builtinId="9" hidden="1"/>
    <cellStyle name="Lien hypertexte visité" xfId="23812" builtinId="9" hidden="1"/>
    <cellStyle name="Lien hypertexte visité" xfId="14500" builtinId="9" hidden="1"/>
    <cellStyle name="Lien hypertexte visité" xfId="9812" builtinId="9" hidden="1"/>
    <cellStyle name="Lien hypertexte visité" xfId="18822" builtinId="9" hidden="1"/>
    <cellStyle name="Lien hypertexte visité" xfId="1353" builtinId="9" hidden="1"/>
    <cellStyle name="Lien hypertexte visité" xfId="5055" builtinId="9" hidden="1"/>
    <cellStyle name="Lien hypertexte visité" xfId="1605" builtinId="9" hidden="1"/>
    <cellStyle name="Lien hypertexte visité" xfId="7051" builtinId="9" hidden="1"/>
    <cellStyle name="Lien hypertexte visité" xfId="12492" builtinId="9" hidden="1"/>
    <cellStyle name="Lien hypertexte visité" xfId="21460" builtinId="9" hidden="1"/>
    <cellStyle name="Lien hypertexte visité" xfId="16903" builtinId="9" hidden="1"/>
    <cellStyle name="Lien hypertexte visité" xfId="10269" builtinId="9" hidden="1"/>
    <cellStyle name="Lien hypertexte visité" xfId="4764" builtinId="9" hidden="1"/>
    <cellStyle name="Lien hypertexte visité" xfId="1832" builtinId="9" hidden="1"/>
    <cellStyle name="Lien hypertexte visité" xfId="7278" builtinId="9" hidden="1"/>
    <cellStyle name="Lien hypertexte visité" xfId="12783" builtinId="9" hidden="1"/>
    <cellStyle name="Lien hypertexte visité" xfId="9758" builtinId="9" hidden="1"/>
    <cellStyle name="Lien hypertexte visité" xfId="13382" builtinId="9" hidden="1"/>
    <cellStyle name="Lien hypertexte visité" xfId="19576" builtinId="9" hidden="1"/>
    <cellStyle name="Lien hypertexte visité" xfId="22402" builtinId="9" hidden="1"/>
    <cellStyle name="Lien hypertexte visité" xfId="23738" builtinId="9" hidden="1"/>
    <cellStyle name="Lien hypertexte visité" xfId="9002" builtinId="9" hidden="1"/>
    <cellStyle name="Lien hypertexte visité" xfId="6809" builtinId="9" hidden="1"/>
    <cellStyle name="Lien hypertexte visité" xfId="3223" builtinId="9" hidden="1"/>
    <cellStyle name="Lien hypertexte visité" xfId="1298" builtinId="9" hidden="1"/>
    <cellStyle name="Lien hypertexte visité" xfId="2211" builtinId="9" hidden="1"/>
    <cellStyle name="Lien hypertexte visité" xfId="5725" builtinId="9" hidden="1"/>
    <cellStyle name="Lien hypertexte visité" xfId="18007" builtinId="9" hidden="1"/>
    <cellStyle name="Lien hypertexte visité" xfId="12629" builtinId="9" hidden="1"/>
    <cellStyle name="Lien hypertexte visité" xfId="9013" builtinId="9" hidden="1"/>
    <cellStyle name="Lien hypertexte visité" xfId="5332" builtinId="9" hidden="1"/>
    <cellStyle name="Lien hypertexte visité" xfId="1710" builtinId="9" hidden="1"/>
    <cellStyle name="Lien hypertexte visité" xfId="3072" builtinId="9" hidden="1"/>
    <cellStyle name="Lien hypertexte visité" xfId="6742" builtinId="9" hidden="1"/>
    <cellStyle name="Lien hypertexte visité" xfId="10375" builtinId="9" hidden="1"/>
    <cellStyle name="Lien hypertexte visité" xfId="14007" builtinId="9" hidden="1"/>
    <cellStyle name="Lien hypertexte visité" xfId="9390" builtinId="9" hidden="1"/>
    <cellStyle name="Lien hypertexte visité" xfId="11810" builtinId="9" hidden="1"/>
    <cellStyle name="Lien hypertexte visité" xfId="14222" builtinId="9" hidden="1"/>
    <cellStyle name="Lien hypertexte visité" xfId="18816" builtinId="9" hidden="1"/>
    <cellStyle name="Lien hypertexte visité" xfId="23640" builtinId="9" hidden="1"/>
    <cellStyle name="Lien hypertexte visité" xfId="20746" builtinId="9" hidden="1"/>
    <cellStyle name="Lien hypertexte visité" xfId="21594" builtinId="9" hidden="1"/>
    <cellStyle name="Lien hypertexte visité" xfId="13818" builtinId="9" hidden="1"/>
    <cellStyle name="Lien hypertexte visité" xfId="18738" builtinId="9" hidden="1"/>
    <cellStyle name="Lien hypertexte visité" xfId="15825" builtinId="9" hidden="1"/>
    <cellStyle name="Lien hypertexte visité" xfId="16411" builtinId="9" hidden="1"/>
    <cellStyle name="Lien hypertexte visité" xfId="4582" builtinId="9" hidden="1"/>
    <cellStyle name="Lien hypertexte visité" xfId="5478" builtinId="9" hidden="1"/>
    <cellStyle name="Lien hypertexte visité" xfId="17563" builtinId="9" hidden="1"/>
    <cellStyle name="Lien hypertexte visité" xfId="21154" builtinId="9" hidden="1"/>
    <cellStyle name="Lien hypertexte visité" xfId="14030" builtinId="9" hidden="1"/>
    <cellStyle name="Lien hypertexte visité" xfId="13703" builtinId="9" hidden="1"/>
    <cellStyle name="Lien hypertexte visité" xfId="2768" builtinId="9" hidden="1"/>
    <cellStyle name="Lien hypertexte visité" xfId="9301" builtinId="9" hidden="1"/>
    <cellStyle name="Lien hypertexte visité" xfId="5981" builtinId="9" hidden="1"/>
    <cellStyle name="Lien hypertexte visité" xfId="2983" builtinId="9" hidden="1"/>
    <cellStyle name="Lien hypertexte visité" xfId="21946" builtinId="9" hidden="1"/>
    <cellStyle name="Lien hypertexte visité" xfId="13086" builtinId="9" hidden="1"/>
    <cellStyle name="Lien hypertexte visité" xfId="6830" builtinId="9" hidden="1"/>
    <cellStyle name="Lien hypertexte visité" xfId="10717" builtinId="9" hidden="1"/>
    <cellStyle name="Lien hypertexte visité" xfId="12044" builtinId="9" hidden="1"/>
    <cellStyle name="Lien hypertexte visité" xfId="5503" builtinId="9" hidden="1"/>
    <cellStyle name="Lien hypertexte visité" xfId="4426" builtinId="9" hidden="1"/>
    <cellStyle name="Lien hypertexte visité" xfId="7130" builtinId="9" hidden="1"/>
    <cellStyle name="Lien hypertexte visité" xfId="1377" builtinId="9" hidden="1"/>
    <cellStyle name="Lien hypertexte visité" xfId="10729" builtinId="9" hidden="1"/>
    <cellStyle name="Lien hypertexte visité" xfId="23612" builtinId="9" hidden="1"/>
    <cellStyle name="Lien hypertexte visité" xfId="9728" builtinId="9" hidden="1"/>
    <cellStyle name="Lien hypertexte visité" xfId="11672" builtinId="9" hidden="1"/>
    <cellStyle name="Lien hypertexte visité" xfId="15069" builtinId="9" hidden="1"/>
    <cellStyle name="Lien hypertexte visité" xfId="21356" builtinId="9" hidden="1"/>
    <cellStyle name="Lien hypertexte visité" xfId="21630" builtinId="9" hidden="1"/>
    <cellStyle name="Lien hypertexte visité" xfId="15423" builtinId="9" hidden="1"/>
    <cellStyle name="Lien hypertexte visité" xfId="11857" builtinId="9" hidden="1"/>
    <cellStyle name="Lien hypertexte visité" xfId="8737" builtinId="9" hidden="1"/>
    <cellStyle name="Lien hypertexte visité" xfId="5624" builtinId="9" hidden="1"/>
    <cellStyle name="Lien hypertexte visité" xfId="2506" builtinId="9" hidden="1"/>
    <cellStyle name="Lien hypertexte visité" xfId="17885" builtinId="9" hidden="1"/>
    <cellStyle name="Lien hypertexte visité" xfId="5634" builtinId="9" hidden="1"/>
    <cellStyle name="Lien hypertexte visité" xfId="14107" builtinId="9" hidden="1"/>
    <cellStyle name="Lien hypertexte visité" xfId="16147" builtinId="9" hidden="1"/>
    <cellStyle name="Lien hypertexte visité" xfId="13115" builtinId="9" hidden="1"/>
    <cellStyle name="Lien hypertexte visité" xfId="10179" builtinId="9" hidden="1"/>
    <cellStyle name="Lien hypertexte visité" xfId="12531" builtinId="9" hidden="1"/>
    <cellStyle name="Lien hypertexte visité" xfId="1748" builtinId="9" hidden="1"/>
    <cellStyle name="Lien hypertexte visité" xfId="4250" builtinId="9" hidden="1"/>
    <cellStyle name="Lien hypertexte visité" xfId="1796" builtinId="9" hidden="1"/>
    <cellStyle name="Lien hypertexte visité" xfId="12643" builtinId="9" hidden="1"/>
    <cellStyle name="Lien hypertexte visité" xfId="7690" builtinId="9" hidden="1"/>
    <cellStyle name="Lien hypertexte visité" xfId="5314" builtinId="9" hidden="1"/>
    <cellStyle name="Lien hypertexte visité" xfId="8019" builtinId="9" hidden="1"/>
    <cellStyle name="Lien hypertexte visité" xfId="4488" builtinId="9" hidden="1"/>
    <cellStyle name="Lien hypertexte visité" xfId="9371" builtinId="9" hidden="1"/>
    <cellStyle name="Lien hypertexte visité" xfId="6706" builtinId="9" hidden="1"/>
    <cellStyle name="Lien hypertexte visité" xfId="11723" builtinId="9" hidden="1"/>
    <cellStyle name="Lien hypertexte visité" xfId="1500" builtinId="9" hidden="1"/>
    <cellStyle name="Lien hypertexte visité" xfId="3220" builtinId="9" hidden="1"/>
    <cellStyle name="Lien hypertexte visité" xfId="2812" builtinId="9" hidden="1"/>
    <cellStyle name="Lien hypertexte visité" xfId="5154" builtinId="9" hidden="1"/>
    <cellStyle name="Lien hypertexte visité" xfId="11163" builtinId="9" hidden="1"/>
    <cellStyle name="Lien hypertexte visité" xfId="14067" builtinId="9" hidden="1"/>
    <cellStyle name="Lien hypertexte visité" xfId="16067" builtinId="9" hidden="1"/>
    <cellStyle name="Lien hypertexte visité" xfId="13187" builtinId="9" hidden="1"/>
    <cellStyle name="Lien hypertexte visité" xfId="10251" builtinId="9" hidden="1"/>
    <cellStyle name="Lien hypertexte visité" xfId="14464" builtinId="9" hidden="1"/>
    <cellStyle name="Lien hypertexte visité" xfId="10321" builtinId="9" hidden="1"/>
    <cellStyle name="Lien hypertexte visité" xfId="4304" builtinId="9" hidden="1"/>
    <cellStyle name="Lien hypertexte visité" xfId="7416" builtinId="9" hidden="1"/>
    <cellStyle name="Lien hypertexte visité" xfId="10529" builtinId="9" hidden="1"/>
    <cellStyle name="Lien hypertexte visité" xfId="13649" builtinId="9" hidden="1"/>
    <cellStyle name="Lien hypertexte visité" xfId="18990" builtinId="9" hidden="1"/>
    <cellStyle name="Lien hypertexte visité" xfId="23916" builtinId="9" hidden="1"/>
    <cellStyle name="Lien hypertexte visité" xfId="17709" builtinId="9" hidden="1"/>
    <cellStyle name="Lien hypertexte visité" xfId="13000" builtinId="9" hidden="1"/>
    <cellStyle name="Lien hypertexte visité" xfId="9880" builtinId="9" hidden="1"/>
    <cellStyle name="Lien hypertexte visité" xfId="15693" builtinId="9" hidden="1"/>
    <cellStyle name="Lien hypertexte visité" xfId="14879" builtinId="9" hidden="1"/>
    <cellStyle name="Lien hypertexte visité" xfId="5352" builtinId="9" hidden="1"/>
    <cellStyle name="Lien hypertexte visité" xfId="8235" builtinId="9" hidden="1"/>
    <cellStyle name="Lien hypertexte visité" xfId="5562" builtinId="9" hidden="1"/>
    <cellStyle name="Lien hypertexte visité" xfId="2884" builtinId="9" hidden="1"/>
    <cellStyle name="Lien hypertexte visité" xfId="5131" builtinId="9" hidden="1"/>
    <cellStyle name="Lien hypertexte visité" xfId="20726" builtinId="9" hidden="1"/>
    <cellStyle name="Lien hypertexte visité" xfId="1237" builtinId="9" hidden="1"/>
    <cellStyle name="Lien hypertexte visité" xfId="12895" builtinId="9" hidden="1"/>
    <cellStyle name="Lien hypertexte visité" xfId="8594" builtinId="9" hidden="1"/>
    <cellStyle name="Lien hypertexte visité" xfId="8987" builtinId="9" hidden="1"/>
    <cellStyle name="Lien hypertexte visité" xfId="5770" builtinId="9" hidden="1"/>
    <cellStyle name="Lien hypertexte visité" xfId="2692" builtinId="9" hidden="1"/>
    <cellStyle name="Lien hypertexte visité" xfId="12867" builtinId="9" hidden="1"/>
    <cellStyle name="Lien hypertexte visité" xfId="9859" builtinId="9" hidden="1"/>
    <cellStyle name="Lien hypertexte visité" xfId="14739" builtinId="9" hidden="1"/>
    <cellStyle name="Lien hypertexte visité" xfId="13227" builtinId="9" hidden="1"/>
    <cellStyle name="Lien hypertexte visité" xfId="10979" builtinId="9" hidden="1"/>
    <cellStyle name="Lien hypertexte visité" xfId="2460" builtinId="9" hidden="1"/>
    <cellStyle name="Lien hypertexte visité" xfId="3757" builtinId="9" hidden="1"/>
    <cellStyle name="Lien hypertexte visité" xfId="6970" builtinId="9" hidden="1"/>
    <cellStyle name="Lien hypertexte visité" xfId="2210" builtinId="9" hidden="1"/>
    <cellStyle name="Lien hypertexte visité" xfId="12969" builtinId="9" hidden="1"/>
    <cellStyle name="Lien hypertexte visité" xfId="15309" builtinId="9" hidden="1"/>
    <cellStyle name="Lien hypertexte visité" xfId="10416" builtinId="9" hidden="1"/>
    <cellStyle name="Lien hypertexte visité" xfId="14000" builtinId="9" hidden="1"/>
    <cellStyle name="Lien hypertexte visité" xfId="20972" builtinId="9" hidden="1"/>
    <cellStyle name="Lien hypertexte visité" xfId="21086" builtinId="9" hidden="1"/>
    <cellStyle name="Lien hypertexte visité" xfId="14225" builtinId="9" hidden="1"/>
    <cellStyle name="Lien hypertexte visité" xfId="10465" builtinId="9" hidden="1"/>
    <cellStyle name="Lien hypertexte visité" xfId="6880" builtinId="9" hidden="1"/>
    <cellStyle name="Lien hypertexte visité" xfId="3290" builtinId="9" hidden="1"/>
    <cellStyle name="Lien hypertexte visité" xfId="7775" builtinId="9" hidden="1"/>
    <cellStyle name="Lien hypertexte visité" xfId="2393" builtinId="9" hidden="1"/>
    <cellStyle name="Lien hypertexte visité" xfId="4139" builtinId="9" hidden="1"/>
    <cellStyle name="Lien hypertexte visité" xfId="9772" builtinId="9" hidden="1"/>
    <cellStyle name="Lien hypertexte visité" xfId="15781" builtinId="9" hidden="1"/>
    <cellStyle name="Lien hypertexte visité" xfId="22710" builtinId="9" hidden="1"/>
    <cellStyle name="Lien hypertexte visité" xfId="12989" builtinId="9" hidden="1"/>
    <cellStyle name="Lien hypertexte visité" xfId="7612" builtinId="9" hidden="1"/>
    <cellStyle name="Lien hypertexte visité" xfId="2230" builtinId="9" hidden="1"/>
    <cellStyle name="Lien hypertexte visité" xfId="4558" builtinId="9" hidden="1"/>
    <cellStyle name="Lien hypertexte visité" xfId="9935" builtinId="9" hidden="1"/>
    <cellStyle name="Lien hypertexte visité" xfId="16107" builtinId="9" hidden="1"/>
    <cellStyle name="Lien hypertexte visité" xfId="11570" builtinId="9" hidden="1"/>
    <cellStyle name="Lien hypertexte visité" xfId="15793" builtinId="9" hidden="1"/>
    <cellStyle name="Lien hypertexte visité" xfId="22944" builtinId="9" hidden="1"/>
    <cellStyle name="Lien hypertexte visité" xfId="18770" builtinId="9" hidden="1"/>
    <cellStyle name="Lien hypertexte visité" xfId="14881" builtinId="9" hidden="1"/>
    <cellStyle name="Lien hypertexte visité" xfId="5145" builtinId="9" hidden="1"/>
    <cellStyle name="Lien hypertexte visité" xfId="7177" builtinId="9" hidden="1"/>
    <cellStyle name="Lien hypertexte visité" xfId="2015" builtinId="9" hidden="1"/>
    <cellStyle name="Lien hypertexte visité" xfId="3772" builtinId="9" hidden="1"/>
    <cellStyle name="Lien hypertexte visité" xfId="7281" builtinId="9" hidden="1"/>
    <cellStyle name="Lien hypertexte visité" xfId="4209" builtinId="9" hidden="1"/>
    <cellStyle name="Lien hypertexte visité" xfId="14647" builtinId="9" hidden="1"/>
    <cellStyle name="Lien hypertexte visité" xfId="10821" builtinId="9" hidden="1"/>
    <cellStyle name="Lien hypertexte visité" xfId="7236" builtinId="9" hidden="1"/>
    <cellStyle name="Lien hypertexte visité" xfId="3647" builtinId="9" hidden="1"/>
    <cellStyle name="Lien hypertexte visité" xfId="1263" builtinId="9" hidden="1"/>
    <cellStyle name="Lien hypertexte visité" xfId="4854" builtinId="9" hidden="1"/>
    <cellStyle name="Lien hypertexte visité" xfId="8439" builtinId="9" hidden="1"/>
    <cellStyle name="Lien hypertexte visité" xfId="12183" builtinId="9" hidden="1"/>
    <cellStyle name="Lien hypertexte visité" xfId="17019" builtinId="9" hidden="1"/>
    <cellStyle name="Lien hypertexte visité" xfId="10510" builtinId="9" hidden="1"/>
    <cellStyle name="Lien hypertexte visité" xfId="13014" builtinId="9" hidden="1"/>
    <cellStyle name="Lien hypertexte visité" xfId="16297" builtinId="9" hidden="1"/>
    <cellStyle name="Lien hypertexte visité" xfId="21056" builtinId="9" hidden="1"/>
    <cellStyle name="Lien hypertexte visité" xfId="23154" builtinId="9" hidden="1"/>
    <cellStyle name="Lien hypertexte visité" xfId="18378" builtinId="9" hidden="1"/>
    <cellStyle name="Lien hypertexte visité" xfId="20848" builtinId="9" hidden="1"/>
    <cellStyle name="Lien hypertexte visité" xfId="14529" builtinId="9" hidden="1"/>
    <cellStyle name="Lien hypertexte visité" xfId="23400" builtinId="9" hidden="1"/>
    <cellStyle name="Lien hypertexte visité" xfId="11798" builtinId="9" hidden="1"/>
    <cellStyle name="Lien hypertexte visité" xfId="10023" builtinId="9" hidden="1"/>
    <cellStyle name="Lien hypertexte visité" xfId="1886" builtinId="9" hidden="1"/>
    <cellStyle name="Lien hypertexte visité" xfId="12645" builtinId="9" hidden="1"/>
    <cellStyle name="Lien hypertexte visité" xfId="7203" builtinId="9" hidden="1"/>
    <cellStyle name="Lien hypertexte visité" xfId="10276" builtinId="9" hidden="1"/>
    <cellStyle name="Lien hypertexte visité" xfId="13348" builtinId="9" hidden="1"/>
    <cellStyle name="Lien hypertexte visité" xfId="18596" builtinId="9" hidden="1"/>
    <cellStyle name="Lien hypertexte visité" xfId="24486" builtinId="9" hidden="1"/>
    <cellStyle name="Lien hypertexte visité" xfId="24326" builtinId="9" hidden="1"/>
    <cellStyle name="Lien hypertexte visité" xfId="1777" builtinId="9" hidden="1"/>
    <cellStyle name="Lien hypertexte visité" xfId="2237" builtinId="9" hidden="1"/>
    <cellStyle name="Lien hypertexte visité" xfId="5107" builtinId="9" hidden="1"/>
    <cellStyle name="Lien hypertexte visité" xfId="3537" builtinId="9" hidden="1"/>
    <cellStyle name="Lien hypertexte visité" xfId="7703" builtinId="9" hidden="1"/>
    <cellStyle name="Lien hypertexte visité" xfId="6215" builtinId="9" hidden="1"/>
    <cellStyle name="Lien hypertexte visité" xfId="4423" builtinId="9" hidden="1"/>
    <cellStyle name="Lien hypertexte visité" xfId="4339" builtinId="9" hidden="1"/>
    <cellStyle name="Lien hypertexte visité" xfId="1468" builtinId="9" hidden="1"/>
    <cellStyle name="Lien hypertexte visité" xfId="2673" builtinId="9" hidden="1"/>
    <cellStyle name="Lien hypertexte visité" xfId="20006" builtinId="9" hidden="1"/>
    <cellStyle name="Lien hypertexte visité" xfId="23076" builtinId="9" hidden="1"/>
    <cellStyle name="Lien hypertexte visité" xfId="16661" builtinId="9" hidden="1"/>
    <cellStyle name="Lien hypertexte visité" xfId="12516" builtinId="9" hidden="1"/>
    <cellStyle name="Lien hypertexte visité" xfId="9444" builtinId="9" hidden="1"/>
    <cellStyle name="Lien hypertexte visité" xfId="6227" builtinId="9" hidden="1"/>
    <cellStyle name="Lien hypertexte visité" xfId="9765" builtinId="9" hidden="1"/>
    <cellStyle name="Lien hypertexte visité" xfId="935" builtinId="9" hidden="1"/>
    <cellStyle name="Lien hypertexte visité" xfId="6335" builtinId="9" hidden="1"/>
    <cellStyle name="Lien hypertexte visité" xfId="2745" builtinId="9" hidden="1"/>
    <cellStyle name="Lien hypertexte visité" xfId="1989" builtinId="9" hidden="1"/>
    <cellStyle name="Lien hypertexte visité" xfId="5771" builtinId="9" hidden="1"/>
    <cellStyle name="Lien hypertexte visité" xfId="9356" builtinId="9" hidden="1"/>
    <cellStyle name="Lien hypertexte visité" xfId="12940" builtinId="9" hidden="1"/>
    <cellStyle name="Lien hypertexte visité" xfId="18900" builtinId="9" hidden="1"/>
    <cellStyle name="Lien hypertexte visité" xfId="23158" builtinId="9" hidden="1"/>
    <cellStyle name="Lien hypertexte visité" xfId="16007" builtinId="9" hidden="1"/>
    <cellStyle name="Lien hypertexte visité" xfId="11549" builtinId="9" hidden="1"/>
    <cellStyle name="Lien hypertexte visité" xfId="7965" builtinId="9" hidden="1"/>
    <cellStyle name="Lien hypertexte visité" xfId="4380" builtinId="9" hidden="1"/>
    <cellStyle name="Lien hypertexte visité" xfId="79" builtinId="9" hidden="1"/>
    <cellStyle name="Lien hypertexte visité" xfId="4142" builtinId="9" hidden="1"/>
    <cellStyle name="Lien hypertexte visité" xfId="7726" builtinId="9" hidden="1"/>
    <cellStyle name="Lien hypertexte visité" xfId="11503" builtinId="9" hidden="1"/>
    <cellStyle name="Lien hypertexte visité" xfId="15659" builtinId="9" hidden="1"/>
    <cellStyle name="Lien hypertexte visité" xfId="10054" builtinId="9" hidden="1"/>
    <cellStyle name="Lien hypertexte visité" xfId="12530" builtinId="9" hidden="1"/>
    <cellStyle name="Lien hypertexte visité" xfId="15321" builtinId="9" hidden="1"/>
    <cellStyle name="Lien hypertexte visité" xfId="20088" builtinId="9" hidden="1"/>
    <cellStyle name="Lien hypertexte visité" xfId="24106" builtinId="9" hidden="1"/>
    <cellStyle name="Lien hypertexte visité" xfId="19330" builtinId="9" hidden="1"/>
    <cellStyle name="Lien hypertexte visité" xfId="23696" builtinId="9" hidden="1"/>
    <cellStyle name="Lien hypertexte visité" xfId="11562" builtinId="9" hidden="1"/>
    <cellStyle name="Lien hypertexte visité" xfId="5017" builtinId="9" hidden="1"/>
    <cellStyle name="Lien hypertexte visité" xfId="7065" builtinId="9" hidden="1"/>
    <cellStyle name="Lien hypertexte visité" xfId="2539" builtinId="9" hidden="1"/>
    <cellStyle name="Lien hypertexte visité" xfId="1831" builtinId="9" hidden="1"/>
    <cellStyle name="Lien hypertexte visité" xfId="1041" builtinId="9" hidden="1"/>
    <cellStyle name="Lien hypertexte visité" xfId="2895" builtinId="9" hidden="1"/>
    <cellStyle name="Lien hypertexte visité" xfId="7517" builtinId="9" hidden="1"/>
    <cellStyle name="Lien hypertexte visité" xfId="5469" builtinId="9" hidden="1"/>
    <cellStyle name="Lien hypertexte visité" xfId="10362" builtinId="9" hidden="1"/>
    <cellStyle name="Lien hypertexte visité" xfId="14935" builtinId="9" hidden="1"/>
    <cellStyle name="Lien hypertexte visité" xfId="12341" builtinId="9" hidden="1"/>
    <cellStyle name="Lien hypertexte visité" xfId="9861" builtinId="9" hidden="1"/>
    <cellStyle name="Lien hypertexte visité" xfId="7476" builtinId="9" hidden="1"/>
    <cellStyle name="Lien hypertexte visité" xfId="5076" builtinId="9" hidden="1"/>
    <cellStyle name="Lien hypertexte visité" xfId="2558" builtinId="9" hidden="1"/>
    <cellStyle name="Lien hypertexte visité" xfId="787" builtinId="9" hidden="1"/>
    <cellStyle name="Lien hypertexte visité" xfId="3376" builtinId="9" hidden="1"/>
    <cellStyle name="Lien hypertexte visité" xfId="5894" builtinId="9" hidden="1"/>
    <cellStyle name="Lien hypertexte visité" xfId="8279" builtinId="9" hidden="1"/>
    <cellStyle name="Lien hypertexte visité" xfId="10679" builtinId="9" hidden="1"/>
    <cellStyle name="Lien hypertexte visité" xfId="13143" builtinId="9" hidden="1"/>
    <cellStyle name="Lien hypertexte visité" xfId="16571" builtinId="9" hidden="1"/>
    <cellStyle name="Lien hypertexte visité" xfId="9558" builtinId="9" hidden="1"/>
    <cellStyle name="Lien hypertexte visité" xfId="11234" builtinId="9" hidden="1"/>
    <cellStyle name="Lien hypertexte visité" xfId="12834" builtinId="9" hidden="1"/>
    <cellStyle name="Lien hypertexte visité" xfId="14422" builtinId="9" hidden="1"/>
    <cellStyle name="Lien hypertexte visité" xfId="17681" builtinId="9" hidden="1"/>
    <cellStyle name="Lien hypertexte visité" xfId="20864" builtinId="9" hidden="1"/>
    <cellStyle name="Lien hypertexte visité" xfId="24040" builtinId="9" hidden="1"/>
    <cellStyle name="Lien hypertexte visité" xfId="21874" builtinId="9" hidden="1"/>
    <cellStyle name="Lien hypertexte visité" xfId="18698" builtinId="9" hidden="1"/>
    <cellStyle name="Lien hypertexte visité" xfId="22618" builtinId="9" hidden="1"/>
    <cellStyle name="Lien hypertexte visité" xfId="16513" builtinId="9" hidden="1"/>
    <cellStyle name="Lien hypertexte visité" xfId="12858" builtinId="9" hidden="1"/>
    <cellStyle name="Lien hypertexte visité" xfId="19938" builtinId="9" hidden="1"/>
    <cellStyle name="Lien hypertexte visité" xfId="19224" builtinId="9" hidden="1"/>
    <cellStyle name="Lien hypertexte visité" xfId="12098" builtinId="9" hidden="1"/>
    <cellStyle name="Lien hypertexte visité" xfId="14619" builtinId="9" hidden="1"/>
    <cellStyle name="Lien hypertexte visité" xfId="7142" builtinId="9" hidden="1"/>
    <cellStyle name="Lien hypertexte visité" xfId="1181" builtinId="9" hidden="1"/>
    <cellStyle name="Lien hypertexte visité" xfId="8039" builtinId="9" hidden="1"/>
    <cellStyle name="Lien hypertexte visité" xfId="21440" builtinId="9" hidden="1"/>
    <cellStyle name="Lien hypertexte visité" xfId="18241" builtinId="9" hidden="1"/>
    <cellStyle name="Lien hypertexte visité" xfId="22282" builtinId="9" hidden="1"/>
    <cellStyle name="Lien hypertexte visité" xfId="16953" builtinId="9" hidden="1"/>
    <cellStyle name="Lien hypertexte visité" xfId="10958" builtinId="9" hidden="1"/>
    <cellStyle name="Lien hypertexte visité" xfId="12855" builtinId="9" hidden="1"/>
    <cellStyle name="Lien hypertexte visité" xfId="5334" builtinId="9" hidden="1"/>
    <cellStyle name="Lien hypertexte visité" xfId="2990" builtinId="9" hidden="1"/>
    <cellStyle name="Lien hypertexte visité" xfId="10165" builtinId="9" hidden="1"/>
    <cellStyle name="Lien hypertexte visité" xfId="8698" builtinId="9" hidden="1"/>
    <cellStyle name="Lien hypertexte visité" xfId="3235" builtinId="9" hidden="1"/>
    <cellStyle name="Lien hypertexte visité" xfId="2299" builtinId="9" hidden="1"/>
    <cellStyle name="Lien hypertexte visité" xfId="13226" builtinId="9" hidden="1"/>
    <cellStyle name="Lien hypertexte visité" xfId="24264" builtinId="9" hidden="1"/>
    <cellStyle name="Lien hypertexte visité" xfId="12230" builtinId="9" hidden="1"/>
    <cellStyle name="Lien hypertexte visité" xfId="10671" builtinId="9" hidden="1"/>
    <cellStyle name="Lien hypertexte visité" xfId="707" builtinId="9" hidden="1"/>
    <cellStyle name="Lien hypertexte visité" xfId="23594" builtinId="9" hidden="1"/>
    <cellStyle name="Lien hypertexte visité" xfId="2687" builtinId="9" hidden="1"/>
    <cellStyle name="Lien hypertexte visité" xfId="2302" builtinId="9" hidden="1"/>
    <cellStyle name="Lien hypertexte visité" xfId="11406" builtinId="9" hidden="1"/>
    <cellStyle name="Lien hypertexte visité" xfId="15489" builtinId="9" hidden="1"/>
    <cellStyle name="Lien hypertexte visité" xfId="113" builtinId="9" hidden="1"/>
    <cellStyle name="Lien hypertexte visité" xfId="12610" builtinId="9" hidden="1"/>
    <cellStyle name="Lien hypertexte visité" xfId="11578" builtinId="9" hidden="1"/>
    <cellStyle name="Lien hypertexte visité" xfId="18978" builtinId="9" hidden="1"/>
    <cellStyle name="Lien hypertexte visité" xfId="20520" builtinId="9" hidden="1"/>
    <cellStyle name="Lien hypertexte visité" xfId="12686" builtinId="9" hidden="1"/>
    <cellStyle name="Lien hypertexte visité" xfId="16123" builtinId="9" hidden="1"/>
    <cellStyle name="Lien hypertexte visité" xfId="8023" builtinId="9" hidden="1"/>
    <cellStyle name="Lien hypertexte visité" xfId="371" builtinId="9" hidden="1"/>
    <cellStyle name="Lien hypertexte visité" xfId="7684" builtinId="9" hidden="1"/>
    <cellStyle name="Lien hypertexte visité" xfId="15447" builtinId="9" hidden="1"/>
    <cellStyle name="Lien hypertexte visité" xfId="7701" builtinId="9" hidden="1"/>
    <cellStyle name="Lien hypertexte visité" xfId="1667" builtinId="9" hidden="1"/>
    <cellStyle name="Lien hypertexte visité" xfId="4797" builtinId="9" hidden="1"/>
    <cellStyle name="Lien hypertexte visité" xfId="19754" builtinId="9" hidden="1"/>
    <cellStyle name="Lien hypertexte visité" xfId="14897" builtinId="9" hidden="1"/>
    <cellStyle name="Lien hypertexte visité" xfId="14891" builtinId="9" hidden="1"/>
    <cellStyle name="Lien hypertexte visité" xfId="3825" builtinId="9" hidden="1"/>
    <cellStyle name="Lien hypertexte visité" xfId="8285" builtinId="9" hidden="1"/>
    <cellStyle name="Lien hypertexte visité" xfId="23926" builtinId="9" hidden="1"/>
    <cellStyle name="Lien hypertexte visité" xfId="9036" builtinId="9" hidden="1"/>
    <cellStyle name="Lien hypertexte visité" xfId="3065" builtinId="9" hidden="1"/>
    <cellStyle name="Lien hypertexte visité" xfId="10789" builtinId="9" hidden="1"/>
    <cellStyle name="Lien hypertexte visité" xfId="12820" builtinId="9" hidden="1"/>
    <cellStyle name="Lien hypertexte visité" xfId="19398" builtinId="9" hidden="1"/>
    <cellStyle name="Lien hypertexte visité" xfId="4627" builtinId="9" hidden="1"/>
    <cellStyle name="Lien hypertexte visité" xfId="7960" builtinId="9" hidden="1"/>
    <cellStyle name="Lien hypertexte visité" xfId="1965" builtinId="9" hidden="1"/>
    <cellStyle name="Lien hypertexte visité" xfId="24164" builtinId="9" hidden="1"/>
    <cellStyle name="Lien hypertexte visité" xfId="9972" builtinId="9" hidden="1"/>
    <cellStyle name="Lien hypertexte visité" xfId="559" builtinId="9" hidden="1"/>
    <cellStyle name="Lien hypertexte visité" xfId="24458" builtinId="9" hidden="1"/>
    <cellStyle name="Lien hypertexte visité" xfId="18850" builtinId="9" hidden="1"/>
    <cellStyle name="Lien hypertexte visité" xfId="15849" builtinId="9" hidden="1"/>
    <cellStyle name="Lien hypertexte visité" xfId="16347" builtinId="9" hidden="1"/>
    <cellStyle name="Lien hypertexte visité" xfId="4502" builtinId="9" hidden="1"/>
    <cellStyle name="Lien hypertexte visité" xfId="7572" builtinId="9" hidden="1"/>
    <cellStyle name="Lien hypertexte visité" xfId="4501" builtinId="9" hidden="1"/>
    <cellStyle name="Lien hypertexte visité" xfId="1751" builtinId="9" hidden="1"/>
    <cellStyle name="Lien hypertexte visité" xfId="16929" builtinId="9" hidden="1"/>
    <cellStyle name="Lien hypertexte visité" xfId="15113" builtinId="9" hidden="1"/>
    <cellStyle name="Lien hypertexte visité" xfId="16619" builtinId="9" hidden="1"/>
    <cellStyle name="Lien hypertexte visité" xfId="12082" builtinId="9" hidden="1"/>
    <cellStyle name="Lien hypertexte visité" xfId="17841" builtinId="9" hidden="1"/>
    <cellStyle name="Lien hypertexte visité" xfId="23288" builtinId="9" hidden="1"/>
    <cellStyle name="Lien hypertexte visité" xfId="17763" builtinId="9" hidden="1"/>
    <cellStyle name="Lien hypertexte visité" xfId="11626" builtinId="9" hidden="1"/>
    <cellStyle name="Lien hypertexte visité" xfId="5293" builtinId="9" hidden="1"/>
    <cellStyle name="Lien hypertexte visité" xfId="4105" builtinId="9" hidden="1"/>
    <cellStyle name="Lien hypertexte visité" xfId="441" builtinId="9" hidden="1"/>
    <cellStyle name="Lien hypertexte visité" xfId="3628" builtinId="9" hidden="1"/>
    <cellStyle name="Lien hypertexte visité" xfId="6841" builtinId="9" hidden="1"/>
    <cellStyle name="Lien hypertexte visité" xfId="10298" builtinId="9" hidden="1"/>
    <cellStyle name="Lien hypertexte visité" xfId="14405" builtinId="9" hidden="1"/>
    <cellStyle name="Lien hypertexte visité" xfId="10309" builtinId="9" hidden="1"/>
    <cellStyle name="Lien hypertexte visité" xfId="6212" builtinId="9" hidden="1"/>
    <cellStyle name="Lien hypertexte visité" xfId="3470" builtinId="9" hidden="1"/>
    <cellStyle name="Lien hypertexte visité" xfId="1776" builtinId="9" hidden="1"/>
    <cellStyle name="Lien hypertexte visité" xfId="5878" builtinId="9" hidden="1"/>
    <cellStyle name="Lien hypertexte visité" xfId="8599" builtinId="9" hidden="1"/>
    <cellStyle name="Lien hypertexte visité" xfId="12695" builtinId="9" hidden="1"/>
    <cellStyle name="Lien hypertexte visité" xfId="8802" builtinId="9" hidden="1"/>
    <cellStyle name="Lien hypertexte visité" xfId="10626" builtinId="9" hidden="1"/>
    <cellStyle name="Lien hypertexte visité" xfId="13358" builtinId="9" hidden="1"/>
    <cellStyle name="Lien hypertexte visité" xfId="17657" builtinId="9" hidden="1"/>
    <cellStyle name="Lien hypertexte visité" xfId="21288" builtinId="9" hidden="1"/>
    <cellStyle name="Lien hypertexte visité" xfId="22474" builtinId="9" hidden="1"/>
    <cellStyle name="Lien hypertexte visité" xfId="18155" builtinId="9" hidden="1"/>
    <cellStyle name="Lien hypertexte visité" xfId="20208" builtinId="9" hidden="1"/>
    <cellStyle name="Lien hypertexte visité" xfId="20656" builtinId="9" hidden="1"/>
    <cellStyle name="Lien hypertexte visité" xfId="19304" builtinId="9" hidden="1"/>
    <cellStyle name="Lien hypertexte visité" xfId="11458" builtinId="9" hidden="1"/>
    <cellStyle name="Lien hypertexte visité" xfId="8487" builtinId="9" hidden="1"/>
    <cellStyle name="Lien hypertexte visité" xfId="4964" builtinId="9" hidden="1"/>
    <cellStyle name="Lien hypertexte visité" xfId="13157" builtinId="9" hidden="1"/>
    <cellStyle name="Lien hypertexte visité" xfId="7635" builtinId="9" hidden="1"/>
    <cellStyle name="Lien hypertexte visité" xfId="11156" builtinId="9" hidden="1"/>
    <cellStyle name="Lien hypertexte visité" xfId="13492" builtinId="9" hidden="1"/>
    <cellStyle name="Lien hypertexte visité" xfId="19460" builtinId="9" hidden="1"/>
    <cellStyle name="Lien hypertexte visité" xfId="22726" builtinId="9" hidden="1"/>
    <cellStyle name="Lien hypertexte visité" xfId="22852" builtinId="9" hidden="1"/>
    <cellStyle name="Lien hypertexte visité" xfId="1360" builtinId="9" hidden="1"/>
    <cellStyle name="Lien hypertexte visité" xfId="3053" builtinId="9" hidden="1"/>
    <cellStyle name="Lien hypertexte visité" xfId="4099" builtinId="9" hidden="1"/>
    <cellStyle name="Lien hypertexte visité" xfId="3137" builtinId="9" hidden="1"/>
    <cellStyle name="Lien hypertexte visité" xfId="8536" builtinId="9" hidden="1"/>
    <cellStyle name="Lien hypertexte visité" xfId="6343" builtinId="9" hidden="1"/>
    <cellStyle name="Lien hypertexte visité" xfId="4823" builtinId="9" hidden="1"/>
    <cellStyle name="Lien hypertexte visité" xfId="3517" builtinId="9" hidden="1"/>
    <cellStyle name="Lien hypertexte visité" xfId="1340" builtinId="9" hidden="1"/>
    <cellStyle name="Lien hypertexte visité" xfId="7043" builtinId="9" hidden="1"/>
    <cellStyle name="Lien hypertexte visité" xfId="21734" builtinId="9" hidden="1"/>
    <cellStyle name="Lien hypertexte visité" xfId="22788" builtinId="9" hidden="1"/>
    <cellStyle name="Lien hypertexte visité" xfId="15797" builtinId="9" hidden="1"/>
    <cellStyle name="Lien hypertexte visité" xfId="11636" builtinId="9" hidden="1"/>
    <cellStyle name="Lien hypertexte visité" xfId="9300" builtinId="9" hidden="1"/>
    <cellStyle name="Lien hypertexte visité" xfId="5795" builtinId="9" hidden="1"/>
    <cellStyle name="Lien hypertexte visité" xfId="6692" builtinId="9" hidden="1"/>
    <cellStyle name="Lien hypertexte visité" xfId="775" builtinId="9" hidden="1"/>
    <cellStyle name="Lien hypertexte visité" xfId="5823" builtinId="9" hidden="1"/>
    <cellStyle name="Lien hypertexte visité" xfId="1721" builtinId="9" hidden="1"/>
    <cellStyle name="Lien hypertexte visité" xfId="2181" builtinId="9" hidden="1"/>
    <cellStyle name="Lien hypertexte visité" xfId="6283" builtinId="9" hidden="1"/>
    <cellStyle name="Lien hypertexte visité" xfId="10380" builtinId="9" hidden="1"/>
    <cellStyle name="Lien hypertexte visité" xfId="13132" builtinId="9" hidden="1"/>
    <cellStyle name="Lien hypertexte visité" xfId="19924" builtinId="9" hidden="1"/>
    <cellStyle name="Lien hypertexte visité" xfId="21110" builtinId="9" hidden="1"/>
    <cellStyle name="Lien hypertexte visité" xfId="15751" builtinId="9" hidden="1"/>
    <cellStyle name="Lien hypertexte visité" xfId="11037" builtinId="9" hidden="1"/>
    <cellStyle name="Lien hypertexte visité" xfId="6940" builtinId="9" hidden="1"/>
    <cellStyle name="Lien hypertexte visité" xfId="4188" builtinId="9" hidden="1"/>
    <cellStyle name="Lien hypertexte visité" xfId="963" builtinId="9" hidden="1"/>
    <cellStyle name="Lien hypertexte visité" xfId="5166" builtinId="9" hidden="1"/>
    <cellStyle name="Lien hypertexte visité" xfId="7919" builtinId="9" hidden="1"/>
    <cellStyle name="Lien hypertexte visité" xfId="12015" builtinId="9" hidden="1"/>
    <cellStyle name="Lien hypertexte visité" xfId="8350" builtinId="9" hidden="1"/>
    <cellStyle name="Lien hypertexte visité" xfId="10142" builtinId="9" hidden="1"/>
    <cellStyle name="Lien hypertexte visité" xfId="12870" builtinId="9" hidden="1"/>
    <cellStyle name="Lien hypertexte visité" xfId="16689" builtinId="9" hidden="1"/>
    <cellStyle name="Lien hypertexte visité" xfId="20344" builtinId="9" hidden="1"/>
    <cellStyle name="Lien hypertexte visité" xfId="23426" builtinId="9" hidden="1"/>
    <cellStyle name="Lien hypertexte visité" xfId="17979" builtinId="9" hidden="1"/>
    <cellStyle name="Lien hypertexte visité" xfId="22928" builtinId="9" hidden="1"/>
    <cellStyle name="Lien hypertexte visité" xfId="10538" builtinId="9" hidden="1"/>
    <cellStyle name="Lien hypertexte visité" xfId="5601" builtinId="9" hidden="1"/>
    <cellStyle name="Lien hypertexte visité" xfId="7137" builtinId="9" hidden="1"/>
    <cellStyle name="Lien hypertexte visité" xfId="2811" builtinId="9" hidden="1"/>
    <cellStyle name="Lien hypertexte visité" xfId="1186" builtinId="9" hidden="1"/>
    <cellStyle name="Lien hypertexte visité" xfId="2175" builtinId="9" hidden="1"/>
    <cellStyle name="Lien hypertexte visité" xfId="2619" builtinId="9" hidden="1"/>
    <cellStyle name="Lien hypertexte visité" xfId="6933" builtinId="9" hidden="1"/>
    <cellStyle name="Lien hypertexte visité" xfId="5361" builtinId="9" hidden="1"/>
    <cellStyle name="Lien hypertexte visité" xfId="19014" builtinId="9" hidden="1"/>
    <cellStyle name="Lien hypertexte visité" xfId="14037" builtinId="9" hidden="1"/>
    <cellStyle name="Lien hypertexte visité" xfId="12245" builtinId="9" hidden="1"/>
    <cellStyle name="Lien hypertexte visité" xfId="9525" builtinId="9" hidden="1"/>
    <cellStyle name="Lien hypertexte visité" xfId="6788" builtinId="9" hidden="1"/>
    <cellStyle name="Lien hypertexte visité" xfId="4948" builtinId="9" hidden="1"/>
    <cellStyle name="Lien hypertexte visité" xfId="2222" builtinId="9" hidden="1"/>
    <cellStyle name="Lien hypertexte visité" xfId="1664" builtinId="9" hidden="1"/>
    <cellStyle name="Lien hypertexte visité" xfId="3504" builtinId="9" hidden="1"/>
    <cellStyle name="Lien hypertexte visité" xfId="6230" builtinId="9" hidden="1"/>
    <cellStyle name="Lien hypertexte visité" xfId="8967" builtinId="9" hidden="1"/>
    <cellStyle name="Lien hypertexte visité" xfId="10759" builtinId="9" hidden="1"/>
    <cellStyle name="Lien hypertexte visité" xfId="13495" builtinId="9" hidden="1"/>
    <cellStyle name="Lien hypertexte visité" xfId="8418" builtinId="9" hidden="1"/>
    <cellStyle name="Lien hypertexte visité" xfId="9646" builtinId="9" hidden="1"/>
    <cellStyle name="Lien hypertexte visité" xfId="11470" builtinId="9" hidden="1"/>
    <cellStyle name="Lien hypertexte visité" xfId="13282" builtinId="9" hidden="1"/>
    <cellStyle name="Lien hypertexte visité" xfId="14510" builtinId="9" hidden="1"/>
    <cellStyle name="Lien hypertexte visité" xfId="18153" builtinId="9" hidden="1"/>
    <cellStyle name="Lien hypertexte visité" xfId="21760" builtinId="9" hidden="1"/>
    <cellStyle name="Lien hypertexte visité" xfId="24152" builtinId="9" hidden="1"/>
    <cellStyle name="Lien hypertexte visité" xfId="21426" builtinId="9" hidden="1"/>
    <cellStyle name="Lien hypertexte visité" xfId="17795" builtinId="9" hidden="1"/>
    <cellStyle name="Lien hypertexte visité" xfId="23130" builtinId="9" hidden="1"/>
    <cellStyle name="Lien hypertexte visité" xfId="15169" builtinId="9" hidden="1"/>
    <cellStyle name="Lien hypertexte visité" xfId="19376" builtinId="9" hidden="1"/>
    <cellStyle name="Lien hypertexte visité" xfId="20450" builtinId="9" hidden="1"/>
    <cellStyle name="Lien hypertexte visité" xfId="17873" builtinId="9" hidden="1"/>
    <cellStyle name="Lien hypertexte visité" xfId="10734" builtinId="9" hidden="1"/>
    <cellStyle name="Lien hypertexte visité" xfId="14311" builtinId="9" hidden="1"/>
    <cellStyle name="Lien hypertexte visité" xfId="6118" builtinId="9" hidden="1"/>
    <cellStyle name="Lien hypertexte visité" xfId="3230" builtinId="9" hidden="1"/>
    <cellStyle name="Lien hypertexte visité" xfId="9063" builtinId="9" hidden="1"/>
    <cellStyle name="Lien hypertexte visité" xfId="23690" builtinId="9" hidden="1"/>
    <cellStyle name="Lien hypertexte visité" xfId="22810" builtinId="9" hidden="1"/>
    <cellStyle name="Lien hypertexte visité" xfId="22730" builtinId="9" hidden="1"/>
    <cellStyle name="Lien hypertexte visité" xfId="15593" builtinId="9" hidden="1"/>
    <cellStyle name="Lien hypertexte visité" xfId="9590" builtinId="9" hidden="1"/>
    <cellStyle name="Lien hypertexte visité" xfId="12503" builtinId="9" hidden="1"/>
    <cellStyle name="Lien hypertexte visité" xfId="4310" builtinId="9" hidden="1"/>
    <cellStyle name="Lien hypertexte visité" xfId="5044" builtinId="9" hidden="1"/>
    <cellStyle name="Lien hypertexte visité" xfId="10501" builtinId="9" hidden="1"/>
    <cellStyle name="Lien hypertexte visité" xfId="4665" builtinId="9" hidden="1"/>
    <cellStyle name="Lien hypertexte visité" xfId="977" builtinId="9" hidden="1"/>
    <cellStyle name="Lien hypertexte visité" xfId="5257" builtinId="9" hidden="1"/>
    <cellStyle name="Lien hypertexte visité" xfId="18081" builtinId="9" hidden="1"/>
    <cellStyle name="Lien hypertexte visité" xfId="20168" builtinId="9" hidden="1"/>
    <cellStyle name="Lien hypertexte visité" xfId="11890" builtinId="9" hidden="1"/>
    <cellStyle name="Lien hypertexte visité" xfId="9135" builtinId="9" hidden="1"/>
    <cellStyle name="Lien hypertexte visité" xfId="1447" builtinId="9" hidden="1"/>
    <cellStyle name="Lien hypertexte visité" xfId="4014" builtinId="9" hidden="1"/>
    <cellStyle name="Lien hypertexte visité" xfId="8111" builtinId="9" hidden="1"/>
    <cellStyle name="Lien hypertexte visité" xfId="12207" builtinId="9" hidden="1"/>
    <cellStyle name="Lien hypertexte visité" xfId="15019" builtinId="9" hidden="1"/>
    <cellStyle name="Lien hypertexte visité" xfId="10182" builtinId="9" hidden="1"/>
    <cellStyle name="Lien hypertexte visité" xfId="12914" builtinId="9" hidden="1"/>
    <cellStyle name="Lien hypertexte visité" xfId="15409" builtinId="9" hidden="1"/>
    <cellStyle name="Lien hypertexte visité" xfId="20856" builtinId="9" hidden="1"/>
    <cellStyle name="Lien hypertexte visité" xfId="22914" builtinId="9" hidden="1"/>
    <cellStyle name="Lien hypertexte visité" xfId="19498" builtinId="9" hidden="1"/>
    <cellStyle name="Lien hypertexte visité" xfId="22160" builtinId="9" hidden="1"/>
    <cellStyle name="Lien hypertexte visité" xfId="10154" builtinId="9" hidden="1"/>
    <cellStyle name="Lien hypertexte visité" xfId="4833" builtinId="9" hidden="1"/>
    <cellStyle name="Lien hypertexte visité" xfId="7173" builtinId="9" hidden="1"/>
    <cellStyle name="Lien hypertexte visité" xfId="2847" builtinId="9" hidden="1"/>
    <cellStyle name="Lien hypertexte visité" xfId="1867" builtinId="9" hidden="1"/>
    <cellStyle name="Lien hypertexte visité" xfId="1975" builtinId="9" hidden="1"/>
    <cellStyle name="Lien hypertexte visité" xfId="2415" builtinId="9" hidden="1"/>
    <cellStyle name="Lien hypertexte visité" xfId="7589" builtinId="9" hidden="1"/>
    <cellStyle name="Lien hypertexte visité" xfId="5249" builtinId="9" hidden="1"/>
    <cellStyle name="Lien hypertexte visité" xfId="18758" builtinId="9" hidden="1"/>
    <cellStyle name="Lien hypertexte visité" xfId="15351" builtinId="9" hidden="1"/>
    <cellStyle name="Lien hypertexte visité" xfId="12213" builtinId="9" hidden="1"/>
    <cellStyle name="Lien hypertexte visité" xfId="9477" builtinId="9" hidden="1"/>
    <cellStyle name="Lien hypertexte visité" xfId="7428" builtinId="9" hidden="1"/>
    <cellStyle name="Lien hypertexte visité" xfId="4692" builtinId="9" hidden="1"/>
    <cellStyle name="Lien hypertexte visité" xfId="1966" builtinId="9" hidden="1"/>
    <cellStyle name="Lien hypertexte visité" xfId="627" builtinId="9" hidden="1"/>
    <cellStyle name="Lien hypertexte visité" xfId="3633" builtinId="9" hidden="1"/>
    <cellStyle name="Lien hypertexte visité" xfId="6358" builtinId="9" hidden="1"/>
    <cellStyle name="Lien hypertexte visité" xfId="8071" builtinId="9" hidden="1"/>
    <cellStyle name="Lien hypertexte visité" xfId="10807" builtinId="9" hidden="1"/>
    <cellStyle name="Lien hypertexte visité" xfId="13527" builtinId="9" hidden="1"/>
    <cellStyle name="Lien hypertexte visité" xfId="16635" builtinId="9" hidden="1"/>
    <cellStyle name="Lien hypertexte visité" xfId="9814" builtinId="9" hidden="1"/>
    <cellStyle name="Lien hypertexte visité" xfId="11638" builtinId="9" hidden="1"/>
    <cellStyle name="Lien hypertexte visité" xfId="12770" builtinId="9" hidden="1"/>
    <cellStyle name="Lien hypertexte visité" xfId="14673" builtinId="9" hidden="1"/>
    <cellStyle name="Lien hypertexte visité" xfId="18315" builtinId="9" hidden="1"/>
    <cellStyle name="Lien hypertexte visité" xfId="20568" builtinId="9" hidden="1"/>
    <cellStyle name="Lien hypertexte visité" xfId="24216" builtinId="9" hidden="1"/>
    <cellStyle name="Lien hypertexte visité" xfId="21362" builtinId="9" hidden="1"/>
    <cellStyle name="Lien hypertexte visité" xfId="18634" builtinId="9" hidden="1"/>
    <cellStyle name="Lien hypertexte visité" xfId="24154" builtinId="9" hidden="1"/>
    <cellStyle name="Lien hypertexte visité" xfId="14330" builtinId="9" hidden="1"/>
    <cellStyle name="Lien hypertexte visité" xfId="12346" builtinId="9" hidden="1"/>
    <cellStyle name="Lien hypertexte visité" xfId="20962" builtinId="9" hidden="1"/>
    <cellStyle name="Lien hypertexte visité" xfId="17361" builtinId="9" hidden="1"/>
    <cellStyle name="Lien hypertexte visité" xfId="12526" builtinId="9" hidden="1"/>
    <cellStyle name="Lien hypertexte visité" xfId="14183" builtinId="9" hidden="1"/>
    <cellStyle name="Lien hypertexte visité" xfId="5990" builtinId="9" hidden="1"/>
    <cellStyle name="Lien hypertexte visité" xfId="1309" builtinId="9" hidden="1"/>
    <cellStyle name="Lien hypertexte visité" xfId="2974" builtinId="9" hidden="1"/>
    <cellStyle name="Lien hypertexte visité" xfId="819" builtinId="9" hidden="1"/>
    <cellStyle name="Lien hypertexte visité" xfId="2656" builtinId="9" hidden="1"/>
    <cellStyle name="Lien hypertexte visité" xfId="5350" builtinId="9" hidden="1"/>
    <cellStyle name="Lien hypertexte visité" xfId="8167" builtinId="9" hidden="1"/>
    <cellStyle name="Lien hypertexte visité" xfId="9831" builtinId="9" hidden="1"/>
    <cellStyle name="Lien hypertexte visité" xfId="12519" builtinId="9" hidden="1"/>
    <cellStyle name="Lien hypertexte visité" xfId="16155" builtinId="9" hidden="1"/>
    <cellStyle name="Lien hypertexte visité" xfId="9198" builtinId="9" hidden="1"/>
    <cellStyle name="Lien hypertexte visité" xfId="10990" builtinId="9" hidden="1"/>
    <cellStyle name="Lien hypertexte visité" xfId="12782" builtinId="9" hidden="1"/>
    <cellStyle name="Lien hypertexte visité" xfId="13974" builtinId="9" hidden="1"/>
    <cellStyle name="Lien hypertexte visité" xfId="17017" builtinId="9" hidden="1"/>
    <cellStyle name="Lien hypertexte visité" xfId="20584" builtinId="9" hidden="1"/>
    <cellStyle name="Lien hypertexte visité" xfId="22976" builtinId="9" hidden="1"/>
    <cellStyle name="Lien hypertexte visité" xfId="22666" builtinId="9" hidden="1"/>
    <cellStyle name="Lien hypertexte visité" xfId="19082" builtinId="9" hidden="1"/>
    <cellStyle name="Lien hypertexte visité" xfId="20122" builtinId="9" hidden="1"/>
    <cellStyle name="Lien hypertexte visité" xfId="17857" builtinId="9" hidden="1"/>
    <cellStyle name="Lien hypertexte visité" xfId="11418" builtinId="9" hidden="1"/>
    <cellStyle name="Lien hypertexte visité" xfId="12538" builtinId="9" hidden="1"/>
    <cellStyle name="Lien hypertexte visité" xfId="14426" builtinId="9" hidden="1"/>
    <cellStyle name="Lien hypertexte visité" xfId="17921" builtinId="9" hidden="1"/>
    <cellStyle name="Lien hypertexte visité" xfId="20080" builtinId="9" hidden="1"/>
    <cellStyle name="Lien hypertexte visité" xfId="23856" builtinId="9" hidden="1"/>
    <cellStyle name="Lien hypertexte visité" xfId="21786" builtinId="9" hidden="1"/>
    <cellStyle name="Lien hypertexte visité" xfId="19034" builtinId="9" hidden="1"/>
    <cellStyle name="Lien hypertexte visité" xfId="17923" builtinId="9" hidden="1"/>
    <cellStyle name="Lien hypertexte visité" xfId="19146" builtinId="9" hidden="1"/>
    <cellStyle name="Lien hypertexte visité" xfId="19890" builtinId="9" hidden="1"/>
    <cellStyle name="Lien hypertexte visité" xfId="21090" builtinId="9" hidden="1"/>
    <cellStyle name="Lien hypertexte visité" xfId="22346" builtinId="9" hidden="1"/>
    <cellStyle name="Lien hypertexte visité" xfId="23074" builtinId="9" hidden="1"/>
    <cellStyle name="Lien hypertexte visité" xfId="24266" builtinId="9" hidden="1"/>
    <cellStyle name="Lien hypertexte visité" xfId="23704" builtinId="9" hidden="1"/>
    <cellStyle name="Lien hypertexte visité" xfId="22784" builtinId="9" hidden="1"/>
    <cellStyle name="Lien hypertexte visité" xfId="21592" builtinId="9" hidden="1"/>
    <cellStyle name="Lien hypertexte visité" xfId="20392" builtinId="9" hidden="1"/>
    <cellStyle name="Lien hypertexte visité" xfId="19608" builtinId="9" hidden="1"/>
    <cellStyle name="Lien hypertexte visité" xfId="18408" builtinId="9" hidden="1"/>
    <cellStyle name="Lien hypertexte visité" xfId="17233" builtinId="9" hidden="1"/>
    <cellStyle name="Lien hypertexte visité" xfId="16441" builtinId="9" hidden="1"/>
    <cellStyle name="Lien hypertexte visité" xfId="15249" builtinId="9" hidden="1"/>
    <cellStyle name="Lien hypertexte visité" xfId="14286" builtinId="9" hidden="1"/>
    <cellStyle name="Lien hypertexte visité" xfId="13826" builtinId="9" hidden="1"/>
    <cellStyle name="Lien hypertexte visité" xfId="13198" builtinId="9" hidden="1"/>
    <cellStyle name="Lien hypertexte visité" xfId="12598" builtinId="9" hidden="1"/>
    <cellStyle name="Lien hypertexte visité" xfId="12238" builtinId="9" hidden="1"/>
    <cellStyle name="Lien hypertexte visité" xfId="11606" builtinId="9" hidden="1"/>
    <cellStyle name="Lien hypertexte visité" xfId="11010" builtinId="9" hidden="1"/>
    <cellStyle name="Lien hypertexte visité" xfId="10638" builtinId="9" hidden="1"/>
    <cellStyle name="Lien hypertexte visité" xfId="10018" builtinId="9" hidden="1"/>
    <cellStyle name="Lien hypertexte visité" xfId="9422" builtinId="9" hidden="1"/>
    <cellStyle name="Lien hypertexte visité" xfId="8962" builtinId="9" hidden="1"/>
    <cellStyle name="Lien hypertexte visité" xfId="8366" builtinId="9" hidden="1"/>
    <cellStyle name="Lien hypertexte visité" xfId="15867" builtinId="9" hidden="1"/>
    <cellStyle name="Lien hypertexte visité" xfId="14779" builtinId="9" hidden="1"/>
    <cellStyle name="Lien hypertexte visité" xfId="13751" builtinId="9" hidden="1"/>
    <cellStyle name="Lien hypertexte visité" xfId="12807" builtinId="9" hidden="1"/>
    <cellStyle name="Lien hypertexte visité" xfId="12247" builtinId="9" hidden="1"/>
    <cellStyle name="Lien hypertexte visité" xfId="11351" builtinId="9" hidden="1"/>
    <cellStyle name="Lien hypertexte visité" xfId="10423" builtinId="9" hidden="1"/>
    <cellStyle name="Lien hypertexte visité" xfId="9735" builtinId="9" hidden="1"/>
    <cellStyle name="Lien hypertexte visité" xfId="8839" builtinId="9" hidden="1"/>
    <cellStyle name="Lien hypertexte visité" xfId="7943" builtinId="9" hidden="1"/>
    <cellStyle name="Lien hypertexte visité" xfId="7350" builtinId="9" hidden="1"/>
    <cellStyle name="Lien hypertexte visité" xfId="6454" builtinId="9" hidden="1"/>
    <cellStyle name="Lien hypertexte visité" xfId="5558" builtinId="9" hidden="1"/>
    <cellStyle name="Lien hypertexte visité" xfId="4950" builtinId="9" hidden="1"/>
    <cellStyle name="Lien hypertexte visité" xfId="4054" builtinId="9" hidden="1"/>
    <cellStyle name="Lien hypertexte visité" xfId="3152" builtinId="9" hidden="1"/>
    <cellStyle name="Lien hypertexte visité" xfId="2480" builtinId="9" hidden="1"/>
    <cellStyle name="Lien hypertexte visité" xfId="1536" builtinId="9" hidden="1"/>
    <cellStyle name="Lien hypertexte visité" xfId="115" builtinId="9" hidden="1"/>
    <cellStyle name="Lien hypertexte visité" xfId="975" builtinId="9" hidden="1"/>
    <cellStyle name="Lien hypertexte visité" xfId="1998" builtinId="9" hidden="1"/>
    <cellStyle name="Lien hypertexte visité" xfId="2894" builtinId="9" hidden="1"/>
    <cellStyle name="Lien hypertexte visité" xfId="3454" builtinId="9" hidden="1"/>
    <cellStyle name="Lien hypertexte visité" xfId="4404" builtinId="9" hidden="1"/>
    <cellStyle name="Lien hypertexte visité" xfId="5300" builtinId="9" hidden="1"/>
    <cellStyle name="Lien hypertexte visité" xfId="5972" builtinId="9" hidden="1"/>
    <cellStyle name="Lien hypertexte visité" xfId="6868" builtinId="9" hidden="1"/>
    <cellStyle name="Lien hypertexte visité" xfId="7813" builtinId="9" hidden="1"/>
    <cellStyle name="Lien hypertexte visité" xfId="8373" builtinId="9" hidden="1"/>
    <cellStyle name="Lien hypertexte visité" xfId="9269" builtinId="9" hidden="1"/>
    <cellStyle name="Lien hypertexte visité" xfId="10197" builtinId="9" hidden="1"/>
    <cellStyle name="Lien hypertexte visité" xfId="10757" builtinId="9" hidden="1"/>
    <cellStyle name="Lien hypertexte visité" xfId="11653" builtinId="9" hidden="1"/>
    <cellStyle name="Lien hypertexte visité" xfId="12597" builtinId="9" hidden="1"/>
    <cellStyle name="Lien hypertexte visité" xfId="13269" builtinId="9" hidden="1"/>
    <cellStyle name="Lien hypertexte visité" xfId="14165" builtinId="9" hidden="1"/>
    <cellStyle name="Lien hypertexte visité" xfId="15607" builtinId="9" hidden="1"/>
    <cellStyle name="Lien hypertexte visité" xfId="16823" builtinId="9" hidden="1"/>
    <cellStyle name="Lien hypertexte visité" xfId="18598" builtinId="9" hidden="1"/>
    <cellStyle name="Lien hypertexte visité" xfId="9338" builtinId="9" hidden="1"/>
    <cellStyle name="Lien hypertexte visité" xfId="4117" builtinId="9" hidden="1"/>
    <cellStyle name="Lien hypertexte visité" xfId="4885" builtinId="9" hidden="1"/>
    <cellStyle name="Lien hypertexte visité" xfId="5653" builtinId="9" hidden="1"/>
    <cellStyle name="Lien hypertexte visité" xfId="6237" builtinId="9" hidden="1"/>
    <cellStyle name="Lien hypertexte visité" xfId="7041" builtinId="9" hidden="1"/>
    <cellStyle name="Lien hypertexte visité" xfId="7810" builtinId="9" hidden="1"/>
    <cellStyle name="Lien hypertexte visité" xfId="7721" builtinId="9" hidden="1"/>
    <cellStyle name="Lien hypertexte visité" xfId="2451" builtinId="9" hidden="1"/>
    <cellStyle name="Lien hypertexte visité" xfId="3167" builtinId="9" hidden="1"/>
    <cellStyle name="Lien hypertexte visité" xfId="3612" builtinId="9" hidden="1"/>
    <cellStyle name="Lien hypertexte visité" xfId="1747" builtinId="9" hidden="1"/>
    <cellStyle name="Lien hypertexte visité" xfId="1266" builtinId="9" hidden="1"/>
    <cellStyle name="Lien hypertexte visité" xfId="281" builtinId="9" hidden="1"/>
    <cellStyle name="Lien hypertexte visité" xfId="1081" builtinId="9" hidden="1"/>
    <cellStyle name="Lien hypertexte visité" xfId="1567" builtinId="9" hidden="1"/>
    <cellStyle name="Lien hypertexte visité" xfId="3744" builtinId="9" hidden="1"/>
    <cellStyle name="Lien hypertexte visité" xfId="3019" builtinId="9" hidden="1"/>
    <cellStyle name="Lien hypertexte visité" xfId="2267" builtinId="9" hidden="1"/>
    <cellStyle name="Lien hypertexte visité" xfId="6793" builtinId="9" hidden="1"/>
    <cellStyle name="Lien hypertexte visité" xfId="7649" builtinId="9" hidden="1"/>
    <cellStyle name="Lien hypertexte visité" xfId="6845" builtinId="9" hidden="1"/>
    <cellStyle name="Lien hypertexte visité" xfId="6261" builtinId="9" hidden="1"/>
    <cellStyle name="Lien hypertexte visité" xfId="5493" builtinId="9" hidden="1"/>
    <cellStyle name="Lien hypertexte visité" xfId="4725" builtinId="9" hidden="1"/>
    <cellStyle name="Lien hypertexte visité" xfId="4213" builtinId="9" hidden="1"/>
    <cellStyle name="Lien hypertexte visité" xfId="9898" builtinId="9" hidden="1"/>
    <cellStyle name="Lien hypertexte visité" xfId="12586" builtinId="9" hidden="1"/>
    <cellStyle name="Lien hypertexte visité" xfId="14378" builtinId="9" hidden="1"/>
    <cellStyle name="Lien hypertexte visité" xfId="19600" builtinId="9" hidden="1"/>
    <cellStyle name="Lien hypertexte visité" xfId="24250" builtinId="9" hidden="1"/>
    <cellStyle name="Lien hypertexte visité" xfId="20154" builtinId="9" hidden="1"/>
    <cellStyle name="Lien hypertexte visité" xfId="18235" builtinId="9" hidden="1"/>
    <cellStyle name="Lien hypertexte visité" xfId="20010" builtinId="9" hidden="1"/>
    <cellStyle name="Lien hypertexte visité" xfId="21122" builtinId="9" hidden="1"/>
    <cellStyle name="Lien hypertexte visité" xfId="22994" builtinId="9" hidden="1"/>
    <cellStyle name="Lien hypertexte visité" xfId="24440" builtinId="9" hidden="1"/>
    <cellStyle name="Lien hypertexte visité" xfId="23328" builtinId="9" hidden="1"/>
    <cellStyle name="Lien hypertexte visité" xfId="21448" builtinId="9" hidden="1"/>
    <cellStyle name="Lien hypertexte visité" xfId="19656" builtinId="9" hidden="1"/>
    <cellStyle name="Lien hypertexte visité" xfId="18311" builtinId="9" hidden="1"/>
    <cellStyle name="Lien hypertexte visité" xfId="16521" builtinId="9" hidden="1"/>
    <cellStyle name="Lien hypertexte visité" xfId="14641" builtinId="9" hidden="1"/>
    <cellStyle name="Lien hypertexte visité" xfId="14022" builtinId="9" hidden="1"/>
    <cellStyle name="Lien hypertexte visité" xfId="13126" builtinId="9" hidden="1"/>
    <cellStyle name="Lien hypertexte visité" xfId="12190" builtinId="9" hidden="1"/>
    <cellStyle name="Lien hypertexte visité" xfId="11634" builtinId="9" hidden="1"/>
    <cellStyle name="Lien hypertexte visité" xfId="10738" builtinId="9" hidden="1"/>
    <cellStyle name="Lien hypertexte visité" xfId="9798" builtinId="9" hidden="1"/>
    <cellStyle name="Lien hypertexte visité" xfId="9118" builtinId="9" hidden="1"/>
    <cellStyle name="Lien hypertexte visité" xfId="8222" builtinId="9" hidden="1"/>
    <cellStyle name="Lien hypertexte visité" xfId="14635" builtinId="9" hidden="1"/>
    <cellStyle name="Lien hypertexte visité" xfId="13679" builtinId="9" hidden="1"/>
    <cellStyle name="Lien hypertexte visité" xfId="12335" builtinId="9" hidden="1"/>
    <cellStyle name="Lien hypertexte visité" xfId="10991" builtinId="9" hidden="1"/>
    <cellStyle name="Lien hypertexte visité" xfId="10095" builtinId="9" hidden="1"/>
    <cellStyle name="Lien hypertexte visité" xfId="8751" builtinId="9" hidden="1"/>
    <cellStyle name="Lien hypertexte visité" xfId="7406" builtinId="9" hidden="1"/>
    <cellStyle name="Lien hypertexte visité" xfId="6382" builtinId="9" hidden="1"/>
    <cellStyle name="Lien hypertexte visité" xfId="4974" builtinId="9" hidden="1"/>
    <cellStyle name="Lien hypertexte visité" xfId="3625" builtinId="9" hidden="1"/>
    <cellStyle name="Lien hypertexte visité" xfId="2792" builtinId="9" hidden="1"/>
    <cellStyle name="Lien hypertexte visité" xfId="1383" builtinId="9" hidden="1"/>
    <cellStyle name="Lien hypertexte visité" xfId="1055" builtinId="9" hidden="1"/>
    <cellStyle name="Lien hypertexte visité" xfId="1942" builtinId="9" hidden="1"/>
    <cellStyle name="Lien hypertexte visité" xfId="3350" builtinId="9" hidden="1"/>
    <cellStyle name="Lien hypertexte visité" xfId="4700" builtinId="9" hidden="1"/>
    <cellStyle name="Lien hypertexte visité" xfId="5724" builtinId="9" hidden="1"/>
    <cellStyle name="Lien hypertexte visité" xfId="7068" builtinId="9" hidden="1"/>
    <cellStyle name="Lien hypertexte visité" xfId="8477" builtinId="9" hidden="1"/>
    <cellStyle name="Lien hypertexte visité" xfId="9309" builtinId="9" hidden="1"/>
    <cellStyle name="Lien hypertexte visité" xfId="10653" builtinId="9" hidden="1"/>
    <cellStyle name="Lien hypertexte visité" xfId="12061" builtinId="9" hidden="1"/>
    <cellStyle name="Lien hypertexte visité" xfId="12893" builtinId="9" hidden="1"/>
    <cellStyle name="Lien hypertexte visité" xfId="14237" builtinId="9" hidden="1"/>
    <cellStyle name="Lien hypertexte visité" xfId="16775" builtinId="9" hidden="1"/>
    <cellStyle name="Lien hypertexte visité" xfId="18806" builtinId="9" hidden="1"/>
    <cellStyle name="Lien hypertexte visité" xfId="21494" builtinId="9" hidden="1"/>
    <cellStyle name="Lien hypertexte visité" xfId="24182" builtinId="9" hidden="1"/>
    <cellStyle name="Lien hypertexte visité" xfId="23252" builtinId="9" hidden="1"/>
    <cellStyle name="Lien hypertexte visité" xfId="20564" builtinId="9" hidden="1"/>
    <cellStyle name="Lien hypertexte visité" xfId="17893" builtinId="9" hidden="1"/>
    <cellStyle name="Lien hypertexte visité" xfId="16101" builtinId="9" hidden="1"/>
    <cellStyle name="Lien hypertexte visité" xfId="13964" builtinId="9" hidden="1"/>
    <cellStyle name="Lien hypertexte visité" xfId="12620" builtinId="9" hidden="1"/>
    <cellStyle name="Lien hypertexte visité" xfId="11596" builtinId="9" hidden="1"/>
    <cellStyle name="Lien hypertexte visité" xfId="10188" builtinId="9" hidden="1"/>
    <cellStyle name="Lien hypertexte visité" xfId="8844" builtinId="9" hidden="1"/>
    <cellStyle name="Lien hypertexte visité" xfId="8012" builtinId="9" hidden="1"/>
    <cellStyle name="Lien hypertexte visité" xfId="6603" builtinId="9" hidden="1"/>
    <cellStyle name="Lien hypertexte visité" xfId="5259" builtinId="9" hidden="1"/>
    <cellStyle name="Lien hypertexte visité" xfId="4427" builtinId="9" hidden="1"/>
    <cellStyle name="Lien hypertexte visité" xfId="3013" builtinId="9" hidden="1"/>
    <cellStyle name="Lien hypertexte visité" xfId="1669" builtinId="9" hidden="1"/>
    <cellStyle name="Lien hypertexte visité" xfId="233" builtinId="9" hidden="1"/>
    <cellStyle name="Lien hypertexte visité" xfId="1849" builtinId="9" hidden="1"/>
    <cellStyle name="Lien hypertexte visité" xfId="3257" builtinId="9" hidden="1"/>
    <cellStyle name="Lien hypertexte visité" xfId="4095" builtinId="9" hidden="1"/>
    <cellStyle name="Lien hypertexte visité" xfId="5439" builtinId="9" hidden="1"/>
    <cellStyle name="Lien hypertexte visité" xfId="6847" builtinId="9" hidden="1"/>
    <cellStyle name="Lien hypertexte visité" xfId="7679" builtinId="9" hidden="1"/>
    <cellStyle name="Lien hypertexte visité" xfId="395" builtinId="9" hidden="1"/>
    <cellStyle name="Lien hypertexte visité" xfId="1305" builtinId="9" hidden="1"/>
    <cellStyle name="Lien hypertexte visité" xfId="1994" builtinId="9" hidden="1"/>
    <cellStyle name="Lien hypertexte visité" xfId="7204" builtinId="9" hidden="1"/>
    <cellStyle name="Lien hypertexte visité" xfId="11301" builtinId="9" hidden="1"/>
    <cellStyle name="Lien hypertexte visité" xfId="13861" builtinId="9" hidden="1"/>
    <cellStyle name="Lien hypertexte visité" xfId="5491" builtinId="9" hidden="1"/>
    <cellStyle name="Lien hypertexte visité" xfId="6675" builtinId="9" hidden="1"/>
    <cellStyle name="Lien hypertexte visité" xfId="7395" builtinId="9" hidden="1"/>
    <cellStyle name="Lien hypertexte visité" xfId="8564" builtinId="9" hidden="1"/>
    <cellStyle name="Lien hypertexte visité" xfId="9748" builtinId="9" hidden="1"/>
    <cellStyle name="Lien hypertexte visité" xfId="10612" builtinId="9" hidden="1"/>
    <cellStyle name="Lien hypertexte visité" xfId="11796" builtinId="9" hidden="1"/>
    <cellStyle name="Lien hypertexte visité" xfId="12964" builtinId="9" hidden="1"/>
    <cellStyle name="Lien hypertexte visité" xfId="13684" builtinId="9" hidden="1"/>
    <cellStyle name="Lien hypertexte visité" xfId="15221" builtinId="9" hidden="1"/>
    <cellStyle name="Lien hypertexte visité" xfId="17557" builtinId="9" hidden="1"/>
    <cellStyle name="Lien hypertexte visité" xfId="18980" builtinId="9" hidden="1"/>
    <cellStyle name="Lien hypertexte visité" xfId="21348" builtinId="9" hidden="1"/>
    <cellStyle name="Lien hypertexte visité" xfId="23684" builtinId="9" hidden="1"/>
    <cellStyle name="Lien hypertexte visité" xfId="23782" builtinId="9" hidden="1"/>
    <cellStyle name="Lien hypertexte visité" xfId="21446" builtinId="9" hidden="1"/>
    <cellStyle name="Lien hypertexte visité" xfId="19110" builtinId="9" hidden="1"/>
    <cellStyle name="Lien hypertexte visité" xfId="20036" builtinId="9" hidden="1"/>
    <cellStyle name="Lien hypertexte visité" xfId="9092" builtinId="9" hidden="1"/>
    <cellStyle name="Lien hypertexte visité" xfId="2273" builtinId="9" hidden="1"/>
    <cellStyle name="Lien hypertexte visité" xfId="1585" builtinId="9" hidden="1"/>
    <cellStyle name="Lien hypertexte visité" xfId="225" builtinId="9" hidden="1"/>
    <cellStyle name="Lien hypertexte visité" xfId="1741" builtinId="9" hidden="1"/>
    <cellStyle name="Lien hypertexte visité" xfId="2573" builtinId="9" hidden="1"/>
    <cellStyle name="Lien hypertexte visité" xfId="3667" builtinId="9" hidden="1"/>
    <cellStyle name="Lien hypertexte visité" xfId="4755" builtinId="9" hidden="1"/>
    <cellStyle name="Lien hypertexte visité" xfId="1276" builtinId="9" hidden="1"/>
    <cellStyle name="Lien hypertexte visité" xfId="5079" builtinId="9" hidden="1"/>
    <cellStyle name="Lien hypertexte visité" xfId="4023" builtinId="9" hidden="1"/>
    <cellStyle name="Lien hypertexte visité" xfId="3361" builtinId="9" hidden="1"/>
    <cellStyle name="Lien hypertexte visité" xfId="6999" builtinId="9" hidden="1"/>
    <cellStyle name="Lien hypertexte visité" xfId="5959" builtinId="9" hidden="1"/>
    <cellStyle name="Lien hypertexte visité" xfId="8472" builtinId="9" hidden="1"/>
    <cellStyle name="Lien hypertexte visité" xfId="8664" builtinId="9" hidden="1"/>
    <cellStyle name="Lien hypertexte visité" xfId="8088" builtinId="9" hidden="1"/>
    <cellStyle name="Lien hypertexte visité" xfId="6519" builtinId="9" hidden="1"/>
    <cellStyle name="Lien hypertexte visité" xfId="2881" builtinId="9" hidden="1"/>
    <cellStyle name="Lien hypertexte visité" xfId="3943" builtinId="9" hidden="1"/>
    <cellStyle name="Lien hypertexte visité" xfId="4599" builtinId="9" hidden="1"/>
    <cellStyle name="Lien hypertexte visité" xfId="5655" builtinId="9" hidden="1"/>
    <cellStyle name="Lien hypertexte visité" xfId="4835" builtinId="9" hidden="1"/>
    <cellStyle name="Lien hypertexte visité" xfId="4019" builtinId="9" hidden="1"/>
    <cellStyle name="Lien hypertexte visité" xfId="2925" builtinId="9" hidden="1"/>
    <cellStyle name="Lien hypertexte visité" xfId="1837" builtinId="9" hidden="1"/>
    <cellStyle name="Lien hypertexte visité" xfId="1133" builtinId="9" hidden="1"/>
    <cellStyle name="Lien hypertexte visité" xfId="1013" builtinId="9" hidden="1"/>
    <cellStyle name="Lien hypertexte visité" xfId="2193" builtinId="9" hidden="1"/>
    <cellStyle name="Lien hypertexte visité" xfId="5379" builtinId="9" hidden="1"/>
    <cellStyle name="Lien hypertexte visité" xfId="13572" builtinId="9" hidden="1"/>
    <cellStyle name="Lien hypertexte visité" xfId="20230" builtinId="9" hidden="1"/>
    <cellStyle name="Lien hypertexte visité" xfId="20678" builtinId="9" hidden="1"/>
    <cellStyle name="Lien hypertexte visité" xfId="23014" builtinId="9" hidden="1"/>
    <cellStyle name="Lien hypertexte visité" xfId="23844" builtinId="9" hidden="1"/>
    <cellStyle name="Lien hypertexte visité" xfId="22404" builtinId="9" hidden="1"/>
    <cellStyle name="Lien hypertexte visité" xfId="20068" builtinId="9" hidden="1"/>
    <cellStyle name="Lien hypertexte visité" xfId="17717" builtinId="9" hidden="1"/>
    <cellStyle name="Lien hypertexte visité" xfId="16277" builtinId="9" hidden="1"/>
    <cellStyle name="Lien hypertexte visité" xfId="14228" builtinId="9" hidden="1"/>
    <cellStyle name="Lien hypertexte visité" xfId="13044" builtinId="9" hidden="1"/>
    <cellStyle name="Lien hypertexte visité" xfId="12180" builtinId="9" hidden="1"/>
    <cellStyle name="Lien hypertexte visité" xfId="10996" builtinId="9" hidden="1"/>
    <cellStyle name="Lien hypertexte visité" xfId="9828" builtinId="9" hidden="1"/>
    <cellStyle name="Lien hypertexte visité" xfId="9108" builtinId="9" hidden="1"/>
    <cellStyle name="Lien hypertexte visité" xfId="7924" builtinId="9" hidden="1"/>
    <cellStyle name="Lien hypertexte visité" xfId="6755" builtinId="9" hidden="1"/>
    <cellStyle name="Lien hypertexte visité" xfId="6035" builtinId="9" hidden="1"/>
    <cellStyle name="Lien hypertexte visité" xfId="16919" builtinId="9" hidden="1"/>
    <cellStyle name="Lien hypertexte visité" xfId="11621" builtinId="9" hidden="1"/>
    <cellStyle name="Lien hypertexte visité" xfId="8549" builtinId="9" hidden="1"/>
    <cellStyle name="Lien hypertexte visité" xfId="4452" builtinId="9" hidden="1"/>
    <cellStyle name="Lien hypertexte visité" xfId="435" builtinId="9" hidden="1"/>
    <cellStyle name="Lien hypertexte visité" xfId="3360" builtinId="9" hidden="1"/>
    <cellStyle name="Lien hypertexte visité" xfId="7462" builtinId="9" hidden="1"/>
    <cellStyle name="Lien hypertexte visité" xfId="11559" builtinId="9" hidden="1"/>
    <cellStyle name="Lien hypertexte visité" xfId="14119" builtinId="9" hidden="1"/>
    <cellStyle name="Lien hypertexte visité" xfId="9750" builtinId="9" hidden="1"/>
    <cellStyle name="Lien hypertexte visité" xfId="12482" builtinId="9" hidden="1"/>
    <cellStyle name="Lien hypertexte visité" xfId="14545" builtinId="9" hidden="1"/>
    <cellStyle name="Lien hypertexte visité" xfId="19992" builtinId="9" hidden="1"/>
    <cellStyle name="Lien hypertexte visité" xfId="23778" builtinId="9" hidden="1"/>
    <cellStyle name="Lien hypertexte visité" xfId="20362" builtinId="9" hidden="1"/>
    <cellStyle name="Lien hypertexte visité" xfId="24474" builtinId="9" hidden="1"/>
    <cellStyle name="Lien hypertexte visité" xfId="11450" builtinId="9" hidden="1"/>
    <cellStyle name="Lien hypertexte visité" xfId="12922" builtinId="9" hidden="1"/>
    <cellStyle name="Lien hypertexte visité" xfId="16769" builtinId="9" hidden="1"/>
    <cellStyle name="Lien hypertexte visité" xfId="22256" builtinId="9" hidden="1"/>
    <cellStyle name="Lien hypertexte visité" xfId="22874" builtinId="9" hidden="1"/>
    <cellStyle name="Lien hypertexte visité" xfId="17451" builtinId="9" hidden="1"/>
    <cellStyle name="Lien hypertexte visité" xfId="19058" builtinId="9" hidden="1"/>
    <cellStyle name="Lien hypertexte visité" xfId="20210" builtinId="9" hidden="1"/>
    <cellStyle name="Lien hypertexte visité" xfId="22026" builtinId="9" hidden="1"/>
    <cellStyle name="Lien hypertexte visité" xfId="23842" builtinId="9" hidden="1"/>
    <cellStyle name="Lien hypertexte visité" xfId="24232" builtinId="9" hidden="1"/>
    <cellStyle name="Lien hypertexte visité" xfId="22424" builtinId="9" hidden="1"/>
    <cellStyle name="Lien hypertexte visité" xfId="20608" builtinId="9" hidden="1"/>
    <cellStyle name="Lien hypertexte visité" xfId="19240" builtinId="9" hidden="1"/>
    <cellStyle name="Lien hypertexte visité" xfId="17425" builtinId="9" hidden="1"/>
    <cellStyle name="Lien hypertexte visité" xfId="15609" builtinId="9" hidden="1"/>
    <cellStyle name="Lien hypertexte visité" xfId="14498" builtinId="9" hidden="1"/>
    <cellStyle name="Lien hypertexte visité" xfId="13582" builtinId="9" hidden="1"/>
    <cellStyle name="Lien hypertexte visité" xfId="12674" builtinId="9" hidden="1"/>
    <cellStyle name="Lien hypertexte visité" xfId="12110" builtinId="9" hidden="1"/>
    <cellStyle name="Lien hypertexte visité" xfId="11190" builtinId="9" hidden="1"/>
    <cellStyle name="Lien hypertexte visité" xfId="10286" builtinId="9" hidden="1"/>
    <cellStyle name="Lien hypertexte visité" xfId="9602" builtinId="9" hidden="1"/>
    <cellStyle name="Lien hypertexte visité" xfId="8694" builtinId="9" hidden="1"/>
    <cellStyle name="Lien hypertexte visité" xfId="15995" builtinId="9" hidden="1"/>
    <cellStyle name="Lien hypertexte visité" xfId="14407" builtinId="9" hidden="1"/>
    <cellStyle name="Lien hypertexte visité" xfId="13047" builtinId="9" hidden="1"/>
    <cellStyle name="Lien hypertexte visité" xfId="11671" builtinId="9" hidden="1"/>
    <cellStyle name="Lien hypertexte visité" xfId="10823" builtinId="9" hidden="1"/>
    <cellStyle name="Lien hypertexte visité" xfId="9463" builtinId="9" hidden="1"/>
    <cellStyle name="Lien hypertexte visité" xfId="8087" builtinId="9" hidden="1"/>
    <cellStyle name="Lien hypertexte visité" xfId="7062" builtinId="9" hidden="1"/>
    <cellStyle name="Lien hypertexte visité" xfId="5702" builtinId="9" hidden="1"/>
    <cellStyle name="Lien hypertexte visité" xfId="4342" builtinId="9" hidden="1"/>
    <cellStyle name="Lien hypertexte visité" xfId="3472" builtinId="9" hidden="1"/>
    <cellStyle name="Lien hypertexte visité" xfId="2112" builtinId="9" hidden="1"/>
    <cellStyle name="Lien hypertexte visité" xfId="339" builtinId="9" hidden="1"/>
    <cellStyle name="Lien hypertexte visité" xfId="1261" builtinId="9" hidden="1"/>
    <cellStyle name="Lien hypertexte visité" xfId="2622" builtinId="9" hidden="1"/>
    <cellStyle name="Lien hypertexte visité" xfId="3988" builtinId="9" hidden="1"/>
    <cellStyle name="Lien hypertexte visité" xfId="5012" builtinId="9" hidden="1"/>
    <cellStyle name="Lien hypertexte visité" xfId="6388" builtinId="9" hidden="1"/>
    <cellStyle name="Lien hypertexte visité" xfId="7748" builtinId="9" hidden="1"/>
    <cellStyle name="Lien hypertexte visité" xfId="8597" builtinId="9" hidden="1"/>
    <cellStyle name="Lien hypertexte visité" xfId="9973" builtinId="9" hidden="1"/>
    <cellStyle name="Lien hypertexte visité" xfId="11333" builtinId="9" hidden="1"/>
    <cellStyle name="Lien hypertexte visité" xfId="12181" builtinId="9" hidden="1"/>
    <cellStyle name="Lien hypertexte visité" xfId="13557" builtinId="9" hidden="1"/>
    <cellStyle name="Lien hypertexte visité" xfId="15319" builtinId="9" hidden="1"/>
    <cellStyle name="Lien hypertexte visité" xfId="17367" builtinId="9" hidden="1"/>
    <cellStyle name="Lien hypertexte visité" xfId="9786" builtinId="9" hidden="1"/>
    <cellStyle name="Lien hypertexte visité" xfId="4645" builtinId="9" hidden="1"/>
    <cellStyle name="Lien hypertexte visité" xfId="5377" builtinId="9" hidden="1"/>
    <cellStyle name="Lien hypertexte visité" xfId="6549" builtinId="9" hidden="1"/>
    <cellStyle name="Lien hypertexte visité" xfId="7717" builtinId="9" hidden="1"/>
    <cellStyle name="Lien hypertexte visité" xfId="6569" builtinId="9" hidden="1"/>
    <cellStyle name="Lien hypertexte visité" xfId="2943" builtinId="9" hidden="1"/>
    <cellStyle name="Lien hypertexte visité" xfId="1430" builtinId="9" hidden="1"/>
    <cellStyle name="Lien hypertexte visité" xfId="1603" builtinId="9" hidden="1"/>
    <cellStyle name="Lien hypertexte visité" xfId="721" builtinId="9" hidden="1"/>
    <cellStyle name="Lien hypertexte visité" xfId="1619" builtinId="9" hidden="1"/>
    <cellStyle name="Lien hypertexte visité" xfId="3547" builtinId="9" hidden="1"/>
    <cellStyle name="Lien hypertexte visité" xfId="2455" builtinId="9" hidden="1"/>
    <cellStyle name="Lien hypertexte visité" xfId="7926" builtinId="9" hidden="1"/>
    <cellStyle name="Lien hypertexte visité" xfId="7193" builtinId="9" hidden="1"/>
    <cellStyle name="Lien hypertexte visité" xfId="6021" builtinId="9" hidden="1"/>
    <cellStyle name="Lien hypertexte visité" xfId="4853" builtinId="9" hidden="1"/>
    <cellStyle name="Lien hypertexte visité" xfId="3973" builtinId="9" hidden="1"/>
    <cellStyle name="Lien hypertexte visité" xfId="12138" builtinId="9" hidden="1"/>
    <cellStyle name="Lien hypertexte visité" xfId="17953" builtinId="9" hidden="1"/>
    <cellStyle name="Lien hypertexte visité" xfId="23056" builtinId="9" hidden="1"/>
    <cellStyle name="Lien hypertexte visité" xfId="17995" builtinId="9" hidden="1"/>
    <cellStyle name="Lien hypertexte visité" xfId="19794" builtinId="9" hidden="1"/>
    <cellStyle name="Lien hypertexte visité" xfId="21506" builtinId="9" hidden="1"/>
    <cellStyle name="Lien hypertexte visité" xfId="24234" builtinId="9" hidden="1"/>
    <cellStyle name="Lien hypertexte visité" xfId="22264" builtinId="9" hidden="1"/>
    <cellStyle name="Lien hypertexte visité" xfId="20216" builtinId="9" hidden="1"/>
    <cellStyle name="Lien hypertexte visité" xfId="17497" builtinId="9" hidden="1"/>
    <cellStyle name="Lien hypertexte visité" xfId="14769" builtinId="9" hidden="1"/>
    <cellStyle name="Lien hypertexte visité" xfId="13790" builtinId="9" hidden="1"/>
    <cellStyle name="Lien hypertexte visité" xfId="12422" builtinId="9" hidden="1"/>
    <cellStyle name="Lien hypertexte visité" xfId="11058" builtinId="9" hidden="1"/>
    <cellStyle name="Lien hypertexte visité" xfId="10206" builtinId="9" hidden="1"/>
    <cellStyle name="Lien hypertexte visité" xfId="8838" builtinId="9" hidden="1"/>
    <cellStyle name="Lien hypertexte visité" xfId="15083" builtinId="9" hidden="1"/>
    <cellStyle name="Lien hypertexte visité" xfId="13263" builtinId="9" hidden="1"/>
    <cellStyle name="Lien hypertexte visité" xfId="11215" builtinId="9" hidden="1"/>
    <cellStyle name="Lien hypertexte visité" xfId="9167" builtinId="9" hidden="1"/>
    <cellStyle name="Lien hypertexte visité" xfId="7887" builtinId="9" hidden="1"/>
    <cellStyle name="Lien hypertexte visité" xfId="5838" builtinId="9" hidden="1"/>
    <cellStyle name="Lien hypertexte visité" xfId="3793" builtinId="9" hidden="1"/>
    <cellStyle name="Lien hypertexte visité" xfId="2504" builtinId="9" hidden="1"/>
    <cellStyle name="Lien hypertexte visité" xfId="223" builtinId="9" hidden="1"/>
    <cellStyle name="Lien hypertexte visité" xfId="2742" builtinId="9" hidden="1"/>
    <cellStyle name="Lien hypertexte visité" xfId="4284" builtinId="9" hidden="1"/>
    <cellStyle name="Lien hypertexte visité" xfId="6332" builtinId="9" hidden="1"/>
    <cellStyle name="Lien hypertexte visité" xfId="8381" builtinId="9" hidden="1"/>
    <cellStyle name="Lien hypertexte visité" xfId="9661" builtinId="9" hidden="1"/>
    <cellStyle name="Lien hypertexte visité" xfId="11709" builtinId="9" hidden="1"/>
    <cellStyle name="Lien hypertexte visité" xfId="13757" builtinId="9" hidden="1"/>
    <cellStyle name="Lien hypertexte visité" xfId="15559" builtinId="9" hidden="1"/>
    <cellStyle name="Lien hypertexte visité" xfId="19638" builtinId="9" hidden="1"/>
    <cellStyle name="Lien hypertexte visité" xfId="23734" builtinId="9" hidden="1"/>
    <cellStyle name="Lien hypertexte visité" xfId="22420" builtinId="9" hidden="1"/>
    <cellStyle name="Lien hypertexte visité" xfId="18325" builtinId="9" hidden="1"/>
    <cellStyle name="Lien hypertexte visité" xfId="14380" builtinId="9" hidden="1"/>
    <cellStyle name="Lien hypertexte visité" xfId="13100" builtinId="9" hidden="1"/>
    <cellStyle name="Lien hypertexte visité" xfId="11052" builtinId="9" hidden="1"/>
    <cellStyle name="Lien hypertexte visité" xfId="9004" builtinId="9" hidden="1"/>
    <cellStyle name="Lien hypertexte visité" xfId="7723" builtinId="9" hidden="1"/>
    <cellStyle name="Lien hypertexte visité" xfId="5675" builtinId="9" hidden="1"/>
    <cellStyle name="Lien hypertexte visité" xfId="3622" builtinId="9" hidden="1"/>
    <cellStyle name="Lien hypertexte visité" xfId="2085" builtinId="9" hidden="1"/>
    <cellStyle name="Lien hypertexte visité" xfId="1061" builtinId="9" hidden="1"/>
    <cellStyle name="Lien hypertexte visité" xfId="3161" builtinId="9" hidden="1"/>
    <cellStyle name="Lien hypertexte visité" xfId="4447" builtinId="9" hidden="1"/>
    <cellStyle name="Lien hypertexte visité" xfId="6495" builtinId="9" hidden="1"/>
    <cellStyle name="Lien hypertexte visité" xfId="8544" builtinId="9" hidden="1"/>
    <cellStyle name="Lien hypertexte visité" xfId="647" builtinId="9" hidden="1"/>
    <cellStyle name="Lien hypertexte visité" xfId="2266" builtinId="9" hidden="1"/>
    <cellStyle name="Lien hypertexte visité" xfId="3635" builtinId="9" hidden="1"/>
    <cellStyle name="Lien hypertexte visité" xfId="4664" builtinId="9" hidden="1"/>
    <cellStyle name="Lien hypertexte visité" xfId="6032" builtinId="9" hidden="1"/>
    <cellStyle name="Lien hypertexte visité" xfId="7392" builtinId="9" hidden="1"/>
    <cellStyle name="Lien hypertexte visité" xfId="8249" builtinId="9" hidden="1"/>
    <cellStyle name="Lien hypertexte visité" xfId="9617" builtinId="9" hidden="1"/>
    <cellStyle name="Lien hypertexte visité" xfId="10977" builtinId="9" hidden="1"/>
    <cellStyle name="Lien hypertexte visité" xfId="11833" builtinId="9" hidden="1"/>
    <cellStyle name="Lien hypertexte visité" xfId="13201" builtinId="9" hidden="1"/>
    <cellStyle name="Lien hypertexte visité" xfId="14607" builtinId="9" hidden="1"/>
    <cellStyle name="Lien hypertexte visité" xfId="16655" builtinId="9" hidden="1"/>
    <cellStyle name="Lien hypertexte visité" xfId="19374" builtinId="9" hidden="1"/>
    <cellStyle name="Lien hypertexte visité" xfId="22110" builtinId="9" hidden="1"/>
    <cellStyle name="Lien hypertexte visité" xfId="23806" builtinId="9" hidden="1"/>
    <cellStyle name="Lien hypertexte visité" xfId="22684" builtinId="9" hidden="1"/>
    <cellStyle name="Lien hypertexte visité" xfId="19948" builtinId="9" hidden="1"/>
    <cellStyle name="Lien hypertexte visité" xfId="18269" builtinId="9" hidden="1"/>
    <cellStyle name="Lien hypertexte visité" xfId="15533" builtinId="9" hidden="1"/>
    <cellStyle name="Lien hypertexte visité" xfId="13656" builtinId="9" hidden="1"/>
    <cellStyle name="Lien hypertexte visité" xfId="12632" builtinId="9" hidden="1"/>
    <cellStyle name="Lien hypertexte visité" xfId="11272" builtinId="9" hidden="1"/>
    <cellStyle name="Lien hypertexte visité" xfId="9904" builtinId="9" hidden="1"/>
    <cellStyle name="Lien hypertexte visité" xfId="9048" builtinId="9" hidden="1"/>
    <cellStyle name="Lien hypertexte visité" xfId="12352" builtinId="9" hidden="1"/>
    <cellStyle name="Lien hypertexte visité" xfId="18364" builtinId="9" hidden="1"/>
    <cellStyle name="Lien hypertexte visité" xfId="23484" builtinId="9" hidden="1"/>
    <cellStyle name="Lien hypertexte visité" xfId="17567" builtinId="9" hidden="1"/>
    <cellStyle name="Lien hypertexte visité" xfId="11945" builtinId="9" hidden="1"/>
    <cellStyle name="Lien hypertexte visité" xfId="8873" builtinId="9" hidden="1"/>
    <cellStyle name="Lien hypertexte visité" xfId="4776" builtinId="9" hidden="1"/>
    <cellStyle name="Lien hypertexte visité" xfId="183" builtinId="9" hidden="1"/>
    <cellStyle name="Lien hypertexte visité" xfId="8875" builtinId="9" hidden="1"/>
    <cellStyle name="Lien hypertexte visité" xfId="7698" builtinId="9" hidden="1"/>
    <cellStyle name="Lien hypertexte visité" xfId="6530" builtinId="9" hidden="1"/>
    <cellStyle name="Lien hypertexte visité" xfId="5802" builtinId="9" hidden="1"/>
    <cellStyle name="Lien hypertexte visité" xfId="4626" builtinId="9" hidden="1"/>
    <cellStyle name="Lien hypertexte visité" xfId="3452" builtinId="9" hidden="1"/>
    <cellStyle name="Lien hypertexte visité" xfId="2572" builtinId="9" hidden="1"/>
    <cellStyle name="Lien hypertexte visité" xfId="1403" builtinId="9" hidden="1"/>
    <cellStyle name="Lien hypertexte visité" xfId="5538" builtinId="9" hidden="1"/>
    <cellStyle name="Lien hypertexte visité" xfId="12755" builtinId="9" hidden="1"/>
    <cellStyle name="Lien hypertexte visité" xfId="11659" builtinId="9" hidden="1"/>
    <cellStyle name="Lien hypertexte visité" xfId="10571" builtinId="9" hidden="1"/>
    <cellStyle name="Lien hypertexte visité" xfId="9883" builtinId="9" hidden="1"/>
    <cellStyle name="Lien hypertexte visité" xfId="14019" builtinId="9" hidden="1"/>
    <cellStyle name="Lien hypertexte visité" xfId="12963" builtinId="9" hidden="1"/>
    <cellStyle name="Lien hypertexte visité" xfId="14531" builtinId="9" hidden="1"/>
    <cellStyle name="Lien hypertexte visité" xfId="16739" builtinId="9" hidden="1"/>
    <cellStyle name="Lien hypertexte visité" xfId="15523" builtinId="9" hidden="1"/>
    <cellStyle name="Lien hypertexte visité" xfId="13331" builtinId="9" hidden="1"/>
    <cellStyle name="Lien hypertexte visité" xfId="14395" builtinId="9" hidden="1"/>
    <cellStyle name="Lien hypertexte visité" xfId="10267" builtinId="9" hidden="1"/>
    <cellStyle name="Lien hypertexte visité" xfId="10955" builtinId="9" hidden="1"/>
    <cellStyle name="Lien hypertexte visité" xfId="12043" builtinId="9" hidden="1"/>
    <cellStyle name="Lien hypertexte visité" xfId="7778" builtinId="9" hidden="1"/>
    <cellStyle name="Lien hypertexte visité" xfId="1628" builtinId="9" hidden="1"/>
    <cellStyle name="Lien hypertexte visité" xfId="1964" builtinId="9" hidden="1"/>
    <cellStyle name="Lien hypertexte visité" xfId="3132" builtinId="9" hidden="1"/>
    <cellStyle name="Lien hypertexte visité" xfId="3869" builtinId="9" hidden="1"/>
    <cellStyle name="Lien hypertexte visité" xfId="5042" builtinId="9" hidden="1"/>
    <cellStyle name="Lien hypertexte visité" xfId="6210" builtinId="9" hidden="1"/>
    <cellStyle name="Lien hypertexte visité" xfId="6938" builtinId="9" hidden="1"/>
    <cellStyle name="Lien hypertexte visité" xfId="8115" builtinId="9" hidden="1"/>
    <cellStyle name="Lien hypertexte visité" xfId="9283" builtinId="9" hidden="1"/>
    <cellStyle name="Lien hypertexte visité" xfId="2626" builtinId="9" hidden="1"/>
    <cellStyle name="Lien hypertexte visité" xfId="9170" builtinId="9" hidden="1"/>
    <cellStyle name="Lien hypertexte visité" xfId="8254" builtinId="9" hidden="1"/>
    <cellStyle name="Lien hypertexte visité" xfId="15691" builtinId="9" hidden="1"/>
    <cellStyle name="Lien hypertexte visité" xfId="13759" builtinId="9" hidden="1"/>
    <cellStyle name="Lien hypertexte visité" xfId="12383" builtinId="9" hidden="1"/>
    <cellStyle name="Lien hypertexte visité" xfId="11519" builtinId="9" hidden="1"/>
    <cellStyle name="Lien hypertexte visité" xfId="10175" builtinId="9" hidden="1"/>
    <cellStyle name="Lien hypertexte visité" xfId="3286" builtinId="9" hidden="1"/>
    <cellStyle name="Lien hypertexte visité" xfId="7388" builtinId="9" hidden="1"/>
    <cellStyle name="Lien hypertexte visité" xfId="13533" builtinId="9" hidden="1"/>
    <cellStyle name="Lien hypertexte visité" xfId="24404" builtinId="9" hidden="1"/>
    <cellStyle name="Lien hypertexte visité" xfId="16229" builtinId="9" hidden="1"/>
    <cellStyle name="Lien hypertexte visité" xfId="9228" builtinId="9" hidden="1"/>
    <cellStyle name="Lien hypertexte visité" xfId="3077" builtinId="9" hidden="1"/>
    <cellStyle name="Lien hypertexte visité" xfId="2169" builtinId="9" hidden="1"/>
    <cellStyle name="Lien hypertexte visité" xfId="8320" builtinId="9" hidden="1"/>
    <cellStyle name="Lien hypertexte visité" xfId="3212" builtinId="9" hidden="1"/>
    <cellStyle name="Lien hypertexte visité" xfId="3918" builtinId="9" hidden="1"/>
    <cellStyle name="Lien hypertexte visité" xfId="4906" builtinId="9" hidden="1"/>
    <cellStyle name="Lien hypertexte visité" xfId="5890" builtinId="9" hidden="1"/>
    <cellStyle name="Lien hypertexte visité" xfId="6586" builtinId="9" hidden="1"/>
    <cellStyle name="Lien hypertexte visité" xfId="7570" builtinId="9" hidden="1"/>
    <cellStyle name="Lien hypertexte visité" xfId="8595" builtinId="9" hidden="1"/>
    <cellStyle name="Lien hypertexte visité" xfId="9259" builtinId="9" hidden="1"/>
    <cellStyle name="Lien hypertexte visité" xfId="2914" builtinId="9" hidden="1"/>
    <cellStyle name="Lien hypertexte visité" xfId="6504" builtinId="9" hidden="1"/>
    <cellStyle name="Lien hypertexte visité" xfId="8809" builtinId="9" hidden="1"/>
    <cellStyle name="Lien hypertexte visité" xfId="12265" builtinId="9" hidden="1"/>
    <cellStyle name="Lien hypertexte visité" xfId="17183" builtinId="9" hidden="1"/>
    <cellStyle name="Lien hypertexte visité" xfId="21774" builtinId="9" hidden="1"/>
    <cellStyle name="Lien hypertexte visité" xfId="20284" builtinId="9" hidden="1"/>
    <cellStyle name="Lien hypertexte visité" xfId="13952" builtinId="9" hidden="1"/>
    <cellStyle name="Lien hypertexte visité" xfId="11648" builtinId="9" hidden="1"/>
    <cellStyle name="Lien hypertexte visité" xfId="9112" builtinId="9" hidden="1"/>
    <cellStyle name="Lien hypertexte visité" xfId="10264" builtinId="9" hidden="1"/>
    <cellStyle name="Lien hypertexte visité" xfId="11032" builtinId="9" hidden="1"/>
    <cellStyle name="Lien hypertexte visité" xfId="12232" builtinId="9" hidden="1"/>
    <cellStyle name="Lien hypertexte visité" xfId="13384" builtinId="9" hidden="1"/>
    <cellStyle name="Lien hypertexte visité" xfId="14192" builtinId="9" hidden="1"/>
    <cellStyle name="Lien hypertexte visité" xfId="16173" builtinId="9" hidden="1"/>
    <cellStyle name="Lien hypertexte visité" xfId="18460" builtinId="9" hidden="1"/>
    <cellStyle name="Lien hypertexte visité" xfId="20076" builtinId="9" hidden="1"/>
    <cellStyle name="Lien hypertexte visité" xfId="22380" builtinId="9" hidden="1"/>
    <cellStyle name="Lien hypertexte visité" xfId="24446" builtinId="9" hidden="1"/>
    <cellStyle name="Lien hypertexte visité" xfId="22910" builtinId="9" hidden="1"/>
    <cellStyle name="Lien hypertexte visité" xfId="20606" builtinId="9" hidden="1"/>
    <cellStyle name="Lien hypertexte visité" xfId="18239" builtinId="9" hidden="1"/>
    <cellStyle name="Lien hypertexte visité" xfId="16703" builtinId="9" hidden="1"/>
    <cellStyle name="Lien hypertexte visité" xfId="14457" builtinId="9" hidden="1"/>
    <cellStyle name="Lien hypertexte visité" xfId="13265" builtinId="9" hidden="1"/>
    <cellStyle name="Lien hypertexte visité" xfId="12497" builtinId="9" hidden="1"/>
    <cellStyle name="Lien hypertexte visité" xfId="11297" builtinId="9" hidden="1"/>
    <cellStyle name="Lien hypertexte visité" xfId="10145" builtinId="9" hidden="1"/>
    <cellStyle name="Lien hypertexte visité" xfId="9377" builtinId="9" hidden="1"/>
    <cellStyle name="Lien hypertexte visité" xfId="8185" builtinId="9" hidden="1"/>
    <cellStyle name="Lien hypertexte visité" xfId="7032" builtinId="9" hidden="1"/>
    <cellStyle name="Lien hypertexte visité" xfId="6264" builtinId="9" hidden="1"/>
    <cellStyle name="Lien hypertexte visité" xfId="5072" builtinId="9" hidden="1"/>
    <cellStyle name="Lien hypertexte visité" xfId="3924" builtinId="9" hidden="1"/>
    <cellStyle name="Lien hypertexte visité" xfId="3098" builtinId="9" hidden="1"/>
    <cellStyle name="Lien hypertexte visité" xfId="4856" builtinId="9" hidden="1"/>
    <cellStyle name="Lien hypertexte visité" xfId="13049" builtinId="9" hidden="1"/>
    <cellStyle name="Lien hypertexte visité" xfId="22494" builtinId="9" hidden="1"/>
    <cellStyle name="Lien hypertexte visité" xfId="12440" builtinId="9" hidden="1"/>
    <cellStyle name="Lien hypertexte visité" xfId="18446" builtinId="9" hidden="1"/>
    <cellStyle name="Lien hypertexte visité" xfId="9435" builtinId="9" hidden="1"/>
    <cellStyle name="Lien hypertexte visité" xfId="10835" builtinId="9" hidden="1"/>
    <cellStyle name="Lien hypertexte visité" xfId="9947" builtinId="9" hidden="1"/>
    <cellStyle name="Lien hypertexte visité" xfId="11171" builtinId="9" hidden="1"/>
    <cellStyle name="Lien hypertexte visité" xfId="13747" builtinId="9" hidden="1"/>
    <cellStyle name="Lien hypertexte visité" xfId="13603" builtinId="9" hidden="1"/>
    <cellStyle name="Lien hypertexte visité" xfId="14835" builtinId="9" hidden="1"/>
    <cellStyle name="Lien hypertexte visité" xfId="16979" builtinId="9" hidden="1"/>
    <cellStyle name="Lien hypertexte visité" xfId="16579" builtinId="9" hidden="1"/>
    <cellStyle name="Lien hypertexte visité" xfId="15475" builtinId="9" hidden="1"/>
    <cellStyle name="Lien hypertexte visité" xfId="13507" builtinId="9" hidden="1"/>
    <cellStyle name="Lien hypertexte visité" xfId="14331" builtinId="9" hidden="1"/>
    <cellStyle name="Lien hypertexte visité" xfId="9699" builtinId="9" hidden="1"/>
    <cellStyle name="Lien hypertexte visité" xfId="10587" builtinId="9" hidden="1"/>
    <cellStyle name="Lien hypertexte visité" xfId="11475" builtinId="9" hidden="1"/>
    <cellStyle name="Lien hypertexte visité" xfId="12051" builtinId="9" hidden="1"/>
    <cellStyle name="Lien hypertexte visité" xfId="12907" builtinId="9" hidden="1"/>
    <cellStyle name="Lien hypertexte visité" xfId="2844" builtinId="9" hidden="1"/>
    <cellStyle name="Lien hypertexte visité" xfId="1235" builtinId="9" hidden="1"/>
    <cellStyle name="Lien hypertexte visité" xfId="2188" builtinId="9" hidden="1"/>
    <cellStyle name="Lien hypertexte visité" xfId="11915" builtinId="9" hidden="1"/>
    <cellStyle name="Lien hypertexte visité" xfId="14147" builtinId="9" hidden="1"/>
    <cellStyle name="Lien hypertexte visité" xfId="3821" builtinId="9" hidden="1"/>
    <cellStyle name="Lien hypertexte visité" xfId="2892" builtinId="9" hidden="1"/>
    <cellStyle name="Lien hypertexte visité" xfId="2308" builtinId="9" hidden="1"/>
    <cellStyle name="Lien hypertexte visité" xfId="1395" builtinId="9" hidden="1"/>
    <cellStyle name="Lien hypertexte visité" xfId="3813" builtinId="9" hidden="1"/>
    <cellStyle name="Lien hypertexte visité" xfId="7907" builtinId="9" hidden="1"/>
    <cellStyle name="Lien hypertexte visité" xfId="12267" builtinId="9" hidden="1"/>
    <cellStyle name="Lien hypertexte visité" xfId="11411" builtinId="9" hidden="1"/>
    <cellStyle name="Lien hypertexte visité" xfId="11651" builtinId="9" hidden="1"/>
    <cellStyle name="Lien hypertexte visité" xfId="7290" builtinId="9" hidden="1"/>
    <cellStyle name="Lien hypertexte visité" xfId="6378" builtinId="9" hidden="1"/>
    <cellStyle name="Lien hypertexte visité" xfId="5786" builtinId="9" hidden="1"/>
    <cellStyle name="Lien hypertexte visité" xfId="4914" builtinId="9" hidden="1"/>
    <cellStyle name="Lien hypertexte visité" xfId="9083" builtinId="9" hidden="1"/>
    <cellStyle name="Lien hypertexte visité" xfId="8499" builtinId="9" hidden="1"/>
    <cellStyle name="Lien hypertexte visité" xfId="2306" builtinId="9" hidden="1"/>
    <cellStyle name="Lien hypertexte visité" xfId="5640" builtinId="9" hidden="1"/>
    <cellStyle name="Lien hypertexte visité" xfId="5000" builtinId="9" hidden="1"/>
    <cellStyle name="Lien hypertexte visité" xfId="1666" builtinId="9" hidden="1"/>
    <cellStyle name="Lien hypertexte visité" xfId="8315" builtinId="9" hidden="1"/>
    <cellStyle name="Lien hypertexte visité" xfId="8899" builtinId="9" hidden="1"/>
    <cellStyle name="Lien hypertexte visité" xfId="4730" builtinId="9" hidden="1"/>
    <cellStyle name="Lien hypertexte visité" xfId="5610" builtinId="9" hidden="1"/>
    <cellStyle name="Lien hypertexte visité" xfId="6194" builtinId="9" hidden="1"/>
    <cellStyle name="Lien hypertexte visité" xfId="7106" builtinId="9" hidden="1"/>
    <cellStyle name="Lien hypertexte visité" xfId="4178" builtinId="9" hidden="1"/>
    <cellStyle name="Lien hypertexte visité" xfId="11243" builtinId="9" hidden="1"/>
    <cellStyle name="Lien hypertexte visité" xfId="12099" builtinId="9" hidden="1"/>
    <cellStyle name="Lien hypertexte visité" xfId="9187" builtinId="9" hidden="1"/>
    <cellStyle name="Lien hypertexte visité" xfId="5090" builtinId="9" hidden="1"/>
    <cellStyle name="Lien hypertexte visité" xfId="1211" builtinId="9" hidden="1"/>
    <cellStyle name="Lien hypertexte visité" xfId="2124" builtinId="9" hidden="1"/>
    <cellStyle name="Lien hypertexte visité" xfId="2708" builtinId="9" hidden="1"/>
    <cellStyle name="Lien hypertexte visité" xfId="3629" builtinId="9" hidden="1"/>
    <cellStyle name="Lien hypertexte visité" xfId="4546" builtinId="9" hidden="1"/>
    <cellStyle name="Lien hypertexte visité" xfId="14403" builtinId="9" hidden="1"/>
    <cellStyle name="Lien hypertexte visité" xfId="2372" builtinId="9" hidden="1"/>
    <cellStyle name="Lien hypertexte visité" xfId="1419" builtinId="9" hidden="1"/>
    <cellStyle name="Lien hypertexte visité" xfId="1564" builtinId="9" hidden="1"/>
    <cellStyle name="Lien hypertexte visité" xfId="7971" builtinId="9" hidden="1"/>
    <cellStyle name="Lien hypertexte visité" xfId="12227" builtinId="9" hidden="1"/>
    <cellStyle name="Lien hypertexte visité" xfId="11643" builtinId="9" hidden="1"/>
    <cellStyle name="Lien hypertexte visité" xfId="10755" builtinId="9" hidden="1"/>
    <cellStyle name="Lien hypertexte visité" xfId="9907" builtinId="9" hidden="1"/>
    <cellStyle name="Lien hypertexte visité" xfId="11811" builtinId="9" hidden="1"/>
    <cellStyle name="Lien hypertexte visité" xfId="13675" builtinId="9" hidden="1"/>
    <cellStyle name="Lien hypertexte visité" xfId="15859" builtinId="9" hidden="1"/>
    <cellStyle name="Lien hypertexte visité" xfId="14691" builtinId="9" hidden="1"/>
    <cellStyle name="Lien hypertexte visité" xfId="17171" builtinId="9" hidden="1"/>
    <cellStyle name="Lien hypertexte visité" xfId="14515" builtinId="9" hidden="1"/>
    <cellStyle name="Lien hypertexte visité" xfId="15619" builtinId="9" hidden="1"/>
    <cellStyle name="Lien hypertexte visité" xfId="13547" builtinId="9" hidden="1"/>
    <cellStyle name="Lien hypertexte visité" xfId="14411" builtinId="9" hidden="1"/>
    <cellStyle name="Lien hypertexte visité" xfId="9779" builtinId="9" hidden="1"/>
    <cellStyle name="Lien hypertexte visité" xfId="10667" builtinId="9" hidden="1"/>
    <cellStyle name="Lien hypertexte visité" xfId="7979" builtinId="9" hidden="1"/>
    <cellStyle name="Lien hypertexte visité" xfId="11369" builtinId="9" hidden="1"/>
    <cellStyle name="Lien hypertexte visité" xfId="10736" builtinId="9" hidden="1"/>
    <cellStyle name="Lien hypertexte visité" xfId="23324" builtinId="9" hidden="1"/>
    <cellStyle name="Lien hypertexte visité" xfId="14991" builtinId="9" hidden="1"/>
    <cellStyle name="Lien hypertexte visité" xfId="6560" builtinId="9" hidden="1"/>
    <cellStyle name="Lien hypertexte visité" xfId="2890" builtinId="9" hidden="1"/>
    <cellStyle name="Lien hypertexte visité" xfId="3662" builtinId="9" hidden="1"/>
    <cellStyle name="Lien hypertexte visité" xfId="4816" builtinId="9" hidden="1"/>
    <cellStyle name="Lien hypertexte visité" xfId="6008" builtinId="9" hidden="1"/>
    <cellStyle name="Lien hypertexte visité" xfId="6776" builtinId="9" hidden="1"/>
    <cellStyle name="Lien hypertexte visité" xfId="7969" builtinId="9" hidden="1"/>
    <cellStyle name="Lien hypertexte visité" xfId="9121" builtinId="9" hidden="1"/>
    <cellStyle name="Lien hypertexte visité" xfId="9889" builtinId="9" hidden="1"/>
    <cellStyle name="Lien hypertexte visité" xfId="11089" builtinId="9" hidden="1"/>
    <cellStyle name="Lien hypertexte visité" xfId="12241" builtinId="9" hidden="1"/>
    <cellStyle name="Lien hypertexte visité" xfId="13009" builtinId="9" hidden="1"/>
    <cellStyle name="Lien hypertexte visité" xfId="14201" builtinId="9" hidden="1"/>
    <cellStyle name="Lien hypertexte visité" xfId="16191" builtinId="9" hidden="1"/>
    <cellStyle name="Lien hypertexte visité" xfId="17807" builtinId="9" hidden="1"/>
    <cellStyle name="Lien hypertexte visité" xfId="20094" builtinId="9" hidden="1"/>
    <cellStyle name="Lien hypertexte visité" xfId="22398" builtinId="9" hidden="1"/>
    <cellStyle name="Lien hypertexte visité" xfId="24030" builtinId="9" hidden="1"/>
    <cellStyle name="Lien hypertexte visité" xfId="22892" builtinId="9" hidden="1"/>
    <cellStyle name="Lien hypertexte visité" xfId="20508" builtinId="9" hidden="1"/>
    <cellStyle name="Lien hypertexte visité" xfId="18972" builtinId="9" hidden="1"/>
    <cellStyle name="Lien hypertexte visité" xfId="16685" builtinId="9" hidden="1"/>
    <cellStyle name="Lien hypertexte visité" xfId="14408" builtinId="9" hidden="1"/>
    <cellStyle name="Lien hypertexte visité" xfId="13640" builtinId="9" hidden="1"/>
    <cellStyle name="Lien hypertexte visité" xfId="12488" builtinId="9" hidden="1"/>
    <cellStyle name="Lien hypertexte visité" xfId="11288" builtinId="9" hidden="1"/>
    <cellStyle name="Lien hypertexte visité" xfId="10520" builtinId="9" hidden="1"/>
    <cellStyle name="Lien hypertexte visité" xfId="9328" builtinId="9" hidden="1"/>
    <cellStyle name="Lien hypertexte visité" xfId="10880" builtinId="9" hidden="1"/>
    <cellStyle name="Lien hypertexte visité" xfId="13184" builtinId="9" hidden="1"/>
    <cellStyle name="Lien hypertexte visité" xfId="19004" builtinId="9" hidden="1"/>
    <cellStyle name="Lien hypertexte visité" xfId="23310" builtinId="9" hidden="1"/>
    <cellStyle name="Lien hypertexte visité" xfId="18702" builtinId="9" hidden="1"/>
    <cellStyle name="Lien hypertexte visité" xfId="13033" builtinId="9" hidden="1"/>
    <cellStyle name="Lien hypertexte visité" xfId="9577" builtinId="9" hidden="1"/>
    <cellStyle name="Lien hypertexte visité" xfId="7144" builtinId="9" hidden="1"/>
    <cellStyle name="Lien hypertexte visité" xfId="3690" builtinId="9" hidden="1"/>
    <cellStyle name="Lien hypertexte visité" xfId="9475" builtinId="9" hidden="1"/>
    <cellStyle name="Lien hypertexte visité" xfId="8779" builtinId="9" hidden="1"/>
    <cellStyle name="Lien hypertexte visité" xfId="7794" builtinId="9" hidden="1"/>
    <cellStyle name="Lien hypertexte visité" xfId="6770" builtinId="9" hidden="1"/>
    <cellStyle name="Lien hypertexte visité" xfId="6106" builtinId="9" hidden="1"/>
    <cellStyle name="Lien hypertexte visité" xfId="5122" builtinId="9" hidden="1"/>
    <cellStyle name="Lien hypertexte visité" xfId="4098" builtinId="9" hidden="1"/>
    <cellStyle name="Lien hypertexte visité" xfId="3436" builtinId="9" hidden="1"/>
    <cellStyle name="Lien hypertexte visité" xfId="343" builtinId="9" hidden="1"/>
    <cellStyle name="Lien hypertexte visité" xfId="3449" builtinId="9" hidden="1"/>
    <cellStyle name="Lien hypertexte visité" xfId="1797" builtinId="9" hidden="1"/>
    <cellStyle name="Lien hypertexte visité" xfId="7948" builtinId="9" hidden="1"/>
    <cellStyle name="Lien hypertexte visité" xfId="14092" builtinId="9" hidden="1"/>
    <cellStyle name="Lien hypertexte visité" xfId="21844" builtinId="9" hidden="1"/>
    <cellStyle name="Lien hypertexte visité" xfId="15111" builtinId="9" hidden="1"/>
    <cellStyle name="Lien hypertexte visité" xfId="8669" builtinId="9" hidden="1"/>
    <cellStyle name="Lien hypertexte visité" xfId="4572" builtinId="9" hidden="1"/>
    <cellStyle name="Lien hypertexte visité" xfId="2728" builtinId="9" hidden="1"/>
    <cellStyle name="Lien hypertexte visité" xfId="8879" builtinId="9" hidden="1"/>
    <cellStyle name="Lien hypertexte visité" xfId="12975" builtinId="9" hidden="1"/>
    <cellStyle name="Lien hypertexte visité" xfId="10354" builtinId="9" hidden="1"/>
    <cellStyle name="Lien hypertexte visité" xfId="14450" builtinId="9" hidden="1"/>
    <cellStyle name="Lien hypertexte visité" xfId="19832" builtinId="9" hidden="1"/>
    <cellStyle name="Lien hypertexte visité" xfId="21202" builtinId="9" hidden="1"/>
    <cellStyle name="Lien hypertexte visité" xfId="19088" builtinId="9" hidden="1"/>
    <cellStyle name="Lien hypertexte visité" xfId="8618" builtinId="9" hidden="1"/>
    <cellStyle name="Lien hypertexte visité" xfId="7321" builtinId="9" hidden="1"/>
    <cellStyle name="Lien hypertexte visité" xfId="1466" builtinId="9" hidden="1"/>
    <cellStyle name="Lien hypertexte visité" xfId="1198" builtinId="9" hidden="1"/>
    <cellStyle name="Lien hypertexte visité" xfId="7465" builtinId="9" hidden="1"/>
    <cellStyle name="Lien hypertexte visité" xfId="4813" builtinId="9" hidden="1"/>
    <cellStyle name="Lien hypertexte visité" xfId="17751" builtinId="9" hidden="1"/>
    <cellStyle name="Lien hypertexte visité" xfId="12037" builtinId="9" hidden="1"/>
    <cellStyle name="Lien hypertexte visité" xfId="7941" builtinId="9" hidden="1"/>
    <cellStyle name="Lien hypertexte visité" xfId="5204" builtinId="9" hidden="1"/>
    <cellStyle name="Lien hypertexte visité" xfId="1039" builtinId="9" hidden="1"/>
    <cellStyle name="Lien hypertexte visité" xfId="4150" builtinId="9" hidden="1"/>
    <cellStyle name="Lien hypertexte visité" xfId="6870" builtinId="9" hidden="1"/>
    <cellStyle name="Lien hypertexte visité" xfId="10967" builtinId="9" hidden="1"/>
    <cellStyle name="Lien hypertexte visité" xfId="15611" builtinId="9" hidden="1"/>
    <cellStyle name="Lien hypertexte visité" xfId="9474" builtinId="9" hidden="1"/>
    <cellStyle name="Lien hypertexte visité" xfId="12206" builtinId="9" hidden="1"/>
    <cellStyle name="Lien hypertexte visité" xfId="15353" builtinId="9" hidden="1"/>
    <cellStyle name="Lien hypertexte visité" xfId="18984" builtinId="9" hidden="1"/>
    <cellStyle name="Lien hypertexte visité" xfId="24448" builtinId="9" hidden="1"/>
    <cellStyle name="Lien hypertexte visité" xfId="19314" builtinId="9" hidden="1"/>
    <cellStyle name="Lien hypertexte visité" xfId="22106" builtinId="9" hidden="1"/>
    <cellStyle name="Lien hypertexte visité" xfId="12634" builtinId="9" hidden="1"/>
    <cellStyle name="Lien hypertexte visité" xfId="23010" builtinId="9" hidden="1"/>
    <cellStyle name="Lien hypertexte visité" xfId="15313" builtinId="9" hidden="1"/>
    <cellStyle name="Lien hypertexte visité" xfId="13671" builtinId="9" hidden="1"/>
    <cellStyle name="Lien hypertexte visité" xfId="1375" builtinId="9" hidden="1"/>
    <cellStyle name="Lien hypertexte visité" xfId="3486" builtinId="9" hidden="1"/>
    <cellStyle name="Lien hypertexte visité" xfId="1760" builtinId="9" hidden="1"/>
    <cellStyle name="Lien hypertexte visité" xfId="5862" builtinId="9" hidden="1"/>
    <cellStyle name="Lien hypertexte visité" xfId="8679" builtinId="9" hidden="1"/>
    <cellStyle name="Lien hypertexte visité" xfId="12775" builtinId="9" hidden="1"/>
    <cellStyle name="Lien hypertexte visité" xfId="8854" builtinId="9" hidden="1"/>
    <cellStyle name="Lien hypertexte visité" xfId="10646" builtinId="9" hidden="1"/>
    <cellStyle name="Lien hypertexte visité" xfId="13378" builtinId="9" hidden="1"/>
    <cellStyle name="Lien hypertexte visité" xfId="17705" builtinId="9" hidden="1"/>
    <cellStyle name="Lien hypertexte visité" xfId="21272" builtinId="9" hidden="1"/>
    <cellStyle name="Lien hypertexte visité" xfId="22498" builtinId="9" hidden="1"/>
    <cellStyle name="Lien hypertexte visité" xfId="18091" builtinId="9" hidden="1"/>
    <cellStyle name="Lien hypertexte visité" xfId="19888" builtinId="9" hidden="1"/>
    <cellStyle name="Lien hypertexte visité" xfId="12026" builtinId="9" hidden="1"/>
    <cellStyle name="Lien hypertexte visité" xfId="14977" builtinId="9" hidden="1"/>
    <cellStyle name="Lien hypertexte visité" xfId="18544" builtinId="9" hidden="1"/>
    <cellStyle name="Lien hypertexte visité" xfId="24048" builtinId="9" hidden="1"/>
    <cellStyle name="Lien hypertexte visité" xfId="19738" builtinId="9" hidden="1"/>
    <cellStyle name="Lien hypertexte visité" xfId="17691" builtinId="9" hidden="1"/>
    <cellStyle name="Lien hypertexte visité" xfId="19490" builtinId="9" hidden="1"/>
    <cellStyle name="Lien hypertexte visité" xfId="21322" builtinId="9" hidden="1"/>
    <cellStyle name="Lien hypertexte visité" xfId="22562" builtinId="9" hidden="1"/>
    <cellStyle name="Lien hypertexte visité" xfId="24394" builtinId="9" hidden="1"/>
    <cellStyle name="Lien hypertexte visité" xfId="23016" builtinId="9" hidden="1"/>
    <cellStyle name="Lien hypertexte visité" xfId="21824" builtinId="9" hidden="1"/>
    <cellStyle name="Lien hypertexte visité" xfId="20008" builtinId="9" hidden="1"/>
    <cellStyle name="Lien hypertexte visité" xfId="18193" builtinId="9" hidden="1"/>
    <cellStyle name="Lien hypertexte visité" xfId="17001" builtinId="9" hidden="1"/>
    <cellStyle name="Lien hypertexte visité" xfId="15185" builtinId="9" hidden="1"/>
    <cellStyle name="Lien hypertexte visité" xfId="13942" builtinId="9" hidden="1"/>
    <cellStyle name="Lien hypertexte visité" xfId="13314" builtinId="9" hidden="1"/>
    <cellStyle name="Lien hypertexte visité" xfId="12406" builtinId="9" hidden="1"/>
    <cellStyle name="Lien hypertexte visité" xfId="11490" builtinId="9" hidden="1"/>
    <cellStyle name="Lien hypertexte visité" xfId="10894" builtinId="9" hidden="1"/>
    <cellStyle name="Lien hypertexte visité" xfId="9986" builtinId="9" hidden="1"/>
    <cellStyle name="Lien hypertexte visité" xfId="9078" builtinId="9" hidden="1"/>
    <cellStyle name="Lien hypertexte visité" xfId="8482" builtinId="9" hidden="1"/>
    <cellStyle name="Lien hypertexte visité" xfId="15355" builtinId="9" hidden="1"/>
    <cellStyle name="Lien hypertexte visité" xfId="13575" builtinId="9" hidden="1"/>
    <cellStyle name="Lien hypertexte visité" xfId="12631" builtinId="9" hidden="1"/>
    <cellStyle name="Lien hypertexte visité" xfId="11271" builtinId="9" hidden="1"/>
    <cellStyle name="Lien hypertexte visité" xfId="9911" builtinId="9" hidden="1"/>
    <cellStyle name="Lien hypertexte visité" xfId="9015" builtinId="9" hidden="1"/>
    <cellStyle name="Lien hypertexte visité" xfId="7638" builtinId="9" hidden="1"/>
    <cellStyle name="Lien hypertexte visité" xfId="6278" builtinId="9" hidden="1"/>
    <cellStyle name="Lien hypertexte visité" xfId="5382" builtinId="9" hidden="1"/>
    <cellStyle name="Lien hypertexte visité" xfId="4022" builtinId="9" hidden="1"/>
    <cellStyle name="Lien hypertexte visité" xfId="2640" builtinId="9" hidden="1"/>
    <cellStyle name="Lien hypertexte visité" xfId="1712" builtinId="9" hidden="1"/>
    <cellStyle name="Lien hypertexte visité" xfId="463" builtinId="9" hidden="1"/>
    <cellStyle name="Lien hypertexte visité" xfId="2174" builtinId="9" hidden="1"/>
    <cellStyle name="Lien hypertexte visité" xfId="3070" builtinId="9" hidden="1"/>
    <cellStyle name="Lien hypertexte visité" xfId="4436" builtinId="9" hidden="1"/>
    <cellStyle name="Lien hypertexte visité" xfId="5812" builtinId="9" hidden="1"/>
    <cellStyle name="Lien hypertexte visité" xfId="6708" builtinId="9" hidden="1"/>
    <cellStyle name="Lien hypertexte visité" xfId="8069" builtinId="9" hidden="1"/>
    <cellStyle name="Lien hypertexte visité" xfId="9429" builtinId="9" hidden="1"/>
    <cellStyle name="Lien hypertexte visité" xfId="10373" builtinId="9" hidden="1"/>
    <cellStyle name="Lien hypertexte visité" xfId="11733" builtinId="9" hidden="1"/>
    <cellStyle name="Lien hypertexte visité" xfId="13109" builtinId="9" hidden="1"/>
    <cellStyle name="Lien hypertexte visité" xfId="14005" builtinId="9" hidden="1"/>
    <cellStyle name="Lien hypertexte visité" xfId="16215" builtinId="9" hidden="1"/>
    <cellStyle name="Lien hypertexte visité" xfId="18918" builtinId="9" hidden="1"/>
    <cellStyle name="Lien hypertexte visité" xfId="8826" builtinId="9" hidden="1"/>
    <cellStyle name="Lien hypertexte visité" xfId="4921" builtinId="9" hidden="1"/>
    <cellStyle name="Lien hypertexte visité" xfId="6093" builtinId="9" hidden="1"/>
    <cellStyle name="Lien hypertexte visité" xfId="6897" builtinId="9" hidden="1"/>
    <cellStyle name="Lien hypertexte visité" xfId="8066" builtinId="9" hidden="1"/>
    <cellStyle name="Lien hypertexte visité" xfId="2587" builtinId="9" hidden="1"/>
    <cellStyle name="Lien hypertexte visité" xfId="3303" builtinId="9" hidden="1"/>
    <cellStyle name="Lien hypertexte visité" xfId="1779" builtinId="9" hidden="1"/>
    <cellStyle name="Lien hypertexte visité" xfId="497" builtinId="9" hidden="1"/>
    <cellStyle name="Lien hypertexte visité" xfId="1254" builtinId="9" hidden="1"/>
    <cellStyle name="Lien hypertexte visité" xfId="3139" builtinId="9" hidden="1"/>
    <cellStyle name="Lien hypertexte visité" xfId="2879" builtinId="9" hidden="1"/>
    <cellStyle name="Lien hypertexte visité" xfId="4489" builtinId="9" hidden="1"/>
    <cellStyle name="Lien hypertexte visité" xfId="7577" builtinId="9" hidden="1"/>
    <cellStyle name="Lien hypertexte visité" xfId="6405" builtinId="9" hidden="1"/>
    <cellStyle name="Lien hypertexte visité" xfId="5637" builtinId="9" hidden="1"/>
    <cellStyle name="Lien hypertexte visité" xfId="4469" builtinId="9" hidden="1"/>
    <cellStyle name="Lien hypertexte visité" xfId="10410" builtinId="9" hidden="1"/>
    <cellStyle name="Lien hypertexte visité" xfId="13098" builtinId="9" hidden="1"/>
    <cellStyle name="Lien hypertexte visité" xfId="19856" builtinId="9" hidden="1"/>
    <cellStyle name="Lien hypertexte visité" xfId="21178" builtinId="9" hidden="1"/>
    <cellStyle name="Lien hypertexte visité" xfId="17891" builtinId="9" hidden="1"/>
    <cellStyle name="Lien hypertexte visité" xfId="20610" builtinId="9" hidden="1"/>
    <cellStyle name="Lien hypertexte visité" xfId="23338" builtinId="9" hidden="1"/>
    <cellStyle name="Lien hypertexte visité" xfId="24096" builtinId="9" hidden="1"/>
    <cellStyle name="Lien hypertexte visité" xfId="21368" builtinId="9" hidden="1"/>
    <cellStyle name="Lien hypertexte visité" xfId="18632" builtinId="9" hidden="1"/>
    <cellStyle name="Lien hypertexte visité" xfId="16857" builtinId="9" hidden="1"/>
    <cellStyle name="Lien hypertexte visité" xfId="14322" builtinId="9" hidden="1"/>
    <cellStyle name="Lien hypertexte visité" xfId="12958" builtinId="9" hidden="1"/>
    <cellStyle name="Lien hypertexte visité" xfId="12018" builtinId="9" hidden="1"/>
    <cellStyle name="Lien hypertexte visité" xfId="10654" builtinId="9" hidden="1"/>
    <cellStyle name="Lien hypertexte visité" xfId="9286" builtinId="9" hidden="1"/>
    <cellStyle name="Lien hypertexte visité" xfId="8390" builtinId="9" hidden="1"/>
    <cellStyle name="Lien hypertexte visité" xfId="14127" builtinId="9" hidden="1"/>
    <cellStyle name="Lien hypertexte visité" xfId="12079" builtinId="9" hidden="1"/>
    <cellStyle name="Lien hypertexte visité" xfId="10735" builtinId="9" hidden="1"/>
    <cellStyle name="Lien hypertexte visité" xfId="8687" builtinId="9" hidden="1"/>
    <cellStyle name="Lien hypertexte visité" xfId="6638" builtinId="9" hidden="1"/>
    <cellStyle name="Lien hypertexte visité" xfId="5230" builtinId="9" hidden="1"/>
    <cellStyle name="Lien hypertexte visité" xfId="3176" builtinId="9" hidden="1"/>
    <cellStyle name="Lien hypertexte visité" xfId="1091" builtinId="9" hidden="1"/>
    <cellStyle name="Lien hypertexte visité" xfId="1365" builtinId="9" hidden="1"/>
    <cellStyle name="Lien hypertexte visité" xfId="3414" builtinId="9" hidden="1"/>
    <cellStyle name="Lien hypertexte visité" xfId="5468" builtinId="9" hidden="1"/>
    <cellStyle name="Lien hypertexte visité" xfId="6812" builtinId="9" hidden="1"/>
    <cellStyle name="Lien hypertexte visité" xfId="8861" builtinId="9" hidden="1"/>
    <cellStyle name="Lien hypertexte visité" xfId="10909" builtinId="9" hidden="1"/>
    <cellStyle name="Lien hypertexte visité" xfId="12317" builtinId="9" hidden="1"/>
    <cellStyle name="Lien hypertexte visité" xfId="14365" builtinId="9" hidden="1"/>
    <cellStyle name="Lien hypertexte visité" xfId="18310" builtinId="9" hidden="1"/>
    <cellStyle name="Lien hypertexte visité" xfId="20982" builtinId="9" hidden="1"/>
    <cellStyle name="Lien hypertexte visité" xfId="24148" builtinId="9" hidden="1"/>
    <cellStyle name="Lien hypertexte visité" xfId="20052" builtinId="9" hidden="1"/>
    <cellStyle name="Lien hypertexte visité" xfId="17381" builtinId="9" hidden="1"/>
    <cellStyle name="Lien hypertexte visité" xfId="13900" builtinId="9" hidden="1"/>
    <cellStyle name="Lien hypertexte visité" xfId="11852" builtinId="9" hidden="1"/>
    <cellStyle name="Lien hypertexte visité" xfId="10444" builtinId="9" hidden="1"/>
    <cellStyle name="Lien hypertexte visité" xfId="8396" builtinId="9" hidden="1"/>
    <cellStyle name="Lien hypertexte visité" xfId="6347" builtinId="9" hidden="1"/>
    <cellStyle name="Lien hypertexte visité" xfId="5003" builtinId="9" hidden="1"/>
    <cellStyle name="Lien hypertexte visité" xfId="2949" builtinId="9" hidden="1"/>
    <cellStyle name="Lien hypertexte visité" xfId="637" builtinId="9" hidden="1"/>
    <cellStyle name="Lien hypertexte visité" xfId="1593" builtinId="9" hidden="1"/>
    <cellStyle name="Lien hypertexte visité" xfId="3642" builtinId="9" hidden="1"/>
    <cellStyle name="Lien hypertexte visité" xfId="5695" builtinId="9" hidden="1"/>
    <cellStyle name="Lien hypertexte visité" xfId="7103" builtinId="9" hidden="1"/>
    <cellStyle name="Lien hypertexte visité" xfId="219" builtinId="9" hidden="1"/>
    <cellStyle name="Lien hypertexte visité" xfId="1818" builtinId="9" hidden="1"/>
    <cellStyle name="Lien hypertexte visité" xfId="6436" builtinId="9" hidden="1"/>
    <cellStyle name="Lien hypertexte visité" xfId="12581" builtinId="9" hidden="1"/>
    <cellStyle name="Lien hypertexte visité" xfId="5715" builtinId="9" hidden="1"/>
    <cellStyle name="Lien hypertexte visité" xfId="6883" builtinId="9" hidden="1"/>
    <cellStyle name="Lien hypertexte visité" xfId="8644" builtinId="9" hidden="1"/>
    <cellStyle name="Lien hypertexte visité" xfId="10404" builtinId="9" hidden="1"/>
    <cellStyle name="Lien hypertexte visité" xfId="11572" builtinId="9" hidden="1"/>
    <cellStyle name="Lien hypertexte visité" xfId="13332" builtinId="9" hidden="1"/>
    <cellStyle name="Lien hypertexte visité" xfId="15637" builtinId="9" hidden="1"/>
    <cellStyle name="Lien hypertexte visité" xfId="17973" builtinId="9" hidden="1"/>
    <cellStyle name="Lien hypertexte visité" xfId="21476" builtinId="9" hidden="1"/>
    <cellStyle name="Lien hypertexte visité" xfId="24230" builtinId="9" hidden="1"/>
    <cellStyle name="Lien hypertexte visité" xfId="21894" builtinId="9" hidden="1"/>
    <cellStyle name="Lien hypertexte visité" xfId="24070" builtinId="9" hidden="1"/>
    <cellStyle name="Lien hypertexte visité" xfId="7555" builtinId="9" hidden="1"/>
    <cellStyle name="Lien hypertexte visité" xfId="2065" builtinId="9" hidden="1"/>
    <cellStyle name="Lien hypertexte visité" xfId="269" builtinId="9" hidden="1"/>
    <cellStyle name="Lien hypertexte visité" xfId="2365" builtinId="9" hidden="1"/>
    <cellStyle name="Lien hypertexte visité" xfId="3453" builtinId="9" hidden="1"/>
    <cellStyle name="Lien hypertexte visité" xfId="5091" builtinId="9" hidden="1"/>
    <cellStyle name="Lien hypertexte visité" xfId="4887" builtinId="9" hidden="1"/>
    <cellStyle name="Lien hypertexte visité" xfId="3834" builtinId="9" hidden="1"/>
    <cellStyle name="Lien hypertexte visité" xfId="6935" builtinId="9" hidden="1"/>
    <cellStyle name="Lien hypertexte visité" xfId="7591" builtinId="9" hidden="1"/>
    <cellStyle name="Lien hypertexte visité" xfId="8744" builtinId="9" hidden="1"/>
    <cellStyle name="Lien hypertexte visité" xfId="6199" builtinId="9" hidden="1"/>
    <cellStyle name="Lien hypertexte visité" xfId="3073" builtinId="9" hidden="1"/>
    <cellStyle name="Lien hypertexte visité" xfId="4135" builtinId="9" hidden="1"/>
    <cellStyle name="Lien hypertexte visité" xfId="5719" builtinId="9" hidden="1"/>
    <cellStyle name="Lien hypertexte visité" xfId="4227" builtinId="9" hidden="1"/>
    <cellStyle name="Lien hypertexte visité" xfId="3133" builtinId="9" hidden="1"/>
    <cellStyle name="Lien hypertexte visité" xfId="1484" builtinId="9" hidden="1"/>
    <cellStyle name="Lien hypertexte visité" xfId="1296" builtinId="9" hidden="1"/>
    <cellStyle name="Lien hypertexte visité" xfId="2385" builtinId="9" hidden="1"/>
    <cellStyle name="Lien hypertexte visité" xfId="14084" builtinId="9" hidden="1"/>
    <cellStyle name="Lien hypertexte visité" xfId="20262" builtinId="9" hidden="1"/>
    <cellStyle name="Lien hypertexte visité" xfId="22598" builtinId="9" hidden="1"/>
    <cellStyle name="Lien hypertexte visité" xfId="23140" builtinId="9" hidden="1"/>
    <cellStyle name="Lien hypertexte visité" xfId="19620" builtinId="9" hidden="1"/>
    <cellStyle name="Lien hypertexte visité" xfId="17301" builtinId="9" hidden="1"/>
    <cellStyle name="Lien hypertexte visité" xfId="14148" builtinId="9" hidden="1"/>
    <cellStyle name="Lien hypertexte visité" xfId="12388" builtinId="9" hidden="1"/>
    <cellStyle name="Lien hypertexte visité" xfId="11220" builtinId="9" hidden="1"/>
    <cellStyle name="Lien hypertexte visité" xfId="9460" builtinId="9" hidden="1"/>
    <cellStyle name="Lien hypertexte visité" xfId="7715" builtinId="9" hidden="1"/>
    <cellStyle name="Lien hypertexte visité" xfId="6547" builtinId="9" hidden="1"/>
    <cellStyle name="Lien hypertexte visité" xfId="16407" builtinId="9" hidden="1"/>
    <cellStyle name="Lien hypertexte visité" xfId="9317" builtinId="9" hidden="1"/>
    <cellStyle name="Lien hypertexte visité" xfId="5220" builtinId="9" hidden="1"/>
    <cellStyle name="Lien hypertexte visité" xfId="2080" builtinId="9" hidden="1"/>
    <cellStyle name="Lien hypertexte visité" xfId="8231" builtinId="9" hidden="1"/>
    <cellStyle name="Lien hypertexte visité" xfId="12327" builtinId="9" hidden="1"/>
    <cellStyle name="Lien hypertexte visité" xfId="9922" builtinId="9" hidden="1"/>
    <cellStyle name="Lien hypertexte visité" xfId="14018" builtinId="9" hidden="1"/>
    <cellStyle name="Lien hypertexte visité" xfId="18968" builtinId="9" hidden="1"/>
    <cellStyle name="Lien hypertexte visité" xfId="22066" builtinId="9" hidden="1"/>
    <cellStyle name="Lien hypertexte visité" xfId="21680" builtinId="9" hidden="1"/>
    <cellStyle name="Lien hypertexte visité" xfId="11738" builtinId="9" hidden="1"/>
    <cellStyle name="Lien hypertexte visité" xfId="17153" builtinId="9" hidden="1"/>
    <cellStyle name="Lien hypertexte visité" xfId="23898" builtinId="9" hidden="1"/>
    <cellStyle name="Lien hypertexte visité" xfId="18458" builtinId="9" hidden="1"/>
    <cellStyle name="Lien hypertexte visité" xfId="19634" builtinId="9" hidden="1"/>
    <cellStyle name="Lien hypertexte visité" xfId="22370" builtinId="9" hidden="1"/>
    <cellStyle name="Lien hypertexte visité" xfId="24178" builtinId="9" hidden="1"/>
    <cellStyle name="Lien hypertexte visité" xfId="22312" builtinId="9" hidden="1"/>
    <cellStyle name="Lien hypertexte visité" xfId="19584" builtinId="9" hidden="1"/>
    <cellStyle name="Lien hypertexte visité" xfId="17769" builtinId="9" hidden="1"/>
    <cellStyle name="Lien hypertexte visité" xfId="15033" builtinId="9" hidden="1"/>
    <cellStyle name="Lien hypertexte visité" xfId="13410" builtinId="9" hidden="1"/>
    <cellStyle name="Lien hypertexte visité" xfId="12502" builtinId="9" hidden="1"/>
    <cellStyle name="Lien hypertexte visité" xfId="11138" builtinId="9" hidden="1"/>
    <cellStyle name="Lien hypertexte visité" xfId="9774" builtinId="9" hidden="1"/>
    <cellStyle name="Lien hypertexte visité" xfId="8866" builtinId="9" hidden="1"/>
    <cellStyle name="Lien hypertexte visité" xfId="15163" builtinId="9" hidden="1"/>
    <cellStyle name="Lien hypertexte visité" xfId="12791" builtinId="9" hidden="1"/>
    <cellStyle name="Lien hypertexte visité" xfId="11415" builtinId="9" hidden="1"/>
    <cellStyle name="Lien hypertexte visité" xfId="9367" builtinId="9" hidden="1"/>
    <cellStyle name="Lien hypertexte visité" xfId="7318" builtinId="9" hidden="1"/>
    <cellStyle name="Lien hypertexte visité" xfId="5958" builtinId="9" hidden="1"/>
    <cellStyle name="Lien hypertexte visité" xfId="3914" builtinId="9" hidden="1"/>
    <cellStyle name="Lien hypertexte visité" xfId="1856" builtinId="9" hidden="1"/>
    <cellStyle name="Lien hypertexte visité" xfId="143" builtinId="9" hidden="1"/>
    <cellStyle name="Lien hypertexte visité" xfId="2702" builtinId="9" hidden="1"/>
    <cellStyle name="Lien hypertexte visité" xfId="4756" builtinId="9" hidden="1"/>
    <cellStyle name="Lien hypertexte visité" xfId="6132" builtinId="9" hidden="1"/>
    <cellStyle name="Lien hypertexte visité" xfId="8181" builtinId="9" hidden="1"/>
    <cellStyle name="Lien hypertexte visité" xfId="10229" builtinId="9" hidden="1"/>
    <cellStyle name="Lien hypertexte visité" xfId="11589" builtinId="9" hidden="1"/>
    <cellStyle name="Lien hypertexte visité" xfId="13637" builtinId="9" hidden="1"/>
    <cellStyle name="Lien hypertexte visité" xfId="16855" builtinId="9" hidden="1"/>
    <cellStyle name="Lien hypertexte visité" xfId="10554" builtinId="9" hidden="1"/>
    <cellStyle name="Lien hypertexte visité" xfId="5013" builtinId="9" hidden="1"/>
    <cellStyle name="Lien hypertexte visité" xfId="6769" builtinId="9" hidden="1"/>
    <cellStyle name="Lien hypertexte visité" xfId="7938" builtinId="9" hidden="1"/>
    <cellStyle name="Lien hypertexte visité" xfId="3015" builtinId="9" hidden="1"/>
    <cellStyle name="Lien hypertexte visité" xfId="2027" builtinId="9" hidden="1"/>
    <cellStyle name="Lien hypertexte visité" xfId="569" builtinId="9" hidden="1"/>
    <cellStyle name="Lien hypertexte visité" xfId="3897" builtinId="9" hidden="1"/>
    <cellStyle name="Lien hypertexte visité" xfId="2251" builtinId="9" hidden="1"/>
    <cellStyle name="Lien hypertexte visité" xfId="7705" builtinId="9" hidden="1"/>
    <cellStyle name="Lien hypertexte visité" xfId="5949" builtinId="9" hidden="1"/>
    <cellStyle name="Lien hypertexte visité" xfId="4193" builtinId="9" hidden="1"/>
    <cellStyle name="Lien hypertexte visité" xfId="11370" builtinId="9" hidden="1"/>
    <cellStyle name="Lien hypertexte visité" xfId="20496" builtinId="9" hidden="1"/>
    <cellStyle name="Lien hypertexte visité" xfId="17595" builtinId="9" hidden="1"/>
    <cellStyle name="Lien hypertexte visité" xfId="20306" builtinId="9" hidden="1"/>
    <cellStyle name="Lien hypertexte visité" xfId="24402" builtinId="9" hidden="1"/>
    <cellStyle name="Lien hypertexte visité" xfId="20728" builtinId="9" hidden="1"/>
    <cellStyle name="Lien hypertexte visité" xfId="18009" builtinId="9" hidden="1"/>
    <cellStyle name="Lien hypertexte visité" xfId="14214" builtinId="9" hidden="1"/>
    <cellStyle name="Lien hypertexte visité" xfId="12166" builtinId="9" hidden="1"/>
    <cellStyle name="Lien hypertexte visité" xfId="10802" builtinId="9" hidden="1"/>
    <cellStyle name="Lien hypertexte visité" xfId="8754" builtinId="9" hidden="1"/>
    <cellStyle name="Lien hypertexte visité" xfId="13647" builtinId="9" hidden="1"/>
    <cellStyle name="Lien hypertexte visité" xfId="11599" builtinId="9" hidden="1"/>
    <cellStyle name="Lien hypertexte visité" xfId="8527" builtinId="9" hidden="1"/>
    <cellStyle name="Lien hypertexte visité" xfId="5454" builtinId="9" hidden="1"/>
    <cellStyle name="Lien hypertexte visité" xfId="3400" builtinId="9" hidden="1"/>
    <cellStyle name="Lien hypertexte visité" xfId="479" builtinId="9" hidden="1"/>
    <cellStyle name="Lien hypertexte visité" xfId="3904" builtinId="9" hidden="1"/>
    <cellStyle name="Lien hypertexte visité" xfId="5948" builtinId="9" hidden="1"/>
    <cellStyle name="Lien hypertexte visité" xfId="9021" builtinId="9" hidden="1"/>
    <cellStyle name="Lien hypertexte visité" xfId="12093" builtinId="9" hidden="1"/>
    <cellStyle name="Lien hypertexte visité" xfId="14141" builtinId="9" hidden="1"/>
    <cellStyle name="Lien hypertexte visité" xfId="19894" builtinId="9" hidden="1"/>
    <cellStyle name="Lien hypertexte visité" xfId="23188" builtinId="9" hidden="1"/>
    <cellStyle name="Lien hypertexte visité" xfId="19092" builtinId="9" hidden="1"/>
    <cellStyle name="Lien hypertexte visité" xfId="13740" builtinId="9" hidden="1"/>
    <cellStyle name="Lien hypertexte visité" xfId="10668" builtinId="9" hidden="1"/>
    <cellStyle name="Lien hypertexte visité" xfId="8620" builtinId="9" hidden="1"/>
    <cellStyle name="Lien hypertexte visité" xfId="5547" builtinId="9" hidden="1"/>
    <cellStyle name="Lien hypertexte visité" xfId="2469" builtinId="9" hidden="1"/>
    <cellStyle name="Lien hypertexte visité" xfId="293" builtinId="9" hidden="1"/>
    <cellStyle name="Lien hypertexte visité" xfId="3810" builtinId="9" hidden="1"/>
    <cellStyle name="Lien hypertexte visité" xfId="6879" builtinId="9" hidden="1"/>
    <cellStyle name="Lien hypertexte visité" xfId="523" builtinId="9" hidden="1"/>
    <cellStyle name="Lien hypertexte visité" xfId="2354" builtinId="9" hidden="1"/>
    <cellStyle name="Lien hypertexte visité" xfId="4408" builtinId="9" hidden="1"/>
    <cellStyle name="Lien hypertexte visité" xfId="5776" builtinId="9" hidden="1"/>
    <cellStyle name="Lien hypertexte visité" xfId="7825" builtinId="9" hidden="1"/>
    <cellStyle name="Lien hypertexte visité" xfId="9873" builtinId="9" hidden="1"/>
    <cellStyle name="Lien hypertexte visité" xfId="11233" builtinId="9" hidden="1"/>
    <cellStyle name="Lien hypertexte visité" xfId="13281" builtinId="9" hidden="1"/>
    <cellStyle name="Lien hypertexte visité" xfId="16143" builtinId="9" hidden="1"/>
    <cellStyle name="Lien hypertexte visité" xfId="18862" builtinId="9" hidden="1"/>
    <cellStyle name="Lien hypertexte visité" xfId="22958" builtinId="9" hidden="1"/>
    <cellStyle name="Lien hypertexte visité" xfId="22172" builtinId="9" hidden="1"/>
    <cellStyle name="Lien hypertexte visité" xfId="19436" builtinId="9" hidden="1"/>
    <cellStyle name="Lien hypertexte visité" xfId="15357" builtinId="9" hidden="1"/>
    <cellStyle name="Lien hypertexte visité" xfId="12888" builtinId="9" hidden="1"/>
    <cellStyle name="Lien hypertexte visité" xfId="11528" builtinId="9" hidden="1"/>
    <cellStyle name="Lien hypertexte visité" xfId="9480" builtinId="9" hidden="1"/>
    <cellStyle name="Lien hypertexte visité" xfId="13120" builtinId="9" hidden="1"/>
    <cellStyle name="Lien hypertexte visité" xfId="19900" builtinId="9" hidden="1"/>
    <cellStyle name="Lien hypertexte visité" xfId="17055" builtinId="9" hidden="1"/>
    <cellStyle name="Lien hypertexte visité" xfId="9641" builtinId="9" hidden="1"/>
    <cellStyle name="Lien hypertexte visité" xfId="5544" builtinId="9" hidden="1"/>
    <cellStyle name="Lien hypertexte visité" xfId="9235" builtinId="9" hidden="1"/>
    <cellStyle name="Lien hypertexte visité" xfId="7482" builtinId="9" hidden="1"/>
    <cellStyle name="Lien hypertexte visité" xfId="6314" builtinId="9" hidden="1"/>
    <cellStyle name="Lien hypertexte visité" xfId="4554" builtinId="9" hidden="1"/>
    <cellStyle name="Lien hypertexte visité" xfId="2796" builtinId="9" hidden="1"/>
    <cellStyle name="Lien hypertexte visité" xfId="1620" builtinId="9" hidden="1"/>
    <cellStyle name="Lien hypertexte visité" xfId="8099" builtinId="9" hidden="1"/>
    <cellStyle name="Lien hypertexte visité" xfId="11459" builtinId="9" hidden="1"/>
    <cellStyle name="Lien hypertexte visité" xfId="10363" builtinId="9" hidden="1"/>
    <cellStyle name="Lien hypertexte visité" xfId="13955" builtinId="9" hidden="1"/>
    <cellStyle name="Lien hypertexte visité" xfId="14915" builtinId="9" hidden="1"/>
    <cellStyle name="Lien hypertexte visité" xfId="17155" builtinId="9" hidden="1"/>
    <cellStyle name="Lien hypertexte visité" xfId="13003" builtinId="9" hidden="1"/>
    <cellStyle name="Lien hypertexte visité" xfId="10915" builtinId="9" hidden="1"/>
    <cellStyle name="Lien hypertexte visité" xfId="10475" builtinId="9" hidden="1"/>
    <cellStyle name="Lien hypertexte visité" xfId="12115" builtinId="9" hidden="1"/>
    <cellStyle name="Lien hypertexte visité" xfId="3164" builtinId="9" hidden="1"/>
    <cellStyle name="Lien hypertexte visité" xfId="1740" builtinId="9" hidden="1"/>
    <cellStyle name="Lien hypertexte visité" xfId="3500" builtinId="9" hidden="1"/>
    <cellStyle name="Lien hypertexte visité" xfId="5258" builtinId="9" hidden="1"/>
    <cellStyle name="Lien hypertexte visité" xfId="6426" builtinId="9" hidden="1"/>
    <cellStyle name="Lien hypertexte visité" xfId="8187" builtinId="9" hidden="1"/>
    <cellStyle name="Lien hypertexte visité" xfId="1858" builtinId="9" hidden="1"/>
    <cellStyle name="Lien hypertexte visité" xfId="5960" builtinId="9" hidden="1"/>
    <cellStyle name="Lien hypertexte visité" xfId="16587" builtinId="9" hidden="1"/>
    <cellStyle name="Lien hypertexte visité" xfId="13503" builtinId="9" hidden="1"/>
    <cellStyle name="Lien hypertexte visité" xfId="12127" builtinId="9" hidden="1"/>
    <cellStyle name="Lien hypertexte visité" xfId="10079" builtinId="9" hidden="1"/>
    <cellStyle name="Lien hypertexte visité" xfId="8031" builtinId="9" hidden="1"/>
    <cellStyle name="Lien hypertexte visité" xfId="6654" builtinId="9" hidden="1"/>
    <cellStyle name="Lien hypertexte visité" xfId="4606" builtinId="9" hidden="1"/>
    <cellStyle name="Lien hypertexte visité" xfId="2552" builtinId="9" hidden="1"/>
    <cellStyle name="Lien hypertexte visité" xfId="1207" builtinId="9" hidden="1"/>
    <cellStyle name="Lien hypertexte visité" xfId="1990" builtinId="9" hidden="1"/>
    <cellStyle name="Lien hypertexte visité" xfId="4044" builtinId="9" hidden="1"/>
    <cellStyle name="Lien hypertexte visité" xfId="5420" builtinId="9" hidden="1"/>
    <cellStyle name="Lien hypertexte visité" xfId="7468" builtinId="9" hidden="1"/>
    <cellStyle name="Lien hypertexte visité" xfId="9517" builtinId="9" hidden="1"/>
    <cellStyle name="Lien hypertexte visité" xfId="10893" builtinId="9" hidden="1"/>
    <cellStyle name="Lien hypertexte visité" xfId="12941" builtinId="9" hidden="1"/>
    <cellStyle name="Lien hypertexte visité" xfId="15463" builtinId="9" hidden="1"/>
    <cellStyle name="Lien hypertexte visité" xfId="18151" builtinId="9" hidden="1"/>
    <cellStyle name="Lien hypertexte visité" xfId="22230" builtinId="9" hidden="1"/>
    <cellStyle name="Lien hypertexte visité" xfId="22900" builtinId="9" hidden="1"/>
    <cellStyle name="Lien hypertexte visité" xfId="20148" builtinId="9" hidden="1"/>
    <cellStyle name="Lien hypertexte visité" xfId="16069" builtinId="9" hidden="1"/>
    <cellStyle name="Lien hypertexte visité" xfId="13244" builtinId="9" hidden="1"/>
    <cellStyle name="Lien hypertexte visité" xfId="11868" builtinId="9" hidden="1"/>
    <cellStyle name="Lien hypertexte visité" xfId="9820" builtinId="9" hidden="1"/>
    <cellStyle name="Lien hypertexte visité" xfId="7771" builtinId="9" hidden="1"/>
    <cellStyle name="Lien hypertexte visité" xfId="6427" builtinId="9" hidden="1"/>
    <cellStyle name="Lien hypertexte visité" xfId="4379" builtinId="9" hidden="1"/>
    <cellStyle name="Lien hypertexte visité" xfId="2325" builtinId="9" hidden="1"/>
    <cellStyle name="Lien hypertexte visité" xfId="733" builtinId="9" hidden="1"/>
    <cellStyle name="Lien hypertexte visité" xfId="2249" builtinId="9" hidden="1"/>
    <cellStyle name="Lien hypertexte visité" xfId="4303" builtinId="9" hidden="1"/>
    <cellStyle name="Lien hypertexte visité" xfId="5679" builtinId="9" hidden="1"/>
    <cellStyle name="Lien hypertexte visité" xfId="7727" builtinId="9" hidden="1"/>
    <cellStyle name="Lien hypertexte visité" xfId="583" builtinId="9" hidden="1"/>
    <cellStyle name="Lien hypertexte visité" xfId="1770" builtinId="9" hidden="1"/>
    <cellStyle name="Lien hypertexte visité" xfId="3130" builtinId="9" hidden="1"/>
    <cellStyle name="Lien hypertexte visité" xfId="4504" builtinId="9" hidden="1"/>
    <cellStyle name="Lien hypertexte visité" xfId="5424" builtinId="9" hidden="1"/>
    <cellStyle name="Lien hypertexte visité" xfId="6784" builtinId="9" hidden="1"/>
    <cellStyle name="Lien hypertexte visité" xfId="8153" builtinId="9" hidden="1"/>
    <cellStyle name="Lien hypertexte visité" xfId="9073" builtinId="9" hidden="1"/>
    <cellStyle name="Lien hypertexte visité" xfId="10433" builtinId="9" hidden="1"/>
    <cellStyle name="Lien hypertexte visité" xfId="11801" builtinId="9" hidden="1"/>
    <cellStyle name="Lien hypertexte visité" xfId="12697" builtinId="9" hidden="1"/>
    <cellStyle name="Lien hypertexte visité" xfId="14065" builtinId="9" hidden="1"/>
    <cellStyle name="Lien hypertexte visité" xfId="16335" builtinId="9" hidden="1"/>
    <cellStyle name="Lien hypertexte visité" xfId="18175" builtinId="9" hidden="1"/>
    <cellStyle name="Lien hypertexte visité" xfId="20894" builtinId="9" hidden="1"/>
    <cellStyle name="Lien hypertexte visité" xfId="23614" builtinId="9" hidden="1"/>
    <cellStyle name="Lien hypertexte visité" xfId="23772" builtinId="9" hidden="1"/>
    <cellStyle name="Lien hypertexte visité" xfId="21036" builtinId="9" hidden="1"/>
    <cellStyle name="Lien hypertexte visité" xfId="18321" builtinId="9" hidden="1"/>
    <cellStyle name="Lien hypertexte visité" xfId="16541" builtinId="9" hidden="1"/>
    <cellStyle name="Lien hypertexte visité" xfId="14160" builtinId="9" hidden="1"/>
    <cellStyle name="Lien hypertexte visité" xfId="12792" builtinId="9" hidden="1"/>
    <cellStyle name="Lien hypertexte visité" xfId="11880" builtinId="9" hidden="1"/>
    <cellStyle name="Lien hypertexte visité" xfId="10512" builtinId="9" hidden="1"/>
    <cellStyle name="Lien hypertexte visité" xfId="9144" builtinId="9" hidden="1"/>
    <cellStyle name="Lien hypertexte visité" xfId="10720" builtinId="9" hidden="1"/>
    <cellStyle name="Lien hypertexte visité" xfId="15117" builtinId="9" hidden="1"/>
    <cellStyle name="Lien hypertexte visité" xfId="23292" builtinId="9" hidden="1"/>
    <cellStyle name="Lien hypertexte visité" xfId="20558" builtinId="9" hidden="1"/>
    <cellStyle name="Lien hypertexte visité" xfId="13449" builtinId="9" hidden="1"/>
    <cellStyle name="Lien hypertexte visité" xfId="9353" builtinId="9" hidden="1"/>
    <cellStyle name="Lien hypertexte visité" xfId="6600" builtinId="9" hidden="1"/>
    <cellStyle name="Lien hypertexte visité" xfId="21454" builtinId="9" hidden="1"/>
    <cellStyle name="Lien hypertexte visité" xfId="8864" builtinId="9" hidden="1"/>
    <cellStyle name="Lien hypertexte visité" xfId="11576" builtinId="9" hidden="1"/>
    <cellStyle name="Lien hypertexte visité" xfId="16829" builtinId="9" hidden="1"/>
    <cellStyle name="Lien hypertexte visité" xfId="24222" builtinId="9" hidden="1"/>
    <cellStyle name="Lien hypertexte visité" xfId="18750" builtinId="9" hidden="1"/>
    <cellStyle name="Lien hypertexte visité" xfId="12545" builtinId="9" hidden="1"/>
    <cellStyle name="Lien hypertexte visité" xfId="8449" builtinId="9" hidden="1"/>
    <cellStyle name="Lien hypertexte visité" xfId="5720" builtinId="9" hidden="1"/>
    <cellStyle name="Lien hypertexte visité" xfId="1618" builtinId="9" hidden="1"/>
    <cellStyle name="Lien hypertexte visité" xfId="4751" builtinId="9" hidden="1"/>
    <cellStyle name="Lien hypertexte visité" xfId="229" builtinId="9" hidden="1"/>
    <cellStyle name="Lien hypertexte visité" xfId="6651" builtinId="9" hidden="1"/>
    <cellStyle name="Lien hypertexte visité" xfId="12796" builtinId="9" hidden="1"/>
    <cellStyle name="Lien hypertexte visité" xfId="19252" builtinId="9" hidden="1"/>
    <cellStyle name="Lien hypertexte visité" xfId="17703" builtinId="9" hidden="1"/>
    <cellStyle name="Lien hypertexte visité" xfId="9965" builtinId="9" hidden="1"/>
    <cellStyle name="Lien hypertexte visité" xfId="5868" builtinId="9" hidden="1"/>
    <cellStyle name="Lien hypertexte visité" xfId="1431" builtinId="9" hidden="1"/>
    <cellStyle name="Lien hypertexte visité" xfId="7582" builtinId="9" hidden="1"/>
    <cellStyle name="Lien hypertexte visité" xfId="11679" builtinId="9" hidden="1"/>
    <cellStyle name="Lien hypertexte visité" xfId="7201" builtinId="9" hidden="1"/>
    <cellStyle name="Lien hypertexte visité" xfId="6197" builtinId="9" hidden="1"/>
    <cellStyle name="Lien hypertexte visité" xfId="5521" builtinId="9" hidden="1"/>
    <cellStyle name="Lien hypertexte visité" xfId="4513" builtinId="9" hidden="1"/>
    <cellStyle name="Lien hypertexte visité" xfId="9610" builtinId="9" hidden="1"/>
    <cellStyle name="Lien hypertexte visité" xfId="11978" builtinId="9" hidden="1"/>
    <cellStyle name="Lien hypertexte visité" xfId="16481" builtinId="9" hidden="1"/>
    <cellStyle name="Lien hypertexte visité" xfId="23504" builtinId="9" hidden="1"/>
    <cellStyle name="Lien hypertexte visité" xfId="21114" builtinId="9" hidden="1"/>
    <cellStyle name="Lien hypertexte visité" xfId="18370" builtinId="9" hidden="1"/>
    <cellStyle name="Lien hypertexte visité" xfId="20714" builtinId="9" hidden="1"/>
    <cellStyle name="Lien hypertexte visité" xfId="22290" builtinId="9" hidden="1"/>
    <cellStyle name="Lien hypertexte visité" xfId="24594" builtinId="9" hidden="1"/>
    <cellStyle name="Lien hypertexte visité" xfId="22280" builtinId="9" hidden="1"/>
    <cellStyle name="Lien hypertexte visité" xfId="20704" builtinId="9" hidden="1"/>
    <cellStyle name="Lien hypertexte visité" xfId="18360" builtinId="9" hidden="1"/>
    <cellStyle name="Lien hypertexte visité" xfId="16025" builtinId="9" hidden="1"/>
    <cellStyle name="Lien hypertexte visité" xfId="14502" builtinId="9" hidden="1"/>
    <cellStyle name="Lien hypertexte visité" xfId="13330" builtinId="9" hidden="1"/>
    <cellStyle name="Lien hypertexte visité" xfId="12158" builtinId="9" hidden="1"/>
    <cellStyle name="Lien hypertexte visité" xfId="11390" builtinId="9" hidden="1"/>
    <cellStyle name="Lien hypertexte visité" xfId="10214" builtinId="9" hidden="1"/>
    <cellStyle name="Lien hypertexte visité" xfId="10686" builtinId="9" hidden="1"/>
    <cellStyle name="Lien hypertexte visité" xfId="17777" builtinId="9" hidden="1"/>
    <cellStyle name="Lien hypertexte visité" xfId="23930" builtinId="9" hidden="1"/>
    <cellStyle name="Lien hypertexte visité" xfId="3259" builtinId="9" hidden="1"/>
    <cellStyle name="Lien hypertexte visité" xfId="3848" builtinId="9" hidden="1"/>
    <cellStyle name="Lien hypertexte visité" xfId="2083" builtinId="9" hidden="1"/>
    <cellStyle name="Lien hypertexte visité" xfId="305" builtinId="9" hidden="1"/>
    <cellStyle name="Lien hypertexte visité" xfId="1278" builtinId="9" hidden="1"/>
    <cellStyle name="Lien hypertexte visité" xfId="1611" builtinId="9" hidden="1"/>
    <cellStyle name="Lien hypertexte visité" xfId="3351" builtinId="9" hidden="1"/>
    <cellStyle name="Lien hypertexte visité" xfId="2771" builtinId="9" hidden="1"/>
    <cellStyle name="Lien hypertexte visité" xfId="6217" builtinId="9" hidden="1"/>
    <cellStyle name="Lien hypertexte visité" xfId="7549" builtinId="9" hidden="1"/>
    <cellStyle name="Lien hypertexte visité" xfId="1342" builtinId="9" hidden="1"/>
    <cellStyle name="Lien hypertexte visité" xfId="7069" builtinId="9" hidden="1"/>
    <cellStyle name="Lien hypertexte visité" xfId="7986" builtinId="9" hidden="1"/>
    <cellStyle name="Lien hypertexte visité" xfId="5609" builtinId="9" hidden="1"/>
    <cellStyle name="Lien hypertexte visité" xfId="2815" builtinId="9" hidden="1"/>
    <cellStyle name="Lien hypertexte visité" xfId="5041" builtinId="9" hidden="1"/>
    <cellStyle name="Lien hypertexte visité" xfId="5645" builtinId="9" hidden="1"/>
    <cellStyle name="Lien hypertexte visité" xfId="3997" builtinId="9" hidden="1"/>
    <cellStyle name="Lien hypertexte visité" xfId="9178" builtinId="9" hidden="1"/>
    <cellStyle name="Lien hypertexte visité" xfId="11162" builtinId="9" hidden="1"/>
    <cellStyle name="Lien hypertexte visité" xfId="4637" builtinId="9" hidden="1"/>
    <cellStyle name="Lien hypertexte visité" xfId="6285" builtinId="9" hidden="1"/>
    <cellStyle name="Lien hypertexte visité" xfId="5697" builtinId="9" hidden="1"/>
    <cellStyle name="Lien hypertexte visité" xfId="4801" builtinId="9" hidden="1"/>
    <cellStyle name="Lien hypertexte visité" xfId="2595" builtinId="9" hidden="1"/>
    <cellStyle name="Lien hypertexte visité" xfId="5225" builtinId="9" hidden="1"/>
    <cellStyle name="Lien hypertexte visité" xfId="7729" builtinId="9" hidden="1"/>
    <cellStyle name="Lien hypertexte visité" xfId="6833" builtinId="9" hidden="1"/>
    <cellStyle name="Lien hypertexte visité" xfId="665" builtinId="9" hidden="1"/>
    <cellStyle name="Lien hypertexte visité" xfId="7805" builtinId="9" hidden="1"/>
    <cellStyle name="Lien hypertexte visité" xfId="4553" builtinId="9" hidden="1"/>
    <cellStyle name="Lien hypertexte visité" xfId="2719" builtinId="9" hidden="1"/>
    <cellStyle name="Lien hypertexte visité" xfId="3592" builtinId="9" hidden="1"/>
    <cellStyle name="Lien hypertexte visité" xfId="1839" builtinId="9" hidden="1"/>
    <cellStyle name="Lien hypertexte visité" xfId="1230" builtinId="9" hidden="1"/>
    <cellStyle name="Lien hypertexte visité" xfId="793" builtinId="9" hidden="1"/>
    <cellStyle name="Lien hypertexte visité" xfId="1871" builtinId="9" hidden="1"/>
    <cellStyle name="Lien hypertexte visité" xfId="3901" builtinId="9" hidden="1"/>
    <cellStyle name="Lien hypertexte visité" xfId="5701" builtinId="9" hidden="1"/>
    <cellStyle name="Lien hypertexte visité" xfId="19522" builtinId="9" hidden="1"/>
    <cellStyle name="Lien hypertexte visité" xfId="18784" builtinId="9" hidden="1"/>
    <cellStyle name="Lien hypertexte visité" xfId="9362" builtinId="9" hidden="1"/>
    <cellStyle name="Lien hypertexte visité" xfId="10534" builtinId="9" hidden="1"/>
    <cellStyle name="Lien hypertexte visité" xfId="11302" builtinId="9" hidden="1"/>
    <cellStyle name="Lien hypertexte visité" xfId="12478" builtinId="9" hidden="1"/>
    <cellStyle name="Lien hypertexte visité" xfId="13650" builtinId="9" hidden="1"/>
    <cellStyle name="Lien hypertexte visité" xfId="14418" builtinId="9" hidden="1"/>
    <cellStyle name="Lien hypertexte visité" xfId="16665" builtinId="9" hidden="1"/>
    <cellStyle name="Lien hypertexte visité" xfId="19000" builtinId="9" hidden="1"/>
    <cellStyle name="Lien hypertexte visité" xfId="20576" builtinId="9" hidden="1"/>
    <cellStyle name="Lien hypertexte visité" xfId="22920" builtinId="9" hidden="1"/>
    <cellStyle name="Lien hypertexte visité" xfId="24002" builtinId="9" hidden="1"/>
    <cellStyle name="Lien hypertexte visité" xfId="22418" builtinId="9" hidden="1"/>
    <cellStyle name="Lien hypertexte visité" xfId="20074" builtinId="9" hidden="1"/>
    <cellStyle name="Lien hypertexte visité" xfId="17747" builtinId="9" hidden="1"/>
    <cellStyle name="Lien hypertexte visité" xfId="20602" builtinId="9" hidden="1"/>
    <cellStyle name="Lien hypertexte visité" xfId="21584" builtinId="9" hidden="1"/>
    <cellStyle name="Lien hypertexte visité" xfId="14561" builtinId="9" hidden="1"/>
    <cellStyle name="Lien hypertexte visité" xfId="12170" builtinId="9" hidden="1"/>
    <cellStyle name="Lien hypertexte visité" xfId="8714" builtinId="9" hidden="1"/>
    <cellStyle name="Lien hypertexte visité" xfId="4789" builtinId="9" hidden="1"/>
    <cellStyle name="Lien hypertexte visité" xfId="5465" builtinId="9" hidden="1"/>
    <cellStyle name="Lien hypertexte visité" xfId="6469" builtinId="9" hidden="1"/>
    <cellStyle name="Lien hypertexte visité" xfId="8382" builtinId="9" hidden="1"/>
    <cellStyle name="Lien hypertexte visité" xfId="12063" builtinId="9" hidden="1"/>
    <cellStyle name="Lien hypertexte visité" xfId="5918" builtinId="9" hidden="1"/>
    <cellStyle name="Lien hypertexte visité" xfId="1381" builtinId="9" hidden="1"/>
    <cellStyle name="Lien hypertexte visité" xfId="5484" builtinId="9" hidden="1"/>
    <cellStyle name="Lien hypertexte visité" xfId="13509" builtinId="9" hidden="1"/>
    <cellStyle name="Lien hypertexte visité" xfId="15223" builtinId="9" hidden="1"/>
    <cellStyle name="Lien hypertexte visité" xfId="16951" builtinId="9" hidden="1"/>
    <cellStyle name="Lien hypertexte visité" xfId="10426" builtinId="9" hidden="1"/>
    <cellStyle name="Lien hypertexte visité" xfId="4465" builtinId="9" hidden="1"/>
    <cellStyle name="Lien hypertexte visité" xfId="5269" builtinId="9" hidden="1"/>
    <cellStyle name="Lien hypertexte visité" xfId="6437" builtinId="9" hidden="1"/>
    <cellStyle name="Lien hypertexte visité" xfId="7609" builtinId="9" hidden="1"/>
    <cellStyle name="Lien hypertexte visité" xfId="6825" builtinId="9" hidden="1"/>
    <cellStyle name="Lien hypertexte visité" xfId="2911" builtinId="9" hidden="1"/>
    <cellStyle name="Lien hypertexte visité" xfId="2691" builtinId="9" hidden="1"/>
    <cellStyle name="Lien hypertexte visité" xfId="2059" builtinId="9" hidden="1"/>
    <cellStyle name="Lien hypertexte visité" xfId="505" builtinId="9" hidden="1"/>
    <cellStyle name="Lien hypertexte visité" xfId="1783" builtinId="9" hidden="1"/>
    <cellStyle name="Lien hypertexte visité" xfId="3648" builtinId="9" hidden="1"/>
    <cellStyle name="Lien hypertexte visité" xfId="2555" builtinId="9" hidden="1"/>
    <cellStyle name="Lien hypertexte visité" xfId="8034" builtinId="9" hidden="1"/>
    <cellStyle name="Lien hypertexte visité" xfId="7229" builtinId="9" hidden="1"/>
    <cellStyle name="Lien hypertexte visité" xfId="9423" builtinId="9" hidden="1"/>
    <cellStyle name="Lien hypertexte visité" xfId="1223" builtinId="9" hidden="1"/>
    <cellStyle name="Lien hypertexte visité" xfId="8125" builtinId="9" hidden="1"/>
    <cellStyle name="Lien hypertexte visité" xfId="18119" builtinId="9" hidden="1"/>
    <cellStyle name="Lien hypertexte visité" xfId="14757" builtinId="9" hidden="1"/>
    <cellStyle name="Lien hypertexte visité" xfId="6443" builtinId="9" hidden="1"/>
    <cellStyle name="Lien hypertexte visité" xfId="2905" builtinId="9" hidden="1"/>
    <cellStyle name="Lien hypertexte visité" xfId="1754" builtinId="9" hidden="1"/>
    <cellStyle name="Lien hypertexte visité" xfId="7224" builtinId="9" hidden="1"/>
    <cellStyle name="Lien hypertexte visité" xfId="12689" builtinId="9" hidden="1"/>
    <cellStyle name="Lien hypertexte visité" xfId="21758" builtinId="9" hidden="1"/>
    <cellStyle name="Lien hypertexte visité" xfId="16557" builtinId="9" hidden="1"/>
    <cellStyle name="Lien hypertexte visité" xfId="10072" builtinId="9" hidden="1"/>
    <cellStyle name="Lien hypertexte visité" xfId="20622" builtinId="9" hidden="1"/>
    <cellStyle name="Lien hypertexte visité" xfId="1185" builtinId="9" hidden="1"/>
    <cellStyle name="Lien hypertexte visité" xfId="5066" builtinId="9" hidden="1"/>
    <cellStyle name="Lien hypertexte visité" xfId="4514" builtinId="9" hidden="1"/>
    <cellStyle name="Lien hypertexte visité" xfId="14419" builtinId="9" hidden="1"/>
    <cellStyle name="Lien hypertexte visité" xfId="15267" builtinId="9" hidden="1"/>
    <cellStyle name="Lien hypertexte visité" xfId="11635" builtinId="9" hidden="1"/>
    <cellStyle name="Lien hypertexte visité" xfId="2988" builtinId="9" hidden="1"/>
    <cellStyle name="Lien hypertexte visité" xfId="7674" builtinId="9" hidden="1"/>
    <cellStyle name="Lien hypertexte visité" xfId="8358" builtinId="9" hidden="1"/>
    <cellStyle name="Lien hypertexte visité" xfId="10687" builtinId="9" hidden="1"/>
    <cellStyle name="Lien hypertexte visité" xfId="15561" builtinId="9" hidden="1"/>
    <cellStyle name="Lien hypertexte visité" xfId="17305" builtinId="9" hidden="1"/>
    <cellStyle name="Lien hypertexte visité" xfId="19040" builtinId="9" hidden="1"/>
    <cellStyle name="Lien hypertexte visité" xfId="20792" builtinId="9" hidden="1"/>
    <cellStyle name="Lien hypertexte visité" xfId="22584" builtinId="9" hidden="1"/>
    <cellStyle name="Lien hypertexte visité" xfId="24328" builtinId="9" hidden="1"/>
    <cellStyle name="Lien hypertexte visité" xfId="22978" builtinId="9" hidden="1"/>
    <cellStyle name="Lien hypertexte visité" xfId="21186" builtinId="9" hidden="1"/>
    <cellStyle name="Lien hypertexte visité" xfId="19434" builtinId="9" hidden="1"/>
    <cellStyle name="Lien hypertexte visité" xfId="17699" builtinId="9" hidden="1"/>
    <cellStyle name="Lien hypertexte visité" xfId="21370" builtinId="9" hidden="1"/>
    <cellStyle name="Lien hypertexte visité" xfId="22608" builtinId="9" hidden="1"/>
    <cellStyle name="Lien hypertexte visité" xfId="17377" builtinId="9" hidden="1"/>
    <cellStyle name="Lien hypertexte visité" xfId="13002" builtinId="9" hidden="1"/>
    <cellStyle name="Lien hypertexte visité" xfId="10378" builtinId="9" hidden="1"/>
    <cellStyle name="Lien hypertexte visité" xfId="4057" builtinId="9" hidden="1"/>
    <cellStyle name="Lien hypertexte visité" xfId="4805" builtinId="9" hidden="1"/>
    <cellStyle name="Lien hypertexte visité" xfId="5573" builtinId="9" hidden="1"/>
    <cellStyle name="Lien hypertexte visité" xfId="6325" builtinId="9" hidden="1"/>
    <cellStyle name="Lien hypertexte visité" xfId="7073" builtinId="9" hidden="1"/>
    <cellStyle name="Lien hypertexte visité" xfId="13471" builtinId="9" hidden="1"/>
    <cellStyle name="Lien hypertexte visité" xfId="8863" builtinId="9" hidden="1"/>
    <cellStyle name="Lien hypertexte visité" xfId="4254" builtinId="9" hidden="1"/>
    <cellStyle name="Lien hypertexte visité" xfId="1510" builtinId="9" hidden="1"/>
    <cellStyle name="Lien hypertexte visité" xfId="6124" builtinId="9" hidden="1"/>
    <cellStyle name="Lien hypertexte visité" xfId="10733" builtinId="9" hidden="1"/>
    <cellStyle name="Lien hypertexte visité" xfId="16167" builtinId="9" hidden="1"/>
    <cellStyle name="Lien hypertexte visité" xfId="22836" builtinId="9" hidden="1"/>
    <cellStyle name="Lien hypertexte visité" xfId="14076" builtinId="9" hidden="1"/>
    <cellStyle name="Lien hypertexte visité" xfId="9468" builtinId="9" hidden="1"/>
    <cellStyle name="Lien hypertexte visité" xfId="4859" builtinId="9" hidden="1"/>
    <cellStyle name="Lien hypertexte visité" xfId="645" builtinId="9" hidden="1"/>
    <cellStyle name="Lien hypertexte visité" xfId="5519" builtinId="9" hidden="1"/>
    <cellStyle name="Lien hypertexte visité" xfId="1047" builtinId="9" hidden="1"/>
    <cellStyle name="Lien hypertexte visité" xfId="4528" builtinId="9" hidden="1"/>
    <cellStyle name="Lien hypertexte visité" xfId="7600" builtinId="9" hidden="1"/>
    <cellStyle name="Lien hypertexte visité" xfId="10673" builtinId="9" hidden="1"/>
    <cellStyle name="Lien hypertexte visité" xfId="13745" builtinId="9" hidden="1"/>
    <cellStyle name="Lien hypertexte visité" xfId="19102" builtinId="9" hidden="1"/>
    <cellStyle name="Lien hypertexte visité" xfId="23980" builtinId="9" hidden="1"/>
    <cellStyle name="Lien hypertexte visité" xfId="17853" builtinId="9" hidden="1"/>
    <cellStyle name="Lien hypertexte visité" xfId="12776" builtinId="9" hidden="1"/>
    <cellStyle name="Lien hypertexte visité" xfId="9704" builtinId="9" hidden="1"/>
    <cellStyle name="Lien hypertexte visité" xfId="16525" builtinId="9" hidden="1"/>
    <cellStyle name="Lien hypertexte visité" xfId="14409" builtinId="9" hidden="1"/>
    <cellStyle name="Lien hypertexte visité" xfId="6792" builtinId="9" hidden="1"/>
    <cellStyle name="Lien hypertexte visité" xfId="9865" builtinId="9" hidden="1"/>
    <cellStyle name="Lien hypertexte visité" xfId="12937" builtinId="9" hidden="1"/>
    <cellStyle name="Lien hypertexte visité" xfId="18143" builtinId="9" hidden="1"/>
    <cellStyle name="Lien hypertexte visité" xfId="24270" builtinId="9" hidden="1"/>
    <cellStyle name="Lien hypertexte visité" xfId="18812" builtinId="9" hidden="1"/>
    <cellStyle name="Lien hypertexte visité" xfId="13600" builtinId="9" hidden="1"/>
    <cellStyle name="Lien hypertexte visité" xfId="10528" builtinId="9" hidden="1"/>
    <cellStyle name="Lien hypertexte visité" xfId="9320" builtinId="9" hidden="1"/>
    <cellStyle name="Lien hypertexte visité" xfId="10344" builtinId="9" hidden="1"/>
    <cellStyle name="Lien hypertexte visité" xfId="11472" builtinId="9" hidden="1"/>
    <cellStyle name="Lien hypertexte visité" xfId="12496" builtinId="9" hidden="1"/>
    <cellStyle name="Lien hypertexte visité" xfId="13520" builtinId="9" hidden="1"/>
    <cellStyle name="Lien hypertexte visité" xfId="14573" builtinId="9" hidden="1"/>
    <cellStyle name="Lien hypertexte visité" xfId="16621" builtinId="9" hidden="1"/>
    <cellStyle name="Lien hypertexte visité" xfId="18652" builtinId="9" hidden="1"/>
    <cellStyle name="Lien hypertexte visité" xfId="20700" builtinId="9" hidden="1"/>
    <cellStyle name="Lien hypertexte visité" xfId="23004" builtinId="9" hidden="1"/>
    <cellStyle name="Lien hypertexte visité" xfId="24174" builtinId="9" hidden="1"/>
    <cellStyle name="Lien hypertexte visité" xfId="22126" builtinId="9" hidden="1"/>
    <cellStyle name="Lien hypertexte visité" xfId="20078" builtinId="9" hidden="1"/>
    <cellStyle name="Lien hypertexte visité" xfId="18047" builtinId="9" hidden="1"/>
    <cellStyle name="Lien hypertexte visité" xfId="15999" builtinId="9" hidden="1"/>
    <cellStyle name="Lien hypertexte visité" xfId="14233" builtinId="9" hidden="1"/>
    <cellStyle name="Lien hypertexte visité" xfId="13105" builtinId="9" hidden="1"/>
    <cellStyle name="Lien hypertexte visité" xfId="12081" builtinId="9" hidden="1"/>
    <cellStyle name="Lien hypertexte visité" xfId="11057" builtinId="9" hidden="1"/>
    <cellStyle name="Lien hypertexte visité" xfId="10033" builtinId="9" hidden="1"/>
    <cellStyle name="Lien hypertexte visité" xfId="9009" builtinId="9" hidden="1"/>
    <cellStyle name="Lien hypertexte visité" xfId="7985" builtinId="9" hidden="1"/>
    <cellStyle name="Lien hypertexte visité" xfId="6960" builtinId="9" hidden="1"/>
    <cellStyle name="Lien hypertexte visité" xfId="5824" builtinId="9" hidden="1"/>
    <cellStyle name="Lien hypertexte visité" xfId="4800" builtinId="9" hidden="1"/>
    <cellStyle name="Lien hypertexte visité" xfId="3779" builtinId="9" hidden="1"/>
    <cellStyle name="Lien hypertexte visité" xfId="2746" builtinId="9" hidden="1"/>
    <cellStyle name="Lien hypertexte visité" xfId="1722" builtinId="9" hidden="1"/>
    <cellStyle name="Lien hypertexte visité" xfId="231" builtinId="9" hidden="1"/>
    <cellStyle name="Lien hypertexte visité" xfId="7984" builtinId="9" hidden="1"/>
    <cellStyle name="Lien hypertexte visité" xfId="6255" builtinId="9" hidden="1"/>
    <cellStyle name="Lien hypertexte visité" xfId="4719" builtinId="9" hidden="1"/>
    <cellStyle name="Lien hypertexte visité" xfId="3177" builtinId="9" hidden="1"/>
    <cellStyle name="Lien hypertexte visité" xfId="1641" builtinId="9" hidden="1"/>
    <cellStyle name="Lien hypertexte visité" xfId="925" builtinId="9" hidden="1"/>
    <cellStyle name="Lien hypertexte visité" xfId="2581" builtinId="9" hidden="1"/>
    <cellStyle name="Lien hypertexte visité" xfId="4123" builtinId="9" hidden="1"/>
    <cellStyle name="Lien hypertexte visité" xfId="5819" builtinId="9" hidden="1"/>
    <cellStyle name="Lien hypertexte visité" xfId="7355" builtinId="9" hidden="1"/>
    <cellStyle name="Lien hypertexte visité" xfId="8892" builtinId="9" hidden="1"/>
    <cellStyle name="Lien hypertexte visité" xfId="10428" builtinId="9" hidden="1"/>
    <cellStyle name="Lien hypertexte visité" xfId="11964" builtinId="9" hidden="1"/>
    <cellStyle name="Lien hypertexte visité" xfId="13500" builtinId="9" hidden="1"/>
    <cellStyle name="Lien hypertexte visité" xfId="15557" builtinId="9" hidden="1"/>
    <cellStyle name="Lien hypertexte visité" xfId="18932" builtinId="9" hidden="1"/>
    <cellStyle name="Lien hypertexte visité" xfId="22004" builtinId="9" hidden="1"/>
    <cellStyle name="Lien hypertexte visité" xfId="24150" builtinId="9" hidden="1"/>
    <cellStyle name="Lien hypertexte visité" xfId="21078" builtinId="9" hidden="1"/>
    <cellStyle name="Lien hypertexte visité" xfId="18023" builtinId="9" hidden="1"/>
    <cellStyle name="Lien hypertexte visité" xfId="14951" builtinId="9" hidden="1"/>
    <cellStyle name="Lien hypertexte visité" xfId="13197" builtinId="9" hidden="1"/>
    <cellStyle name="Lien hypertexte visité" xfId="11469" builtinId="9" hidden="1"/>
    <cellStyle name="Lien hypertexte visité" xfId="9933" builtinId="9" hidden="1"/>
    <cellStyle name="Lien hypertexte visité" xfId="8397" builtinId="9" hidden="1"/>
    <cellStyle name="Lien hypertexte visité" xfId="6860" builtinId="9" hidden="1"/>
    <cellStyle name="Lien hypertexte visité" xfId="5324" builtinId="9" hidden="1"/>
    <cellStyle name="Lien hypertexte visité" xfId="3791" builtinId="9" hidden="1"/>
    <cellStyle name="Lien hypertexte visité" xfId="2246" builtinId="9" hidden="1"/>
    <cellStyle name="Lien hypertexte visité" xfId="87" builtinId="9" hidden="1"/>
    <cellStyle name="Lien hypertexte visité" xfId="2136" builtinId="9" hidden="1"/>
    <cellStyle name="Lien hypertexte visité" xfId="3680" builtinId="9" hidden="1"/>
    <cellStyle name="Lien hypertexte visité" xfId="5214" builtinId="9" hidden="1"/>
    <cellStyle name="Lien hypertexte visité" xfId="6750" builtinId="9" hidden="1"/>
    <cellStyle name="Lien hypertexte visité" xfId="8287" builtinId="9" hidden="1"/>
    <cellStyle name="Lien hypertexte visité" xfId="4542" builtinId="9" hidden="1"/>
    <cellStyle name="Lien hypertexte visité" xfId="7564" builtinId="9" hidden="1"/>
    <cellStyle name="Lien hypertexte visité" xfId="22422" builtinId="9" hidden="1"/>
    <cellStyle name="Lien hypertexte visité" xfId="9756" builtinId="9" hidden="1"/>
    <cellStyle name="Lien hypertexte visité" xfId="2345" builtinId="9" hidden="1"/>
    <cellStyle name="Lien hypertexte visité" xfId="3194" builtinId="9" hidden="1"/>
    <cellStyle name="Lien hypertexte visité" xfId="10481" builtinId="9" hidden="1"/>
    <cellStyle name="Lien hypertexte visité" xfId="21022" builtinId="9" hidden="1"/>
    <cellStyle name="Lien hypertexte visité" xfId="14096" builtinId="9" hidden="1"/>
    <cellStyle name="Lien hypertexte visité" xfId="15373" builtinId="9" hidden="1"/>
    <cellStyle name="Lien hypertexte visité" xfId="22478" builtinId="9" hidden="1"/>
    <cellStyle name="Lien hypertexte visité" xfId="12377" builtinId="9" hidden="1"/>
    <cellStyle name="Lien hypertexte visité" xfId="6907" builtinId="9" hidden="1"/>
    <cellStyle name="Lien hypertexte visité" xfId="1688" builtinId="9" hidden="1"/>
    <cellStyle name="Lien hypertexte visité" xfId="4477" builtinId="9" hidden="1"/>
    <cellStyle name="Lien hypertexte visité" xfId="18450" builtinId="9" hidden="1"/>
    <cellStyle name="Lien hypertexte visité" xfId="18289" builtinId="9" hidden="1"/>
    <cellStyle name="Lien hypertexte visité" xfId="3335" builtinId="9" hidden="1"/>
    <cellStyle name="Lien hypertexte visité" xfId="2667" builtinId="9" hidden="1"/>
    <cellStyle name="Lien hypertexte visité" xfId="4809" builtinId="9" hidden="1"/>
    <cellStyle name="Lien hypertexte visité" xfId="8006" builtinId="9" hidden="1"/>
    <cellStyle name="Lien hypertexte visité" xfId="7385" builtinId="9" hidden="1"/>
    <cellStyle name="Lien hypertexte visité" xfId="6413" builtinId="9" hidden="1"/>
    <cellStyle name="Lien hypertexte visité" xfId="7013" builtinId="9" hidden="1"/>
    <cellStyle name="Lien hypertexte visité" xfId="7693" builtinId="9" hidden="1"/>
    <cellStyle name="Lien hypertexte visité" xfId="7017" builtinId="9" hidden="1"/>
    <cellStyle name="Lien hypertexte visité" xfId="2355" builtinId="9" hidden="1"/>
    <cellStyle name="Lien hypertexte visité" xfId="2987" builtinId="9" hidden="1"/>
    <cellStyle name="Lien hypertexte visité" xfId="4913" builtinId="9" hidden="1"/>
    <cellStyle name="Lien hypertexte visité" xfId="5589" builtinId="9" hidden="1"/>
    <cellStyle name="Lien hypertexte visité" xfId="6173" builtinId="9" hidden="1"/>
    <cellStyle name="Lien hypertexte visité" xfId="4309" builtinId="9" hidden="1"/>
    <cellStyle name="Lien hypertexte visité" xfId="9114" builtinId="9" hidden="1"/>
    <cellStyle name="Lien hypertexte visité" xfId="11034" builtinId="9" hidden="1"/>
    <cellStyle name="Lien hypertexte visité" xfId="9306" builtinId="9" hidden="1"/>
    <cellStyle name="Lien hypertexte visité" xfId="4181" builtinId="9" hidden="1"/>
    <cellStyle name="Lien hypertexte visité" xfId="6117" builtinId="9" hidden="1"/>
    <cellStyle name="Lien hypertexte visité" xfId="5461" builtinId="9" hidden="1"/>
    <cellStyle name="Lien hypertexte visité" xfId="4857" builtinId="9" hidden="1"/>
    <cellStyle name="Lien hypertexte visité" xfId="2867" builtinId="9" hidden="1"/>
    <cellStyle name="Lien hypertexte visité" xfId="2219" builtinId="9" hidden="1"/>
    <cellStyle name="Lien hypertexte visité" xfId="8042" builtinId="9" hidden="1"/>
    <cellStyle name="Lien hypertexte visité" xfId="7565" builtinId="9" hidden="1"/>
    <cellStyle name="Lien hypertexte visité" xfId="6961" builtinId="9" hidden="1"/>
    <cellStyle name="Lien hypertexte visité" xfId="1851" builtinId="9" hidden="1"/>
    <cellStyle name="Lien hypertexte visité" xfId="7441" builtinId="9" hidden="1"/>
    <cellStyle name="Lien hypertexte visité" xfId="8134" builtinId="9" hidden="1"/>
    <cellStyle name="Lien hypertexte visité" xfId="4425" builtinId="9" hidden="1"/>
    <cellStyle name="Lien hypertexte visité" xfId="2803" builtinId="9" hidden="1"/>
    <cellStyle name="Lien hypertexte visité" xfId="3383" builtinId="9" hidden="1"/>
    <cellStyle name="Lien hypertexte visité" xfId="2243" builtinId="9" hidden="1"/>
    <cellStyle name="Lien hypertexte visité" xfId="2007" builtinId="9" hidden="1"/>
    <cellStyle name="Lien hypertexte visité" xfId="641" builtinId="9" hidden="1"/>
    <cellStyle name="Lien hypertexte visité" xfId="889" builtinId="9" hidden="1"/>
    <cellStyle name="Lien hypertexte visité" xfId="2135" builtinId="9" hidden="1"/>
    <cellStyle name="Lien hypertexte visité" xfId="1490" builtinId="9" hidden="1"/>
    <cellStyle name="Lien hypertexte visité" xfId="3515" builtinId="9" hidden="1"/>
    <cellStyle name="Lien hypertexte visité" xfId="4385" builtinId="9" hidden="1"/>
    <cellStyle name="Lien hypertexte visité" xfId="17803" builtinId="9" hidden="1"/>
    <cellStyle name="Lien hypertexte visité" xfId="19808" builtinId="9" hidden="1"/>
    <cellStyle name="Lien hypertexte visité" xfId="11710" builtinId="9" hidden="1"/>
    <cellStyle name="Lien hypertexte visité" xfId="9766" builtinId="9" hidden="1"/>
    <cellStyle name="Lien hypertexte visité" xfId="10558" builtinId="9" hidden="1"/>
    <cellStyle name="Lien hypertexte visité" xfId="11430" builtinId="9" hidden="1"/>
    <cellStyle name="Lien hypertexte visité" xfId="12198" builtinId="9" hidden="1"/>
    <cellStyle name="Lien hypertexte visité" xfId="13094" builtinId="9" hidden="1"/>
    <cellStyle name="Lien hypertexte visité" xfId="13862" builtinId="9" hidden="1"/>
    <cellStyle name="Lien hypertexte visité" xfId="9382" builtinId="9" hidden="1"/>
    <cellStyle name="Lien hypertexte visité" xfId="7826" builtinId="9" hidden="1"/>
    <cellStyle name="Lien hypertexte visité" xfId="4017" builtinId="9" hidden="1"/>
    <cellStyle name="Lien hypertexte visité" xfId="23608" builtinId="9" hidden="1"/>
    <cellStyle name="Lien hypertexte visité" xfId="22024" builtinId="9" hidden="1"/>
    <cellStyle name="Lien hypertexte visité" xfId="20280" builtinId="9" hidden="1"/>
    <cellStyle name="Lien hypertexte visité" xfId="18696" builtinId="9" hidden="1"/>
    <cellStyle name="Lien hypertexte visité" xfId="17177" builtinId="9" hidden="1"/>
    <cellStyle name="Lien hypertexte visité" xfId="15601" builtinId="9" hidden="1"/>
    <cellStyle name="Lien hypertexte visité" xfId="14182" builtinId="9" hidden="1"/>
    <cellStyle name="Lien hypertexte visité" xfId="13394" builtinId="9" hidden="1"/>
    <cellStyle name="Lien hypertexte visité" xfId="12626" builtinId="9" hidden="1"/>
    <cellStyle name="Lien hypertexte visité" xfId="11838" builtinId="9" hidden="1"/>
    <cellStyle name="Lien hypertexte visité" xfId="10962" builtinId="9" hidden="1"/>
    <cellStyle name="Lien hypertexte visité" xfId="10194" builtinId="9" hidden="1"/>
    <cellStyle name="Lien hypertexte visité" xfId="9406" builtinId="9" hidden="1"/>
    <cellStyle name="Lien hypertexte visité" xfId="14270" builtinId="9" hidden="1"/>
    <cellStyle name="Lien hypertexte visité" xfId="24298" builtinId="9" hidden="1"/>
    <cellStyle name="Lien hypertexte visité" xfId="20176" builtinId="9" hidden="1"/>
    <cellStyle name="Lien hypertexte visité" xfId="5997" builtinId="9" hidden="1"/>
    <cellStyle name="Lien hypertexte visité" xfId="3732" builtinId="9" hidden="1"/>
    <cellStyle name="Lien hypertexte visité" xfId="1687" builtinId="9" hidden="1"/>
    <cellStyle name="Lien hypertexte visité" xfId="993" builtinId="9" hidden="1"/>
    <cellStyle name="Lien hypertexte visité" xfId="449" builtinId="9" hidden="1"/>
    <cellStyle name="Lien hypertexte visité" xfId="1326" builtinId="9" hidden="1"/>
    <cellStyle name="Lien hypertexte visité" xfId="1939" builtinId="9" hidden="1"/>
    <cellStyle name="Lien hypertexte visité" xfId="3011" builtinId="9" hidden="1"/>
    <cellStyle name="Lien hypertexte visité" xfId="15217" builtinId="9" hidden="1"/>
    <cellStyle name="Lien hypertexte visité" xfId="10570" builtinId="9" hidden="1"/>
    <cellStyle name="Lien hypertexte visité" xfId="12938" builtinId="9" hidden="1"/>
    <cellStyle name="Lien hypertexte visité" xfId="15969" builtinId="9" hidden="1"/>
    <cellStyle name="Lien hypertexte visité" xfId="20688" builtinId="9" hidden="1"/>
    <cellStyle name="Lien hypertexte visité" xfId="23802" builtinId="9" hidden="1"/>
    <cellStyle name="Lien hypertexte visité" xfId="18554" builtinId="9" hidden="1"/>
    <cellStyle name="Lien hypertexte visité" xfId="18410" builtinId="9" hidden="1"/>
    <cellStyle name="Lien hypertexte visité" xfId="19986" builtinId="9" hidden="1"/>
    <cellStyle name="Lien hypertexte visité" xfId="21522" builtinId="9" hidden="1"/>
    <cellStyle name="Lien hypertexte visité" xfId="23106" builtinId="9" hidden="1"/>
    <cellStyle name="Lien hypertexte visité" xfId="24544" builtinId="9" hidden="1"/>
    <cellStyle name="Lien hypertexte visité" xfId="8894" builtinId="9" hidden="1"/>
    <cellStyle name="Lien hypertexte visité" xfId="6673" builtinId="9" hidden="1"/>
    <cellStyle name="Lien hypertexte visité" xfId="6013" builtinId="9" hidden="1"/>
    <cellStyle name="Lien hypertexte visité" xfId="5337" builtinId="9" hidden="1"/>
    <cellStyle name="Lien hypertexte visité" xfId="4661" builtinId="9" hidden="1"/>
    <cellStyle name="Lien hypertexte visité" xfId="4001" builtinId="9" hidden="1"/>
    <cellStyle name="Lien hypertexte visité" xfId="7198" builtinId="9" hidden="1"/>
    <cellStyle name="Lien hypertexte visité" xfId="11295" builtinId="9" hidden="1"/>
    <cellStyle name="Lien hypertexte visité" xfId="16267" builtinId="9" hidden="1"/>
    <cellStyle name="Lien hypertexte visité" xfId="2584" builtinId="9" hidden="1"/>
    <cellStyle name="Lien hypertexte visité" xfId="3174" builtinId="9" hidden="1"/>
    <cellStyle name="Lien hypertexte visité" xfId="7276" builtinId="9" hidden="1"/>
    <cellStyle name="Lien hypertexte visité" xfId="4716" builtinId="9" hidden="1"/>
    <cellStyle name="Lien hypertexte visité" xfId="931" builtinId="9" hidden="1"/>
    <cellStyle name="Lien hypertexte visité" xfId="13855" builtinId="9" hidden="1"/>
    <cellStyle name="Lien hypertexte visité" xfId="9759" builtinId="9" hidden="1"/>
    <cellStyle name="Lien hypertexte visité" xfId="5662" builtinId="9" hidden="1"/>
    <cellStyle name="Lien hypertexte visité" xfId="4257" builtinId="9" hidden="1"/>
    <cellStyle name="Lien hypertexte visité" xfId="4917" builtinId="9" hidden="1"/>
    <cellStyle name="Lien hypertexte visité" xfId="5593" builtinId="9" hidden="1"/>
    <cellStyle name="Lien hypertexte visité" xfId="6253" builtinId="9" hidden="1"/>
    <cellStyle name="Lien hypertexte visité" xfId="6929" builtinId="9" hidden="1"/>
    <cellStyle name="Lien hypertexte visité" xfId="23290" builtinId="9" hidden="1"/>
    <cellStyle name="Lien hypertexte visité" xfId="24082" builtinId="9" hidden="1"/>
    <cellStyle name="Lien hypertexte visité" xfId="22506" builtinId="9" hidden="1"/>
    <cellStyle name="Lien hypertexte visité" xfId="20970" builtinId="9" hidden="1"/>
    <cellStyle name="Lien hypertexte visité" xfId="19394" builtinId="9" hidden="1"/>
    <cellStyle name="Lien hypertexte visité" xfId="17875" builtinId="9" hidden="1"/>
    <cellStyle name="Lien hypertexte visité" xfId="20346" builtinId="9" hidden="1"/>
    <cellStyle name="Lien hypertexte visité" xfId="23632" builtinId="9" hidden="1"/>
    <cellStyle name="Lien hypertexte visité" xfId="18896" builtinId="9" hidden="1"/>
    <cellStyle name="Lien hypertexte visité" xfId="14410" builtinId="9" hidden="1"/>
    <cellStyle name="Lien hypertexte visité" xfId="12042" builtinId="9" hidden="1"/>
    <cellStyle name="Lien hypertexte visité" xfId="9738" builtinId="9" hidden="1"/>
    <cellStyle name="Lien hypertexte visité" xfId="3568" builtinId="9" hidden="1"/>
    <cellStyle name="Lien hypertexte visité" xfId="1591" builtinId="9" hidden="1"/>
    <cellStyle name="Lien hypertexte visité" xfId="2155" builtinId="9" hidden="1"/>
    <cellStyle name="Lien hypertexte visité" xfId="425" builtinId="9" hidden="1"/>
    <cellStyle name="Lien hypertexte visité" xfId="1418" builtinId="9" hidden="1"/>
    <cellStyle name="Lien hypertexte visité" xfId="2035" builtinId="9" hidden="1"/>
    <cellStyle name="Lien hypertexte visité" xfId="1470" builtinId="9" hidden="1"/>
    <cellStyle name="Lien hypertexte visité" xfId="3431" builtinId="9" hidden="1"/>
    <cellStyle name="Lien hypertexte visité" xfId="4241" builtinId="9" hidden="1"/>
    <cellStyle name="Lien hypertexte visité" xfId="17491" builtinId="9" hidden="1"/>
    <cellStyle name="Lien hypertexte visité" xfId="20832" builtinId="9" hidden="1"/>
    <cellStyle name="Lien hypertexte visité" xfId="11538" builtinId="9" hidden="1"/>
    <cellStyle name="Lien hypertexte visité" xfId="9702" builtinId="9" hidden="1"/>
    <cellStyle name="Lien hypertexte visité" xfId="10470" builtinId="9" hidden="1"/>
    <cellStyle name="Lien hypertexte visité" xfId="11262" builtinId="9" hidden="1"/>
    <cellStyle name="Lien hypertexte visité" xfId="12134" builtinId="9" hidden="1"/>
    <cellStyle name="Lien hypertexte visité" xfId="12926" builtinId="9" hidden="1"/>
    <cellStyle name="Lien hypertexte visité" xfId="13694" builtinId="9" hidden="1"/>
    <cellStyle name="Lien hypertexte visité" xfId="14482" builtinId="9" hidden="1"/>
    <cellStyle name="Lien hypertexte visité" xfId="16201" builtinId="9" hidden="1"/>
    <cellStyle name="Lien hypertexte visité" xfId="17737" builtinId="9" hidden="1"/>
    <cellStyle name="Lien hypertexte visité" xfId="19296" builtinId="9" hidden="1"/>
    <cellStyle name="Lien hypertexte visité" xfId="20872" builtinId="9" hidden="1"/>
    <cellStyle name="Lien hypertexte visité" xfId="22624" builtinId="9" hidden="1"/>
    <cellStyle name="Lien hypertexte visité" xfId="7605" builtinId="9" hidden="1"/>
    <cellStyle name="Lien hypertexte visité" xfId="5973" builtinId="9" hidden="1"/>
    <cellStyle name="Lien hypertexte visité" xfId="2139" builtinId="9" hidden="1"/>
    <cellStyle name="Lien hypertexte visité" xfId="14054" builtinId="9" hidden="1"/>
    <cellStyle name="Lien hypertexte visité" xfId="13566" builtinId="9" hidden="1"/>
    <cellStyle name="Lien hypertexte visité" xfId="12798" builtinId="9" hidden="1"/>
    <cellStyle name="Lien hypertexte visité" xfId="11922" builtinId="9" hidden="1"/>
    <cellStyle name="Lien hypertexte visité" xfId="11134" builtinId="9" hidden="1"/>
    <cellStyle name="Lien hypertexte visité" xfId="10258" builtinId="9" hidden="1"/>
    <cellStyle name="Lien hypertexte visité" xfId="9470" builtinId="9" hidden="1"/>
    <cellStyle name="Lien hypertexte visité" xfId="13758" builtinId="9" hidden="1"/>
    <cellStyle name="Lien hypertexte visité" xfId="23954" builtinId="9" hidden="1"/>
    <cellStyle name="Lien hypertexte visité" xfId="19152" builtinId="9" hidden="1"/>
    <cellStyle name="Lien hypertexte visité" xfId="6725" builtinId="9" hidden="1"/>
    <cellStyle name="Lien hypertexte visité" xfId="3748" builtinId="9" hidden="1"/>
    <cellStyle name="Lien hypertexte visité" xfId="1771" builtinId="9" hidden="1"/>
    <cellStyle name="Lien hypertexte visité" xfId="1152" builtinId="9" hidden="1"/>
    <cellStyle name="Lien hypertexte visité" xfId="249" builtinId="9" hidden="1"/>
    <cellStyle name="Lien hypertexte visité" xfId="1246" builtinId="9" hidden="1"/>
    <cellStyle name="Lien hypertexte visité" xfId="1791" builtinId="9" hidden="1"/>
    <cellStyle name="Lien hypertexte visité" xfId="3836" builtinId="9" hidden="1"/>
    <cellStyle name="Lien hypertexte visité" xfId="3163" builtinId="9" hidden="1"/>
    <cellStyle name="Lien hypertexte visité" xfId="2583" builtinId="9" hidden="1"/>
    <cellStyle name="Lien hypertexte visité" xfId="5961" builtinId="9" hidden="1"/>
    <cellStyle name="Lien hypertexte visité" xfId="7918" builtinId="9" hidden="1"/>
    <cellStyle name="Lien hypertexte visité" xfId="7898" builtinId="9" hidden="1"/>
    <cellStyle name="Lien hypertexte visité" xfId="6593" builtinId="9" hidden="1"/>
    <cellStyle name="Lien hypertexte visité" xfId="7197" builtinId="9" hidden="1"/>
    <cellStyle name="Lien hypertexte visité" xfId="7874" builtinId="9" hidden="1"/>
    <cellStyle name="Lien hypertexte visité" xfId="6377" builtinId="9" hidden="1"/>
    <cellStyle name="Lien hypertexte visité" xfId="2511" builtinId="9" hidden="1"/>
    <cellStyle name="Lien hypertexte visité" xfId="3071" builtinId="9" hidden="1"/>
    <cellStyle name="Lien hypertexte visité" xfId="5077" builtinId="9" hidden="1"/>
    <cellStyle name="Lien hypertexte visité" xfId="5681" builtinId="9" hidden="1"/>
    <cellStyle name="Lien hypertexte visité" xfId="6337" builtinId="9" hidden="1"/>
    <cellStyle name="Lien hypertexte visité" xfId="4401" builtinId="9" hidden="1"/>
    <cellStyle name="Lien hypertexte visité" xfId="8538" builtinId="9" hidden="1"/>
    <cellStyle name="Lien hypertexte visité" xfId="10778" builtinId="9" hidden="1"/>
    <cellStyle name="Lien hypertexte visité" xfId="4673" builtinId="9" hidden="1"/>
    <cellStyle name="Lien hypertexte visité" xfId="4089" builtinId="9" hidden="1"/>
    <cellStyle name="Lien hypertexte visité" xfId="5953" builtinId="9" hidden="1"/>
    <cellStyle name="Lien hypertexte visité" xfId="5277" builtinId="9" hidden="1"/>
    <cellStyle name="Lien hypertexte visité" xfId="4693" builtinId="9" hidden="1"/>
    <cellStyle name="Lien hypertexte visité" xfId="2699" builtinId="9" hidden="1"/>
    <cellStyle name="Lien hypertexte visité" xfId="4457" builtinId="9" hidden="1"/>
    <cellStyle name="Lien hypertexte visité" xfId="8078" builtinId="9" hidden="1"/>
    <cellStyle name="Lien hypertexte visité" xfId="7473" builtinId="9" hidden="1"/>
    <cellStyle name="Lien hypertexte visité" xfId="6797" builtinId="9" hidden="1"/>
    <cellStyle name="Lien hypertexte visité" xfId="929" builtinId="9" hidden="1"/>
    <cellStyle name="Lien hypertexte visité" xfId="7621" builtinId="9" hidden="1"/>
    <cellStyle name="Lien hypertexte visité" xfId="8010" builtinId="9" hidden="1"/>
    <cellStyle name="Lien hypertexte visité" xfId="2311" builtinId="9" hidden="1"/>
    <cellStyle name="Lien hypertexte visité" xfId="2891" builtinId="9" hidden="1"/>
    <cellStyle name="Lien hypertexte visité" xfId="3555" builtinId="9" hidden="1"/>
    <cellStyle name="Lien hypertexte visité" xfId="22968" builtinId="9" hidden="1"/>
    <cellStyle name="Lien hypertexte visité" xfId="21456" builtinId="9" hidden="1"/>
    <cellStyle name="Lien hypertexte visité" xfId="6489" builtinId="9" hidden="1"/>
    <cellStyle name="Lien hypertexte visité" xfId="11757" builtinId="9" hidden="1"/>
    <cellStyle name="Lien hypertexte visité" xfId="6543" builtinId="9" hidden="1"/>
    <cellStyle name="Lien hypertexte visité" xfId="22620" builtinId="9" hidden="1"/>
    <cellStyle name="Lien hypertexte visité" xfId="10505" builtinId="9" hidden="1"/>
    <cellStyle name="Lien hypertexte visité" xfId="9552" builtinId="9" hidden="1"/>
    <cellStyle name="Lien hypertexte visité" xfId="19116" builtinId="9" hidden="1"/>
    <cellStyle name="Lien hypertexte visité" xfId="15567" builtinId="9" hidden="1"/>
    <cellStyle name="Lien hypertexte visité" xfId="7744" builtinId="9" hidden="1"/>
    <cellStyle name="Lien hypertexte visité" xfId="203" builtinId="9" hidden="1"/>
    <cellStyle name="Lien hypertexte visité" xfId="2901" builtinId="9" hidden="1"/>
    <cellStyle name="Lien hypertexte visité" xfId="13852" builtinId="9" hidden="1"/>
    <cellStyle name="Lien hypertexte visité" xfId="14381" builtinId="9" hidden="1"/>
    <cellStyle name="Lien hypertexte visité" xfId="3462" builtinId="9" hidden="1"/>
    <cellStyle name="Lien hypertexte visité" xfId="8639" builtinId="9" hidden="1"/>
    <cellStyle name="Lien hypertexte visité" xfId="7774" builtinId="9" hidden="1"/>
    <cellStyle name="Lien hypertexte visité" xfId="6238" builtinId="9" hidden="1"/>
    <cellStyle name="Lien hypertexte visité" xfId="4702" builtinId="9" hidden="1"/>
    <cellStyle name="Lien hypertexte visité" xfId="3000" builtinId="9" hidden="1"/>
    <cellStyle name="Lien hypertexte visité" xfId="1463" builtinId="9" hidden="1"/>
    <cellStyle name="Lien hypertexte visité" xfId="1221" builtinId="9" hidden="1"/>
    <cellStyle name="Lien hypertexte visité" xfId="2758" builtinId="9" hidden="1"/>
    <cellStyle name="Lien hypertexte visité" xfId="4300" builtinId="9" hidden="1"/>
    <cellStyle name="Lien hypertexte visité" xfId="5836" builtinId="9" hidden="1"/>
    <cellStyle name="Lien hypertexte visité" xfId="7372" builtinId="9" hidden="1"/>
    <cellStyle name="Lien hypertexte visité" xfId="9101" builtinId="9" hidden="1"/>
    <cellStyle name="Lien hypertexte visité" xfId="10637" builtinId="9" hidden="1"/>
    <cellStyle name="Lien hypertexte visité" xfId="12173" builtinId="9" hidden="1"/>
    <cellStyle name="Lien hypertexte visité" xfId="13709" builtinId="9" hidden="1"/>
    <cellStyle name="Lien hypertexte visité" xfId="15975" builtinId="9" hidden="1"/>
    <cellStyle name="Lien hypertexte visité" xfId="19030" builtinId="9" hidden="1"/>
    <cellStyle name="Lien hypertexte visité" xfId="22102" builtinId="9" hidden="1"/>
    <cellStyle name="Lien hypertexte visité" xfId="23732" builtinId="9" hidden="1"/>
    <cellStyle name="Lien hypertexte visité" xfId="20660" builtinId="9" hidden="1"/>
    <cellStyle name="Lien hypertexte visité" xfId="17605" builtinId="9" hidden="1"/>
    <cellStyle name="Lien hypertexte visité" xfId="14533" builtinId="9" hidden="1"/>
    <cellStyle name="Lien hypertexte visité" xfId="12988" builtinId="9" hidden="1"/>
    <cellStyle name="Lien hypertexte visité" xfId="11452" builtinId="9" hidden="1"/>
    <cellStyle name="Lien hypertexte visité" xfId="9916" builtinId="9" hidden="1"/>
    <cellStyle name="Lien hypertexte visité" xfId="8220" builtinId="9" hidden="1"/>
    <cellStyle name="Lien hypertexte visité" xfId="6683" builtinId="9" hidden="1"/>
    <cellStyle name="Lien hypertexte visité" xfId="5147" builtinId="9" hidden="1"/>
    <cellStyle name="Lien hypertexte visité" xfId="3606" builtinId="9" hidden="1"/>
    <cellStyle name="Lien hypertexte visité" xfId="2069" builtinId="9" hidden="1"/>
    <cellStyle name="Lien hypertexte visité" xfId="157" builtinId="9" hidden="1"/>
    <cellStyle name="Lien hypertexte visité" xfId="2153" builtinId="9" hidden="1"/>
    <cellStyle name="Lien hypertexte visité" xfId="3891" builtinId="9" hidden="1"/>
    <cellStyle name="Lien hypertexte visité" xfId="5423" builtinId="9" hidden="1"/>
    <cellStyle name="Lien hypertexte visité" xfId="6959" builtinId="9" hidden="1"/>
    <cellStyle name="Lien hypertexte visité" xfId="8496" builtinId="9" hidden="1"/>
    <cellStyle name="Lien hypertexte visité" xfId="919" builtinId="9" hidden="1"/>
    <cellStyle name="Lien hypertexte visité" xfId="2066" builtinId="9" hidden="1"/>
    <cellStyle name="Lien hypertexte visité" xfId="3090" builtinId="9" hidden="1"/>
    <cellStyle name="Lien hypertexte visité" xfId="4224" builtinId="9" hidden="1"/>
    <cellStyle name="Lien hypertexte visité" xfId="5248" builtinId="9" hidden="1"/>
    <cellStyle name="Lien hypertexte visité" xfId="6272" builtinId="9" hidden="1"/>
    <cellStyle name="Lien hypertexte visité" xfId="7296" builtinId="9" hidden="1"/>
    <cellStyle name="Lien hypertexte visité" xfId="8321" builtinId="9" hidden="1"/>
    <cellStyle name="Lien hypertexte visité" xfId="9345" builtinId="9" hidden="1"/>
    <cellStyle name="Lien hypertexte visité" xfId="10369" builtinId="9" hidden="1"/>
    <cellStyle name="Lien hypertexte visité" xfId="11505" builtinId="9" hidden="1"/>
    <cellStyle name="Lien hypertexte visité" xfId="12529" builtinId="9" hidden="1"/>
    <cellStyle name="Lien hypertexte visité" xfId="13553" builtinId="9" hidden="1"/>
    <cellStyle name="Lien hypertexte visité" xfId="14639" builtinId="9" hidden="1"/>
    <cellStyle name="Lien hypertexte visité" xfId="16687" builtinId="9" hidden="1"/>
    <cellStyle name="Lien hypertexte visité" xfId="18718" builtinId="9" hidden="1"/>
    <cellStyle name="Lien hypertexte visité" xfId="20766" builtinId="9" hidden="1"/>
    <cellStyle name="Lien hypertexte visité" xfId="23070" builtinId="9" hidden="1"/>
    <cellStyle name="Lien hypertexte visité" xfId="24108" builtinId="9" hidden="1"/>
    <cellStyle name="Lien hypertexte visité" xfId="22060" builtinId="9" hidden="1"/>
    <cellStyle name="Lien hypertexte visité" xfId="20012" builtinId="9" hidden="1"/>
    <cellStyle name="Lien hypertexte visité" xfId="17981" builtinId="9" hidden="1"/>
    <cellStyle name="Lien hypertexte visité" xfId="15933" builtinId="9" hidden="1"/>
    <cellStyle name="Lien hypertexte visité" xfId="14200" builtinId="9" hidden="1"/>
    <cellStyle name="Lien hypertexte visité" xfId="13072" builtinId="9" hidden="1"/>
    <cellStyle name="Lien hypertexte visité" xfId="12048" builtinId="9" hidden="1"/>
    <cellStyle name="Lien hypertexte visité" xfId="11024" builtinId="9" hidden="1"/>
    <cellStyle name="Lien hypertexte visité" xfId="10000" builtinId="9" hidden="1"/>
    <cellStyle name="Lien hypertexte visité" xfId="8976" builtinId="9" hidden="1"/>
    <cellStyle name="Lien hypertexte visité" xfId="11552" builtinId="9" hidden="1"/>
    <cellStyle name="Lien hypertexte visité" xfId="14733" builtinId="9" hidden="1"/>
    <cellStyle name="Lien hypertexte visité" xfId="21500" builtinId="9" hidden="1"/>
    <cellStyle name="Lien hypertexte visité" xfId="21582" builtinId="9" hidden="1"/>
    <cellStyle name="Lien hypertexte visité" xfId="15455" builtinId="9" hidden="1"/>
    <cellStyle name="Lien hypertexte visité" xfId="11913" builtinId="9" hidden="1"/>
    <cellStyle name="Lien hypertexte visité" xfId="8841" builtinId="9" hidden="1"/>
    <cellStyle name="Lien hypertexte visité" xfId="8265" builtinId="9" hidden="1"/>
    <cellStyle name="Lien hypertexte visité" xfId="20430" builtinId="9" hidden="1"/>
    <cellStyle name="Lien hypertexte visité" xfId="11424" builtinId="9" hidden="1"/>
    <cellStyle name="Lien hypertexte visité" xfId="11064" builtinId="9" hidden="1"/>
    <cellStyle name="Lien hypertexte visité" xfId="14136" builtinId="9" hidden="1"/>
    <cellStyle name="Lien hypertexte visité" xfId="19884" builtinId="9" hidden="1"/>
    <cellStyle name="Lien hypertexte visité" xfId="23198" builtinId="9" hidden="1"/>
    <cellStyle name="Lien hypertexte visité" xfId="17071" builtinId="9" hidden="1"/>
    <cellStyle name="Lien hypertexte visité" xfId="12721" builtinId="9" hidden="1"/>
    <cellStyle name="Lien hypertexte visité" xfId="9305" builtinId="9" hidden="1"/>
    <cellStyle name="Lien hypertexte visité" xfId="6232" builtinId="9" hidden="1"/>
    <cellStyle name="Lien hypertexte visité" xfId="3154" builtinId="9" hidden="1"/>
    <cellStyle name="Lien hypertexte visité" xfId="8592" builtinId="9" hidden="1"/>
    <cellStyle name="Lien hypertexte visité" xfId="3983" builtinId="9" hidden="1"/>
    <cellStyle name="Lien hypertexte visité" xfId="1781" builtinId="9" hidden="1"/>
    <cellStyle name="Lien hypertexte visité" xfId="6395" builtinId="9" hidden="1"/>
    <cellStyle name="Lien hypertexte visité" xfId="11516" builtinId="9" hidden="1"/>
    <cellStyle name="Lien hypertexte visité" xfId="17733" builtinId="9" hidden="1"/>
    <cellStyle name="Lien hypertexte visité" xfId="22294" builtinId="9" hidden="1"/>
    <cellStyle name="Lien hypertexte visité" xfId="13805" builtinId="9" hidden="1"/>
    <cellStyle name="Lien hypertexte visité" xfId="9197" builtinId="9" hidden="1"/>
    <cellStyle name="Lien hypertexte visité" xfId="4588" builtinId="9" hidden="1"/>
    <cellStyle name="Lien hypertexte visité" xfId="1175" builtinId="9" hidden="1"/>
    <cellStyle name="Lien hypertexte visité" xfId="6302" builtinId="9" hidden="1"/>
    <cellStyle name="Lien hypertexte visité" xfId="10911" builtinId="9" hidden="1"/>
    <cellStyle name="Lien hypertexte visité" xfId="16523" builtinId="9" hidden="1"/>
    <cellStyle name="Lien hypertexte visité" xfId="6817" builtinId="9" hidden="1"/>
    <cellStyle name="Lien hypertexte visité" xfId="6069" builtinId="9" hidden="1"/>
    <cellStyle name="Lien hypertexte visité" xfId="5317" builtinId="9" hidden="1"/>
    <cellStyle name="Lien hypertexte visité" xfId="4569" builtinId="9" hidden="1"/>
    <cellStyle name="Lien hypertexte visité" xfId="8906" builtinId="9" hidden="1"/>
    <cellStyle name="Lien hypertexte visité" xfId="11530" builtinId="9" hidden="1"/>
    <cellStyle name="Lien hypertexte visité" xfId="14154" builtinId="9" hidden="1"/>
    <cellStyle name="Lien hypertexte visité" xfId="19024" builtinId="9" hidden="1"/>
    <cellStyle name="Lien hypertexte visité" xfId="24400" builtinId="9" hidden="1"/>
    <cellStyle name="Lien hypertexte visité" xfId="19578" builtinId="9" hidden="1"/>
    <cellStyle name="Lien hypertexte visité" xfId="18299" builtinId="9" hidden="1"/>
    <cellStyle name="Lien hypertexte visité" xfId="20242" builtinId="9" hidden="1"/>
    <cellStyle name="Lien hypertexte visité" xfId="21994" builtinId="9" hidden="1"/>
    <cellStyle name="Lien hypertexte visité" xfId="23746" builtinId="9" hidden="1"/>
    <cellStyle name="Lien hypertexte visité" xfId="23736" builtinId="9" hidden="1"/>
    <cellStyle name="Lien hypertexte visité" xfId="21984" builtinId="9" hidden="1"/>
    <cellStyle name="Lien hypertexte visité" xfId="20232" builtinId="9" hidden="1"/>
    <cellStyle name="Lien hypertexte visité" xfId="18488" builtinId="9" hidden="1"/>
    <cellStyle name="Lien hypertexte visité" xfId="16537" builtinId="9" hidden="1"/>
    <cellStyle name="Lien hypertexte visité" xfId="14793" builtinId="9" hidden="1"/>
    <cellStyle name="Lien hypertexte visité" xfId="12735" builtinId="9" hidden="1"/>
    <cellStyle name="Lien hypertexte visité" xfId="4168" builtinId="9" hidden="1"/>
    <cellStyle name="Lien hypertexte visité" xfId="5914" builtinId="9" hidden="1"/>
    <cellStyle name="Lien hypertexte visité" xfId="1227" builtinId="9" hidden="1"/>
    <cellStyle name="Lien hypertexte visité" xfId="9995" builtinId="9" hidden="1"/>
    <cellStyle name="Lien hypertexte visité" xfId="15971" builtinId="9" hidden="1"/>
    <cellStyle name="Lien hypertexte visité" xfId="10843" builtinId="9" hidden="1"/>
    <cellStyle name="Lien hypertexte visité" xfId="2132" builtinId="9" hidden="1"/>
    <cellStyle name="Lien hypertexte visité" xfId="6826" builtinId="9" hidden="1"/>
    <cellStyle name="Lien hypertexte visité" xfId="7336" builtinId="9" hidden="1"/>
    <cellStyle name="Lien hypertexte visité" xfId="16333" builtinId="9" hidden="1"/>
    <cellStyle name="Lien hypertexte visité" xfId="12120" builtinId="9" hidden="1"/>
    <cellStyle name="Lien hypertexte visité" xfId="20636" builtinId="9" hidden="1"/>
    <cellStyle name="Lien hypertexte visité" xfId="17679" builtinId="9" hidden="1"/>
    <cellStyle name="Lien hypertexte visité" xfId="10641" builtinId="9" hidden="1"/>
    <cellStyle name="Lien hypertexte visité" xfId="5176" builtinId="9" hidden="1"/>
    <cellStyle name="Lien hypertexte visité" xfId="8032" builtinId="9" hidden="1"/>
    <cellStyle name="Lien hypertexte visité" xfId="1316" builtinId="9" hidden="1"/>
    <cellStyle name="Lien hypertexte visité" xfId="9516" builtinId="9" hidden="1"/>
    <cellStyle name="Lien hypertexte visité" xfId="20884" builtinId="9" hidden="1"/>
    <cellStyle name="Lien hypertexte visité" xfId="13245" builtinId="9" hidden="1"/>
    <cellStyle name="Lien hypertexte visité" xfId="5052" builtinId="9" hidden="1"/>
    <cellStyle name="Lien hypertexte visité" xfId="4302" builtinId="9" hidden="1"/>
    <cellStyle name="Lien hypertexte visité" xfId="12495" builtinId="9" hidden="1"/>
    <cellStyle name="Lien hypertexte visité" xfId="11398" builtinId="9" hidden="1"/>
    <cellStyle name="Lien hypertexte visité" xfId="19192" builtinId="9" hidden="1"/>
    <cellStyle name="Lien hypertexte visité" xfId="19114" builtinId="9" hidden="1"/>
    <cellStyle name="Lien hypertexte visité" xfId="9578" builtinId="9" hidden="1"/>
    <cellStyle name="Lien hypertexte visité" xfId="8202" builtinId="9" hidden="1"/>
    <cellStyle name="Lien hypertexte visité" xfId="617" builtinId="9" hidden="1"/>
    <cellStyle name="Lien hypertexte visité" xfId="7425" builtinId="9" hidden="1"/>
    <cellStyle name="Lien hypertexte visité" xfId="18374" builtinId="9" hidden="1"/>
    <cellStyle name="Lien hypertexte visité" xfId="10997" builtinId="9" hidden="1"/>
    <cellStyle name="Lien hypertexte visité" xfId="5524" builtinId="9" hidden="1"/>
    <cellStyle name="Lien hypertexte visité" xfId="1011" builtinId="9" hidden="1"/>
    <cellStyle name="Lien hypertexte visité" xfId="6550" builtinId="9" hidden="1"/>
    <cellStyle name="Lien hypertexte visité" xfId="12023" builtinId="9" hidden="1"/>
    <cellStyle name="Lien hypertexte visité" xfId="9262" builtinId="9" hidden="1"/>
    <cellStyle name="Lien hypertexte visité" xfId="12898" builtinId="9" hidden="1"/>
    <cellStyle name="Lien hypertexte visité" xfId="18560" builtinId="9" hidden="1"/>
    <cellStyle name="Lien hypertexte visité" xfId="23394" builtinId="9" hidden="1"/>
    <cellStyle name="Lien hypertexte visité" xfId="20826" builtinId="9" hidden="1"/>
    <cellStyle name="Lien hypertexte visité" xfId="13498" builtinId="9" hidden="1"/>
    <cellStyle name="Lien hypertexte visité" xfId="16593" builtinId="9" hidden="1"/>
    <cellStyle name="Lien hypertexte visité" xfId="10535" builtinId="9" hidden="1"/>
    <cellStyle name="Lien hypertexte visité" xfId="7012" builtinId="9" hidden="1"/>
    <cellStyle name="Lien hypertexte visité" xfId="7059" builtinId="9" hidden="1"/>
    <cellStyle name="Lien hypertexte visité" xfId="11732" builtinId="9" hidden="1"/>
    <cellStyle name="Lien hypertexte visité" xfId="18317" builtinId="9" hidden="1"/>
    <cellStyle name="Lien hypertexte visité" xfId="21574" builtinId="9" hidden="1"/>
    <cellStyle name="Lien hypertexte visité" xfId="1905" builtinId="9" hidden="1"/>
    <cellStyle name="Lien hypertexte visité" xfId="3614" builtinId="9" hidden="1"/>
    <cellStyle name="Lien hypertexte visité" xfId="3671" builtinId="9" hidden="1"/>
    <cellStyle name="Lien hypertexte visité" xfId="8616" builtinId="9" hidden="1"/>
    <cellStyle name="Lien hypertexte visité" xfId="4295" builtinId="9" hidden="1"/>
    <cellStyle name="Lien hypertexte visité" xfId="2973" builtinId="9" hidden="1"/>
    <cellStyle name="Lien hypertexte visité" xfId="2545" builtinId="9" hidden="1"/>
    <cellStyle name="Lien hypertexte visité" xfId="22918" builtinId="9" hidden="1"/>
    <cellStyle name="Lien hypertexte visité" xfId="16949" builtinId="9" hidden="1"/>
    <cellStyle name="Lien hypertexte visité" xfId="11060" builtinId="9" hidden="1"/>
    <cellStyle name="Lien hypertexte visité" xfId="6371" builtinId="9" hidden="1"/>
    <cellStyle name="Lien hypertexte visité" xfId="4644" builtinId="9" hidden="1"/>
    <cellStyle name="Lien hypertexte visité" xfId="6463" builtinId="9" hidden="1"/>
    <cellStyle name="Lien hypertexte visité" xfId="869" builtinId="9" hidden="1"/>
    <cellStyle name="Lien hypertexte visité" xfId="5579" builtinId="9" hidden="1"/>
    <cellStyle name="Lien hypertexte visité" xfId="11084" builtinId="9" hidden="1"/>
    <cellStyle name="Lien hypertexte visité" xfId="18516" builtinId="9" hidden="1"/>
    <cellStyle name="Lien hypertexte visité" xfId="19830" builtinId="9" hidden="1"/>
    <cellStyle name="Lien hypertexte visité" xfId="11677" builtinId="9" hidden="1"/>
    <cellStyle name="Lien hypertexte visité" xfId="6236" builtinId="9" hidden="1"/>
    <cellStyle name="Lien hypertexte visité" xfId="415" builtinId="9" hidden="1"/>
    <cellStyle name="Lien hypertexte visité" xfId="5870" builtinId="9" hidden="1"/>
    <cellStyle name="Lien hypertexte visité" xfId="11311" builtinId="9" hidden="1"/>
    <cellStyle name="Lien hypertexte visité" xfId="8774" builtinId="9" hidden="1"/>
    <cellStyle name="Lien hypertexte visité" xfId="12446" builtinId="9" hidden="1"/>
    <cellStyle name="Lien hypertexte visité" xfId="17625" builtinId="9" hidden="1"/>
    <cellStyle name="Lien hypertexte visité" xfId="24362" builtinId="9" hidden="1"/>
    <cellStyle name="Lien hypertexte visité" xfId="18123" builtinId="9" hidden="1"/>
    <cellStyle name="Lien hypertexte visité" xfId="11946" builtinId="9" hidden="1"/>
    <cellStyle name="Lien hypertexte visité" xfId="5969" builtinId="9" hidden="1"/>
    <cellStyle name="Lien hypertexte visité" xfId="2471" builtinId="9" hidden="1"/>
    <cellStyle name="Lien hypertexte visité" xfId="817" builtinId="9" hidden="1"/>
    <cellStyle name="Lien hypertexte visité" xfId="2995" builtinId="9" hidden="1"/>
    <cellStyle name="Lien hypertexte visité" xfId="6529" builtinId="9" hidden="1"/>
    <cellStyle name="Lien hypertexte visité" xfId="9978" builtinId="9" hidden="1"/>
    <cellStyle name="Lien hypertexte visité" xfId="13621" builtinId="9" hidden="1"/>
    <cellStyle name="Lien hypertexte visité" xfId="9941" builtinId="9" hidden="1"/>
    <cellStyle name="Lien hypertexte visité" xfId="6324" builtinId="9" hidden="1"/>
    <cellStyle name="Lien hypertexte visité" xfId="2686" builtinId="9" hidden="1"/>
    <cellStyle name="Lien hypertexte visité" xfId="2128" builtinId="9" hidden="1"/>
    <cellStyle name="Lien hypertexte visité" xfId="5766" builtinId="9" hidden="1"/>
    <cellStyle name="Lien hypertexte visité" xfId="9399" builtinId="9" hidden="1"/>
    <cellStyle name="Lien hypertexte visité" xfId="13063" builtinId="9" hidden="1"/>
    <cellStyle name="Lien hypertexte visité" xfId="8738" builtinId="9" hidden="1"/>
    <cellStyle name="Lien hypertexte visité" xfId="11150" builtinId="9" hidden="1"/>
    <cellStyle name="Lien hypertexte visité" xfId="13602" builtinId="9" hidden="1"/>
    <cellStyle name="Lien hypertexte visité" xfId="17513" builtinId="9" hidden="1"/>
    <cellStyle name="Lien hypertexte visité" xfId="22336" builtinId="9" hidden="1"/>
    <cellStyle name="Lien hypertexte visité" xfId="22002" builtinId="9" hidden="1"/>
    <cellStyle name="Lien hypertexte visité" xfId="17707" builtinId="9" hidden="1"/>
    <cellStyle name="Lien hypertexte visité" xfId="17025" builtinId="9" hidden="1"/>
    <cellStyle name="Lien hypertexte visité" xfId="24218" builtinId="9" hidden="1"/>
    <cellStyle name="Lien hypertexte visité" xfId="19736" builtinId="9" hidden="1"/>
    <cellStyle name="Lien hypertexte visité" xfId="9878" builtinId="9" hidden="1"/>
    <cellStyle name="Lien hypertexte visité" xfId="7398" builtinId="9" hidden="1"/>
    <cellStyle name="Lien hypertexte visité" xfId="4388" builtinId="9" hidden="1"/>
    <cellStyle name="Lien hypertexte visité" xfId="20072" builtinId="9" hidden="1"/>
    <cellStyle name="Lien hypertexte visité" xfId="17387" builtinId="9" hidden="1"/>
    <cellStyle name="Lien hypertexte visité" xfId="17401" builtinId="9" hidden="1"/>
    <cellStyle name="Lien hypertexte visité" xfId="8674" builtinId="9" hidden="1"/>
    <cellStyle name="Lien hypertexte visité" xfId="5686" builtinId="9" hidden="1"/>
    <cellStyle name="Lien hypertexte visité" xfId="6404" builtinId="9" hidden="1"/>
    <cellStyle name="Lien hypertexte visité" xfId="9722" builtinId="9" hidden="1"/>
    <cellStyle name="Lien hypertexte visité" xfId="689" builtinId="9" hidden="1"/>
    <cellStyle name="Lien hypertexte visité" xfId="12202" builtinId="9" hidden="1"/>
    <cellStyle name="Lien hypertexte visité" xfId="17457" builtinId="9" hidden="1"/>
    <cellStyle name="Lien hypertexte visité" xfId="11183" builtinId="9" hidden="1"/>
    <cellStyle name="Lien hypertexte visité" xfId="1960" builtinId="9" hidden="1"/>
    <cellStyle name="Lien hypertexte visité" xfId="7598" builtinId="9" hidden="1"/>
    <cellStyle name="Lien hypertexte visité" xfId="12719" builtinId="9" hidden="1"/>
    <cellStyle name="Lien hypertexte visité" xfId="9842" builtinId="9" hidden="1"/>
    <cellStyle name="Lien hypertexte visité" xfId="13598" builtinId="9" hidden="1"/>
    <cellStyle name="Lien hypertexte visité" xfId="19488" builtinId="9" hidden="1"/>
    <cellStyle name="Lien hypertexte visité" xfId="22226" builtinId="9" hidden="1"/>
    <cellStyle name="Lien hypertexte visité" xfId="24208" builtinId="9" hidden="1"/>
    <cellStyle name="Lien hypertexte visité" xfId="9130" builtinId="9" hidden="1"/>
    <cellStyle name="Lien hypertexte visité" xfId="6881" builtinId="9" hidden="1"/>
    <cellStyle name="Lien hypertexte visité" xfId="3391" builtinId="9" hidden="1"/>
    <cellStyle name="Lien hypertexte visité" xfId="1330" builtinId="9" hidden="1"/>
    <cellStyle name="Lien hypertexte visité" xfId="4393" builtinId="9" hidden="1"/>
    <cellStyle name="Lien hypertexte visité" xfId="5541" builtinId="9" hidden="1"/>
    <cellStyle name="Lien hypertexte visité" xfId="18103" builtinId="9" hidden="1"/>
    <cellStyle name="Lien hypertexte visité" xfId="12549" builtinId="9" hidden="1"/>
    <cellStyle name="Lien hypertexte visité" xfId="8789" builtinId="9" hidden="1"/>
    <cellStyle name="Lien hypertexte visité" xfId="5380" builtinId="9" hidden="1"/>
    <cellStyle name="Lien hypertexte visité" xfId="1614" builtinId="9" hidden="1"/>
    <cellStyle name="Lien hypertexte visité" xfId="3280" builtinId="9" hidden="1"/>
    <cellStyle name="Lien hypertexte visité" xfId="6710" builtinId="9" hidden="1"/>
    <cellStyle name="Lien hypertexte visité" xfId="10455" builtinId="9" hidden="1"/>
    <cellStyle name="Lien hypertexte visité" xfId="14215" builtinId="9" hidden="1"/>
    <cellStyle name="Lien hypertexte visité" xfId="9358" builtinId="9" hidden="1"/>
    <cellStyle name="Lien hypertexte visité" xfId="11862" builtinId="9" hidden="1"/>
    <cellStyle name="Lien hypertexte visité" xfId="14370" builtinId="9" hidden="1"/>
    <cellStyle name="Lien hypertexte visité" xfId="18752" builtinId="9" hidden="1"/>
    <cellStyle name="Lien hypertexte visité" xfId="23768" builtinId="9" hidden="1"/>
    <cellStyle name="Lien hypertexte visité" xfId="20466" builtinId="9" hidden="1"/>
    <cellStyle name="Lien hypertexte visité" xfId="21466" builtinId="9" hidden="1"/>
    <cellStyle name="Lien hypertexte visité" xfId="13658" builtinId="9" hidden="1"/>
    <cellStyle name="Lien hypertexte visité" xfId="19594" builtinId="9" hidden="1"/>
    <cellStyle name="Lien hypertexte visité" xfId="15993" builtinId="9" hidden="1"/>
    <cellStyle name="Lien hypertexte visité" xfId="15899" builtinId="9" hidden="1"/>
    <cellStyle name="Lien hypertexte visité" xfId="3942" builtinId="9" hidden="1"/>
    <cellStyle name="Lien hypertexte visité" xfId="3615" builtinId="9" hidden="1"/>
    <cellStyle name="Lien hypertexte visité" xfId="1247" builtinId="9" hidden="1"/>
    <cellStyle name="Lien hypertexte visité" xfId="5094" builtinId="9" hidden="1"/>
    <cellStyle name="Lien hypertexte visité" xfId="8423" builtinId="9" hidden="1"/>
    <cellStyle name="Lien hypertexte visité" xfId="12263" builtinId="9" hidden="1"/>
    <cellStyle name="Lien hypertexte visité" xfId="8258" builtinId="9" hidden="1"/>
    <cellStyle name="Lien hypertexte visité" xfId="10562" builtinId="9" hidden="1"/>
    <cellStyle name="Lien hypertexte visité" xfId="13038" builtinId="9" hidden="1"/>
    <cellStyle name="Lien hypertexte visité" xfId="16505" builtinId="9" hidden="1"/>
    <cellStyle name="Lien hypertexte visité" xfId="21096" builtinId="9" hidden="1"/>
    <cellStyle name="Lien hypertexte visité" xfId="23178" builtinId="9" hidden="1"/>
    <cellStyle name="Lien hypertexte visité" xfId="18075" builtinId="9" hidden="1"/>
    <cellStyle name="Lien hypertexte visité" xfId="20912" builtinId="9" hidden="1"/>
    <cellStyle name="Lien hypertexte visité" xfId="11674" builtinId="9" hidden="1"/>
    <cellStyle name="Lien hypertexte visité" xfId="14170" builtinId="9" hidden="1"/>
    <cellStyle name="Lien hypertexte visité" xfId="18416" builtinId="9" hidden="1"/>
    <cellStyle name="Lien hypertexte visité" xfId="23344" builtinId="9" hidden="1"/>
    <cellStyle name="Lien hypertexte visité" xfId="20954" builtinId="9" hidden="1"/>
    <cellStyle name="Lien hypertexte visité" xfId="17627" builtinId="9" hidden="1"/>
    <cellStyle name="Lien hypertexte visité" xfId="19274" builtinId="9" hidden="1"/>
    <cellStyle name="Lien hypertexte visité" xfId="20978" builtinId="9" hidden="1"/>
    <cellStyle name="Lien hypertexte visité" xfId="22450" builtinId="9" hidden="1"/>
    <cellStyle name="Lien hypertexte visité" xfId="24162" builtinId="9" hidden="1"/>
    <cellStyle name="Lien hypertexte visité" xfId="23424" builtinId="9" hidden="1"/>
    <cellStyle name="Lien hypertexte visité" xfId="21888" builtinId="9" hidden="1"/>
    <cellStyle name="Lien hypertexte visité" xfId="20224" builtinId="9" hidden="1"/>
    <cellStyle name="Lien hypertexte visité" xfId="18584" builtinId="9" hidden="1"/>
    <cellStyle name="Lien hypertexte visité" xfId="17065" builtinId="9" hidden="1"/>
    <cellStyle name="Lien hypertexte visité" xfId="15417" builtinId="9" hidden="1"/>
    <cellStyle name="Lien hypertexte visité" xfId="14114" builtinId="9" hidden="1"/>
    <cellStyle name="Lien hypertexte visité" xfId="13366" builtinId="9" hidden="1"/>
    <cellStyle name="Lien hypertexte visité" xfId="12514" builtinId="9" hidden="1"/>
    <cellStyle name="Lien hypertexte visité" xfId="11694" builtinId="9" hidden="1"/>
    <cellStyle name="Lien hypertexte visité" xfId="10926" builtinId="9" hidden="1"/>
    <cellStyle name="Lien hypertexte visité" xfId="10102" builtinId="9" hidden="1"/>
    <cellStyle name="Lien hypertexte visité" xfId="9270" builtinId="9" hidden="1"/>
    <cellStyle name="Lien hypertexte visité" xfId="8502" builtinId="9" hidden="1"/>
    <cellStyle name="Lien hypertexte visité" xfId="15707" builtinId="9" hidden="1"/>
    <cellStyle name="Lien hypertexte visité" xfId="13831" builtinId="9" hidden="1"/>
    <cellStyle name="Lien hypertexte visité" xfId="12727" builtinId="9" hidden="1"/>
    <cellStyle name="Lien hypertexte visité" xfId="11447" builtinId="9" hidden="1"/>
    <cellStyle name="Lien hypertexte visité" xfId="10199" builtinId="9" hidden="1"/>
    <cellStyle name="Lien hypertexte visité" xfId="9047" builtinId="9" hidden="1"/>
    <cellStyle name="Lien hypertexte visité" xfId="7815" builtinId="9" hidden="1"/>
    <cellStyle name="Lien hypertexte visité" xfId="6582" builtinId="9" hidden="1"/>
    <cellStyle name="Lien hypertexte visité" xfId="5430" builtinId="9" hidden="1"/>
    <cellStyle name="Lien hypertexte visité" xfId="4182" builtinId="9" hidden="1"/>
    <cellStyle name="Lien hypertexte visité" xfId="2896" builtinId="9" hidden="1"/>
    <cellStyle name="Lien hypertexte visité" xfId="1792" builtinId="9" hidden="1"/>
    <cellStyle name="Lien hypertexte visité" xfId="73" builtinId="9" hidden="1"/>
    <cellStyle name="Lien hypertexte visité" xfId="1870" builtinId="9" hidden="1"/>
    <cellStyle name="Lien hypertexte visité" xfId="3022" builtinId="9" hidden="1"/>
    <cellStyle name="Lien hypertexte visité" xfId="4276" builtinId="9" hidden="1"/>
    <cellStyle name="Lien hypertexte visité" xfId="5508" builtinId="9" hidden="1"/>
    <cellStyle name="Lien hypertexte visité" xfId="6660" builtinId="9" hidden="1"/>
    <cellStyle name="Lien hypertexte visité" xfId="7893" builtinId="9" hidden="1"/>
    <cellStyle name="Lien hypertexte visité" xfId="9173" builtinId="9" hidden="1"/>
    <cellStyle name="Lien hypertexte visité" xfId="10293" builtinId="9" hidden="1"/>
    <cellStyle name="Lien hypertexte visité" xfId="11573" builtinId="9" hidden="1"/>
    <cellStyle name="Lien hypertexte visité" xfId="12805" builtinId="9" hidden="1"/>
    <cellStyle name="Lien hypertexte visité" xfId="13957" builtinId="9" hidden="1"/>
    <cellStyle name="Lien hypertexte visité" xfId="15863" builtinId="9" hidden="1"/>
    <cellStyle name="Lien hypertexte visité" xfId="18342" builtinId="9" hidden="1"/>
    <cellStyle name="Lien hypertexte visité" xfId="8954" builtinId="9" hidden="1"/>
    <cellStyle name="Lien hypertexte visité" xfId="4773" builtinId="9" hidden="1"/>
    <cellStyle name="Lien hypertexte visité" xfId="5873" builtinId="9" hidden="1"/>
    <cellStyle name="Lien hypertexte visité" xfId="6821" builtinId="9" hidden="1"/>
    <cellStyle name="Lien hypertexte visité" xfId="7922" builtinId="9" hidden="1"/>
    <cellStyle name="Lien hypertexte visité" xfId="2347" builtinId="9" hidden="1"/>
    <cellStyle name="Lien hypertexte visité" xfId="3271" builtinId="9" hidden="1"/>
    <cellStyle name="Lien hypertexte visité" xfId="1647" builtinId="9" hidden="1"/>
    <cellStyle name="Lien hypertexte visité" xfId="1426" builtinId="9" hidden="1"/>
    <cellStyle name="Lien hypertexte visité" xfId="1286" builtinId="9" hidden="1"/>
    <cellStyle name="Lien hypertexte visité" xfId="1503" builtinId="9" hidden="1"/>
    <cellStyle name="Lien hypertexte visité" xfId="3087" builtinId="9" hidden="1"/>
    <cellStyle name="Lien hypertexte visité" xfId="3977" builtinId="9" hidden="1"/>
    <cellStyle name="Lien hypertexte visité" xfId="7725" builtinId="9" hidden="1"/>
    <cellStyle name="Lien hypertexte visité" xfId="6661" builtinId="9" hidden="1"/>
    <cellStyle name="Lien hypertexte visité" xfId="5677" builtinId="9" hidden="1"/>
    <cellStyle name="Lien hypertexte visité" xfId="4613" builtinId="9" hidden="1"/>
    <cellStyle name="Lien hypertexte visité" xfId="9514" builtinId="9" hidden="1"/>
    <cellStyle name="Lien hypertexte visité" xfId="12970" builtinId="9" hidden="1"/>
    <cellStyle name="Lien hypertexte visité" xfId="18832" builtinId="9" hidden="1"/>
    <cellStyle name="Lien hypertexte visité" xfId="22714" builtinId="9" hidden="1"/>
    <cellStyle name="Lien hypertexte visité" xfId="17723" builtinId="9" hidden="1"/>
    <cellStyle name="Lien hypertexte visité" xfId="20266" builtinId="9" hidden="1"/>
    <cellStyle name="Lien hypertexte visité" xfId="22738" builtinId="9" hidden="1"/>
    <cellStyle name="Lien hypertexte visité" xfId="24184" builtinId="9" hidden="1"/>
    <cellStyle name="Lien hypertexte visité" xfId="21704" builtinId="9" hidden="1"/>
    <cellStyle name="Lien hypertexte visité" xfId="19232" builtinId="9" hidden="1"/>
    <cellStyle name="Lien hypertexte visité" xfId="16945" builtinId="9" hidden="1"/>
    <cellStyle name="Lien hypertexte visité" xfId="14494" builtinId="9" hidden="1"/>
    <cellStyle name="Lien hypertexte visité" xfId="13214" builtinId="9" hidden="1"/>
    <cellStyle name="Lien hypertexte visité" xfId="12102" builtinId="9" hidden="1"/>
    <cellStyle name="Lien hypertexte visité" xfId="10822" builtinId="9" hidden="1"/>
    <cellStyle name="Lien hypertexte visité" xfId="9586" builtinId="9" hidden="1"/>
    <cellStyle name="Lien hypertexte visité" xfId="8434" builtinId="9" hidden="1"/>
    <cellStyle name="Lien hypertexte visité" xfId="14383" builtinId="9" hidden="1"/>
    <cellStyle name="Lien hypertexte visité" xfId="12527" builtinId="9" hidden="1"/>
    <cellStyle name="Lien hypertexte visité" xfId="10799" builtinId="9" hidden="1"/>
    <cellStyle name="Lien hypertexte visité" xfId="8943" builtinId="9" hidden="1"/>
    <cellStyle name="Lien hypertexte visité" xfId="7022" builtinId="9" hidden="1"/>
    <cellStyle name="Lien hypertexte visité" xfId="5358" builtinId="9" hidden="1"/>
    <cellStyle name="Lien hypertexte visité" xfId="3432" builtinId="9" hidden="1"/>
    <cellStyle name="Lien hypertexte visité" xfId="1576" builtinId="9" hidden="1"/>
    <cellStyle name="Lien hypertexte visité" xfId="1301" builtinId="9" hidden="1"/>
    <cellStyle name="Lien hypertexte visité" xfId="3158" builtinId="9" hidden="1"/>
    <cellStyle name="Lien hypertexte visité" xfId="5020" builtinId="9" hidden="1"/>
    <cellStyle name="Lien hypertexte visité" xfId="6748" builtinId="9" hidden="1"/>
    <cellStyle name="Lien hypertexte visité" xfId="8605" builtinId="9" hidden="1"/>
    <cellStyle name="Lien hypertexte visité" xfId="10525" builtinId="9" hidden="1"/>
    <cellStyle name="Lien hypertexte visité" xfId="12189" builtinId="9" hidden="1"/>
    <cellStyle name="Lien hypertexte visité" xfId="14109" builtinId="9" hidden="1"/>
    <cellStyle name="Lien hypertexte visité" xfId="17415" builtinId="9" hidden="1"/>
    <cellStyle name="Lien hypertexte visité" xfId="20854" builtinId="9" hidden="1"/>
    <cellStyle name="Lien hypertexte visité" xfId="24566" builtinId="9" hidden="1"/>
    <cellStyle name="Lien hypertexte visité" xfId="20948" builtinId="9" hidden="1"/>
    <cellStyle name="Lien hypertexte visité" xfId="17509" builtinId="9" hidden="1"/>
    <cellStyle name="Lien hypertexte visité" xfId="14156" builtinId="9" hidden="1"/>
    <cellStyle name="Lien hypertexte visité" xfId="12236" builtinId="9" hidden="1"/>
    <cellStyle name="Lien hypertexte visité" xfId="10572" builtinId="9" hidden="1"/>
    <cellStyle name="Lien hypertexte visité" xfId="8652" builtinId="9" hidden="1"/>
    <cellStyle name="Lien hypertexte visité" xfId="6795" builtinId="9" hidden="1"/>
    <cellStyle name="Lien hypertexte visité" xfId="5067" builtinId="9" hidden="1"/>
    <cellStyle name="Lien hypertexte visité" xfId="3205" builtinId="9" hidden="1"/>
    <cellStyle name="Lien hypertexte visité" xfId="1348" builtinId="9" hidden="1"/>
    <cellStyle name="Lien hypertexte visité" xfId="1529" builtinId="9" hidden="1"/>
    <cellStyle name="Lien hypertexte visité" xfId="3385" builtinId="9" hidden="1"/>
    <cellStyle name="Lien hypertexte visité" xfId="5311" builtinId="9" hidden="1"/>
    <cellStyle name="Lien hypertexte visité" xfId="6975" builtinId="9" hidden="1"/>
    <cellStyle name="Lien hypertexte visité" xfId="571" builtinId="9" hidden="1"/>
    <cellStyle name="Lien hypertexte visité" xfId="1522" builtinId="9" hidden="1"/>
    <cellStyle name="Lien hypertexte visité" xfId="6180" builtinId="9" hidden="1"/>
    <cellStyle name="Lien hypertexte visité" xfId="11813" builtinId="9" hidden="1"/>
    <cellStyle name="Lien hypertexte visité" xfId="5347" builtinId="9" hidden="1"/>
    <cellStyle name="Lien hypertexte visité" xfId="6819" builtinId="9" hidden="1"/>
    <cellStyle name="Lien hypertexte visité" xfId="8420" builtinId="9" hidden="1"/>
    <cellStyle name="Lien hypertexte visité" xfId="10036" builtinId="9" hidden="1"/>
    <cellStyle name="Lien hypertexte visité" xfId="11492" builtinId="9" hidden="1"/>
    <cellStyle name="Lien hypertexte visité" xfId="13108" builtinId="9" hidden="1"/>
    <cellStyle name="Lien hypertexte visité" xfId="14901" builtinId="9" hidden="1"/>
    <cellStyle name="Lien hypertexte visité" xfId="17845" builtinId="9" hidden="1"/>
    <cellStyle name="Lien hypertexte visité" xfId="21028" builtinId="9" hidden="1"/>
    <cellStyle name="Lien hypertexte visité" xfId="24260" builtinId="9" hidden="1"/>
    <cellStyle name="Lien hypertexte visité" xfId="22054" builtinId="9" hidden="1"/>
    <cellStyle name="Lien hypertexte visité" xfId="20998" builtinId="9" hidden="1"/>
    <cellStyle name="Lien hypertexte visité" xfId="10116" builtinId="9" hidden="1"/>
    <cellStyle name="Lien hypertexte visité" xfId="2129" builtinId="9" hidden="1"/>
    <cellStyle name="Lien hypertexte visité" xfId="189" builtinId="9" hidden="1"/>
    <cellStyle name="Lien hypertexte visité" xfId="2013" builtinId="9" hidden="1"/>
    <cellStyle name="Lien hypertexte visité" xfId="3389" builtinId="9" hidden="1"/>
    <cellStyle name="Lien hypertexte visité" xfId="4899" builtinId="9" hidden="1"/>
    <cellStyle name="Lien hypertexte visité" xfId="5207" builtinId="9" hidden="1"/>
    <cellStyle name="Lien hypertexte visité" xfId="3899" builtinId="9" hidden="1"/>
    <cellStyle name="Lien hypertexte visité" xfId="7127" builtinId="9" hidden="1"/>
    <cellStyle name="Lien hypertexte visité" xfId="7912" builtinId="9" hidden="1"/>
    <cellStyle name="Lien hypertexte visité" xfId="8680" builtinId="9" hidden="1"/>
    <cellStyle name="Lien hypertexte visité" xfId="6007" builtinId="9" hidden="1"/>
    <cellStyle name="Lien hypertexte visité" xfId="5767" builtinId="9" hidden="1"/>
    <cellStyle name="Lien hypertexte visité" xfId="4071" builtinId="9" hidden="1"/>
    <cellStyle name="Lien hypertexte visité" xfId="5527" builtinId="9" hidden="1"/>
    <cellStyle name="Lien hypertexte visité" xfId="4563" builtinId="9" hidden="1"/>
    <cellStyle name="Lien hypertexte visité" xfId="3197" builtinId="9" hidden="1"/>
    <cellStyle name="Lien hypertexte visité" xfId="1693" builtinId="9" hidden="1"/>
    <cellStyle name="Lien hypertexte visité" xfId="757" builtinId="9" hidden="1"/>
    <cellStyle name="Lien hypertexte visité" xfId="2321" builtinId="9" hidden="1"/>
    <cellStyle name="Lien hypertexte visité" xfId="12548" builtinId="9" hidden="1"/>
    <cellStyle name="Lien hypertexte visité" xfId="19526" builtinId="9" hidden="1"/>
    <cellStyle name="Lien hypertexte visité" xfId="22438" builtinId="9" hidden="1"/>
    <cellStyle name="Lien hypertexte visité" xfId="23556" builtinId="9" hidden="1"/>
    <cellStyle name="Lien hypertexte visité" xfId="20356" builtinId="9" hidden="1"/>
    <cellStyle name="Lien hypertexte visité" xfId="17429" builtinId="9" hidden="1"/>
    <cellStyle name="Lien hypertexte visité" xfId="14372" builtinId="9" hidden="1"/>
    <cellStyle name="Lien hypertexte visité" xfId="12756" builtinId="9" hidden="1"/>
    <cellStyle name="Lien hypertexte visité" xfId="11300" builtinId="9" hidden="1"/>
    <cellStyle name="Lien hypertexte visité" xfId="9684" builtinId="9" hidden="1"/>
    <cellStyle name="Lien hypertexte visité" xfId="8084" builtinId="9" hidden="1"/>
    <cellStyle name="Lien hypertexte visité" xfId="6611" builtinId="9" hidden="1"/>
    <cellStyle name="Lien hypertexte visité" xfId="17943" builtinId="9" hidden="1"/>
    <cellStyle name="Lien hypertexte visité" xfId="10597" builtinId="9" hidden="1"/>
    <cellStyle name="Lien hypertexte visité" xfId="5476" builtinId="9" hidden="1"/>
    <cellStyle name="Lien hypertexte visité" xfId="1311" builtinId="9" hidden="1"/>
    <cellStyle name="Lien hypertexte visité" xfId="6950" builtinId="9" hidden="1"/>
    <cellStyle name="Lien hypertexte visité" xfId="12071" builtinId="9" hidden="1"/>
    <cellStyle name="Lien hypertexte visité" xfId="9410" builtinId="9" hidden="1"/>
    <cellStyle name="Lien hypertexte visité" xfId="13166" builtinId="9" hidden="1"/>
    <cellStyle name="Lien hypertexte visité" xfId="18624" builtinId="9" hidden="1"/>
    <cellStyle name="Lien hypertexte visité" xfId="23090" builtinId="9" hidden="1"/>
    <cellStyle name="Lien hypertexte visité" xfId="22426" builtinId="9" hidden="1"/>
    <cellStyle name="Lien hypertexte visité" xfId="11546" builtinId="9" hidden="1"/>
    <cellStyle name="Lien hypertexte visité" xfId="16129" builtinId="9" hidden="1"/>
    <cellStyle name="Lien hypertexte visité" xfId="23600" builtinId="9" hidden="1"/>
    <cellStyle name="Lien hypertexte visité" xfId="18778" builtinId="9" hidden="1"/>
    <cellStyle name="Lien hypertexte visité" xfId="19298" builtinId="9" hidden="1"/>
    <cellStyle name="Lien hypertexte visité" xfId="21794" builtinId="9" hidden="1"/>
    <cellStyle name="Lien hypertexte visité" xfId="24074" builtinId="9" hidden="1"/>
    <cellStyle name="Lien hypertexte visité" xfId="22656" builtinId="9" hidden="1"/>
    <cellStyle name="Lien hypertexte visité" xfId="20136" builtinId="9" hidden="1"/>
    <cellStyle name="Lien hypertexte visité" xfId="17897" builtinId="9" hidden="1"/>
    <cellStyle name="Lien hypertexte visité" xfId="15377" builtinId="9" hidden="1"/>
    <cellStyle name="Lien hypertexte visité" xfId="13698" builtinId="9" hidden="1"/>
    <cellStyle name="Lien hypertexte visité" xfId="12558" builtinId="9" hidden="1"/>
    <cellStyle name="Lien hypertexte visité" xfId="11310" builtinId="9" hidden="1"/>
    <cellStyle name="Lien hypertexte visité" xfId="10062" builtinId="9" hidden="1"/>
    <cellStyle name="Lien hypertexte visité" xfId="8918" builtinId="9" hidden="1"/>
    <cellStyle name="Lien hypertexte visité" xfId="15675" builtinId="9" hidden="1"/>
    <cellStyle name="Lien hypertexte visité" xfId="13207" builtinId="9" hidden="1"/>
    <cellStyle name="Lien hypertexte visité" xfId="11511" builtinId="9" hidden="1"/>
    <cellStyle name="Lien hypertexte visité" xfId="9623" builtinId="9" hidden="1"/>
    <cellStyle name="Lien hypertexte visité" xfId="7750" builtinId="9" hidden="1"/>
    <cellStyle name="Lien hypertexte visité" xfId="6038" builtinId="9" hidden="1"/>
    <cellStyle name="Lien hypertexte visité" xfId="4166" builtinId="9" hidden="1"/>
    <cellStyle name="Lien hypertexte visité" xfId="2288" builtinId="9" hidden="1"/>
    <cellStyle name="Lien hypertexte visité" xfId="4" builtinId="9" hidden="1"/>
    <cellStyle name="Lien hypertexte visité" xfId="2446" builtinId="9" hidden="1"/>
    <cellStyle name="Lien hypertexte visité" xfId="4340" builtinId="9" hidden="1"/>
    <cellStyle name="Lien hypertexte visité" xfId="6036" builtinId="9" hidden="1"/>
    <cellStyle name="Lien hypertexte visité" xfId="7925" builtinId="9" hidden="1"/>
    <cellStyle name="Lien hypertexte visité" xfId="9797" builtinId="9" hidden="1"/>
    <cellStyle name="Lien hypertexte visité" xfId="11509" builtinId="9" hidden="1"/>
    <cellStyle name="Lien hypertexte visité" xfId="13381" builtinId="9" hidden="1"/>
    <cellStyle name="Lien hypertexte visité" xfId="15991" builtinId="9" hidden="1"/>
    <cellStyle name="Lien hypertexte visité" xfId="10810" builtinId="9" hidden="1"/>
    <cellStyle name="Lien hypertexte visité" xfId="4793" builtinId="9" hidden="1"/>
    <cellStyle name="Lien hypertexte visité" xfId="6401" builtinId="9" hidden="1"/>
    <cellStyle name="Lien hypertexte visité" xfId="7866" builtinId="9" hidden="1"/>
    <cellStyle name="Lien hypertexte visité" xfId="2807" builtinId="9" hidden="1"/>
    <cellStyle name="Lien hypertexte visité" xfId="1695" builtinId="9" hidden="1"/>
    <cellStyle name="Lien hypertexte visité" xfId="297" builtinId="9" hidden="1"/>
    <cellStyle name="Lien hypertexte visité" xfId="1486" builtinId="9" hidden="1"/>
    <cellStyle name="Lien hypertexte visité" xfId="2591" builtinId="9" hidden="1"/>
    <cellStyle name="Lien hypertexte visité" xfId="7777" builtinId="9" hidden="1"/>
    <cellStyle name="Lien hypertexte visité" xfId="6169" builtinId="9" hidden="1"/>
    <cellStyle name="Lien hypertexte visité" xfId="4561" builtinId="9" hidden="1"/>
    <cellStyle name="Lien hypertexte visité" xfId="11114" builtinId="9" hidden="1"/>
    <cellStyle name="Lien hypertexte visité" xfId="18960" builtinId="9" hidden="1"/>
    <cellStyle name="Lien hypertexte visité" xfId="19002" builtinId="9" hidden="1"/>
    <cellStyle name="Lien hypertexte visité" xfId="20138" builtinId="9" hidden="1"/>
    <cellStyle name="Lien hypertexte visité" xfId="23890" builtinId="9" hidden="1"/>
    <cellStyle name="Lien hypertexte visité" xfId="21576" builtinId="9" hidden="1"/>
    <cellStyle name="Lien hypertexte visité" xfId="18185" builtinId="9" hidden="1"/>
    <cellStyle name="Lien hypertexte visité" xfId="14470" builtinId="9" hidden="1"/>
    <cellStyle name="Lien hypertexte visité" xfId="12594" builtinId="9" hidden="1"/>
    <cellStyle name="Lien hypertexte visité" xfId="10886" builtinId="9" hidden="1"/>
    <cellStyle name="Lien hypertexte visité" xfId="9010" builtinId="9" hidden="1"/>
    <cellStyle name="Lien hypertexte visité" xfId="14287" builtinId="9" hidden="1"/>
    <cellStyle name="Lien hypertexte visité" xfId="11727" builtinId="9" hidden="1"/>
    <cellStyle name="Lien hypertexte visité" xfId="8911" builtinId="9" hidden="1"/>
    <cellStyle name="Lien hypertexte visité" xfId="6094" builtinId="9" hidden="1"/>
    <cellStyle name="Lien hypertexte visité" xfId="3528" builtinId="9" hidden="1"/>
    <cellStyle name="Lien hypertexte visité" xfId="259" builtinId="9" hidden="1"/>
    <cellStyle name="Lien hypertexte visité" xfId="3254" builtinId="9" hidden="1"/>
    <cellStyle name="Lien hypertexte visité" xfId="5820" builtinId="9" hidden="1"/>
    <cellStyle name="Lien hypertexte visité" xfId="8637" builtinId="9" hidden="1"/>
    <cellStyle name="Lien hypertexte visité" xfId="11453" builtinId="9" hidden="1"/>
    <cellStyle name="Lien hypertexte visité" xfId="14013" builtinId="9" hidden="1"/>
    <cellStyle name="Lien hypertexte visité" xfId="19126" builtinId="9" hidden="1"/>
    <cellStyle name="Lien hypertexte visité" xfId="24468" builtinId="9" hidden="1"/>
    <cellStyle name="Lien hypertexte visité" xfId="19348" builtinId="9" hidden="1"/>
    <cellStyle name="Lien hypertexte visité" xfId="14124" builtinId="9" hidden="1"/>
    <cellStyle name="Lien hypertexte visité" xfId="11308" builtinId="9" hidden="1"/>
    <cellStyle name="Lien hypertexte visité" xfId="8748" builtinId="9" hidden="1"/>
    <cellStyle name="Lien hypertexte visité" xfId="5931" builtinId="9" hidden="1"/>
    <cellStyle name="Lien hypertexte visité" xfId="3109" builtinId="9" hidden="1"/>
    <cellStyle name="Lien hypertexte visité" xfId="149" builtinId="9" hidden="1"/>
    <cellStyle name="Lien hypertexte visité" xfId="3417" builtinId="9" hidden="1"/>
    <cellStyle name="Lien hypertexte visité" xfId="6239" builtinId="9" hidden="1"/>
    <cellStyle name="Lien hypertexte visité" xfId="8800" builtinId="9" hidden="1"/>
    <cellStyle name="Lien hypertexte visité" xfId="2098" builtinId="9" hidden="1"/>
    <cellStyle name="Lien hypertexte visité" xfId="3984" builtinId="9" hidden="1"/>
    <cellStyle name="Lien hypertexte visité" xfId="5688" builtinId="9" hidden="1"/>
    <cellStyle name="Lien hypertexte visité" xfId="7568" builtinId="9" hidden="1"/>
    <cellStyle name="Lien hypertexte visité" xfId="9441" builtinId="9" hidden="1"/>
    <cellStyle name="Lien hypertexte visité" xfId="11153" builtinId="9" hidden="1"/>
    <cellStyle name="Lien hypertexte visité" xfId="13025" builtinId="9" hidden="1"/>
    <cellStyle name="Lien hypertexte visité" xfId="15295" builtinId="9" hidden="1"/>
    <cellStyle name="Lien hypertexte visité" xfId="18686" builtinId="9" hidden="1"/>
    <cellStyle name="Lien hypertexte visité" xfId="22446" builtinId="9" hidden="1"/>
    <cellStyle name="Lien hypertexte visité" xfId="23020" builtinId="9" hidden="1"/>
    <cellStyle name="Lien hypertexte visité" xfId="19612" builtinId="9" hidden="1"/>
    <cellStyle name="Lien hypertexte visité" xfId="15869" builtinId="9" hidden="1"/>
    <cellStyle name="Lien hypertexte visité" xfId="13320" builtinId="9" hidden="1"/>
    <cellStyle name="Lien hypertexte visité" xfId="11608" builtinId="9" hidden="1"/>
    <cellStyle name="Lien hypertexte visité" xfId="9736" builtinId="9" hidden="1"/>
    <cellStyle name="Lien hypertexte visité" xfId="11840" builtinId="9" hidden="1"/>
    <cellStyle name="Lien hypertexte visité" xfId="19388" builtinId="9" hidden="1"/>
    <cellStyle name="Lien hypertexte visité" xfId="18574" builtinId="9" hidden="1"/>
    <cellStyle name="Lien hypertexte visité" xfId="10921" builtinId="9" hidden="1"/>
    <cellStyle name="Lien hypertexte visité" xfId="5800" builtinId="9" hidden="1"/>
    <cellStyle name="Lien hypertexte visité" xfId="9459" builtinId="9" hidden="1"/>
    <cellStyle name="Lien hypertexte visité" xfId="7851" builtinId="9" hidden="1"/>
    <cellStyle name="Lien hypertexte visité" xfId="6386" builtinId="9" hidden="1"/>
    <cellStyle name="Lien hypertexte visité" xfId="4778" builtinId="9" hidden="1"/>
    <cellStyle name="Lien hypertexte visité" xfId="3156" builtinId="9" hidden="1"/>
    <cellStyle name="Lien hypertexte visité" xfId="1700" builtinId="9" hidden="1"/>
    <cellStyle name="Lien hypertexte visité" xfId="6562" builtinId="9" hidden="1"/>
    <cellStyle name="Lien hypertexte visité" xfId="11795" builtinId="9" hidden="1"/>
    <cellStyle name="Lien hypertexte visité" xfId="10435" builtinId="9" hidden="1"/>
    <cellStyle name="Lien hypertexte visité" xfId="14155" builtinId="9" hidden="1"/>
    <cellStyle name="Lien hypertexte visité" xfId="15571" builtinId="9" hidden="1"/>
    <cellStyle name="Lien hypertexte visité" xfId="17283" builtinId="9" hidden="1"/>
    <cellStyle name="Lien hypertexte visité" xfId="15779" builtinId="9" hidden="1"/>
    <cellStyle name="Lien hypertexte visité" xfId="14259" builtinId="9" hidden="1"/>
    <cellStyle name="Lien hypertexte visité" xfId="10411" builtinId="9" hidden="1"/>
    <cellStyle name="Lien hypertexte visité" xfId="11907" builtinId="9" hidden="1"/>
    <cellStyle name="Lien hypertexte visité" xfId="5730" builtinId="9" hidden="1"/>
    <cellStyle name="Lien hypertexte visité" xfId="1668" builtinId="9" hidden="1"/>
    <cellStyle name="Lien hypertexte visité" xfId="3276" builtinId="9" hidden="1"/>
    <cellStyle name="Lien hypertexte visité" xfId="4890" builtinId="9" hidden="1"/>
    <cellStyle name="Lien hypertexte visité" xfId="6354" builtinId="9" hidden="1"/>
    <cellStyle name="Lien hypertexte visité" xfId="7963" builtinId="9" hidden="1"/>
    <cellStyle name="Lien hypertexte visité" xfId="53" builtinId="9" hidden="1"/>
    <cellStyle name="Lien hypertexte visité" xfId="5704" builtinId="9" hidden="1"/>
    <cellStyle name="Lien hypertexte visité" xfId="17099" builtinId="9" hidden="1"/>
    <cellStyle name="Lien hypertexte visité" xfId="13919" builtinId="9" hidden="1"/>
    <cellStyle name="Lien hypertexte visité" xfId="12223" builtinId="9" hidden="1"/>
    <cellStyle name="Lien hypertexte visité" xfId="10335" builtinId="9" hidden="1"/>
    <cellStyle name="Lien hypertexte visité" xfId="4316" builtinId="9" hidden="1"/>
    <cellStyle name="Lien hypertexte visité" xfId="12509" builtinId="9" hidden="1"/>
    <cellStyle name="Lien hypertexte visité" xfId="22356" builtinId="9" hidden="1"/>
    <cellStyle name="Lien hypertexte visité" xfId="10252" builtinId="9" hidden="1"/>
    <cellStyle name="Lien hypertexte visité" xfId="2053" builtinId="9" hidden="1"/>
    <cellStyle name="Lien hypertexte visité" xfId="7295" builtinId="9" hidden="1"/>
    <cellStyle name="Lien hypertexte visité" xfId="3396" builtinId="9" hidden="1"/>
    <cellStyle name="Lien hypertexte visité" xfId="4722" builtinId="9" hidden="1"/>
    <cellStyle name="Lien hypertexte visité" xfId="6074" builtinId="9" hidden="1"/>
    <cellStyle name="Lien hypertexte visité" xfId="7426" builtinId="9" hidden="1"/>
    <cellStyle name="Lien hypertexte visité" xfId="8747" builtinId="9" hidden="1"/>
    <cellStyle name="Lien hypertexte visité" xfId="2402" builtinId="9" hidden="1"/>
    <cellStyle name="Lien hypertexte visité" xfId="7016" builtinId="9" hidden="1"/>
    <cellStyle name="Lien hypertexte visité" xfId="11753" builtinId="9" hidden="1"/>
    <cellStyle name="Lien hypertexte visité" xfId="18207" builtinId="9" hidden="1"/>
    <cellStyle name="Lien hypertexte visité" xfId="21564" builtinId="9" hidden="1"/>
    <cellStyle name="Lien hypertexte visité" xfId="13312" builtinId="9" hidden="1"/>
    <cellStyle name="Lien hypertexte visité" xfId="8904" builtinId="9" hidden="1"/>
    <cellStyle name="Lien hypertexte visité" xfId="10480" builtinId="9" hidden="1"/>
    <cellStyle name="Lien hypertexte visité" xfId="12016" builtinId="9" hidden="1"/>
    <cellStyle name="Lien hypertexte visité" xfId="13592" builtinId="9" hidden="1"/>
    <cellStyle name="Lien hypertexte visité" xfId="15741" builtinId="9" hidden="1"/>
    <cellStyle name="Lien hypertexte visité" xfId="18892" builtinId="9" hidden="1"/>
    <cellStyle name="Lien hypertexte visité" xfId="22044" builtinId="9" hidden="1"/>
    <cellStyle name="Lien hypertexte visité" xfId="24110" builtinId="9" hidden="1"/>
    <cellStyle name="Lien hypertexte visité" xfId="20958" builtinId="9" hidden="1"/>
    <cellStyle name="Lien hypertexte visité" xfId="17903" builtinId="9" hidden="1"/>
    <cellStyle name="Lien hypertexte visité" xfId="14735" builtinId="9" hidden="1"/>
    <cellStyle name="Lien hypertexte visité" xfId="13089" builtinId="9" hidden="1"/>
    <cellStyle name="Lien hypertexte visité" xfId="11513" builtinId="9" hidden="1"/>
    <cellStyle name="Lien hypertexte visité" xfId="9937" builtinId="9" hidden="1"/>
    <cellStyle name="Lien hypertexte visité" xfId="8401" builtinId="9" hidden="1"/>
    <cellStyle name="Lien hypertexte visité" xfId="6816" builtinId="9" hidden="1"/>
    <cellStyle name="Lien hypertexte visité" xfId="5280" builtinId="9" hidden="1"/>
    <cellStyle name="Lien hypertexte visité" xfId="3707" builtinId="9" hidden="1"/>
    <cellStyle name="Lien hypertexte visité" xfId="3482" builtinId="9" hidden="1"/>
    <cellStyle name="Lien hypertexte visité" xfId="14417" builtinId="9" hidden="1"/>
    <cellStyle name="Lien hypertexte visité" xfId="13808" builtinId="9" hidden="1"/>
    <cellStyle name="Lien hypertexte visité" xfId="12393" builtinId="9" hidden="1"/>
    <cellStyle name="Lien hypertexte visité" xfId="3581" builtinId="9" hidden="1"/>
    <cellStyle name="Lien hypertexte visité" xfId="9811" builtinId="9" hidden="1"/>
    <cellStyle name="Lien hypertexte visité" xfId="13883" builtinId="9" hidden="1"/>
    <cellStyle name="Lien hypertexte visité" xfId="15683" builtinId="9" hidden="1"/>
    <cellStyle name="Lien hypertexte visité" xfId="16771" builtinId="9" hidden="1"/>
    <cellStyle name="Lien hypertexte visité" xfId="14627" builtinId="9" hidden="1"/>
    <cellStyle name="Lien hypertexte visité" xfId="13379" builtinId="9" hidden="1"/>
    <cellStyle name="Lien hypertexte visité" xfId="12323" builtinId="9" hidden="1"/>
    <cellStyle name="Lien hypertexte visité" xfId="10451" builtinId="9" hidden="1"/>
    <cellStyle name="Lien hypertexte visité" xfId="11611" builtinId="9" hidden="1"/>
    <cellStyle name="Lien hypertexte visité" xfId="12771" builtinId="9" hidden="1"/>
    <cellStyle name="Lien hypertexte visité" xfId="1820" builtinId="9" hidden="1"/>
    <cellStyle name="Lien hypertexte visité" xfId="2004" builtinId="9" hidden="1"/>
    <cellStyle name="Lien hypertexte visité" xfId="9731" builtinId="9" hidden="1"/>
    <cellStyle name="Lien hypertexte visité" xfId="3962" builtinId="9" hidden="1"/>
    <cellStyle name="Lien hypertexte visité" xfId="2748" builtinId="9" hidden="1"/>
    <cellStyle name="Lien hypertexte visité" xfId="1540" builtinId="9" hidden="1"/>
    <cellStyle name="Lien hypertexte visité" xfId="4834" builtinId="9" hidden="1"/>
    <cellStyle name="Lien hypertexte visité" xfId="12403" builtinId="9" hidden="1"/>
    <cellStyle name="Lien hypertexte visité" xfId="11275" builtinId="9" hidden="1"/>
    <cellStyle name="Lien hypertexte visité" xfId="7434" builtinId="9" hidden="1"/>
    <cellStyle name="Lien hypertexte visité" xfId="6226" builtinId="9" hidden="1"/>
    <cellStyle name="Lien hypertexte visité" xfId="5058" builtinId="9" hidden="1"/>
    <cellStyle name="Lien hypertexte visité" xfId="8939" builtinId="9" hidden="1"/>
    <cellStyle name="Lien hypertexte visité" xfId="2818" builtinId="9" hidden="1"/>
    <cellStyle name="Lien hypertexte visité" xfId="5128" builtinId="9" hidden="1"/>
    <cellStyle name="Lien hypertexte visité" xfId="1143" builtinId="9" hidden="1"/>
    <cellStyle name="Lien hypertexte visité" xfId="8459" builtinId="9" hidden="1"/>
    <cellStyle name="Lien hypertexte visité" xfId="6522" builtinId="9" hidden="1"/>
    <cellStyle name="Lien hypertexte visité" xfId="5754" builtinId="9" hidden="1"/>
    <cellStyle name="Lien hypertexte visité" xfId="6962" builtinId="9" hidden="1"/>
    <cellStyle name="Lien hypertexte visité" xfId="12747" builtinId="9" hidden="1"/>
    <cellStyle name="Lien hypertexte visité" xfId="11963" builtinId="9" hidden="1"/>
    <cellStyle name="Lien hypertexte visité" xfId="8163" builtinId="9" hidden="1"/>
    <cellStyle name="Lien hypertexte visité" xfId="971" builtinId="9" hidden="1"/>
    <cellStyle name="Lien hypertexte visité" xfId="2276" builtinId="9" hidden="1"/>
    <cellStyle name="Lien hypertexte visité" xfId="3476" builtinId="9" hidden="1"/>
    <cellStyle name="Lien hypertexte visité" xfId="9635" builtinId="9" hidden="1"/>
    <cellStyle name="Lien hypertexte visité" xfId="2516" builtinId="9" hidden="1"/>
    <cellStyle name="Lien hypertexte visité" xfId="1275" builtinId="9" hidden="1"/>
    <cellStyle name="Lien hypertexte visité" xfId="6946" builtinId="9" hidden="1"/>
    <cellStyle name="Lien hypertexte visité" xfId="12091" builtinId="9" hidden="1"/>
    <cellStyle name="Lien hypertexte visité" xfId="10931" builtinId="9" hidden="1"/>
    <cellStyle name="Lien hypertexte visité" xfId="9771" builtinId="9" hidden="1"/>
    <cellStyle name="Lien hypertexte visité" xfId="13803" builtinId="9" hidden="1"/>
    <cellStyle name="Lien hypertexte visité" xfId="15539" builtinId="9" hidden="1"/>
    <cellStyle name="Lien hypertexte visité" xfId="16627" builtinId="9" hidden="1"/>
    <cellStyle name="Lien hypertexte visité" xfId="14771" builtinId="9" hidden="1"/>
    <cellStyle name="Lien hypertexte visité" xfId="13419" builtinId="9" hidden="1"/>
    <cellStyle name="Lien hypertexte visité" xfId="11683" builtinId="9" hidden="1"/>
    <cellStyle name="Lien hypertexte visité" xfId="10491" builtinId="9" hidden="1"/>
    <cellStyle name="Lien hypertexte visité" xfId="9147" builtinId="9" hidden="1"/>
    <cellStyle name="Lien hypertexte visité" xfId="9368" builtinId="9" hidden="1"/>
    <cellStyle name="Lien hypertexte visité" xfId="23166" builtinId="9" hidden="1"/>
    <cellStyle name="Lien hypertexte visité" xfId="7929" builtinId="9" hidden="1"/>
    <cellStyle name="Lien hypertexte visité" xfId="3058" builtinId="9" hidden="1"/>
    <cellStyle name="Lien hypertexte visité" xfId="4640" builtinId="9" hidden="1"/>
    <cellStyle name="Lien hypertexte visité" xfId="6176" builtinId="9" hidden="1"/>
    <cellStyle name="Lien hypertexte visité" xfId="7760" builtinId="9" hidden="1"/>
    <cellStyle name="Lien hypertexte visité" xfId="9337" builtinId="9" hidden="1"/>
    <cellStyle name="Lien hypertexte visité" xfId="10873" builtinId="9" hidden="1"/>
    <cellStyle name="Lien hypertexte visité" xfId="12449" builtinId="9" hidden="1"/>
    <cellStyle name="Lien hypertexte visité" xfId="13985" builtinId="9" hidden="1"/>
    <cellStyle name="Lien hypertexte visité" xfId="16623" builtinId="9" hidden="1"/>
    <cellStyle name="Lien hypertexte visité" xfId="19678" builtinId="9" hidden="1"/>
    <cellStyle name="Lien hypertexte visité" xfId="22830" builtinId="9" hidden="1"/>
    <cellStyle name="Lien hypertexte visité" xfId="23244" builtinId="9" hidden="1"/>
    <cellStyle name="Lien hypertexte visité" xfId="20172" builtinId="9" hidden="1"/>
    <cellStyle name="Lien hypertexte visité" xfId="17021" builtinId="9" hidden="1"/>
    <cellStyle name="Lien hypertexte visité" xfId="14232" builtinId="9" hidden="1"/>
    <cellStyle name="Lien hypertexte visité" xfId="12656" builtinId="9" hidden="1"/>
    <cellStyle name="Lien hypertexte visité" xfId="11120" builtinId="9" hidden="1"/>
    <cellStyle name="Lien hypertexte visité" xfId="9544" builtinId="9" hidden="1"/>
    <cellStyle name="Lien hypertexte visité" xfId="11520" builtinId="9" hidden="1"/>
    <cellStyle name="Lien hypertexte visité" xfId="17741" builtinId="9" hidden="1"/>
    <cellStyle name="Lien hypertexte visité" xfId="22030" builtinId="9" hidden="1"/>
    <cellStyle name="Lien hypertexte visité" xfId="13673" builtinId="9" hidden="1"/>
    <cellStyle name="Lien hypertexte visité" xfId="8937" builtinId="9" hidden="1"/>
    <cellStyle name="Lien hypertexte visité" xfId="4328" builtinId="9" hidden="1"/>
    <cellStyle name="Lien hypertexte visité" xfId="9291" builtinId="9" hidden="1"/>
    <cellStyle name="Lien hypertexte visité" xfId="7939" builtinId="9" hidden="1"/>
    <cellStyle name="Lien hypertexte visité" xfId="6618" builtinId="9" hidden="1"/>
    <cellStyle name="Lien hypertexte visité" xfId="5266" builtinId="9" hidden="1"/>
    <cellStyle name="Lien hypertexte visité" xfId="3954" builtinId="9" hidden="1"/>
    <cellStyle name="Lien hypertexte visité" xfId="1433" builtinId="9" hidden="1"/>
    <cellStyle name="Lien hypertexte visité" xfId="2425" builtinId="9" hidden="1"/>
    <cellStyle name="Lien hypertexte visité" xfId="6923" builtinId="9" hidden="1"/>
    <cellStyle name="Lien hypertexte visité" xfId="15717" builtinId="9" hidden="1"/>
    <cellStyle name="Lien hypertexte visité" xfId="17159" builtinId="9" hidden="1"/>
    <cellStyle name="Lien hypertexte visité" xfId="7644" builtinId="9" hidden="1"/>
    <cellStyle name="Lien hypertexte visité" xfId="1704" builtinId="9" hidden="1"/>
    <cellStyle name="Lien hypertexte visité" xfId="9903" builtinId="9" hidden="1"/>
    <cellStyle name="Lien hypertexte visité" xfId="9670" builtinId="9" hidden="1"/>
    <cellStyle name="Lien hypertexte visité" xfId="15753" builtinId="9" hidden="1"/>
    <cellStyle name="Lien hypertexte visité" xfId="22570" builtinId="9" hidden="1"/>
    <cellStyle name="Lien hypertexte visité" xfId="15009" builtinId="9" hidden="1"/>
    <cellStyle name="Lien hypertexte visité" xfId="6737" builtinId="9" hidden="1"/>
    <cellStyle name="Lien hypertexte visité" xfId="1999" builtinId="9" hidden="1"/>
    <cellStyle name="Lien hypertexte visité" xfId="2279" builtinId="9" hidden="1"/>
    <cellStyle name="Lien hypertexte visité" xfId="4225" builtinId="9" hidden="1"/>
    <cellStyle name="Lien hypertexte visité" xfId="12725" builtinId="9" hidden="1"/>
    <cellStyle name="Lien hypertexte visité" xfId="7252" builtinId="9" hidden="1"/>
    <cellStyle name="Lien hypertexte visité" xfId="1790" builtinId="9" hidden="1"/>
    <cellStyle name="Lien hypertexte visité" xfId="4822" builtinId="9" hidden="1"/>
    <cellStyle name="Lien hypertexte visité" xfId="10295" builtinId="9" hidden="1"/>
    <cellStyle name="Lien hypertexte visité" xfId="16987" builtinId="9" hidden="1"/>
    <cellStyle name="Lien hypertexte visité" xfId="11746" builtinId="9" hidden="1"/>
    <cellStyle name="Lien hypertexte visité" xfId="16273" builtinId="9" hidden="1"/>
    <cellStyle name="Lien hypertexte visité" xfId="23528" builtinId="9" hidden="1"/>
    <cellStyle name="Lien hypertexte visité" xfId="18418" builtinId="9" hidden="1"/>
    <cellStyle name="Lien hypertexte visité" xfId="13978" builtinId="9" hidden="1"/>
    <cellStyle name="Lien hypertexte visité" xfId="23488" builtinId="9" hidden="1"/>
    <cellStyle name="Lien hypertexte visité" xfId="16923" builtinId="9" hidden="1"/>
    <cellStyle name="Lien hypertexte visité" xfId="1822" builtinId="9" hidden="1"/>
    <cellStyle name="Lien hypertexte visité" xfId="1075" builtinId="9" hidden="1"/>
    <cellStyle name="Lien hypertexte visité" xfId="6630" builtinId="9" hidden="1"/>
    <cellStyle name="Lien hypertexte visité" xfId="12007" builtinId="9" hidden="1"/>
    <cellStyle name="Lien hypertexte visité" xfId="9282" builtinId="9" hidden="1"/>
    <cellStyle name="Lien hypertexte visité" xfId="12950" builtinId="9" hidden="1"/>
    <cellStyle name="Lien hypertexte visité" xfId="18536" builtinId="9" hidden="1"/>
    <cellStyle name="Lien hypertexte visité" xfId="23346" builtinId="9" hidden="1"/>
    <cellStyle name="Lien hypertexte visité" xfId="21146" builtinId="9" hidden="1"/>
    <cellStyle name="Lien hypertexte visité" xfId="11514" builtinId="9" hidden="1"/>
    <cellStyle name="Lien hypertexte visité" xfId="15873" builtinId="9" hidden="1"/>
    <cellStyle name="Lien hypertexte visité" xfId="23152" builtinId="9" hidden="1"/>
    <cellStyle name="Lien hypertexte visité" xfId="18906" builtinId="9" hidden="1"/>
    <cellStyle name="Lien hypertexte visité" xfId="19210" builtinId="9" hidden="1"/>
    <cellStyle name="Lien hypertexte visité" xfId="21666" builtinId="9" hidden="1"/>
    <cellStyle name="Lien hypertexte visité" xfId="24050" builtinId="9" hidden="1"/>
    <cellStyle name="Lien hypertexte visité" xfId="22744" builtinId="9" hidden="1"/>
    <cellStyle name="Lien hypertexte visité" xfId="20288" builtinId="9" hidden="1"/>
    <cellStyle name="Lien hypertexte visité" xfId="17913" builtinId="9" hidden="1"/>
    <cellStyle name="Lien hypertexte visité" xfId="15465" builtinId="9" hidden="1"/>
    <cellStyle name="Lien hypertexte visité" xfId="13774" builtinId="9" hidden="1"/>
    <cellStyle name="Lien hypertexte visité" xfId="12578" builtinId="9" hidden="1"/>
    <cellStyle name="Lien hypertexte visité" xfId="11350" builtinId="9" hidden="1"/>
    <cellStyle name="Lien hypertexte visité" xfId="10126" builtinId="9" hidden="1"/>
    <cellStyle name="Lien hypertexte visité" xfId="8930" builtinId="9" hidden="1"/>
    <cellStyle name="Lien hypertexte visité" xfId="15803" builtinId="9" hidden="1"/>
    <cellStyle name="Lien hypertexte visité" xfId="13319" builtinId="9" hidden="1"/>
    <cellStyle name="Lien hypertexte visité" xfId="11527" builtinId="9" hidden="1"/>
    <cellStyle name="Lien hypertexte visité" xfId="9687" builtinId="9" hidden="1"/>
    <cellStyle name="Lien hypertexte visité" xfId="7863" builtinId="9" hidden="1"/>
    <cellStyle name="Lien hypertexte visité" xfId="6070" builtinId="9" hidden="1"/>
    <cellStyle name="Lien hypertexte visité" xfId="4230" builtinId="9" hidden="1"/>
    <cellStyle name="Lien hypertexte visité" xfId="2384" builtinId="9" hidden="1"/>
    <cellStyle name="Lien hypertexte visité" xfId="61" builtinId="9" hidden="1"/>
    <cellStyle name="Lien hypertexte visité" xfId="2382" builtinId="9" hidden="1"/>
    <cellStyle name="Lien hypertexte visité" xfId="4228" builtinId="9" hidden="1"/>
    <cellStyle name="Lien hypertexte visité" xfId="6020" builtinId="9" hidden="1"/>
    <cellStyle name="Lien hypertexte visité" xfId="7861" builtinId="9" hidden="1"/>
    <cellStyle name="Lien hypertexte visité" xfId="9685" builtinId="9" hidden="1"/>
    <cellStyle name="Lien hypertexte visité" xfId="11477" builtinId="9" hidden="1"/>
    <cellStyle name="Lien hypertexte visité" xfId="13317" builtinId="9" hidden="1"/>
    <cellStyle name="Lien hypertexte visité" xfId="15799" builtinId="9" hidden="1"/>
    <cellStyle name="Lien hypertexte visité" xfId="10874" builtinId="9" hidden="1"/>
    <cellStyle name="Lien hypertexte visité" xfId="4737" builtinId="9" hidden="1"/>
    <cellStyle name="Lien hypertexte visité" xfId="6309" builtinId="9" hidden="1"/>
    <cellStyle name="Lien hypertexte visité" xfId="7846" builtinId="9" hidden="1"/>
    <cellStyle name="Lien hypertexte visité" xfId="2759" builtinId="9" hidden="1"/>
    <cellStyle name="Lien hypertexte visité" xfId="1615" builtinId="9" hidden="1"/>
    <cellStyle name="Lien hypertexte visité" xfId="329" builtinId="9" hidden="1"/>
    <cellStyle name="Lien hypertexte visité" xfId="1535" builtinId="9" hidden="1"/>
    <cellStyle name="Lien hypertexte visité" xfId="2675" builtinId="9" hidden="1"/>
    <cellStyle name="Lien hypertexte visité" xfId="7797" builtinId="9" hidden="1"/>
    <cellStyle name="Lien hypertexte visité" xfId="6225" builtinId="9" hidden="1"/>
    <cellStyle name="Lien hypertexte visité" xfId="4653" builtinId="9" hidden="1"/>
    <cellStyle name="Lien hypertexte visité" xfId="11050" builtinId="9" hidden="1"/>
    <cellStyle name="Lien hypertexte visité" xfId="18576" builtinId="9" hidden="1"/>
    <cellStyle name="Lien hypertexte visité" xfId="19642" builtinId="9" hidden="1"/>
    <cellStyle name="Lien hypertexte visité" xfId="20098" builtinId="9" hidden="1"/>
    <cellStyle name="Lien hypertexte visité" xfId="23762" builtinId="9" hidden="1"/>
    <cellStyle name="Lien hypertexte visité" xfId="21792" builtinId="9" hidden="1"/>
    <cellStyle name="Lien hypertexte visité" xfId="18225" builtinId="9" hidden="1"/>
    <cellStyle name="Lien hypertexte visité" xfId="14553" builtinId="9" hidden="1"/>
    <cellStyle name="Lien hypertexte visité" xfId="12702" builtinId="9" hidden="1"/>
    <cellStyle name="Lien hypertexte visité" xfId="10910" builtinId="9" hidden="1"/>
    <cellStyle name="Lien hypertexte visité" xfId="9074" builtinId="9" hidden="1"/>
    <cellStyle name="Lien hypertexte visité" xfId="14447" builtinId="9" hidden="1"/>
    <cellStyle name="Lien hypertexte visité" xfId="11759" builtinId="9" hidden="1"/>
    <cellStyle name="Lien hypertexte visité" xfId="9007" builtinId="9" hidden="1"/>
    <cellStyle name="Lien hypertexte visité" xfId="6254" builtinId="9" hidden="1"/>
    <cellStyle name="Lien hypertexte visité" xfId="3561" builtinId="9" hidden="1"/>
    <cellStyle name="Lien hypertexte visité" xfId="451" builtinId="9" hidden="1"/>
    <cellStyle name="Lien hypertexte visité" xfId="3094" builtinId="9" hidden="1"/>
    <cellStyle name="Lien hypertexte visité" xfId="5788" builtinId="9" hidden="1"/>
    <cellStyle name="Lien hypertexte visité" xfId="8541" builtinId="9" hidden="1"/>
    <cellStyle name="Lien hypertexte visité" xfId="11293" builtinId="9" hidden="1"/>
    <cellStyle name="Lien hypertexte visité" xfId="13981" builtinId="9" hidden="1"/>
    <cellStyle name="Lien hypertexte visité" xfId="18934" builtinId="9" hidden="1"/>
    <cellStyle name="Lien hypertexte visité" xfId="24438" builtinId="9" hidden="1"/>
    <cellStyle name="Lien hypertexte visité" xfId="19412" builtinId="9" hidden="1"/>
    <cellStyle name="Lien hypertexte visité" xfId="14220" builtinId="9" hidden="1"/>
    <cellStyle name="Lien hypertexte visité" xfId="11468" builtinId="9" hidden="1"/>
    <cellStyle name="Lien hypertexte visité" xfId="8780" builtinId="9" hidden="1"/>
    <cellStyle name="Lien hypertexte visité" xfId="6027" builtinId="9" hidden="1"/>
    <cellStyle name="Lien hypertexte visité" xfId="3269" builtinId="9" hidden="1"/>
    <cellStyle name="Lien hypertexte visité" xfId="121" builtinId="9" hidden="1"/>
    <cellStyle name="Lien hypertexte visité" xfId="3321" builtinId="9" hidden="1"/>
    <cellStyle name="Lien hypertexte visité" xfId="6079" builtinId="9" hidden="1"/>
    <cellStyle name="Lien hypertexte visité" xfId="8768" builtinId="9" hidden="1"/>
    <cellStyle name="Lien hypertexte visité" xfId="2034" builtinId="9" hidden="1"/>
    <cellStyle name="Lien hypertexte visité" xfId="11557" builtinId="9" hidden="1"/>
    <cellStyle name="Lien hypertexte visité" xfId="6003" builtinId="9" hidden="1"/>
    <cellStyle name="Lien hypertexte visité" xfId="8356" builtinId="9" hidden="1"/>
    <cellStyle name="Lien hypertexte visité" xfId="10692" builtinId="9" hidden="1"/>
    <cellStyle name="Lien hypertexte visité" xfId="13028" builtinId="9" hidden="1"/>
    <cellStyle name="Lien hypertexte visité" xfId="16245" builtinId="9" hidden="1"/>
    <cellStyle name="Lien hypertexte visité" xfId="20900" builtinId="9" hidden="1"/>
    <cellStyle name="Lien hypertexte visité" xfId="23654" builtinId="9" hidden="1"/>
    <cellStyle name="Lien hypertexte visité" xfId="19974" builtinId="9" hidden="1"/>
    <cellStyle name="Lien hypertexte visité" xfId="5507" builtinId="9" hidden="1"/>
    <cellStyle name="Lien hypertexte visité" xfId="245" builtinId="9" hidden="1"/>
    <cellStyle name="Lien hypertexte visité" xfId="2637" builtinId="9" hidden="1"/>
    <cellStyle name="Lien hypertexte visité" xfId="4819" builtinId="9" hidden="1"/>
    <cellStyle name="Lien hypertexte visité" xfId="4615" builtinId="9" hidden="1"/>
    <cellStyle name="Lien hypertexte visité" xfId="7191" builtinId="9" hidden="1"/>
    <cellStyle name="Lien hypertexte visité" xfId="8408" builtinId="9" hidden="1"/>
    <cellStyle name="Lien hypertexte visité" xfId="6791" builtinId="9" hidden="1"/>
    <cellStyle name="Lien hypertexte visité" xfId="3345" builtinId="9" hidden="1"/>
    <cellStyle name="Lien hypertexte visité" xfId="5463" builtinId="9" hidden="1"/>
    <cellStyle name="Lien hypertexte visité" xfId="3955" builtinId="9" hidden="1"/>
    <cellStyle name="Lien hypertexte visité" xfId="1757" builtinId="9" hidden="1"/>
    <cellStyle name="Lien hypertexte visité" xfId="1569" builtinId="9" hidden="1"/>
    <cellStyle name="Lien hypertexte visité" xfId="12036" builtinId="9" hidden="1"/>
    <cellStyle name="Lien hypertexte visité" xfId="20838" builtinId="9" hidden="1"/>
    <cellStyle name="Lien hypertexte visité" xfId="23716" builtinId="9" hidden="1"/>
    <cellStyle name="Lien hypertexte visité" xfId="19044" builtinId="9" hidden="1"/>
    <cellStyle name="Lien hypertexte visité" xfId="14436" builtinId="9" hidden="1"/>
    <cellStyle name="Lien hypertexte visité" xfId="12100" builtinId="9" hidden="1"/>
    <cellStyle name="Lien hypertexte visité" xfId="9764" builtinId="9" hidden="1"/>
    <cellStyle name="Lien hypertexte visité" xfId="7411" builtinId="9" hidden="1"/>
    <cellStyle name="Lien hypertexte visité" xfId="18438" builtinId="9" hidden="1"/>
    <cellStyle name="Lien hypertexte visité" xfId="8293" builtinId="9" hidden="1"/>
    <cellStyle name="Lien hypertexte visité" xfId="947" builtinId="9" hidden="1"/>
    <cellStyle name="Lien hypertexte visité" xfId="9255" builtinId="9" hidden="1"/>
    <cellStyle name="Lien hypertexte visité" xfId="9238" builtinId="9" hidden="1"/>
    <cellStyle name="Lien hypertexte visité" xfId="14889" builtinId="9" hidden="1"/>
    <cellStyle name="Lien hypertexte visité" xfId="23434" builtinId="9" hidden="1"/>
    <cellStyle name="Lien hypertexte visité" xfId="17601" builtinId="9" hidden="1"/>
    <cellStyle name="Lien hypertexte visité" xfId="15745" builtinId="9" hidden="1"/>
    <cellStyle name="Lien hypertexte visité" xfId="22554" builtinId="9" hidden="1"/>
    <cellStyle name="Lien hypertexte visité" xfId="19186" builtinId="9" hidden="1"/>
    <cellStyle name="Lien hypertexte visité" xfId="22818" builtinId="9" hidden="1"/>
    <cellStyle name="Lien hypertexte visité" xfId="22760" builtinId="9" hidden="1"/>
    <cellStyle name="Lien hypertexte visité" xfId="19112" builtinId="9" hidden="1"/>
    <cellStyle name="Lien hypertexte visité" xfId="15505" builtinId="9" hidden="1"/>
    <cellStyle name="Lien hypertexte visité" xfId="13186" builtinId="9" hidden="1"/>
    <cellStyle name="Lien hypertexte visité" xfId="11362" builtinId="9" hidden="1"/>
    <cellStyle name="Lien hypertexte visité" xfId="9550" builtinId="9" hidden="1"/>
    <cellStyle name="Lien hypertexte visité" xfId="15835" builtinId="9" hidden="1"/>
    <cellStyle name="Lien hypertexte visité" xfId="12439" builtinId="9" hidden="1"/>
    <cellStyle name="Lien hypertexte visité" xfId="9719" builtinId="9" hidden="1"/>
    <cellStyle name="Lien hypertexte visité" xfId="6982" builtinId="9" hidden="1"/>
    <cellStyle name="Lien hypertexte visité" xfId="4246" builtinId="9" hidden="1"/>
    <cellStyle name="Lien hypertexte visité" xfId="1520" builtinId="9" hidden="1"/>
    <cellStyle name="Lien hypertexte visité" xfId="2366" builtinId="9" hidden="1"/>
    <cellStyle name="Lien hypertexte visité" xfId="5108" builtinId="9" hidden="1"/>
    <cellStyle name="Lien hypertexte visité" xfId="7829" builtinId="9" hidden="1"/>
    <cellStyle name="Lien hypertexte visité" xfId="10565" builtinId="9" hidden="1"/>
    <cellStyle name="Lien hypertexte visité" xfId="13301" builtinId="9" hidden="1"/>
    <cellStyle name="Lien hypertexte visité" xfId="17527" builtinId="9" hidden="1"/>
    <cellStyle name="Lien hypertexte visité" xfId="4721" builtinId="9" hidden="1"/>
    <cellStyle name="Lien hypertexte visité" xfId="7061" builtinId="9" hidden="1"/>
    <cellStyle name="Lien hypertexte visité" xfId="2739" builtinId="9" hidden="1"/>
    <cellStyle name="Lien hypertexte visité" xfId="1073" builtinId="9" hidden="1"/>
    <cellStyle name="Lien hypertexte visité" xfId="1551" builtinId="9" hidden="1"/>
    <cellStyle name="Lien hypertexte visité" xfId="5641" builtinId="9" hidden="1"/>
    <cellStyle name="Lien hypertexte visité" xfId="6241" builtinId="9" hidden="1"/>
    <cellStyle name="Lien hypertexte visité" xfId="8298" builtinId="9" hidden="1"/>
    <cellStyle name="Lien hypertexte visité" xfId="18448" builtinId="9" hidden="1"/>
    <cellStyle name="Lien hypertexte visité" xfId="18275" builtinId="9" hidden="1"/>
    <cellStyle name="Lien hypertexte visité" xfId="23722" builtinId="9" hidden="1"/>
    <cellStyle name="Lien hypertexte visité" xfId="20040" builtinId="9" hidden="1"/>
    <cellStyle name="Lien hypertexte visité" xfId="14601" builtinId="9" hidden="1"/>
    <cellStyle name="Lien hypertexte visité" xfId="11826" builtinId="9" hidden="1"/>
    <cellStyle name="Lien hypertexte visité" xfId="9094" builtinId="9" hidden="1"/>
    <cellStyle name="Lien hypertexte visité" xfId="13135" builtinId="9" hidden="1"/>
    <cellStyle name="Lien hypertexte visité" xfId="9039" builtinId="9" hidden="1"/>
    <cellStyle name="Lien hypertexte visité" xfId="4942" builtinId="9" hidden="1"/>
    <cellStyle name="Lien hypertexte visité" xfId="515" builtinId="9" hidden="1"/>
    <cellStyle name="Lien hypertexte visité" xfId="4412" builtinId="9" hidden="1"/>
    <cellStyle name="Lien hypertexte visité" xfId="8509" builtinId="9" hidden="1"/>
    <cellStyle name="Lien hypertexte visité" xfId="12605" builtinId="9" hidden="1"/>
    <cellStyle name="Lien hypertexte visité" xfId="18870" builtinId="9" hidden="1"/>
    <cellStyle name="Lien hypertexte visité" xfId="22164" builtinId="9" hidden="1"/>
    <cellStyle name="Lien hypertexte visité" xfId="14252" builtinId="9" hidden="1"/>
    <cellStyle name="Lien hypertexte visité" xfId="10156" builtinId="9" hidden="1"/>
    <cellStyle name="Lien hypertexte visité" xfId="6059" builtinId="9" hidden="1"/>
    <cellStyle name="Lien hypertexte visité" xfId="1957" builtinId="9" hidden="1"/>
    <cellStyle name="Lien hypertexte visité" xfId="3289" builtinId="9" hidden="1"/>
    <cellStyle name="Lien hypertexte visité" xfId="7391" builtinId="9" hidden="1"/>
    <cellStyle name="Lien hypertexte visité" xfId="2010" builtinId="9" hidden="1"/>
    <cellStyle name="Lien hypertexte visité" xfId="4752" builtinId="9" hidden="1"/>
    <cellStyle name="Lien hypertexte visité" xfId="7480" builtinId="9" hidden="1"/>
    <cellStyle name="Lien hypertexte visité" xfId="10209" builtinId="9" hidden="1"/>
    <cellStyle name="Lien hypertexte visité" xfId="12945" builtinId="9" hidden="1"/>
    <cellStyle name="Lien hypertexte visité" xfId="16831" builtinId="9" hidden="1"/>
    <cellStyle name="Lien hypertexte visité" xfId="22270" builtinId="9" hidden="1"/>
    <cellStyle name="Lien hypertexte visité" xfId="21484" builtinId="9" hidden="1"/>
    <cellStyle name="Lien hypertexte visité" xfId="16045" builtinId="9" hidden="1"/>
    <cellStyle name="Lien hypertexte visité" xfId="12552" builtinId="9" hidden="1"/>
    <cellStyle name="Lien hypertexte visité" xfId="9816" builtinId="9" hidden="1"/>
    <cellStyle name="Lien hypertexte visité" xfId="14144" builtinId="9" hidden="1"/>
    <cellStyle name="Lien hypertexte visité" xfId="19086" builtinId="9" hidden="1"/>
    <cellStyle name="Lien hypertexte visité" xfId="8617" builtinId="9" hidden="1"/>
    <cellStyle name="Lien hypertexte visité" xfId="299" builtinId="9" hidden="1"/>
    <cellStyle name="Lien hypertexte visité" xfId="7186" builtinId="9" hidden="1"/>
    <cellStyle name="Lien hypertexte visité" xfId="4850" builtinId="9" hidden="1"/>
    <cellStyle name="Lien hypertexte visité" xfId="2500" builtinId="9" hidden="1"/>
    <cellStyle name="Lien hypertexte visité" xfId="6050" builtinId="9" hidden="1"/>
    <cellStyle name="Lien hypertexte visité" xfId="11187" builtinId="9" hidden="1"/>
    <cellStyle name="Lien hypertexte visité" xfId="14219" builtinId="9" hidden="1"/>
    <cellStyle name="Lien hypertexte visité" xfId="15251" builtinId="9" hidden="1"/>
    <cellStyle name="Lien hypertexte visité" xfId="15651" builtinId="9" hidden="1"/>
    <cellStyle name="Lien hypertexte visité" xfId="9659" builtinId="9" hidden="1"/>
    <cellStyle name="Lien hypertexte visité" xfId="11843" builtinId="9" hidden="1"/>
    <cellStyle name="Lien hypertexte visité" xfId="1067" builtinId="9" hidden="1"/>
    <cellStyle name="Lien hypertexte visité" xfId="3204" builtinId="9" hidden="1"/>
    <cellStyle name="Lien hypertexte visité" xfId="5554" builtinId="9" hidden="1"/>
    <cellStyle name="Lien hypertexte visité" xfId="7891" builtinId="9" hidden="1"/>
    <cellStyle name="Lien hypertexte visité" xfId="2882" builtinId="9" hidden="1"/>
    <cellStyle name="Lien hypertexte visité" xfId="17227" builtinId="9" hidden="1"/>
    <cellStyle name="Lien hypertexte visité" xfId="13151" builtinId="9" hidden="1"/>
    <cellStyle name="Lien hypertexte visité" xfId="10431" builtinId="9" hidden="1"/>
    <cellStyle name="Lien hypertexte visité" xfId="7678" builtinId="9" hidden="1"/>
    <cellStyle name="Lien hypertexte visité" xfId="4958" builtinId="9" hidden="1"/>
    <cellStyle name="Lien hypertexte visité" xfId="2232" builtinId="9" hidden="1"/>
    <cellStyle name="Lien hypertexte visité" xfId="1670" builtinId="9" hidden="1"/>
    <cellStyle name="Lien hypertexte visité" xfId="4396" builtinId="9" hidden="1"/>
    <cellStyle name="Lien hypertexte visité" xfId="7116" builtinId="9" hidden="1"/>
    <cellStyle name="Lien hypertexte visité" xfId="9869" builtinId="9" hidden="1"/>
    <cellStyle name="Lien hypertexte visité" xfId="12589" builtinId="9" hidden="1"/>
    <cellStyle name="Lien hypertexte visité" xfId="16103" builtinId="9" hidden="1"/>
    <cellStyle name="Lien hypertexte visité" xfId="21590" builtinId="9" hidden="1"/>
    <cellStyle name="Lien hypertexte visité" xfId="22196" builtinId="9" hidden="1"/>
    <cellStyle name="Lien hypertexte visité" xfId="16773" builtinId="9" hidden="1"/>
    <cellStyle name="Lien hypertexte visité" xfId="12892" builtinId="9" hidden="1"/>
    <cellStyle name="Lien hypertexte visité" xfId="10172" builtinId="9" hidden="1"/>
    <cellStyle name="Lien hypertexte visité" xfId="7451" builtinId="9" hidden="1"/>
    <cellStyle name="Lien hypertexte visité" xfId="4699" builtinId="9" hidden="1"/>
    <cellStyle name="Lien hypertexte visité" xfId="1973" builtinId="9" hidden="1"/>
    <cellStyle name="Lien hypertexte visité" xfId="1897" builtinId="9" hidden="1"/>
    <cellStyle name="Lien hypertexte visité" xfId="4655" builtinId="9" hidden="1"/>
    <cellStyle name="Lien hypertexte visité" xfId="7375" builtinId="9" hidden="1"/>
    <cellStyle name="Lien hypertexte visité" xfId="999" builtinId="9" hidden="1"/>
    <cellStyle name="Lien hypertexte visité" xfId="2922" builtinId="9" hidden="1"/>
    <cellStyle name="Lien hypertexte visité" xfId="4736" builtinId="9" hidden="1"/>
    <cellStyle name="Lien hypertexte visité" xfId="6552" builtinId="9" hidden="1"/>
    <cellStyle name="Lien hypertexte visité" xfId="8385" builtinId="9" hidden="1"/>
    <cellStyle name="Lien hypertexte visité" xfId="10201" builtinId="9" hidden="1"/>
    <cellStyle name="Lien hypertexte visité" xfId="12017" builtinId="9" hidden="1"/>
    <cellStyle name="Lien hypertexte visité" xfId="13849" builtinId="9" hidden="1"/>
    <cellStyle name="Lien hypertexte visité" xfId="16815" builtinId="9" hidden="1"/>
    <cellStyle name="Lien hypertexte visité" xfId="20414" builtinId="9" hidden="1"/>
    <cellStyle name="Lien hypertexte visité" xfId="24094" builtinId="9" hidden="1"/>
    <cellStyle name="Lien hypertexte visité" xfId="21516" builtinId="9" hidden="1"/>
    <cellStyle name="Lien hypertexte visité" xfId="17901" builtinId="9" hidden="1"/>
    <cellStyle name="Lien hypertexte visité" xfId="14376" builtinId="9" hidden="1"/>
    <cellStyle name="Lien hypertexte visité" xfId="12560" builtinId="9" hidden="1"/>
    <cellStyle name="Lien hypertexte visité" xfId="10744" builtinId="9" hidden="1"/>
    <cellStyle name="Lien hypertexte visité" xfId="8912" builtinId="9" hidden="1"/>
    <cellStyle name="Lien hypertexte visité" xfId="14112" builtinId="9" hidden="1"/>
    <cellStyle name="Lien hypertexte visité" xfId="24572" builtinId="9" hidden="1"/>
    <cellStyle name="Lien hypertexte visité" xfId="14089" builtinId="9" hidden="1"/>
    <cellStyle name="Lien hypertexte visité" xfId="8649" builtinId="9" hidden="1"/>
    <cellStyle name="Lien hypertexte visité" xfId="17375" builtinId="9" hidden="1"/>
    <cellStyle name="Lien hypertexte visité" xfId="9528" builtinId="9" hidden="1"/>
    <cellStyle name="Lien hypertexte visité" xfId="15469" builtinId="9" hidden="1"/>
    <cellStyle name="Lien hypertexte visité" xfId="22846" builtinId="9" hidden="1"/>
    <cellStyle name="Lien hypertexte visité" xfId="13233" builtinId="9" hidden="1"/>
    <cellStyle name="Lien hypertexte visité" xfId="7768" builtinId="9" hidden="1"/>
    <cellStyle name="Lien hypertexte visité" xfId="2298" builtinId="9" hidden="1"/>
    <cellStyle name="Lien hypertexte visité" xfId="3730" builtinId="9" hidden="1"/>
    <cellStyle name="Lien hypertexte visité" xfId="5627" builtinId="9" hidden="1"/>
    <cellStyle name="Lien hypertexte visité" xfId="13820" builtinId="9" hidden="1"/>
    <cellStyle name="Lien hypertexte visité" xfId="19734" builtinId="9" hidden="1"/>
    <cellStyle name="Lien hypertexte visité" xfId="8941" builtinId="9" hidden="1"/>
    <cellStyle name="Lien hypertexte visité" xfId="319" builtinId="9" hidden="1"/>
    <cellStyle name="Lien hypertexte visité" xfId="8607" builtinId="9" hidden="1"/>
    <cellStyle name="Lien hypertexte visité" xfId="8806" builtinId="9" hidden="1"/>
    <cellStyle name="Lien hypertexte visité" xfId="6033" builtinId="9" hidden="1"/>
    <cellStyle name="Lien hypertexte visité" xfId="4697" builtinId="9" hidden="1"/>
    <cellStyle name="Lien hypertexte visité" xfId="10250" builtinId="9" hidden="1"/>
    <cellStyle name="Lien hypertexte visité" xfId="15329" builtinId="9" hidden="1"/>
    <cellStyle name="Lien hypertexte visité" xfId="24570" builtinId="9" hidden="1"/>
    <cellStyle name="Lien hypertexte visité" xfId="18003" builtinId="9" hidden="1"/>
    <cellStyle name="Lien hypertexte visité" xfId="21098" builtinId="9" hidden="1"/>
    <cellStyle name="Lien hypertexte visité" xfId="24210" builtinId="9" hidden="1"/>
    <cellStyle name="Lien hypertexte visité" xfId="21896" builtinId="9" hidden="1"/>
    <cellStyle name="Lien hypertexte visité" xfId="18744" builtinId="9" hidden="1"/>
    <cellStyle name="Lien hypertexte visité" xfId="15641" builtinId="9" hidden="1"/>
    <cellStyle name="Lien hypertexte visité" xfId="13522" builtinId="9" hidden="1"/>
    <cellStyle name="Lien hypertexte visité" xfId="11966" builtinId="9" hidden="1"/>
    <cellStyle name="Lien hypertexte visité" xfId="10406" builtinId="9" hidden="1"/>
    <cellStyle name="Lien hypertexte visité" xfId="12050" builtinId="9" hidden="1"/>
    <cellStyle name="Lien hypertexte visité" xfId="17827" builtinId="9" hidden="1"/>
    <cellStyle name="Lien hypertexte visité" xfId="3415" builtinId="9" hidden="1"/>
    <cellStyle name="Lien hypertexte visité" xfId="1951" builtinId="9" hidden="1"/>
    <cellStyle name="Lien hypertexte visité" xfId="585" builtinId="9" hidden="1"/>
    <cellStyle name="Lien hypertexte visité" xfId="1759" builtinId="9" hidden="1"/>
    <cellStyle name="Lien hypertexte visité" xfId="3195" builtinId="9" hidden="1"/>
    <cellStyle name="Lien hypertexte visité" xfId="5193" builtinId="9" hidden="1"/>
    <cellStyle name="Lien hypertexte visité" xfId="7405" builtinId="9" hidden="1"/>
    <cellStyle name="Lien hypertexte visité" xfId="6925" builtinId="9" hidden="1"/>
    <cellStyle name="Lien hypertexte visité" xfId="8130" builtinId="9" hidden="1"/>
    <cellStyle name="Lien hypertexte visité" xfId="2679" builtinId="9" hidden="1"/>
    <cellStyle name="Lien hypertexte visité" xfId="5185" builtinId="9" hidden="1"/>
    <cellStyle name="Lien hypertexte visité" xfId="5405" builtinId="9" hidden="1"/>
    <cellStyle name="Lien hypertexte visité" xfId="8666" builtinId="9" hidden="1"/>
    <cellStyle name="Lien hypertexte visité" xfId="9498" builtinId="9" hidden="1"/>
    <cellStyle name="Lien hypertexte visité" xfId="6137" builtinId="9" hidden="1"/>
    <cellStyle name="Lien hypertexte visité" xfId="4949" builtinId="9" hidden="1"/>
    <cellStyle name="Lien hypertexte visité" xfId="2459" builtinId="9" hidden="1"/>
    <cellStyle name="Lien hypertexte visité" xfId="7894" builtinId="9" hidden="1"/>
    <cellStyle name="Lien hypertexte visité" xfId="6685" builtinId="9" hidden="1"/>
    <cellStyle name="Lien hypertexte visité" xfId="7661" builtinId="9" hidden="1"/>
    <cellStyle name="Lien hypertexte visité" xfId="2275" builtinId="9" hidden="1"/>
    <cellStyle name="Lien hypertexte visité" xfId="3435" builtinId="9" hidden="1"/>
    <cellStyle name="Lien hypertexte visité" xfId="1971" builtinId="9" hidden="1"/>
    <cellStyle name="Lien hypertexte visité" xfId="513" builtinId="9" hidden="1"/>
    <cellStyle name="Lien hypertexte visité" xfId="1719" builtinId="9" hidden="1"/>
    <cellStyle name="Lien hypertexte visité" xfId="6873" builtinId="9" hidden="1"/>
    <cellStyle name="Lien hypertexte visité" xfId="22250" builtinId="9" hidden="1"/>
    <cellStyle name="Lien hypertexte visité" xfId="9830" builtinId="9" hidden="1"/>
    <cellStyle name="Lien hypertexte visité" xfId="10726" builtinId="9" hidden="1"/>
    <cellStyle name="Lien hypertexte visité" xfId="12286" builtinId="9" hidden="1"/>
    <cellStyle name="Lien hypertexte visité" xfId="13842" builtinId="9" hidden="1"/>
    <cellStyle name="Lien hypertexte visité" xfId="16281" builtinId="9" hidden="1"/>
    <cellStyle name="Lien hypertexte visité" xfId="19384" builtinId="9" hidden="1"/>
    <cellStyle name="Lien hypertexte visité" xfId="22496" builtinId="9" hidden="1"/>
    <cellStyle name="Lien hypertexte visité" xfId="23570" builtinId="9" hidden="1"/>
    <cellStyle name="Lien hypertexte visité" xfId="20458" builtinId="9" hidden="1"/>
    <cellStyle name="Lien hypertexte visité" xfId="17363" builtinId="9" hidden="1"/>
    <cellStyle name="Lien hypertexte visité" xfId="22736" builtinId="9" hidden="1"/>
    <cellStyle name="Lien hypertexte visité" xfId="13962" builtinId="9" hidden="1"/>
    <cellStyle name="Lien hypertexte visité" xfId="9290" builtinId="9" hidden="1"/>
    <cellStyle name="Lien hypertexte visité" xfId="4953" builtinId="9" hidden="1"/>
    <cellStyle name="Lien hypertexte visité" xfId="6305" builtinId="9" hidden="1"/>
    <cellStyle name="Lien hypertexte visité" xfId="15755" builtinId="9" hidden="1"/>
    <cellStyle name="Lien hypertexte visité" xfId="6942" builtinId="9" hidden="1"/>
    <cellStyle name="Lien hypertexte visité" xfId="2406" builtinId="9" hidden="1"/>
    <cellStyle name="Lien hypertexte visité" xfId="13253" builtinId="9" hidden="1"/>
    <cellStyle name="Lien hypertexte visité" xfId="15575" builtinId="9" hidden="1"/>
    <cellStyle name="Lien hypertexte visité" xfId="10938" builtinId="9" hidden="1"/>
    <cellStyle name="Lien hypertexte visité" xfId="4685" builtinId="9" hidden="1"/>
    <cellStyle name="Lien hypertexte visité" xfId="6221" builtinId="9" hidden="1"/>
    <cellStyle name="Lien hypertexte visité" xfId="7830" builtinId="9" hidden="1"/>
    <cellStyle name="Lien hypertexte visité" xfId="2707" builtinId="9" hidden="1"/>
    <cellStyle name="Lien hypertexte visité" xfId="1531" builtinId="9" hidden="1"/>
    <cellStyle name="Lien hypertexte visité" xfId="257" builtinId="9" hidden="1"/>
    <cellStyle name="Lien hypertexte visité" xfId="1583" builtinId="9" hidden="1"/>
    <cellStyle name="Lien hypertexte visité" xfId="2763" builtinId="9" hidden="1"/>
    <cellStyle name="Lien hypertexte visité" xfId="7814" builtinId="9" hidden="1"/>
    <cellStyle name="Lien hypertexte visité" xfId="6277" builtinId="9" hidden="1"/>
    <cellStyle name="Lien hypertexte visité" xfId="4741" builtinId="9" hidden="1"/>
    <cellStyle name="Lien hypertexte visité" xfId="10986" builtinId="9" hidden="1"/>
    <cellStyle name="Lien hypertexte visité" xfId="18209" builtinId="9" hidden="1"/>
    <cellStyle name="Lien hypertexte visité" xfId="20282" builtinId="9" hidden="1"/>
    <cellStyle name="Lien hypertexte visité" xfId="20050" builtinId="9" hidden="1"/>
    <cellStyle name="Lien hypertexte visité" xfId="23634" builtinId="9" hidden="1"/>
    <cellStyle name="Lien hypertexte visité" xfId="22008" builtinId="9" hidden="1"/>
    <cellStyle name="Lien hypertexte visité" xfId="18265" builtinId="9" hidden="1"/>
    <cellStyle name="Lien hypertexte visité" xfId="14681" builtinId="9" hidden="1"/>
    <cellStyle name="Lien hypertexte visité" xfId="12806" builtinId="9" hidden="1"/>
    <cellStyle name="Lien hypertexte visité" xfId="10930" builtinId="9" hidden="1"/>
    <cellStyle name="Lien hypertexte visité" xfId="9138" builtinId="9" hidden="1"/>
    <cellStyle name="Lien hypertexte visité" xfId="14699" builtinId="9" hidden="1"/>
    <cellStyle name="Lien hypertexte visité" xfId="11791" builtinId="9" hidden="1"/>
    <cellStyle name="Lien hypertexte visité" xfId="9103" builtinId="9" hidden="1"/>
    <cellStyle name="Lien hypertexte visité" xfId="6414" builtinId="9" hidden="1"/>
    <cellStyle name="Lien hypertexte visité" xfId="3593" builtinId="9" hidden="1"/>
    <cellStyle name="Lien hypertexte visité" xfId="643" builtinId="9" hidden="1"/>
    <cellStyle name="Lien hypertexte visité" xfId="2934" builtinId="9" hidden="1"/>
    <cellStyle name="Lien hypertexte visité" xfId="5756" builtinId="9" hidden="1"/>
    <cellStyle name="Lien hypertexte visité" xfId="8445" builtinId="9" hidden="1"/>
    <cellStyle name="Lien hypertexte visité" xfId="11133" builtinId="9" hidden="1"/>
    <cellStyle name="Lien hypertexte visité" xfId="13949" builtinId="9" hidden="1"/>
    <cellStyle name="Lien hypertexte visité" xfId="18742" builtinId="9" hidden="1"/>
    <cellStyle name="Lien hypertexte visité" xfId="24118" builtinId="9" hidden="1"/>
    <cellStyle name="Lien hypertexte visité" xfId="19476" builtinId="9" hidden="1"/>
    <cellStyle name="Lien hypertexte visité" xfId="14316" builtinId="9" hidden="1"/>
    <cellStyle name="Lien hypertexte visité" xfId="11628" builtinId="9" hidden="1"/>
    <cellStyle name="Lien hypertexte visité" xfId="8812" builtinId="9" hidden="1"/>
    <cellStyle name="Lien hypertexte visité" xfId="6123" builtinId="9" hidden="1"/>
    <cellStyle name="Lien hypertexte visité" xfId="3429" builtinId="9" hidden="1"/>
    <cellStyle name="Lien hypertexte visité" xfId="133" builtinId="9" hidden="1"/>
    <cellStyle name="Lien hypertexte visité" xfId="3225" builtinId="9" hidden="1"/>
    <cellStyle name="Lien hypertexte visité" xfId="5919" builtinId="9" hidden="1"/>
    <cellStyle name="Lien hypertexte visité" xfId="8736" builtinId="9" hidden="1"/>
    <cellStyle name="Lien hypertexte visité" xfId="1970" builtinId="9" hidden="1"/>
    <cellStyle name="Lien hypertexte visité" xfId="3771" builtinId="9" hidden="1"/>
    <cellStyle name="Lien hypertexte visité" xfId="5648" builtinId="9" hidden="1"/>
    <cellStyle name="Lien hypertexte visité" xfId="7440" builtinId="9" hidden="1"/>
    <cellStyle name="Lien hypertexte visité" xfId="9233" builtinId="9" hidden="1"/>
    <cellStyle name="Lien hypertexte visité" xfId="11105" builtinId="9" hidden="1"/>
    <cellStyle name="Lien hypertexte visité" xfId="12897" builtinId="9" hidden="1"/>
    <cellStyle name="Lien hypertexte visité" xfId="14863" builtinId="9" hidden="1"/>
    <cellStyle name="Lien hypertexte visité" xfId="18606" builtinId="9" hidden="1"/>
    <cellStyle name="Lien hypertexte visité" xfId="22190" builtinId="9" hidden="1"/>
    <cellStyle name="Lien hypertexte visité" xfId="23452" builtinId="9" hidden="1"/>
    <cellStyle name="Lien hypertexte visité" xfId="19692" builtinId="9" hidden="1"/>
    <cellStyle name="Lien hypertexte visité" xfId="16125" builtinId="9" hidden="1"/>
    <cellStyle name="Lien hypertexte visité" xfId="13528" builtinId="9" hidden="1"/>
    <cellStyle name="Lien hypertexte visité" xfId="11656" builtinId="9" hidden="1"/>
    <cellStyle name="Lien hypertexte visité" xfId="9864" builtinId="9" hidden="1"/>
    <cellStyle name="Lien hypertexte visité" xfId="11200" builtinId="9" hidden="1"/>
    <cellStyle name="Lien hypertexte visité" xfId="19132" builtinId="9" hidden="1"/>
    <cellStyle name="Lien hypertexte visité" xfId="19342" builtinId="9" hidden="1"/>
    <cellStyle name="Lien hypertexte visité" xfId="11561" builtinId="9" hidden="1"/>
    <cellStyle name="Lien hypertexte visité" xfId="5928" builtinId="9" hidden="1"/>
    <cellStyle name="Lien hypertexte visité" xfId="103" builtinId="9" hidden="1"/>
    <cellStyle name="Lien hypertexte visité" xfId="8027" builtinId="9" hidden="1"/>
    <cellStyle name="Lien hypertexte visité" xfId="6418" builtinId="9" hidden="1"/>
    <cellStyle name="Lien hypertexte visité" xfId="4882" builtinId="9" hidden="1"/>
    <cellStyle name="Lien hypertexte visité" xfId="3340" builtinId="9" hidden="1"/>
    <cellStyle name="Lien hypertexte visité" xfId="1732" builtinId="9" hidden="1"/>
    <cellStyle name="Lien hypertexte visité" xfId="5794" builtinId="9" hidden="1"/>
    <cellStyle name="Lien hypertexte visité" xfId="11971" builtinId="9" hidden="1"/>
    <cellStyle name="Lien hypertexte visité" xfId="10467" builtinId="9" hidden="1"/>
    <cellStyle name="Lien hypertexte visité" xfId="14251" builtinId="9" hidden="1"/>
    <cellStyle name="Lien hypertexte visité" xfId="14371" builtinId="9" hidden="1"/>
    <cellStyle name="Lien hypertexte visité" xfId="17139" builtinId="9" hidden="1"/>
    <cellStyle name="Lien hypertexte visité" xfId="15587" builtinId="9" hidden="1"/>
    <cellStyle name="Lien hypertexte visité" xfId="14091" builtinId="9" hidden="1"/>
    <cellStyle name="Lien hypertexte visité" xfId="10371" builtinId="9" hidden="1"/>
    <cellStyle name="Lien hypertexte visité" xfId="11803" builtinId="9" hidden="1"/>
    <cellStyle name="Lien hypertexte visité" xfId="7010" builtinId="9" hidden="1"/>
    <cellStyle name="Lien hypertexte visité" xfId="1636" builtinId="9" hidden="1"/>
    <cellStyle name="Lien hypertexte visité" xfId="3172" builtinId="9" hidden="1"/>
    <cellStyle name="Lien hypertexte visité" xfId="4714" builtinId="9" hidden="1"/>
    <cellStyle name="Lien hypertexte visité" xfId="6322" builtinId="9" hidden="1"/>
    <cellStyle name="Lien hypertexte visité" xfId="7859" builtinId="9" hidden="1"/>
    <cellStyle name="Lien hypertexte visité" xfId="9395" builtinId="9" hidden="1"/>
    <cellStyle name="Lien hypertexte visité" xfId="5576" builtinId="9" hidden="1"/>
    <cellStyle name="Lien hypertexte visité" xfId="8230" builtinId="9" hidden="1"/>
    <cellStyle name="Lien hypertexte visité" xfId="14143" builtinId="9" hidden="1"/>
    <cellStyle name="Lien hypertexte visité" xfId="12255" builtinId="9" hidden="1"/>
    <cellStyle name="Lien hypertexte visité" xfId="10463" builtinId="9" hidden="1"/>
    <cellStyle name="Lien hypertexte visité" xfId="8671" builtinId="9" hidden="1"/>
    <cellStyle name="Lien hypertexte visité" xfId="6782" builtinId="9" hidden="1"/>
    <cellStyle name="Lien hypertexte visité" xfId="4990" builtinId="9" hidden="1"/>
    <cellStyle name="Lien hypertexte visité" xfId="3192" builtinId="9" hidden="1"/>
    <cellStyle name="Lien hypertexte visité" xfId="1335" builtinId="9" hidden="1"/>
    <cellStyle name="Lien hypertexte visité" xfId="1606" builtinId="9" hidden="1"/>
    <cellStyle name="Lien hypertexte visité" xfId="3398" builtinId="9" hidden="1"/>
    <cellStyle name="Lien hypertexte visité" xfId="5292" builtinId="9" hidden="1"/>
    <cellStyle name="Lien hypertexte visité" xfId="7084" builtinId="9" hidden="1"/>
    <cellStyle name="Lien hypertexte visité" xfId="8877" builtinId="9" hidden="1"/>
    <cellStyle name="Lien hypertexte visité" xfId="10765" builtinId="9" hidden="1"/>
    <cellStyle name="Lien hypertexte visité" xfId="12557" builtinId="9" hidden="1"/>
    <cellStyle name="Lien hypertexte visité" xfId="14349" builtinId="9" hidden="1"/>
    <cellStyle name="Lien hypertexte visité" xfId="17895" builtinId="9" hidden="1"/>
    <cellStyle name="Lien hypertexte visité" xfId="21462" builtinId="9" hidden="1"/>
    <cellStyle name="Lien hypertexte visité" xfId="24180" builtinId="9" hidden="1"/>
    <cellStyle name="Lien hypertexte visité" xfId="20404" builtinId="9" hidden="1"/>
    <cellStyle name="Lien hypertexte visité" xfId="16837" builtinId="9" hidden="1"/>
    <cellStyle name="Lien hypertexte visité" xfId="13884" builtinId="9" hidden="1"/>
    <cellStyle name="Lien hypertexte visité" xfId="11996" builtinId="9" hidden="1"/>
    <cellStyle name="Lien hypertexte visité" xfId="10204" builtinId="9" hidden="1"/>
    <cellStyle name="Lien hypertexte visité" xfId="8412" builtinId="9" hidden="1"/>
    <cellStyle name="Lien hypertexte visité" xfId="6555" builtinId="9" hidden="1"/>
    <cellStyle name="Lien hypertexte visité" xfId="4763" builtinId="9" hidden="1"/>
    <cellStyle name="Lien hypertexte visité" xfId="2965" builtinId="9" hidden="1"/>
    <cellStyle name="Lien hypertexte visité" xfId="989" builtinId="9" hidden="1"/>
    <cellStyle name="Lien hypertexte visité" xfId="1865" builtinId="9" hidden="1"/>
    <cellStyle name="Lien hypertexte visité" xfId="3660" builtinId="9" hidden="1"/>
    <cellStyle name="Lien hypertexte visité" xfId="5551" builtinId="9" hidden="1"/>
    <cellStyle name="Lien hypertexte visité" xfId="7343" builtinId="9" hidden="1"/>
    <cellStyle name="Lien hypertexte visité" xfId="251" builtinId="9" hidden="1"/>
    <cellStyle name="Lien hypertexte visité" xfId="1682" builtinId="9" hidden="1"/>
    <cellStyle name="Lien hypertexte visité" xfId="2874" builtinId="9" hidden="1"/>
    <cellStyle name="Lien hypertexte visité" xfId="4080" builtinId="9" hidden="1"/>
    <cellStyle name="Lien hypertexte visité" xfId="5336" builtinId="9" hidden="1"/>
    <cellStyle name="Lien hypertexte visité" xfId="6528" builtinId="9" hidden="1"/>
    <cellStyle name="Lien hypertexte visité" xfId="7728" builtinId="9" hidden="1"/>
    <cellStyle name="Lien hypertexte visité" xfId="8985" builtinId="9" hidden="1"/>
    <cellStyle name="Lien hypertexte visité" xfId="10177" builtinId="9" hidden="1"/>
    <cellStyle name="Lien hypertexte visité" xfId="11377" builtinId="9" hidden="1"/>
    <cellStyle name="Lien hypertexte visité" xfId="12609" builtinId="9" hidden="1"/>
    <cellStyle name="Lien hypertexte visité" xfId="13809" builtinId="9" hidden="1"/>
    <cellStyle name="Lien hypertexte visité" xfId="15487" builtinId="9" hidden="1"/>
    <cellStyle name="Lien hypertexte visité" xfId="17999" builtinId="9" hidden="1"/>
    <cellStyle name="Lien hypertexte visité" xfId="20382" builtinId="9" hidden="1"/>
    <cellStyle name="Lien hypertexte visité" xfId="22766" builtinId="9" hidden="1"/>
    <cellStyle name="Lien hypertexte visité" xfId="23948" builtinId="9" hidden="1"/>
    <cellStyle name="Lien hypertexte visité" xfId="21548" builtinId="9" hidden="1"/>
    <cellStyle name="Lien hypertexte visité" xfId="19164" builtinId="9" hidden="1"/>
    <cellStyle name="Lien hypertexte visité" xfId="16701" builtinId="9" hidden="1"/>
    <cellStyle name="Lien hypertexte visité" xfId="14416" builtinId="9" hidden="1"/>
    <cellStyle name="Lien hypertexte visité" xfId="13224" builtinId="9" hidden="1"/>
    <cellStyle name="Lien hypertexte visité" xfId="11960" builtinId="9" hidden="1"/>
    <cellStyle name="Lien hypertexte visité" xfId="10768" builtinId="9" hidden="1"/>
    <cellStyle name="Lien hypertexte visité" xfId="9576" builtinId="9" hidden="1"/>
    <cellStyle name="Lien hypertexte visité" xfId="10464" builtinId="9" hidden="1"/>
    <cellStyle name="Lien hypertexte visité" xfId="14048" builtinId="9" hidden="1"/>
    <cellStyle name="Lien hypertexte visité" xfId="20732" builtinId="9" hidden="1"/>
    <cellStyle name="Lien hypertexte visité" xfId="21070" builtinId="9" hidden="1"/>
    <cellStyle name="Lien hypertexte visité" xfId="14217" builtinId="9" hidden="1"/>
    <cellStyle name="Lien hypertexte visité" xfId="10633" builtinId="9" hidden="1"/>
    <cellStyle name="Lien hypertexte visité" xfId="6856" builtinId="9" hidden="1"/>
    <cellStyle name="Lien hypertexte visité" xfId="16863" builtinId="9" hidden="1"/>
    <cellStyle name="Lien hypertexte visité" xfId="12704" builtinId="9" hidden="1"/>
    <cellStyle name="Lien hypertexte visité" xfId="11320" builtinId="9" hidden="1"/>
    <cellStyle name="Lien hypertexte visité" xfId="15293" builtinId="9" hidden="1"/>
    <cellStyle name="Lien hypertexte visité" xfId="22444" builtinId="9" hidden="1"/>
    <cellStyle name="Lien hypertexte visité" xfId="19262" builtinId="9" hidden="1"/>
    <cellStyle name="Lien hypertexte visité" xfId="13313" builtinId="9" hidden="1"/>
    <cellStyle name="Lien hypertexte visité" xfId="9729" builtinId="9" hidden="1"/>
    <cellStyle name="Lien hypertexte visité" xfId="5976" builtinId="9" hidden="1"/>
    <cellStyle name="Lien hypertexte visité" xfId="2386" builtinId="9" hidden="1"/>
    <cellStyle name="Lien hypertexte visité" xfId="6671" builtinId="9" hidden="1"/>
    <cellStyle name="Lien hypertexte visité" xfId="901" builtinId="9" hidden="1"/>
    <cellStyle name="Lien hypertexte visité" xfId="5499" builtinId="9" hidden="1"/>
    <cellStyle name="Lien hypertexte visité" xfId="10876" builtinId="9" hidden="1"/>
    <cellStyle name="Lien hypertexte visité" xfId="18484" builtinId="9" hidden="1"/>
    <cellStyle name="Lien hypertexte visité" xfId="19990" builtinId="9" hidden="1"/>
    <cellStyle name="Lien hypertexte visité" xfId="11885" builtinId="9" hidden="1"/>
    <cellStyle name="Lien hypertexte visité" xfId="13677" builtinId="9" hidden="1"/>
    <cellStyle name="Lien hypertexte visité" xfId="9084" builtinId="9" hidden="1"/>
    <cellStyle name="Lien hypertexte visité" xfId="8464" builtinId="9" hidden="1"/>
    <cellStyle name="Lien hypertexte visité" xfId="10929" builtinId="9" hidden="1"/>
    <cellStyle name="Lien hypertexte visité" xfId="20060" builtinId="9" hidden="1"/>
    <cellStyle name="Lien hypertexte visité" xfId="18061" builtinId="9" hidden="1"/>
    <cellStyle name="Lien hypertexte visité" xfId="11785" builtinId="9" hidden="1"/>
    <cellStyle name="Lien hypertexte visité" xfId="18313" builtinId="9" hidden="1"/>
    <cellStyle name="Lien hypertexte visité" xfId="9976" builtinId="9" hidden="1"/>
    <cellStyle name="Lien hypertexte visité" xfId="13608" builtinId="9" hidden="1"/>
    <cellStyle name="Lien hypertexte visité" xfId="19980" builtinId="9" hidden="1"/>
    <cellStyle name="Lien hypertexte visité" xfId="21950" builtinId="9" hidden="1"/>
    <cellStyle name="Lien hypertexte visité" xfId="14719" builtinId="9" hidden="1"/>
    <cellStyle name="Lien hypertexte visité" xfId="10969" builtinId="9" hidden="1"/>
    <cellStyle name="Lien hypertexte visité" xfId="7320" builtinId="9" hidden="1"/>
    <cellStyle name="Lien hypertexte visité" xfId="3699" builtinId="9" hidden="1"/>
    <cellStyle name="Lien hypertexte visité" xfId="8528" builtinId="9" hidden="1"/>
    <cellStyle name="Lien hypertexte visité" xfId="3049" builtinId="9" hidden="1"/>
    <cellStyle name="Lien hypertexte visité" xfId="3541" builtinId="9" hidden="1"/>
    <cellStyle name="Lien hypertexte visité" xfId="9020" builtinId="9" hidden="1"/>
    <cellStyle name="Lien hypertexte visité" xfId="14492" builtinId="9" hidden="1"/>
    <cellStyle name="Lien hypertexte visité" xfId="23894" builtinId="9" hidden="1"/>
    <cellStyle name="Lien hypertexte visité" xfId="13741" builtinId="9" hidden="1"/>
    <cellStyle name="Lien hypertexte visité" xfId="8269" builtinId="9" hidden="1"/>
    <cellStyle name="Lien hypertexte visité" xfId="2822" builtinId="9" hidden="1"/>
    <cellStyle name="Lien hypertexte visité" xfId="3809" builtinId="9" hidden="1"/>
    <cellStyle name="Lien hypertexte visité" xfId="9279" builtinId="9" hidden="1"/>
    <cellStyle name="Lien hypertexte visité" xfId="14923" builtinId="9" hidden="1"/>
    <cellStyle name="Lien hypertexte visité" xfId="8883" builtinId="9" hidden="1"/>
    <cellStyle name="Lien hypertexte visité" xfId="4202" builtinId="9" hidden="1"/>
    <cellStyle name="Lien hypertexte visité" xfId="12763" builtinId="9" hidden="1"/>
    <cellStyle name="Lien hypertexte visité" xfId="13635" builtinId="9" hidden="1"/>
    <cellStyle name="Lien hypertexte visité" xfId="13323" builtinId="9" hidden="1"/>
    <cellStyle name="Lien hypertexte visité" xfId="12443" builtinId="9" hidden="1"/>
    <cellStyle name="Lien hypertexte visité" xfId="3861" builtinId="9" hidden="1"/>
    <cellStyle name="Lien hypertexte visité" xfId="8539" builtinId="9" hidden="1"/>
    <cellStyle name="Lien hypertexte visité" xfId="13353" builtinId="9" hidden="1"/>
    <cellStyle name="Lien hypertexte visité" xfId="9408" builtinId="9" hidden="1"/>
    <cellStyle name="Lien hypertexte visité" xfId="14128" builtinId="9" hidden="1"/>
    <cellStyle name="Lien hypertexte visité" xfId="24574" builtinId="9" hidden="1"/>
    <cellStyle name="Lien hypertexte visité" xfId="14097" builtinId="9" hidden="1"/>
    <cellStyle name="Lien hypertexte visité" xfId="8633" builtinId="9" hidden="1"/>
    <cellStyle name="Lien hypertexte visité" xfId="3162" builtinId="9" hidden="1"/>
    <cellStyle name="Lien hypertexte visité" xfId="5023" builtinId="9" hidden="1"/>
    <cellStyle name="Lien hypertexte visité" xfId="4331" builtinId="9" hidden="1"/>
    <cellStyle name="Lien hypertexte visité" xfId="12524" builtinId="9" hidden="1"/>
    <cellStyle name="Lien hypertexte visité" xfId="22326" builtinId="9" hidden="1"/>
    <cellStyle name="Lien hypertexte visité" xfId="10237" builtinId="9" hidden="1"/>
    <cellStyle name="Lien hypertexte visité" xfId="2038" builtinId="9" hidden="1"/>
    <cellStyle name="Lien hypertexte visité" xfId="7310" builtinId="9" hidden="1"/>
    <cellStyle name="Lien hypertexte visité" xfId="16491" builtinId="9" hidden="1"/>
    <cellStyle name="Lien hypertexte visité" xfId="13406" builtinId="9" hidden="1"/>
    <cellStyle name="Lien hypertexte visité" xfId="23200" builtinId="9" hidden="1"/>
    <cellStyle name="Lien hypertexte visité" xfId="23866" builtinId="9" hidden="1"/>
    <cellStyle name="Lien hypertexte visité" xfId="5253" builtinId="9" hidden="1"/>
    <cellStyle name="Lien hypertexte visité" xfId="3239" builtinId="9" hidden="1"/>
    <cellStyle name="Lien hypertexte visité" xfId="3669" builtinId="9" hidden="1"/>
    <cellStyle name="Lien hypertexte visité" xfId="5709" builtinId="9" hidden="1"/>
    <cellStyle name="Lien hypertexte visité" xfId="14453" builtinId="9" hidden="1"/>
    <cellStyle name="Lien hypertexte visité" xfId="20708" builtinId="9" hidden="1"/>
    <cellStyle name="Lien hypertexte visité" xfId="17941" builtinId="9" hidden="1"/>
    <cellStyle name="Lien hypertexte visité" xfId="15317" builtinId="9" hidden="1"/>
    <cellStyle name="Lien hypertexte visité" xfId="13604" builtinId="9" hidden="1"/>
    <cellStyle name="Lien hypertexte visité" xfId="12212" builtinId="9" hidden="1"/>
    <cellStyle name="Lien hypertexte visité" xfId="10900" builtinId="9" hidden="1"/>
    <cellStyle name="Lien hypertexte visité" xfId="9572" builtinId="9" hidden="1"/>
    <cellStyle name="Lien hypertexte visité" xfId="8260" builtinId="9" hidden="1"/>
    <cellStyle name="Lien hypertexte visité" xfId="6867" builtinId="9" hidden="1"/>
    <cellStyle name="Lien hypertexte visité" xfId="5555" builtinId="9" hidden="1"/>
    <cellStyle name="Lien hypertexte visité" xfId="13541" builtinId="9" hidden="1"/>
    <cellStyle name="Lien hypertexte visité" xfId="8677" builtinId="9" hidden="1"/>
    <cellStyle name="Lien hypertexte visité" xfId="4068" builtinId="9" hidden="1"/>
    <cellStyle name="Lien hypertexte visité" xfId="1696" builtinId="9" hidden="1"/>
    <cellStyle name="Lien hypertexte visité" xfId="6310" builtinId="9" hidden="1"/>
    <cellStyle name="Lien hypertexte visité" xfId="11175" builtinId="9" hidden="1"/>
    <cellStyle name="Lien hypertexte visité" xfId="17051" builtinId="9" hidden="1"/>
    <cellStyle name="Lien hypertexte visité" xfId="11202" builtinId="9" hidden="1"/>
    <cellStyle name="Lien hypertexte visité" xfId="14446" builtinId="9" hidden="1"/>
    <cellStyle name="Lien hypertexte visité" xfId="20504" builtinId="9" hidden="1"/>
    <cellStyle name="Lien hypertexte visité" xfId="22578" builtinId="9" hidden="1"/>
    <cellStyle name="Lien hypertexte visité" xfId="19866" builtinId="9" hidden="1"/>
    <cellStyle name="Lien hypertexte visité" xfId="12218" builtinId="9" hidden="1"/>
    <cellStyle name="Lien hypertexte visité" xfId="14042" builtinId="9" hidden="1"/>
    <cellStyle name="Lien hypertexte visité" xfId="19696" builtinId="9" hidden="1"/>
    <cellStyle name="Lien hypertexte visité" xfId="23066" builtinId="9" hidden="1"/>
    <cellStyle name="Lien hypertexte visité" xfId="17435" builtinId="9" hidden="1"/>
    <cellStyle name="Lien hypertexte visité" xfId="19466" builtinId="9" hidden="1"/>
    <cellStyle name="Lien hypertexte visité" xfId="21514" builtinId="9" hidden="1"/>
    <cellStyle name="Lien hypertexte visité" xfId="23666" builtinId="9" hidden="1"/>
    <cellStyle name="Lien hypertexte visité" xfId="23512" builtinId="9" hidden="1"/>
    <cellStyle name="Lien hypertexte visité" xfId="21464" builtinId="9" hidden="1"/>
    <cellStyle name="Lien hypertexte visité" xfId="19288" builtinId="9" hidden="1"/>
    <cellStyle name="Lien hypertexte visité" xfId="17257" builtinId="9" hidden="1"/>
    <cellStyle name="Lien hypertexte visité" xfId="15209" builtinId="9" hidden="1"/>
    <cellStyle name="Lien hypertexte visité" xfId="13838" builtinId="9" hidden="1"/>
    <cellStyle name="Lien hypertexte visité" xfId="12758" builtinId="9" hidden="1"/>
    <cellStyle name="Lien hypertexte visité" xfId="11734" builtinId="9" hidden="1"/>
    <cellStyle name="Lien hypertexte visité" xfId="10710" builtinId="9" hidden="1"/>
    <cellStyle name="Lien hypertexte visité" xfId="9634" builtinId="9" hidden="1"/>
    <cellStyle name="Lien hypertexte visité" xfId="8610" builtinId="9" hidden="1"/>
    <cellStyle name="Lien hypertexte visité" xfId="15419" builtinId="9" hidden="1"/>
    <cellStyle name="Lien hypertexte visité" xfId="13431" builtinId="9" hidden="1"/>
    <cellStyle name="Lien hypertexte visité" xfId="11799" builtinId="9" hidden="1"/>
    <cellStyle name="Lien hypertexte visité" xfId="10263" builtinId="9" hidden="1"/>
    <cellStyle name="Lien hypertexte visité" xfId="8727" builtinId="9" hidden="1"/>
    <cellStyle name="Lien hypertexte visité" xfId="7110" builtinId="9" hidden="1"/>
    <cellStyle name="Lien hypertexte visité" xfId="5574" builtinId="9" hidden="1"/>
    <cellStyle name="Lien hypertexte visité" xfId="4038" builtinId="9" hidden="1"/>
    <cellStyle name="Lien hypertexte visité" xfId="2496" builtinId="9" hidden="1"/>
    <cellStyle name="Lien hypertexte visité" xfId="595" builtinId="9" hidden="1"/>
    <cellStyle name="Lien hypertexte visité" xfId="1806" builtinId="9" hidden="1"/>
    <cellStyle name="Lien hypertexte visité" xfId="3342" builtinId="9" hidden="1"/>
    <cellStyle name="Lien hypertexte visité" xfId="4980" builtinId="9" hidden="1"/>
    <cellStyle name="Lien hypertexte visité" xfId="6516" builtinId="9" hidden="1"/>
    <cellStyle name="Lien hypertexte visité" xfId="8053" builtinId="9" hidden="1"/>
    <cellStyle name="Lien hypertexte visité" xfId="9589" builtinId="9" hidden="1"/>
    <cellStyle name="Lien hypertexte visité" xfId="11205" builtinId="9" hidden="1"/>
    <cellStyle name="Lien hypertexte visité" xfId="12405" builtinId="9" hidden="1"/>
    <cellStyle name="Lien hypertexte visité" xfId="1469" builtinId="9" hidden="1"/>
    <cellStyle name="Lien hypertexte visité" xfId="10615" builtinId="9" hidden="1"/>
    <cellStyle name="Lien hypertexte visité" xfId="11958" builtinId="9" hidden="1"/>
    <cellStyle name="Lien hypertexte visité" xfId="23960" builtinId="9" hidden="1"/>
    <cellStyle name="Lien hypertexte visité" xfId="13338" builtinId="9" hidden="1"/>
    <cellStyle name="Lien hypertexte visité" xfId="15003" builtinId="9" hidden="1"/>
    <cellStyle name="Lien hypertexte visité" xfId="5843" builtinId="9" hidden="1"/>
    <cellStyle name="Lien hypertexte visité" xfId="15893" builtinId="9" hidden="1"/>
    <cellStyle name="Lien hypertexte visité" xfId="3149" builtinId="9" hidden="1"/>
    <cellStyle name="Lien hypertexte visité" xfId="4307" builtinId="9" hidden="1"/>
    <cellStyle name="Lien hypertexte visité" xfId="365" builtinId="9" hidden="1"/>
    <cellStyle name="Lien hypertexte visité" xfId="4983" builtinId="9" hidden="1"/>
    <cellStyle name="Lien hypertexte visité" xfId="3866" builtinId="9" hidden="1"/>
    <cellStyle name="Lien hypertexte visité" xfId="7415" builtinId="9" hidden="1"/>
    <cellStyle name="Lien hypertexte visité" xfId="6311" builtinId="9" hidden="1"/>
    <cellStyle name="Lien hypertexte visité" xfId="7431" builtinId="9" hidden="1"/>
    <cellStyle name="Lien hypertexte visité" xfId="8168" builtinId="9" hidden="1"/>
    <cellStyle name="Lien hypertexte visité" xfId="5975" builtinId="9" hidden="1"/>
    <cellStyle name="Lien hypertexte visité" xfId="7079" builtinId="9" hidden="1"/>
    <cellStyle name="Lien hypertexte visité" xfId="3505" builtinId="9" hidden="1"/>
    <cellStyle name="Lien hypertexte visité" xfId="4631" builtinId="9" hidden="1"/>
    <cellStyle name="Lien hypertexte visité" xfId="5751" builtinId="9" hidden="1"/>
    <cellStyle name="Lien hypertexte visité" xfId="4595" builtinId="9" hidden="1"/>
    <cellStyle name="Lien hypertexte visité" xfId="3437" builtinId="9" hidden="1"/>
    <cellStyle name="Lien hypertexte visité" xfId="2269" builtinId="9" hidden="1"/>
    <cellStyle name="Lien hypertexte visité" xfId="1069" builtinId="9" hidden="1"/>
    <cellStyle name="Lien hypertexte visité" xfId="1200" builtinId="9" hidden="1"/>
    <cellStyle name="Lien hypertexte visité" xfId="2353" builtinId="9" hidden="1"/>
    <cellStyle name="Lien hypertexte visité" xfId="10244" builtinId="9" hidden="1"/>
    <cellStyle name="Lien hypertexte visité" xfId="23364" builtinId="9" hidden="1"/>
    <cellStyle name="Lien hypertexte visité" xfId="20614" builtinId="9" hidden="1"/>
    <cellStyle name="Lien hypertexte visité" xfId="23110" builtinId="9" hidden="1"/>
    <cellStyle name="Lien hypertexte visité" xfId="23652" builtinId="9" hidden="1"/>
    <cellStyle name="Lien hypertexte visité" xfId="1388" builtinId="9" hidden="1"/>
    <cellStyle name="Lien hypertexte visité" xfId="4867" builtinId="9" hidden="1"/>
    <cellStyle name="Lien hypertexte visité" xfId="17461" builtinId="9" hidden="1"/>
    <cellStyle name="Lien hypertexte visité" xfId="19812" builtinId="9" hidden="1"/>
    <cellStyle name="Lien hypertexte visité" xfId="22276" builtinId="9" hidden="1"/>
    <cellStyle name="Lien hypertexte visité" xfId="24612" builtinId="9" hidden="1"/>
    <cellStyle name="Lien hypertexte visité" xfId="22118" builtinId="9" hidden="1"/>
    <cellStyle name="Lien hypertexte visité" xfId="19782" builtinId="9" hidden="1"/>
    <cellStyle name="Lien hypertexte visité" xfId="17493" builtinId="9" hidden="1"/>
    <cellStyle name="Lien hypertexte visité" xfId="7812" builtinId="9" hidden="1"/>
    <cellStyle name="Lien hypertexte visité" xfId="2033" builtinId="9" hidden="1"/>
    <cellStyle name="Lien hypertexte visité" xfId="725" builtinId="9" hidden="1"/>
    <cellStyle name="Lien hypertexte visité" xfId="1372" builtinId="9" hidden="1"/>
    <cellStyle name="Lien hypertexte visité" xfId="2513" builtinId="9" hidden="1"/>
    <cellStyle name="Lien hypertexte visité" xfId="9044" builtinId="9" hidden="1"/>
    <cellStyle name="Lien hypertexte visité" xfId="10212" builtinId="9" hidden="1"/>
    <cellStyle name="Lien hypertexte visité" xfId="11460" builtinId="9" hidden="1"/>
    <cellStyle name="Lien hypertexte visité" xfId="12628" builtinId="9" hidden="1"/>
    <cellStyle name="Lien hypertexte visité" xfId="13796" builtinId="9" hidden="1"/>
    <cellStyle name="Lien hypertexte visité" xfId="11092" builtinId="9" hidden="1"/>
    <cellStyle name="Lien hypertexte visité" xfId="6051" builtinId="9" hidden="1"/>
    <cellStyle name="Lien hypertexte visité" xfId="7219" builtinId="9" hidden="1"/>
    <cellStyle name="Lien hypertexte visité" xfId="10917" builtinId="9" hidden="1"/>
    <cellStyle name="Lien hypertexte visité" xfId="15511" builtinId="9" hidden="1"/>
    <cellStyle name="Lien hypertexte visité" xfId="6308" builtinId="9" hidden="1"/>
    <cellStyle name="Lien hypertexte visité" xfId="7076" builtinId="9" hidden="1"/>
    <cellStyle name="Lien hypertexte visité" xfId="17047" builtinId="9" hidden="1"/>
    <cellStyle name="Lien hypertexte visité" xfId="11685" builtinId="9" hidden="1"/>
    <cellStyle name="Lien hypertexte visité" xfId="7443" builtinId="9" hidden="1"/>
    <cellStyle name="Lien hypertexte visité" xfId="6259" builtinId="9" hidden="1"/>
    <cellStyle name="Lien hypertexte visité" xfId="18566" builtinId="9" hidden="1"/>
    <cellStyle name="Lien hypertexte visité" xfId="14020" builtinId="9" hidden="1"/>
    <cellStyle name="Lien hypertexte visité" xfId="12852" builtinId="9" hidden="1"/>
    <cellStyle name="Lien hypertexte visité" xfId="11684" builtinId="9" hidden="1"/>
    <cellStyle name="Lien hypertexte visité" xfId="10436" builtinId="9" hidden="1"/>
    <cellStyle name="Lien hypertexte visité" xfId="9268" builtinId="9" hidden="1"/>
    <cellStyle name="Lien hypertexte visité" xfId="21700" builtinId="9" hidden="1"/>
    <cellStyle name="Lien hypertexte visité" xfId="1581" builtinId="9" hidden="1"/>
    <cellStyle name="Lien hypertexte visité" xfId="309" builtinId="9" hidden="1"/>
    <cellStyle name="Lien hypertexte visité" xfId="1825" builtinId="9" hidden="1"/>
    <cellStyle name="Lien hypertexte visité" xfId="6275" builtinId="9" hidden="1"/>
    <cellStyle name="Lien hypertexte visité" xfId="14468" builtinId="9" hidden="1"/>
    <cellStyle name="Lien hypertexte visité" xfId="19334" builtinId="9" hidden="1"/>
    <cellStyle name="Lien hypertexte visité" xfId="21670" builtinId="9" hidden="1"/>
    <cellStyle name="Lien hypertexte visité" xfId="24166" builtinId="9" hidden="1"/>
    <cellStyle name="Lien hypertexte visité" xfId="22724" builtinId="9" hidden="1"/>
    <cellStyle name="Lien hypertexte visité" xfId="20228" builtinId="9" hidden="1"/>
    <cellStyle name="Lien hypertexte visité" xfId="17909" builtinId="9" hidden="1"/>
    <cellStyle name="Lien hypertexte visité" xfId="15413" builtinId="9" hidden="1"/>
    <cellStyle name="Lien hypertexte visité" xfId="4675" builtinId="9" hidden="1"/>
    <cellStyle name="Lien hypertexte visité" xfId="23204" builtinId="9" hidden="1"/>
    <cellStyle name="Lien hypertexte visité" xfId="23526" builtinId="9" hidden="1"/>
    <cellStyle name="Lien hypertexte visité" xfId="21062" builtinId="9" hidden="1"/>
    <cellStyle name="Lien hypertexte visité" xfId="22790" builtinId="9" hidden="1"/>
    <cellStyle name="Lien hypertexte visité" xfId="11780" builtinId="9" hidden="1"/>
    <cellStyle name="Lien hypertexte visité" xfId="2561" builtinId="9" hidden="1"/>
    <cellStyle name="Lien hypertexte visité" xfId="1392" builtinId="9" hidden="1"/>
    <cellStyle name="Lien hypertexte visité" xfId="653" builtinId="9" hidden="1"/>
    <cellStyle name="Lien hypertexte visité" xfId="2077" builtinId="9" hidden="1"/>
    <cellStyle name="Lien hypertexte visité" xfId="3229" builtinId="9" hidden="1"/>
    <cellStyle name="Lien hypertexte visité" xfId="4403" builtinId="9" hidden="1"/>
    <cellStyle name="Lien hypertexte visité" xfId="1665" builtinId="9" hidden="1"/>
    <cellStyle name="Lien hypertexte visité" xfId="4903" builtinId="9" hidden="1"/>
    <cellStyle name="Lien hypertexte visité" xfId="3786" builtinId="9" hidden="1"/>
    <cellStyle name="Lien hypertexte visité" xfId="7271" builtinId="9" hidden="1"/>
    <cellStyle name="Lien hypertexte visité" xfId="6167" builtinId="9" hidden="1"/>
    <cellStyle name="Lien hypertexte visité" xfId="8360" builtinId="9" hidden="1"/>
    <cellStyle name="Lien hypertexte visité" xfId="8312" builtinId="9" hidden="1"/>
    <cellStyle name="Lien hypertexte visité" xfId="6119" builtinId="9" hidden="1"/>
    <cellStyle name="Lien hypertexte visité" xfId="7223" builtinId="9" hidden="1"/>
    <cellStyle name="Lien hypertexte visité" xfId="3650" builtinId="9" hidden="1"/>
    <cellStyle name="Lien hypertexte visité" xfId="4791" builtinId="9" hidden="1"/>
    <cellStyle name="Lien hypertexte visité" xfId="5911" builtinId="9" hidden="1"/>
    <cellStyle name="Lien hypertexte visité" xfId="4515" builtinId="9" hidden="1"/>
    <cellStyle name="Lien hypertexte visité" xfId="3357" builtinId="9" hidden="1"/>
    <cellStyle name="Lien hypertexte visité" xfId="19396" builtinId="9" hidden="1"/>
    <cellStyle name="Lien hypertexte visité" xfId="7603" builtinId="9" hidden="1"/>
    <cellStyle name="Lien hypertexte visité" xfId="8615" builtinId="9" hidden="1"/>
    <cellStyle name="Lien hypertexte visité" xfId="20144" builtinId="9" hidden="1"/>
    <cellStyle name="Lien hypertexte visité" xfId="22538" builtinId="9" hidden="1"/>
    <cellStyle name="Lien hypertexte visité" xfId="13326" builtinId="9" hidden="1"/>
    <cellStyle name="Lien hypertexte visité" xfId="12663" builtinId="9" hidden="1"/>
    <cellStyle name="Lien hypertexte visité" xfId="1728" builtinId="9" hidden="1"/>
    <cellStyle name="Lien hypertexte visité" xfId="10357" builtinId="9" hidden="1"/>
    <cellStyle name="Lien hypertexte visité" xfId="11461" builtinId="9" hidden="1"/>
    <cellStyle name="Lien hypertexte visité" xfId="9925" builtinId="9" hidden="1"/>
    <cellStyle name="Lien hypertexte visité" xfId="8389" builtinId="9" hidden="1"/>
    <cellStyle name="Lien hypertexte visité" xfId="6772" builtinId="9" hidden="1"/>
    <cellStyle name="Lien hypertexte visité" xfId="5236" builtinId="9" hidden="1"/>
    <cellStyle name="Lien hypertexte visité" xfId="3703" builtinId="9" hidden="1"/>
    <cellStyle name="Lien hypertexte visité" xfId="2062" builtinId="9" hidden="1"/>
    <cellStyle name="Lien hypertexte visité" xfId="91" builtinId="9" hidden="1"/>
    <cellStyle name="Lien hypertexte visité" xfId="2160" builtinId="9" hidden="1"/>
    <cellStyle name="Lien hypertexte visité" xfId="3705" builtinId="9" hidden="1"/>
    <cellStyle name="Lien hypertexte visité" xfId="5318" builtinId="9" hidden="1"/>
    <cellStyle name="Lien hypertexte visité" xfId="6854" builtinId="9" hidden="1"/>
    <cellStyle name="Lien hypertexte visité" xfId="8391" builtinId="9" hidden="1"/>
    <cellStyle name="Lien hypertexte visité" xfId="10007" builtinId="9" hidden="1"/>
    <cellStyle name="Lien hypertexte visité" xfId="11543" builtinId="9" hidden="1"/>
    <cellStyle name="Lien hypertexte visité" xfId="13079" builtinId="9" hidden="1"/>
    <cellStyle name="Lien hypertexte visité" xfId="14715" builtinId="9" hidden="1"/>
    <cellStyle name="Lien hypertexte visité" xfId="8438" builtinId="9" hidden="1"/>
    <cellStyle name="Lien hypertexte visité" xfId="9462" builtinId="9" hidden="1"/>
    <cellStyle name="Lien hypertexte visité" xfId="10486" builtinId="9" hidden="1"/>
    <cellStyle name="Lien hypertexte visité" xfId="11566" builtinId="9" hidden="1"/>
    <cellStyle name="Lien hypertexte visité" xfId="12590" builtinId="9" hidden="1"/>
    <cellStyle name="Lien hypertexte visité" xfId="13614" builtinId="9" hidden="1"/>
    <cellStyle name="Lien hypertexte visité" xfId="14761" builtinId="9" hidden="1"/>
    <cellStyle name="Lien hypertexte visité" xfId="16913" builtinId="9" hidden="1"/>
    <cellStyle name="Lien hypertexte visité" xfId="18944" builtinId="9" hidden="1"/>
    <cellStyle name="Lien hypertexte visité" xfId="20992" builtinId="9" hidden="1"/>
    <cellStyle name="Lien hypertexte visité" xfId="23168" builtinId="9" hidden="1"/>
    <cellStyle name="Lien hypertexte visité" xfId="24010" builtinId="9" hidden="1"/>
    <cellStyle name="Lien hypertexte visité" xfId="21962" builtinId="9" hidden="1"/>
    <cellStyle name="Lien hypertexte visité" xfId="19914" builtinId="9" hidden="1"/>
    <cellStyle name="Lien hypertexte visité" xfId="17779" builtinId="9" hidden="1"/>
    <cellStyle name="Lien hypertexte visité" xfId="22042" builtinId="9" hidden="1"/>
    <cellStyle name="Lien hypertexte visité" xfId="21040" builtinId="9" hidden="1"/>
    <cellStyle name="Lien hypertexte visité" xfId="14593" builtinId="9" hidden="1"/>
    <cellStyle name="Lien hypertexte visité" xfId="11482" builtinId="9" hidden="1"/>
    <cellStyle name="Lien hypertexte visité" xfId="23962" builtinId="9" hidden="1"/>
    <cellStyle name="Lien hypertexte visité" xfId="21218" builtinId="9" hidden="1"/>
    <cellStyle name="Lien hypertexte visité" xfId="21528" builtinId="9" hidden="1"/>
    <cellStyle name="Lien hypertexte visité" xfId="15401" builtinId="9" hidden="1"/>
    <cellStyle name="Lien hypertexte visité" xfId="11886" builtinId="9" hidden="1"/>
    <cellStyle name="Lien hypertexte visité" xfId="8642" builtinId="9" hidden="1"/>
    <cellStyle name="Lien hypertexte visité" xfId="11943" builtinId="9" hidden="1"/>
    <cellStyle name="Lien hypertexte visité" xfId="7334" builtinId="9" hidden="1"/>
    <cellStyle name="Lien hypertexte visité" xfId="2720" builtinId="9" hidden="1"/>
    <cellStyle name="Lien hypertexte visité" xfId="3294" builtinId="9" hidden="1"/>
    <cellStyle name="Lien hypertexte visité" xfId="7909" builtinId="9" hidden="1"/>
    <cellStyle name="Lien hypertexte visité" xfId="12517" builtinId="9" hidden="1"/>
    <cellStyle name="Lien hypertexte visité" xfId="5331" builtinId="9" hidden="1"/>
    <cellStyle name="Lien hypertexte visité" xfId="6643" builtinId="9" hidden="1"/>
    <cellStyle name="Lien hypertexte visité" xfId="7972" builtinId="9" hidden="1"/>
    <cellStyle name="Lien hypertexte visité" xfId="9284" builtinId="9" hidden="1"/>
    <cellStyle name="Lien hypertexte visité" xfId="10676" builtinId="9" hidden="1"/>
    <cellStyle name="Lien hypertexte visité" xfId="11988" builtinId="9" hidden="1"/>
    <cellStyle name="Lien hypertexte visité" xfId="13300" builtinId="9" hidden="1"/>
    <cellStyle name="Lien hypertexte visité" xfId="14869" builtinId="9" hidden="1"/>
    <cellStyle name="Lien hypertexte visité" xfId="17525" builtinId="9" hidden="1"/>
    <cellStyle name="Lien hypertexte visité" xfId="20132" builtinId="9" hidden="1"/>
    <cellStyle name="Lien hypertexte visité" xfId="13429" builtinId="9" hidden="1"/>
    <cellStyle name="Lien hypertexte visité" xfId="4829" builtinId="9" hidden="1"/>
    <cellStyle name="Lien hypertexte visité" xfId="2843" builtinId="9" hidden="1"/>
    <cellStyle name="Lien hypertexte visité" xfId="1450" builtinId="9" hidden="1"/>
    <cellStyle name="Lien hypertexte visité" xfId="6133" builtinId="9" hidden="1"/>
    <cellStyle name="Lien hypertexte visité" xfId="19216" builtinId="9" hidden="1"/>
    <cellStyle name="Lien hypertexte visité" xfId="23978" builtinId="9" hidden="1"/>
    <cellStyle name="Lien hypertexte visité" xfId="14430" builtinId="9" hidden="1"/>
    <cellStyle name="Lien hypertexte visité" xfId="8966" builtinId="9" hidden="1"/>
    <cellStyle name="Lien hypertexte visité" xfId="8847" builtinId="9" hidden="1"/>
    <cellStyle name="Lien hypertexte visité" xfId="131" builtinId="9" hidden="1"/>
    <cellStyle name="Lien hypertexte visité" xfId="8701" builtinId="9" hidden="1"/>
    <cellStyle name="Lien hypertexte visité" xfId="5195" builtinId="9" hidden="1"/>
    <cellStyle name="Lien hypertexte visité" xfId="3461" builtinId="9" hidden="1"/>
    <cellStyle name="Lien hypertexte visité" xfId="1733" builtinId="9" hidden="1"/>
    <cellStyle name="Lien hypertexte visité" xfId="1464" builtinId="9" hidden="1"/>
    <cellStyle name="Lien hypertexte visité" xfId="3129" builtinId="9" hidden="1"/>
    <cellStyle name="Lien hypertexte visité" xfId="4863" builtinId="9" hidden="1"/>
    <cellStyle name="Lien hypertexte visité" xfId="6911" builtinId="9" hidden="1"/>
    <cellStyle name="Lien hypertexte visité" xfId="8640" builtinId="9" hidden="1"/>
    <cellStyle name="Lien hypertexte visité" xfId="1225" builtinId="9" hidden="1"/>
    <cellStyle name="Lien hypertexte visité" xfId="5924" builtinId="9" hidden="1"/>
    <cellStyle name="Lien hypertexte visité" xfId="11045" builtinId="9" hidden="1"/>
    <cellStyle name="Lien hypertexte visité" xfId="17815" builtinId="9" hidden="1"/>
    <cellStyle name="Lien hypertexte visité" xfId="6739" builtinId="9" hidden="1"/>
    <cellStyle name="Lien hypertexte visité" xfId="8212" builtinId="9" hidden="1"/>
    <cellStyle name="Lien hypertexte visité" xfId="9668" builtinId="9" hidden="1"/>
    <cellStyle name="Lien hypertexte visité" xfId="11428" builtinId="9" hidden="1"/>
    <cellStyle name="Lien hypertexte visité" xfId="12884" builtinId="9" hidden="1"/>
    <cellStyle name="Lien hypertexte visité" xfId="14356" builtinId="9" hidden="1"/>
    <cellStyle name="Lien hypertexte visité" xfId="17685" builtinId="9" hidden="1"/>
    <cellStyle name="Lien hypertexte visité" xfId="20612" builtinId="9" hidden="1"/>
    <cellStyle name="Lien hypertexte visité" xfId="23524" builtinId="9" hidden="1"/>
    <cellStyle name="Lien hypertexte visité" xfId="22182" builtinId="9" hidden="1"/>
    <cellStyle name="Lien hypertexte visité" xfId="19270" builtinId="9" hidden="1"/>
    <cellStyle name="Lien hypertexte visité" xfId="12676" builtinId="9" hidden="1"/>
    <cellStyle name="Lien hypertexte visité" xfId="2149" builtinId="9" hidden="1"/>
    <cellStyle name="Lien hypertexte visité" xfId="501" builtinId="9" hidden="1"/>
    <cellStyle name="Lien hypertexte visité" xfId="1677" builtinId="9" hidden="1"/>
    <cellStyle name="Lien hypertexte visité" xfId="3309" builtinId="9" hidden="1"/>
    <cellStyle name="Lien hypertexte visité" xfId="4691" builtinId="9" hidden="1"/>
    <cellStyle name="Lien hypertexte visité" xfId="5543" builtinId="9" hidden="1"/>
    <cellStyle name="Lien hypertexte visité" xfId="3959" builtinId="9" hidden="1"/>
    <cellStyle name="Lien hypertexte visité" xfId="7319" builtinId="9" hidden="1"/>
    <cellStyle name="Lien hypertexte visité" xfId="6023" builtinId="9" hidden="1"/>
    <cellStyle name="Lien hypertexte visité" xfId="8824" builtinId="9" hidden="1"/>
    <cellStyle name="Lien hypertexte visité" xfId="8024" builtinId="9" hidden="1"/>
    <cellStyle name="Lien hypertexte visité" xfId="7111" builtinId="9" hidden="1"/>
    <cellStyle name="Lien hypertexte visité" xfId="4007" builtinId="9" hidden="1"/>
    <cellStyle name="Lien hypertexte visité" xfId="5335" builtinId="9" hidden="1"/>
    <cellStyle name="Lien hypertexte visité" xfId="4915" builtinId="9" hidden="1"/>
    <cellStyle name="Lien hypertexte visité" xfId="3261" builtinId="9" hidden="1"/>
    <cellStyle name="Lien hypertexte visité" xfId="1901" builtinId="9" hidden="1"/>
    <cellStyle name="Lien hypertexte visité" xfId="137" builtinId="9" hidden="1"/>
    <cellStyle name="Lien hypertexte visité" xfId="2257" builtinId="9" hidden="1"/>
    <cellStyle name="Lien hypertexte visité" xfId="11012" builtinId="9" hidden="1"/>
    <cellStyle name="Lien hypertexte visité" xfId="21254" builtinId="9" hidden="1"/>
    <cellStyle name="Lien hypertexte visité" xfId="22310" builtinId="9" hidden="1"/>
    <cellStyle name="Lien hypertexte visité" xfId="24004" builtinId="9" hidden="1"/>
    <cellStyle name="Lien hypertexte visité" xfId="21092" builtinId="9" hidden="1"/>
    <cellStyle name="Lien hypertexte visité" xfId="17589" builtinId="9" hidden="1"/>
    <cellStyle name="Lien hypertexte visité" xfId="14645" builtinId="9" hidden="1"/>
    <cellStyle name="Lien hypertexte visité" xfId="13124" builtinId="9" hidden="1"/>
    <cellStyle name="Lien hypertexte visité" xfId="11364" builtinId="9" hidden="1"/>
    <cellStyle name="Lien hypertexte visité" xfId="9908" builtinId="9" hidden="1"/>
    <cellStyle name="Lien hypertexte visité" xfId="8436" builtinId="9" hidden="1"/>
    <cellStyle name="Lien hypertexte visité" xfId="6691" builtinId="9" hidden="1"/>
    <cellStyle name="Lien hypertexte visité" xfId="5219" builtinId="9" hidden="1"/>
    <cellStyle name="Lien hypertexte visité" xfId="11877" builtinId="9" hidden="1"/>
    <cellStyle name="Lien hypertexte visité" xfId="5732" builtinId="9" hidden="1"/>
    <cellStyle name="Lien hypertexte visité" xfId="111" builtinId="9" hidden="1"/>
    <cellStyle name="Lien hypertexte visité" xfId="5670" builtinId="9" hidden="1"/>
    <cellStyle name="Lien hypertexte visité" xfId="11815" builtinId="9" hidden="1"/>
    <cellStyle name="Lien hypertexte visité" xfId="8898" builtinId="9" hidden="1"/>
    <cellStyle name="Lien hypertexte visité" xfId="12310" builtinId="9" hidden="1"/>
    <cellStyle name="Lien hypertexte visité" xfId="18297" builtinId="9" hidden="1"/>
    <cellStyle name="Lien hypertexte visité" xfId="24114" builtinId="9" hidden="1"/>
    <cellStyle name="Lien hypertexte visité" xfId="17323" builtinId="9" hidden="1"/>
    <cellStyle name="Lien hypertexte visité" xfId="11386" builtinId="9" hidden="1"/>
    <cellStyle name="Lien hypertexte visité" xfId="15105" builtinId="9" hidden="1"/>
    <cellStyle name="Lien hypertexte visité" xfId="21872" builtinId="9" hidden="1"/>
    <cellStyle name="Lien hypertexte visité" xfId="19162" builtinId="9" hidden="1"/>
    <cellStyle name="Lien hypertexte visité" xfId="18954" builtinId="9" hidden="1"/>
    <cellStyle name="Lien hypertexte visité" xfId="21234" builtinId="9" hidden="1"/>
    <cellStyle name="Lien hypertexte visité" xfId="23970" builtinId="9" hidden="1"/>
    <cellStyle name="Lien hypertexte visité" xfId="23000" builtinId="9" hidden="1"/>
    <cellStyle name="Lien hypertexte visité" xfId="20712" builtinId="9" hidden="1"/>
    <cellStyle name="Lien hypertexte visité" xfId="18001" builtinId="9" hidden="1"/>
    <cellStyle name="Lien hypertexte visité" xfId="15721" builtinId="9" hidden="1"/>
    <cellStyle name="Lien hypertexte visité" xfId="13986" builtinId="9" hidden="1"/>
    <cellStyle name="Lien hypertexte visité" xfId="12622" builtinId="9" hidden="1"/>
    <cellStyle name="Lien hypertexte visité" xfId="11478" builtinId="9" hidden="1"/>
    <cellStyle name="Lien hypertexte visité" xfId="10338" builtinId="9" hidden="1"/>
    <cellStyle name="Lien hypertexte visité" xfId="8974" builtinId="9" hidden="1"/>
    <cellStyle name="Lien hypertexte visité" xfId="16187" builtinId="9" hidden="1"/>
    <cellStyle name="Lien hypertexte visité" xfId="13639" builtinId="9" hidden="1"/>
    <cellStyle name="Lien hypertexte visité" xfId="11591" builtinId="9" hidden="1"/>
    <cellStyle name="Lien hypertexte visité" xfId="9879" builtinId="9" hidden="1"/>
    <cellStyle name="Lien hypertexte visité" xfId="8183" builtinId="9" hidden="1"/>
    <cellStyle name="Lien hypertexte visité" xfId="6134" builtinId="9" hidden="1"/>
    <cellStyle name="Lien hypertexte visité" xfId="4422" builtinId="9" hidden="1"/>
    <cellStyle name="Lien hypertexte visité" xfId="2704" builtinId="9" hidden="1"/>
    <cellStyle name="Lien hypertexte visité" xfId="147" builtinId="9" hidden="1"/>
    <cellStyle name="Lien hypertexte visité" xfId="2190" builtinId="9" hidden="1"/>
    <cellStyle name="Lien hypertexte visité" xfId="3912" builtinId="9" hidden="1"/>
    <cellStyle name="Lien hypertexte visité" xfId="5956" builtinId="9" hidden="1"/>
    <cellStyle name="Lien hypertexte visité" xfId="7668" builtinId="9" hidden="1"/>
    <cellStyle name="Lien hypertexte visité" xfId="9365" builtinId="9" hidden="1"/>
    <cellStyle name="Lien hypertexte visité" xfId="11413" builtinId="9" hidden="1"/>
    <cellStyle name="Lien hypertexte visité" xfId="13125" builtinId="9" hidden="1"/>
    <cellStyle name="Lien hypertexte visité" xfId="15159" builtinId="9" hidden="1"/>
    <cellStyle name="Lien hypertexte visité" xfId="11066" builtinId="9" hidden="1"/>
    <cellStyle name="Lien hypertexte visité" xfId="4573" builtinId="9" hidden="1"/>
    <cellStyle name="Lien hypertexte visité" xfId="6037" builtinId="9" hidden="1"/>
    <cellStyle name="Lien hypertexte visité" xfId="7793" builtinId="9" hidden="1"/>
    <cellStyle name="Lien hypertexte visité" xfId="2603" builtinId="9" hidden="1"/>
    <cellStyle name="Lien hypertexte visité" xfId="3203" builtinId="9" hidden="1"/>
    <cellStyle name="Lien hypertexte visité" xfId="321" builtinId="9" hidden="1"/>
    <cellStyle name="Lien hypertexte visité" xfId="1683" builtinId="9" hidden="1"/>
    <cellStyle name="Lien hypertexte visité" xfId="2931" builtinId="9" hidden="1"/>
    <cellStyle name="Lien hypertexte visité" xfId="7854" builtinId="9" hidden="1"/>
    <cellStyle name="Lien hypertexte visité" xfId="6389" builtinId="9" hidden="1"/>
    <cellStyle name="Lien hypertexte visité" xfId="4925" builtinId="9" hidden="1"/>
    <cellStyle name="Lien hypertexte visité" xfId="10858" builtinId="9" hidden="1"/>
    <cellStyle name="Lien hypertexte visité" xfId="17441" builtinId="9" hidden="1"/>
    <cellStyle name="Lien hypertexte visité" xfId="21562" builtinId="9" hidden="1"/>
    <cellStyle name="Lien hypertexte visité" xfId="19970" builtinId="9" hidden="1"/>
    <cellStyle name="Lien hypertexte visité" xfId="23378" builtinId="9" hidden="1"/>
    <cellStyle name="Lien hypertexte visité" xfId="22432" builtinId="9" hidden="1"/>
    <cellStyle name="Lien hypertexte visité" xfId="18336" builtinId="9" hidden="1"/>
    <cellStyle name="Lien hypertexte visité" xfId="14937" builtinId="9" hidden="1"/>
    <cellStyle name="Lien hypertexte visité" xfId="13022" builtinId="9" hidden="1"/>
    <cellStyle name="Lien hypertexte visité" xfId="10974" builtinId="9" hidden="1"/>
    <cellStyle name="Lien hypertexte visité" xfId="9266" builtinId="9" hidden="1"/>
    <cellStyle name="Lien hypertexte visité" xfId="15339" builtinId="9" hidden="1"/>
    <cellStyle name="Lien hypertexte visité" xfId="11855" builtinId="9" hidden="1"/>
    <cellStyle name="Lien hypertexte visité" xfId="9295" builtinId="9" hidden="1"/>
    <cellStyle name="Lien hypertexte visité" xfId="6734" builtinId="9" hidden="1"/>
    <cellStyle name="Lien hypertexte visité" xfId="3659" builtinId="9" hidden="1"/>
    <cellStyle name="Lien hypertexte visité" xfId="1027" builtinId="9" hidden="1"/>
    <cellStyle name="Lien hypertexte visité" xfId="2614" builtinId="9" hidden="1"/>
    <cellStyle name="Lien hypertexte visité" xfId="5692" builtinId="9" hidden="1"/>
    <cellStyle name="Lien hypertexte visité" xfId="8253" builtinId="9" hidden="1"/>
    <cellStyle name="Lien hypertexte visité" xfId="10813" builtinId="9" hidden="1"/>
    <cellStyle name="Lien hypertexte visité" xfId="13885" builtinId="9" hidden="1"/>
    <cellStyle name="Lien hypertexte visité" xfId="18358" builtinId="9" hidden="1"/>
    <cellStyle name="Lien hypertexte visité" xfId="23478" builtinId="9" hidden="1"/>
    <cellStyle name="Lien hypertexte visité" xfId="19604" builtinId="9" hidden="1"/>
    <cellStyle name="Lien hypertexte visité" xfId="14508" builtinId="9" hidden="1"/>
    <cellStyle name="Lien hypertexte visité" xfId="11948" builtinId="9" hidden="1"/>
    <cellStyle name="Lien hypertexte visité" xfId="8876" builtinId="9" hidden="1"/>
    <cellStyle name="Lien hypertexte visité" xfId="6315" builtinId="9" hidden="1"/>
    <cellStyle name="Lien hypertexte visité" xfId="3758" builtinId="9" hidden="1"/>
    <cellStyle name="Lien hypertexte visité" xfId="193" builtinId="9" hidden="1"/>
    <cellStyle name="Lien hypertexte visité" xfId="3033" builtinId="9" hidden="1"/>
    <cellStyle name="Lien hypertexte visité" xfId="5599" builtinId="9" hidden="1"/>
    <cellStyle name="Lien hypertexte visité" xfId="8672" builtinId="9" hidden="1"/>
    <cellStyle name="Lien hypertexte visité" xfId="1842" builtinId="9" hidden="1"/>
    <cellStyle name="Lien hypertexte visité" xfId="3546" builtinId="9" hidden="1"/>
    <cellStyle name="Lien hypertexte visité" xfId="5600" builtinId="9" hidden="1"/>
    <cellStyle name="Lien hypertexte visité" xfId="7312" builtinId="9" hidden="1"/>
    <cellStyle name="Lien hypertexte visité" xfId="9017" builtinId="9" hidden="1"/>
    <cellStyle name="Lien hypertexte visité" xfId="11065" builtinId="9" hidden="1"/>
    <cellStyle name="Lien hypertexte visité" xfId="12769" builtinId="9" hidden="1"/>
    <cellStyle name="Lien hypertexte visité" xfId="14481" builtinId="9" hidden="1"/>
    <cellStyle name="Lien hypertexte visité" xfId="18526" builtinId="9" hidden="1"/>
    <cellStyle name="Lien hypertexte visité" xfId="21934" builtinId="9" hidden="1"/>
    <cellStyle name="Lien hypertexte visité" xfId="23884" builtinId="9" hidden="1"/>
    <cellStyle name="Lien hypertexte visité" xfId="19788" builtinId="9" hidden="1"/>
    <cellStyle name="Lien hypertexte visité" xfId="16381" builtinId="9" hidden="1"/>
    <cellStyle name="Lien hypertexte visité" xfId="13744" builtinId="9" hidden="1"/>
    <cellStyle name="Lien hypertexte visité" xfId="11696" builtinId="9" hidden="1"/>
    <cellStyle name="Lien hypertexte visité" xfId="9992" builtinId="9" hidden="1"/>
    <cellStyle name="Lien hypertexte visité" xfId="10560" builtinId="9" hidden="1"/>
    <cellStyle name="Lien hypertexte visité" xfId="18876" builtinId="9" hidden="1"/>
    <cellStyle name="Lien hypertexte visité" xfId="20110" builtinId="9" hidden="1"/>
    <cellStyle name="Lien hypertexte visité" xfId="12201" builtinId="9" hidden="1"/>
    <cellStyle name="Lien hypertexte visité" xfId="6056" builtinId="9" hidden="1"/>
    <cellStyle name="Lien hypertexte visité" xfId="695" builtinId="9" hidden="1"/>
    <cellStyle name="Lien hypertexte visité" xfId="8211" builtinId="9" hidden="1"/>
    <cellStyle name="Lien hypertexte visité" xfId="6458" builtinId="9" hidden="1"/>
    <cellStyle name="Lien hypertexte visité" xfId="4994" builtinId="9" hidden="1"/>
    <cellStyle name="Lien hypertexte visité" xfId="3524" builtinId="9" hidden="1"/>
    <cellStyle name="Lien hypertexte visité" xfId="1772" builtinId="9" hidden="1"/>
    <cellStyle name="Lien hypertexte visité" xfId="5026" builtinId="9" hidden="1"/>
    <cellStyle name="Lien hypertexte visité" xfId="12139" builtinId="9" hidden="1"/>
    <cellStyle name="Lien hypertexte visité" xfId="10499" builtinId="9" hidden="1"/>
    <cellStyle name="Lien hypertexte visité" xfId="14347" builtinId="9" hidden="1"/>
    <cellStyle name="Lien hypertexte visité" xfId="13027" builtinId="9" hidden="1"/>
    <cellStyle name="Lien hypertexte visité" xfId="17203" builtinId="9" hidden="1"/>
    <cellStyle name="Lien hypertexte visité" xfId="15395" builtinId="9" hidden="1"/>
    <cellStyle name="Lien hypertexte visité" xfId="13931" builtinId="9" hidden="1"/>
    <cellStyle name="Lien hypertexte visité" xfId="10339" builtinId="9" hidden="1"/>
    <cellStyle name="Lien hypertexte visité" xfId="11707" builtinId="9" hidden="1"/>
    <cellStyle name="Lien hypertexte visité" xfId="8291" builtinId="9" hidden="1"/>
    <cellStyle name="Lien hypertexte visité" xfId="1596" builtinId="9" hidden="1"/>
    <cellStyle name="Lien hypertexte visité" xfId="3060" builtinId="9" hidden="1"/>
    <cellStyle name="Lien hypertexte visité" xfId="4530" builtinId="9" hidden="1"/>
    <cellStyle name="Lien hypertexte visité" xfId="6282" builtinId="9" hidden="1"/>
    <cellStyle name="Lien hypertexte visité" xfId="7746" builtinId="9" hidden="1"/>
    <cellStyle name="Lien hypertexte visité" xfId="9211" builtinId="9" hidden="1"/>
    <cellStyle name="Lien hypertexte visité" xfId="5448" builtinId="9" hidden="1"/>
    <cellStyle name="Lien hypertexte visité" xfId="8318" builtinId="9" hidden="1"/>
    <cellStyle name="Lien hypertexte visité" xfId="14335" builtinId="9" hidden="1"/>
    <cellStyle name="Lien hypertexte visité" xfId="12287" builtinId="9" hidden="1"/>
    <cellStyle name="Lien hypertexte visité" xfId="10591" builtinId="9" hidden="1"/>
    <cellStyle name="Lien hypertexte visité" xfId="8895" builtinId="9" hidden="1"/>
    <cellStyle name="Lien hypertexte visité" xfId="6846" builtinId="9" hidden="1"/>
    <cellStyle name="Lien hypertexte visité" xfId="5118" builtinId="9" hidden="1"/>
    <cellStyle name="Lien hypertexte visité" xfId="3416" builtinId="9" hidden="1"/>
    <cellStyle name="Lien hypertexte visité" xfId="1367" builtinId="9" hidden="1"/>
    <cellStyle name="Lien hypertexte visité" xfId="1477" builtinId="9" hidden="1"/>
    <cellStyle name="Lien hypertexte visité" xfId="3206" builtinId="9" hidden="1"/>
    <cellStyle name="Lien hypertexte visité" xfId="5260" builtinId="9" hidden="1"/>
    <cellStyle name="Lien hypertexte visité" xfId="6956" builtinId="9" hidden="1"/>
    <cellStyle name="Lien hypertexte visité" xfId="8653" builtinId="9" hidden="1"/>
    <cellStyle name="Lien hypertexte visité" xfId="10701" builtinId="9" hidden="1"/>
    <cellStyle name="Lien hypertexte visité" xfId="12429" builtinId="9" hidden="1"/>
    <cellStyle name="Lien hypertexte visité" xfId="14125" builtinId="9" hidden="1"/>
    <cellStyle name="Lien hypertexte visité" xfId="17831" builtinId="9" hidden="1"/>
    <cellStyle name="Lien hypertexte visité" xfId="21206" builtinId="9" hidden="1"/>
    <cellStyle name="Lien hypertexte visité" xfId="24564" builtinId="9" hidden="1"/>
    <cellStyle name="Lien hypertexte visité" xfId="20468" builtinId="9" hidden="1"/>
    <cellStyle name="Lien hypertexte visité" xfId="17093" builtinId="9" hidden="1"/>
    <cellStyle name="Lien hypertexte visité" xfId="14108" builtinId="9" hidden="1"/>
    <cellStyle name="Lien hypertexte visité" xfId="12060" builtinId="9" hidden="1"/>
    <cellStyle name="Lien hypertexte visité" xfId="10332" builtinId="9" hidden="1"/>
    <cellStyle name="Lien hypertexte visité" xfId="8636" builtinId="9" hidden="1"/>
    <cellStyle name="Lien hypertexte visité" xfId="6587" builtinId="9" hidden="1"/>
    <cellStyle name="Lien hypertexte visité" xfId="4891" builtinId="9" hidden="1"/>
    <cellStyle name="Lien hypertexte visité" xfId="3157" builtinId="9" hidden="1"/>
    <cellStyle name="Lien hypertexte visité" xfId="1053" builtinId="9" hidden="1"/>
    <cellStyle name="Lien hypertexte visité" xfId="1737" builtinId="9" hidden="1"/>
    <cellStyle name="Lien hypertexte visité" xfId="3433" builtinId="9" hidden="1"/>
    <cellStyle name="Lien hypertexte visité" xfId="5487" builtinId="9" hidden="1"/>
    <cellStyle name="Lien hypertexte visité" xfId="7215" builtinId="9" hidden="1"/>
    <cellStyle name="Lien hypertexte visité" xfId="539" builtinId="9" hidden="1"/>
    <cellStyle name="Lien hypertexte visité" xfId="1658" builtinId="9" hidden="1"/>
    <cellStyle name="Lien hypertexte visité" xfId="2794" builtinId="9" hidden="1"/>
    <cellStyle name="Lien hypertexte visité" xfId="3952" builtinId="9" hidden="1"/>
    <cellStyle name="Lien hypertexte visité" xfId="5312" builtinId="9" hidden="1"/>
    <cellStyle name="Lien hypertexte visité" xfId="6448" builtinId="9" hidden="1"/>
    <cellStyle name="Lien hypertexte visité" xfId="7576" builtinId="9" hidden="1"/>
    <cellStyle name="Lien hypertexte visité" xfId="8945" builtinId="9" hidden="1"/>
    <cellStyle name="Lien hypertexte visité" xfId="10097" builtinId="9" hidden="1"/>
    <cellStyle name="Lien hypertexte visité" xfId="11225" builtinId="9" hidden="1"/>
    <cellStyle name="Lien hypertexte visité" xfId="12593" builtinId="9" hidden="1"/>
    <cellStyle name="Lien hypertexte visité" xfId="13721" builtinId="9" hidden="1"/>
    <cellStyle name="Lien hypertexte visité" xfId="15231" builtinId="9" hidden="1"/>
    <cellStyle name="Lien hypertexte visité" xfId="17967" builtinId="9" hidden="1"/>
    <cellStyle name="Lien hypertexte visité" xfId="20206" builtinId="9" hidden="1"/>
    <cellStyle name="Lien hypertexte visité" xfId="22462" builtinId="9" hidden="1"/>
    <cellStyle name="Lien hypertexte visité" xfId="24028" builtinId="9" hidden="1"/>
    <cellStyle name="Lien hypertexte visité" xfId="21724" builtinId="9" hidden="1"/>
    <cellStyle name="Lien hypertexte visité" xfId="19468" builtinId="9" hidden="1"/>
    <cellStyle name="Lien hypertexte visité" xfId="16749" builtinId="9" hidden="1"/>
    <cellStyle name="Lien hypertexte visité" xfId="14504" builtinId="9" hidden="1"/>
    <cellStyle name="Lien hypertexte visité" xfId="13352" builtinId="9" hidden="1"/>
    <cellStyle name="Lien hypertexte visité" xfId="11984" builtinId="9" hidden="1"/>
    <cellStyle name="Lien hypertexte visité" xfId="10856" builtinId="9" hidden="1"/>
    <cellStyle name="Lien hypertexte visité" xfId="9720" builtinId="9" hidden="1"/>
    <cellStyle name="Lien hypertexte visité" xfId="10336" builtinId="9" hidden="1"/>
    <cellStyle name="Lien hypertexte visité" xfId="13792" builtinId="9" hidden="1"/>
    <cellStyle name="Lien hypertexte visité" xfId="19836" builtinId="9" hidden="1"/>
    <cellStyle name="Lien hypertexte visité" xfId="21198" builtinId="9" hidden="1"/>
    <cellStyle name="Lien hypertexte visité" xfId="14473" builtinId="9" hidden="1"/>
    <cellStyle name="Lien hypertexte visité" xfId="11017" builtinId="9" hidden="1"/>
    <cellStyle name="Lien hypertexte visité" xfId="6920" builtinId="9" hidden="1"/>
    <cellStyle name="Lien hypertexte visité" xfId="15327" builtinId="9" hidden="1"/>
    <cellStyle name="Lien hypertexte visité" xfId="13984" builtinId="9" hidden="1"/>
    <cellStyle name="Lien hypertexte visité" xfId="11240" builtinId="9" hidden="1"/>
    <cellStyle name="Lien hypertexte visité" xfId="14781" builtinId="9" hidden="1"/>
    <cellStyle name="Lien hypertexte visité" xfId="21596" builtinId="9" hidden="1"/>
    <cellStyle name="Lien hypertexte visité" xfId="19438" builtinId="9" hidden="1"/>
    <cellStyle name="Lien hypertexte visité" xfId="13569" builtinId="9" hidden="1"/>
    <cellStyle name="Lien hypertexte visité" xfId="10161" builtinId="9" hidden="1"/>
    <cellStyle name="Lien hypertexte visité" xfId="6064" builtinId="9" hidden="1"/>
    <cellStyle name="Lien hypertexte visité" xfId="2642" builtinId="9" hidden="1"/>
    <cellStyle name="Lien hypertexte visité" xfId="7311" builtinId="9" hidden="1"/>
    <cellStyle name="Lien hypertexte visité" xfId="1160" builtinId="9" hidden="1"/>
    <cellStyle name="Lien hypertexte visité" xfId="5115" builtinId="9" hidden="1"/>
    <cellStyle name="Lien hypertexte visité" xfId="10236" builtinId="9" hidden="1"/>
    <cellStyle name="Lien hypertexte visité" xfId="18245" builtinId="9" hidden="1"/>
    <cellStyle name="Lien hypertexte visité" xfId="20758" builtinId="9" hidden="1"/>
    <cellStyle name="Lien hypertexte visité" xfId="12525" builtinId="9" hidden="1"/>
    <cellStyle name="Lien hypertexte visité" xfId="6380" builtinId="9" hidden="1"/>
    <cellStyle name="Lien hypertexte visité" xfId="1253" builtinId="9" hidden="1"/>
    <cellStyle name="Lien hypertexte visité" xfId="5022" builtinId="9" hidden="1"/>
    <cellStyle name="Lien hypertexte visité" xfId="11167" builtinId="9" hidden="1"/>
    <cellStyle name="Lien hypertexte visité" xfId="8466" builtinId="9" hidden="1"/>
    <cellStyle name="Lien hypertexte visité" xfId="6617" builtinId="9" hidden="1"/>
    <cellStyle name="Lien hypertexte visité" xfId="5613" builtinId="9" hidden="1"/>
    <cellStyle name="Lien hypertexte visité" xfId="4769" builtinId="9" hidden="1"/>
    <cellStyle name="Lien hypertexte visité" xfId="3929" builtinId="9" hidden="1"/>
    <cellStyle name="Lien hypertexte visité" xfId="11658" builtinId="9" hidden="1"/>
    <cellStyle name="Lien hypertexte visité" xfId="14689" builtinId="9" hidden="1"/>
    <cellStyle name="Lien hypertexte visité" xfId="20560" builtinId="9" hidden="1"/>
    <cellStyle name="Lien hypertexte visité" xfId="21626" builtinId="9" hidden="1"/>
    <cellStyle name="Lien hypertexte visité" xfId="17787" builtinId="9" hidden="1"/>
    <cellStyle name="Lien hypertexte visité" xfId="19730" builtinId="9" hidden="1"/>
    <cellStyle name="Lien hypertexte visité" xfId="22082" builtinId="9" hidden="1"/>
    <cellStyle name="Lien hypertexte visité" xfId="24042" builtinId="9" hidden="1"/>
    <cellStyle name="Lien hypertexte visité" xfId="23264" builtinId="9" hidden="1"/>
    <cellStyle name="Lien hypertexte visité" xfId="20920" builtinId="9" hidden="1"/>
    <cellStyle name="Lien hypertexte visité" xfId="18952" builtinId="9" hidden="1"/>
    <cellStyle name="Lien hypertexte visité" xfId="17009" builtinId="9" hidden="1"/>
    <cellStyle name="Lien hypertexte visité" xfId="14665" builtinId="9" hidden="1"/>
    <cellStyle name="Lien hypertexte visité" xfId="13630" builtinId="9" hidden="1"/>
    <cellStyle name="Lien hypertexte visité" xfId="12646" builtinId="9" hidden="1"/>
    <cellStyle name="Lien hypertexte visité" xfId="11474" builtinId="9" hidden="1"/>
    <cellStyle name="Lien hypertexte visité" xfId="10494" builtinId="9" hidden="1"/>
    <cellStyle name="Lien hypertexte visité" xfId="9534" builtinId="9" hidden="1"/>
    <cellStyle name="Lien hypertexte visité" xfId="16409" builtinId="9" hidden="1"/>
    <cellStyle name="Lien hypertexte visité" xfId="19178" builtinId="9" hidden="1"/>
    <cellStyle name="Lien hypertexte visité" xfId="4677" builtinId="9" hidden="1"/>
    <cellStyle name="Lien hypertexte visité" xfId="3780" builtinId="9" hidden="1"/>
    <cellStyle name="Lien hypertexte visité" xfId="1887" builtinId="9" hidden="1"/>
    <cellStyle name="Lien hypertexte visité" xfId="1402" builtinId="9" hidden="1"/>
    <cellStyle name="Lien hypertexte visité" xfId="1358" builtinId="9" hidden="1"/>
    <cellStyle name="Lien hypertexte visité" xfId="1823" builtinId="9" hidden="1"/>
    <cellStyle name="Lien hypertexte visité" xfId="3716" builtinId="9" hidden="1"/>
    <cellStyle name="Lien hypertexte visité" xfId="2839" builtinId="9" hidden="1"/>
    <cellStyle name="Lien hypertexte visité" xfId="4681" builtinId="9" hidden="1"/>
    <cellStyle name="Lien hypertexte visité" xfId="7954" builtinId="9" hidden="1"/>
    <cellStyle name="Lien hypertexte visité" xfId="1458" builtinId="9" hidden="1"/>
    <cellStyle name="Lien hypertexte visité" xfId="6849" builtinId="9" hidden="1"/>
    <cellStyle name="Lien hypertexte visité" xfId="7601" builtinId="9" hidden="1"/>
    <cellStyle name="Lien hypertexte visité" xfId="6121" builtinId="9" hidden="1"/>
    <cellStyle name="Lien hypertexte visité" xfId="2611" builtinId="9" hidden="1"/>
    <cellStyle name="Lien hypertexte visité" xfId="6577" builtinId="9" hidden="1"/>
    <cellStyle name="Lien hypertexte visité" xfId="5569" builtinId="9" hidden="1"/>
    <cellStyle name="Lien hypertexte visité" xfId="6301" builtinId="9" hidden="1"/>
    <cellStyle name="Lien hypertexte visité" xfId="4509" builtinId="9" hidden="1"/>
    <cellStyle name="Lien hypertexte visité" xfId="10586" builtinId="9" hidden="1"/>
    <cellStyle name="Lien hypertexte visité" xfId="9242" builtinId="9" hidden="1"/>
    <cellStyle name="Lien hypertexte visité" xfId="4125" builtinId="9" hidden="1"/>
    <cellStyle name="Lien hypertexte visité" xfId="5773" builtinId="9" hidden="1"/>
    <cellStyle name="Lien hypertexte visité" xfId="5021" builtinId="9" hidden="1"/>
    <cellStyle name="Lien hypertexte visité" xfId="2955" builtinId="9" hidden="1"/>
    <cellStyle name="Lien hypertexte visité" xfId="4713" builtinId="9" hidden="1"/>
    <cellStyle name="Lien hypertexte visité" xfId="7966" builtinId="9" hidden="1"/>
    <cellStyle name="Lien hypertexte visité" xfId="7217" builtinId="9" hidden="1"/>
    <cellStyle name="Lien hypertexte visité" xfId="1587" builtinId="9" hidden="1"/>
    <cellStyle name="Lien hypertexte visité" xfId="7569" builtinId="9" hidden="1"/>
    <cellStyle name="Lien hypertexte visité" xfId="7241" builtinId="9" hidden="1"/>
    <cellStyle name="Lien hypertexte visité" xfId="2635" builtinId="9" hidden="1"/>
    <cellStyle name="Lien hypertexte visité" xfId="3367" builtinId="9" hidden="1"/>
    <cellStyle name="Lien hypertexte visité" xfId="1495" builtinId="9" hidden="1"/>
    <cellStyle name="Lien hypertexte visité" xfId="1162" builtinId="9" hidden="1"/>
    <cellStyle name="Lien hypertexte visité" xfId="409" builtinId="9" hidden="1"/>
    <cellStyle name="Lien hypertexte visité" xfId="1859" builtinId="9" hidden="1"/>
    <cellStyle name="Lien hypertexte visité" xfId="3075" builtinId="9" hidden="1"/>
    <cellStyle name="Lien hypertexte visité" xfId="3243" builtinId="9" hidden="1"/>
    <cellStyle name="Lien hypertexte visité" xfId="18145" builtinId="9" hidden="1"/>
    <cellStyle name="Lien hypertexte visité" xfId="20152" builtinId="9" hidden="1"/>
    <cellStyle name="Lien hypertexte visité" xfId="10514" builtinId="9" hidden="1"/>
    <cellStyle name="Lien hypertexte visité" xfId="10046" builtinId="9" hidden="1"/>
    <cellStyle name="Lien hypertexte visité" xfId="11218" builtinId="9" hidden="1"/>
    <cellStyle name="Lien hypertexte visité" xfId="12178" builtinId="9" hidden="1"/>
    <cellStyle name="Lien hypertexte visité" xfId="13158" builtinId="9" hidden="1"/>
    <cellStyle name="Lien hypertexte visité" xfId="14334" builtinId="9" hidden="1"/>
    <cellStyle name="Lien hypertexte visité" xfId="16113" builtinId="9" hidden="1"/>
    <cellStyle name="Lien hypertexte visité" xfId="18033" builtinId="9" hidden="1"/>
    <cellStyle name="Lien hypertexte visité" xfId="20360" builtinId="9" hidden="1"/>
    <cellStyle name="Lien hypertexte visité" xfId="22328" builtinId="9" hidden="1"/>
    <cellStyle name="Lien hypertexte visité" xfId="24288" builtinId="9" hidden="1"/>
    <cellStyle name="Lien hypertexte visité" xfId="22634" builtinId="9" hidden="1"/>
    <cellStyle name="Lien hypertexte visité" xfId="20674" builtinId="9" hidden="1"/>
    <cellStyle name="Lien hypertexte visité" xfId="18706" builtinId="9" hidden="1"/>
    <cellStyle name="Lien hypertexte visité" xfId="20090" builtinId="9" hidden="1"/>
    <cellStyle name="Lien hypertexte visité" xfId="23376" builtinId="9" hidden="1"/>
    <cellStyle name="Lien hypertexte visité" xfId="17505" builtinId="9" hidden="1"/>
    <cellStyle name="Lien hypertexte visité" xfId="12490" builtinId="9" hidden="1"/>
    <cellStyle name="Lien hypertexte visité" xfId="9546" builtinId="9" hidden="1"/>
    <cellStyle name="Lien hypertexte visité" xfId="4369" builtinId="9" hidden="1"/>
    <cellStyle name="Lien hypertexte visité" xfId="5373" builtinId="9" hidden="1"/>
    <cellStyle name="Lien hypertexte visité" xfId="6213" builtinId="9" hidden="1"/>
    <cellStyle name="Lien hypertexte visité" xfId="7057" builtinId="9" hidden="1"/>
    <cellStyle name="Lien hypertexte visité" xfId="12575" builtinId="9" hidden="1"/>
    <cellStyle name="Lien hypertexte visité" xfId="7454" builtinId="9" hidden="1"/>
    <cellStyle name="Lien hypertexte visité" xfId="2328" builtinId="9" hidden="1"/>
    <cellStyle name="Lien hypertexte visité" xfId="4972" builtinId="9" hidden="1"/>
    <cellStyle name="Lien hypertexte visité" xfId="13173" builtinId="9" hidden="1"/>
    <cellStyle name="Lien hypertexte visité" xfId="14277" builtinId="9" hidden="1"/>
    <cellStyle name="Lien hypertexte visité" xfId="16759" builtinId="9" hidden="1"/>
    <cellStyle name="Lien hypertexte visité" xfId="18982" builtinId="9" hidden="1"/>
    <cellStyle name="Lien hypertexte visité" xfId="4025" builtinId="9" hidden="1"/>
    <cellStyle name="Lien hypertexte visité" xfId="5197" builtinId="9" hidden="1"/>
    <cellStyle name="Lien hypertexte visité" xfId="6145" builtinId="9" hidden="1"/>
    <cellStyle name="Lien hypertexte visité" xfId="7097" builtinId="9" hidden="1"/>
    <cellStyle name="Lien hypertexte visité" xfId="7850" builtinId="9" hidden="1"/>
    <cellStyle name="Lien hypertexte visité" xfId="2639" builtinId="9" hidden="1"/>
    <cellStyle name="Lien hypertexte visité" xfId="3527" builtinId="9" hidden="1"/>
    <cellStyle name="Lien hypertexte visité" xfId="1995" builtinId="9" hidden="1"/>
    <cellStyle name="Lien hypertexte visité" xfId="529" builtinId="9" hidden="1"/>
    <cellStyle name="Lien hypertexte visité" xfId="2179" builtinId="9" hidden="1"/>
    <cellStyle name="Lien hypertexte visité" xfId="3728" builtinId="9" hidden="1"/>
    <cellStyle name="Lien hypertexte visité" xfId="2831" builtinId="9" hidden="1"/>
    <cellStyle name="Lien hypertexte visité" xfId="5897" builtinId="9" hidden="1"/>
    <cellStyle name="Lien hypertexte visité" xfId="7377" builtinId="9" hidden="1"/>
    <cellStyle name="Lien hypertexte visité" xfId="6353" builtinId="9" hidden="1"/>
    <cellStyle name="Lien hypertexte visité" xfId="5401" builtinId="9" hidden="1"/>
    <cellStyle name="Lien hypertexte visité" xfId="4229" builtinId="9" hidden="1"/>
    <cellStyle name="Lien hypertexte visité" xfId="10474" builtinId="9" hidden="1"/>
    <cellStyle name="Lien hypertexte visité" xfId="14058" builtinId="9" hidden="1"/>
    <cellStyle name="Lien hypertexte visité" xfId="21776" builtinId="9" hidden="1"/>
    <cellStyle name="Lien hypertexte visité" xfId="20794" builtinId="9" hidden="1"/>
    <cellStyle name="Lien hypertexte visité" xfId="18346" builtinId="9" hidden="1"/>
    <cellStyle name="Lien hypertexte visité" xfId="21074" builtinId="9" hidden="1"/>
    <cellStyle name="Lien hypertexte visité" xfId="23466" builtinId="9" hidden="1"/>
    <cellStyle name="Lien hypertexte visité" xfId="23544" builtinId="9" hidden="1"/>
    <cellStyle name="Lien hypertexte visité" xfId="20808" builtinId="9" hidden="1"/>
    <cellStyle name="Lien hypertexte visité" xfId="18592" builtinId="9" hidden="1"/>
    <cellStyle name="Lien hypertexte visité" xfId="16217" builtinId="9" hidden="1"/>
    <cellStyle name="Lien hypertexte visité" xfId="14002" builtinId="9" hidden="1"/>
    <cellStyle name="Lien hypertexte visité" xfId="12894" builtinId="9" hidden="1"/>
    <cellStyle name="Lien hypertexte visité" xfId="11782" builtinId="9" hidden="1"/>
    <cellStyle name="Lien hypertexte visité" xfId="10418" builtinId="9" hidden="1"/>
    <cellStyle name="Lien hypertexte visité" xfId="9222" builtinId="9" hidden="1"/>
    <cellStyle name="Lien hypertexte visité" xfId="17003" builtinId="9" hidden="1"/>
    <cellStyle name="Lien hypertexte visité" xfId="13711" builtinId="9" hidden="1"/>
    <cellStyle name="Lien hypertexte visité" xfId="12047" builtinId="9" hidden="1"/>
    <cellStyle name="Lien hypertexte visité" xfId="10255" builtinId="9" hidden="1"/>
    <cellStyle name="Lien hypertexte visité" xfId="8207" builtinId="9" hidden="1"/>
    <cellStyle name="Lien hypertexte visité" xfId="6542" builtinId="9" hidden="1"/>
    <cellStyle name="Lien hypertexte visité" xfId="4878" builtinId="9" hidden="1"/>
    <cellStyle name="Lien hypertexte visité" xfId="2824" builtinId="9" hidden="1"/>
    <cellStyle name="Lien hypertexte visité" xfId="899" builtinId="9" hidden="1"/>
    <cellStyle name="Lien hypertexte visité" xfId="1782" builtinId="9" hidden="1"/>
    <cellStyle name="Lien hypertexte visité" xfId="3839" builtinId="9" hidden="1"/>
    <cellStyle name="Lien hypertexte visité" xfId="5500" builtinId="9" hidden="1"/>
    <cellStyle name="Lien hypertexte visité" xfId="7292" builtinId="9" hidden="1"/>
    <cellStyle name="Lien hypertexte visité" xfId="9341" builtinId="9" hidden="1"/>
    <cellStyle name="Lien hypertexte visité" xfId="11005" builtinId="9" hidden="1"/>
    <cellStyle name="Lien hypertexte visité" xfId="12669" builtinId="9" hidden="1"/>
    <cellStyle name="Lien hypertexte visité" xfId="14919" builtinId="9" hidden="1"/>
    <cellStyle name="Lien hypertexte visité" xfId="18486" builtinId="9" hidden="1"/>
    <cellStyle name="Lien hypertexte visité" xfId="21814" builtinId="9" hidden="1"/>
    <cellStyle name="Lien hypertexte visité" xfId="23316" builtinId="9" hidden="1"/>
    <cellStyle name="Lien hypertexte visité" xfId="19988" builtinId="9" hidden="1"/>
    <cellStyle name="Lien hypertexte visité" xfId="16421" builtinId="9" hidden="1"/>
    <cellStyle name="Lien hypertexte visité" xfId="13420" builtinId="9" hidden="1"/>
    <cellStyle name="Lien hypertexte visité" xfId="11756" builtinId="9" hidden="1"/>
    <cellStyle name="Lien hypertexte visité" xfId="10092" builtinId="9" hidden="1"/>
    <cellStyle name="Lien hypertexte visité" xfId="8044" builtinId="9" hidden="1"/>
    <cellStyle name="Lien hypertexte visité" xfId="6251" builtinId="9" hidden="1"/>
    <cellStyle name="Lien hypertexte visité" xfId="4587" builtinId="9" hidden="1"/>
    <cellStyle name="Lien hypertexte visité" xfId="2533" builtinId="9" hidden="1"/>
    <cellStyle name="Lien hypertexte visité" xfId="573" builtinId="9" hidden="1"/>
    <cellStyle name="Lien hypertexte visité" xfId="2073" builtinId="9" hidden="1"/>
    <cellStyle name="Lien hypertexte visité" xfId="4127" builtinId="9" hidden="1"/>
    <cellStyle name="Lien hypertexte visité" xfId="5791" builtinId="9" hidden="1"/>
    <cellStyle name="Lien hypertexte visité" xfId="7455" builtinId="9" hidden="1"/>
    <cellStyle name="Lien hypertexte visité" xfId="215" builtinId="9" hidden="1"/>
    <cellStyle name="Lien hypertexte visité" xfId="1882" builtinId="9" hidden="1"/>
    <cellStyle name="Lien hypertexte visité" xfId="2994" builtinId="9" hidden="1"/>
    <cellStyle name="Lien hypertexte visité" xfId="4368" builtinId="9" hidden="1"/>
    <cellStyle name="Lien hypertexte visité" xfId="5472" builtinId="9" hidden="1"/>
    <cellStyle name="Lien hypertexte visité" xfId="6672" builtinId="9" hidden="1"/>
    <cellStyle name="Lien hypertexte visité" xfId="8033" builtinId="9" hidden="1"/>
    <cellStyle name="Lien hypertexte visité" xfId="9145" builtinId="9" hidden="1"/>
    <cellStyle name="Lien hypertexte visité" xfId="10257" builtinId="9" hidden="1"/>
    <cellStyle name="Lien hypertexte visité" xfId="11617" builtinId="9" hidden="1"/>
    <cellStyle name="Lien hypertexte visité" xfId="12817" builtinId="9" hidden="1"/>
    <cellStyle name="Lien hypertexte visité" xfId="13921" builtinId="9" hidden="1"/>
    <cellStyle name="Lien hypertexte visité" xfId="16063" builtinId="9" hidden="1"/>
    <cellStyle name="Lien hypertexte visité" xfId="18287" builtinId="9" hidden="1"/>
    <cellStyle name="Lien hypertexte visité" xfId="20654" builtinId="9" hidden="1"/>
    <cellStyle name="Lien hypertexte visité" xfId="23390" builtinId="9" hidden="1"/>
    <cellStyle name="Lien hypertexte visité" xfId="23628" builtinId="9" hidden="1"/>
    <cellStyle name="Lien hypertexte visité" xfId="21404" builtinId="9" hidden="1"/>
    <cellStyle name="Lien hypertexte visité" xfId="18668" builtinId="9" hidden="1"/>
    <cellStyle name="Lien hypertexte visité" xfId="16301" builtinId="9" hidden="1"/>
    <cellStyle name="Lien hypertexte visité" xfId="14296" builtinId="9" hidden="1"/>
    <cellStyle name="Lien hypertexte visité" xfId="12936" builtinId="9" hidden="1"/>
    <cellStyle name="Lien hypertexte visité" xfId="11824" builtinId="9" hidden="1"/>
    <cellStyle name="Lien hypertexte visité" xfId="10632" builtinId="9" hidden="1"/>
    <cellStyle name="Lien hypertexte visité" xfId="9264" builtinId="9" hidden="1"/>
    <cellStyle name="Lien hypertexte visité" xfId="10944" builtinId="9" hidden="1"/>
    <cellStyle name="Lien hypertexte visité" xfId="14272" builtinId="9" hidden="1"/>
    <cellStyle name="Lien hypertexte visité" xfId="22204" builtinId="9" hidden="1"/>
    <cellStyle name="Lien hypertexte visité" xfId="19854" builtinId="9" hidden="1"/>
    <cellStyle name="Lien hypertexte visité" xfId="13865" builtinId="9" hidden="1"/>
    <cellStyle name="Lien hypertexte visité" xfId="9769" builtinId="9" hidden="1"/>
    <cellStyle name="Lien hypertexte visité" xfId="6440" builtinId="9" hidden="1"/>
    <cellStyle name="Lien hypertexte visité" xfId="2850" builtinId="9" hidden="1"/>
    <cellStyle name="Lien hypertexte visité" xfId="9051" builtinId="9" hidden="1"/>
    <cellStyle name="Lien hypertexte visité" xfId="8107" builtinId="9" hidden="1"/>
    <cellStyle name="Lien hypertexte visité" xfId="7154" builtinId="9" hidden="1"/>
    <cellStyle name="Lien hypertexte visité" xfId="5978" builtinId="9" hidden="1"/>
    <cellStyle name="Lien hypertexte visité" xfId="4954" builtinId="9" hidden="1"/>
    <cellStyle name="Lien hypertexte visité" xfId="4010" builtinId="9" hidden="1"/>
    <cellStyle name="Lien hypertexte visité" xfId="2828" builtinId="9" hidden="1"/>
    <cellStyle name="Lien hypertexte visité" xfId="1876" builtinId="9" hidden="1"/>
    <cellStyle name="Lien hypertexte visité" xfId="1179" builtinId="9" hidden="1"/>
    <cellStyle name="Lien hypertexte visité" xfId="9379" builtinId="9" hidden="1"/>
    <cellStyle name="Lien hypertexte visité" xfId="12035" builtinId="9" hidden="1"/>
    <cellStyle name="Lien hypertexte visité" xfId="11147" builtinId="9" hidden="1"/>
    <cellStyle name="Lien hypertexte visité" xfId="10059" builtinId="9" hidden="1"/>
    <cellStyle name="Lien hypertexte visité" xfId="14315" builtinId="9" hidden="1"/>
    <cellStyle name="Lien hypertexte visité" xfId="13459" builtinId="9" hidden="1"/>
    <cellStyle name="Lien hypertexte visité" xfId="14979" builtinId="9" hidden="1"/>
    <cellStyle name="Lien hypertexte visité" xfId="17123" builtinId="9" hidden="1"/>
    <cellStyle name="Lien hypertexte visité" xfId="14467" builtinId="9" hidden="1"/>
    <cellStyle name="Lien hypertexte visité" xfId="13171" builtinId="9" hidden="1"/>
    <cellStyle name="Lien hypertexte visité" xfId="14027" builtinId="9" hidden="1"/>
    <cellStyle name="Lien hypertexte visité" xfId="9691" builtinId="9" hidden="1"/>
    <cellStyle name="Lien hypertexte visité" xfId="10779" builtinId="9" hidden="1"/>
    <cellStyle name="Lien hypertexte visité" xfId="11739" builtinId="9" hidden="1"/>
    <cellStyle name="Lien hypertexte visité" xfId="12627" builtinId="9" hidden="1"/>
    <cellStyle name="Lien hypertexte visité" xfId="3420" builtinId="9" hidden="1"/>
    <cellStyle name="Lien hypertexte visité" xfId="1483" builtinId="9" hidden="1"/>
    <cellStyle name="Lien hypertexte visité" xfId="2508" builtinId="9" hidden="1"/>
    <cellStyle name="Lien hypertexte visité" xfId="3692" builtinId="9" hidden="1"/>
    <cellStyle name="Lien hypertexte visité" xfId="4634" builtinId="9" hidden="1"/>
    <cellStyle name="Lien hypertexte visité" xfId="5586" builtinId="9" hidden="1"/>
    <cellStyle name="Lien hypertexte visité" xfId="6762" builtinId="9" hidden="1"/>
    <cellStyle name="Lien hypertexte visité" xfId="7786" builtinId="9" hidden="1"/>
    <cellStyle name="Lien hypertexte visité" xfId="8731" builtinId="9" hidden="1"/>
    <cellStyle name="Lien hypertexte visité" xfId="1730" builtinId="9" hidden="1"/>
    <cellStyle name="Lien hypertexte visité" xfId="5064" builtinId="9" hidden="1"/>
    <cellStyle name="Lien hypertexte visité" xfId="8742" builtinId="9" hidden="1"/>
    <cellStyle name="Lien hypertexte visité" xfId="16139" builtinId="9" hidden="1"/>
    <cellStyle name="Lien hypertexte visité" xfId="14207" builtinId="9" hidden="1"/>
    <cellStyle name="Lien hypertexte visité" xfId="13119" builtinId="9" hidden="1"/>
    <cellStyle name="Lien hypertexte visité" xfId="11743" builtinId="9" hidden="1"/>
    <cellStyle name="Lien hypertexte visité" xfId="10559" builtinId="9" hidden="1"/>
    <cellStyle name="Lien hypertexte visité" xfId="9439" builtinId="9" hidden="1"/>
    <cellStyle name="Lien hypertexte visité" xfId="8063" builtinId="9" hidden="1"/>
    <cellStyle name="Lien hypertexte visité" xfId="6974" builtinId="9" hidden="1"/>
    <cellStyle name="Lien hypertexte visité" xfId="5758" builtinId="9" hidden="1"/>
    <cellStyle name="Lien hypertexte visité" xfId="4414" builtinId="9" hidden="1"/>
    <cellStyle name="Lien hypertexte visité" xfId="3288" builtinId="9" hidden="1"/>
    <cellStyle name="Lien hypertexte visité" xfId="2168" builtinId="9" hidden="1"/>
    <cellStyle name="Lien hypertexte visité" xfId="483" builtinId="9" hidden="1"/>
    <cellStyle name="Lien hypertexte visité" xfId="1542" builtinId="9" hidden="1"/>
    <cellStyle name="Lien hypertexte visité" xfId="2630" builtinId="9" hidden="1"/>
    <cellStyle name="Lien hypertexte visité" xfId="4012" builtinId="9" hidden="1"/>
    <cellStyle name="Lien hypertexte visité" xfId="5132" builtinId="9" hidden="1"/>
    <cellStyle name="Lien hypertexte visité" xfId="6316" builtinId="9" hidden="1"/>
    <cellStyle name="Lien hypertexte visité" xfId="7692" builtinId="9" hidden="1"/>
    <cellStyle name="Lien hypertexte visité" xfId="8781" builtinId="9" hidden="1"/>
    <cellStyle name="Lien hypertexte visité" xfId="9901" builtinId="9" hidden="1"/>
    <cellStyle name="Lien hypertexte visité" xfId="11277" builtinId="9" hidden="1"/>
    <cellStyle name="Lien hypertexte visité" xfId="12461" builtinId="9" hidden="1"/>
    <cellStyle name="Lien hypertexte visité" xfId="13581" builtinId="9" hidden="1"/>
    <cellStyle name="Lien hypertexte visité" xfId="15335" builtinId="9" hidden="1"/>
    <cellStyle name="Lien hypertexte visité" xfId="17575" builtinId="9" hidden="1"/>
    <cellStyle name="Lien hypertexte visité" xfId="19926" builtinId="9" hidden="1"/>
    <cellStyle name="Lien hypertexte visité" xfId="22678" builtinId="9" hidden="1"/>
    <cellStyle name="Lien hypertexte visité" xfId="24308" builtinId="9" hidden="1"/>
    <cellStyle name="Lien hypertexte visité" xfId="22132" builtinId="9" hidden="1"/>
    <cellStyle name="Lien hypertexte visité" xfId="19380" builtinId="9" hidden="1"/>
    <cellStyle name="Lien hypertexte visité" xfId="17029" builtinId="9" hidden="1"/>
    <cellStyle name="Lien hypertexte visité" xfId="14789" builtinId="9" hidden="1"/>
    <cellStyle name="Lien hypertexte visité" xfId="13276" builtinId="9" hidden="1"/>
    <cellStyle name="Lien hypertexte visité" xfId="12188" builtinId="9" hidden="1"/>
    <cellStyle name="Lien hypertexte visité" xfId="10972" builtinId="9" hidden="1"/>
    <cellStyle name="Lien hypertexte visité" xfId="9628" builtinId="9" hidden="1"/>
    <cellStyle name="Lien hypertexte visité" xfId="8508" builtinId="9" hidden="1"/>
    <cellStyle name="Lien hypertexte visité" xfId="7387" builtinId="9" hidden="1"/>
    <cellStyle name="Lien hypertexte visité" xfId="6043" builtinId="9" hidden="1"/>
    <cellStyle name="Lien hypertexte visité" xfId="4827" builtinId="9" hidden="1"/>
    <cellStyle name="Lien hypertexte visité" xfId="3742" builtinId="9" hidden="1"/>
    <cellStyle name="Lien hypertexte visité" xfId="2357" builtinId="9" hidden="1"/>
    <cellStyle name="Lien hypertexte visité" xfId="1236" builtinId="9" hidden="1"/>
    <cellStyle name="Lien hypertexte visité" xfId="1029" builtinId="9" hidden="1"/>
    <cellStyle name="Lien hypertexte visité" xfId="2473" builtinId="9" hidden="1"/>
    <cellStyle name="Lien hypertexte visité" xfId="3562" builtinId="9" hidden="1"/>
    <cellStyle name="Lien hypertexte visité" xfId="4687" builtinId="9" hidden="1"/>
    <cellStyle name="Lien hypertexte visité" xfId="6063" builtinId="9" hidden="1"/>
    <cellStyle name="Lien hypertexte visité" xfId="7247" builtinId="9" hidden="1"/>
    <cellStyle name="Lien hypertexte visité" xfId="8368" builtinId="9" hidden="1"/>
    <cellStyle name="Lien hypertexte visité" xfId="487" builtinId="9" hidden="1"/>
    <cellStyle name="Lien hypertexte visité" xfId="1578" builtinId="9" hidden="1"/>
    <cellStyle name="Lien hypertexte visité" xfId="2362" builtinId="9" hidden="1"/>
    <cellStyle name="Lien hypertexte visité" xfId="3282" builtinId="9" hidden="1"/>
    <cellStyle name="Lien hypertexte visité" xfId="4032" builtinId="9" hidden="1"/>
    <cellStyle name="Lien hypertexte visité" xfId="4760" builtinId="9" hidden="1"/>
    <cellStyle name="Lien hypertexte visité" xfId="5680" builtinId="9" hidden="1"/>
    <cellStyle name="Lien hypertexte visité" xfId="6464" builtinId="9" hidden="1"/>
    <cellStyle name="Lien hypertexte visité" xfId="7216" builtinId="9" hidden="1"/>
    <cellStyle name="Lien hypertexte visité" xfId="8129" builtinId="9" hidden="1"/>
    <cellStyle name="Lien hypertexte visité" xfId="8857" builtinId="9" hidden="1"/>
    <cellStyle name="Lien hypertexte visité" xfId="9665" builtinId="9" hidden="1"/>
    <cellStyle name="Lien hypertexte visité" xfId="10561" builtinId="9" hidden="1"/>
    <cellStyle name="Lien hypertexte visité" xfId="11313" builtinId="9" hidden="1"/>
    <cellStyle name="Lien hypertexte visité" xfId="12057" builtinId="9" hidden="1"/>
    <cellStyle name="Lien hypertexte visité" xfId="12953" builtinId="9" hidden="1"/>
    <cellStyle name="Lien hypertexte visité" xfId="13761" builtinId="9" hidden="1"/>
    <cellStyle name="Lien hypertexte visité" xfId="14489" builtinId="9" hidden="1"/>
    <cellStyle name="Lien hypertexte visité" xfId="16303" builtinId="9" hidden="1"/>
    <cellStyle name="Lien hypertexte visité" xfId="17791" builtinId="9" hidden="1"/>
    <cellStyle name="Lien hypertexte visité" xfId="19358" builtinId="9" hidden="1"/>
    <cellStyle name="Lien hypertexte visité" xfId="21182" builtinId="9" hidden="1"/>
    <cellStyle name="Lien hypertexte visité" xfId="22638" builtinId="9" hidden="1"/>
    <cellStyle name="Lien hypertexte visité" xfId="24126" builtinId="9" hidden="1"/>
    <cellStyle name="Lien hypertexte visité" xfId="23260" builtinId="9" hidden="1"/>
    <cellStyle name="Lien hypertexte visité" xfId="21676" builtinId="9" hidden="1"/>
    <cellStyle name="Lien hypertexte visité" xfId="20188" builtinId="9" hidden="1"/>
    <cellStyle name="Lien hypertexte visité" xfId="18396" builtinId="9" hidden="1"/>
    <cellStyle name="Lien hypertexte visité" xfId="16925" builtinId="9" hidden="1"/>
    <cellStyle name="Lien hypertexte visité" xfId="15341" builtinId="9" hidden="1"/>
    <cellStyle name="Lien hypertexte visité" xfId="14008" builtinId="9" hidden="1"/>
    <cellStyle name="Lien hypertexte visité" xfId="13264" builtinId="9" hidden="1"/>
    <cellStyle name="Lien hypertexte visité" xfId="12536" builtinId="9" hidden="1"/>
    <cellStyle name="Lien hypertexte visité" xfId="11624" builtinId="9" hidden="1"/>
    <cellStyle name="Lien hypertexte visité" xfId="10832" builtinId="9" hidden="1"/>
    <cellStyle name="Lien hypertexte visité" xfId="10088" builtinId="9" hidden="1"/>
    <cellStyle name="Lien hypertexte visité" xfId="9168" builtinId="9" hidden="1"/>
    <cellStyle name="Lien hypertexte visité" xfId="10080" builtinId="9" hidden="1"/>
    <cellStyle name="Lien hypertexte visité" xfId="12512" builtinId="9" hidden="1"/>
    <cellStyle name="Lien hypertexte visité" xfId="15885" builtinId="9" hidden="1"/>
    <cellStyle name="Lien hypertexte visité" xfId="20348" builtinId="9" hidden="1"/>
    <cellStyle name="Lien hypertexte visité" xfId="24398" builtinId="9" hidden="1"/>
    <cellStyle name="Lien hypertexte visité" xfId="19022" builtinId="9" hidden="1"/>
    <cellStyle name="Lien hypertexte visité" xfId="14345" builtinId="9" hidden="1"/>
    <cellStyle name="Lien hypertexte visité" xfId="12169" builtinId="9" hidden="1"/>
    <cellStyle name="Lien hypertexte visité" xfId="9417" builtinId="9" hidden="1"/>
    <cellStyle name="Lien hypertexte visité" xfId="7176" builtinId="9" hidden="1"/>
    <cellStyle name="Lien hypertexte visité" xfId="11081" builtinId="9" hidden="1"/>
    <cellStyle name="Lien hypertexte visité" xfId="24014" builtinId="9" hidden="1"/>
    <cellStyle name="Lien hypertexte visité" xfId="13216" builtinId="9" hidden="1"/>
    <cellStyle name="Lien hypertexte visité" xfId="9616" builtinId="9" hidden="1"/>
    <cellStyle name="Lien hypertexte visité" xfId="12344" builtinId="9" hidden="1"/>
    <cellStyle name="Lien hypertexte visité" xfId="14957" builtinId="9" hidden="1"/>
    <cellStyle name="Lien hypertexte visité" xfId="19372" builtinId="9" hidden="1"/>
    <cellStyle name="Lien hypertexte visité" xfId="24382" builtinId="9" hidden="1"/>
    <cellStyle name="Lien hypertexte visité" xfId="19950" builtinId="9" hidden="1"/>
    <cellStyle name="Lien hypertexte visité" xfId="15183" builtinId="9" hidden="1"/>
    <cellStyle name="Lien hypertexte visité" xfId="12121" builtinId="9" hidden="1"/>
    <cellStyle name="Lien hypertexte visité" xfId="9905" builtinId="9" hidden="1"/>
    <cellStyle name="Lien hypertexte visité" xfId="7680" builtinId="9" hidden="1"/>
    <cellStyle name="Lien hypertexte visité" xfId="4952" builtinId="9" hidden="1"/>
    <cellStyle name="Lien hypertexte visité" xfId="2554" builtinId="9" hidden="1"/>
    <cellStyle name="Lien hypertexte visité" xfId="459" builtinId="9" hidden="1"/>
    <cellStyle name="Lien hypertexte visité" xfId="4879" builtinId="9" hidden="1"/>
    <cellStyle name="Lien hypertexte visité" xfId="1545" builtinId="9" hidden="1"/>
    <cellStyle name="Lien hypertexte visité" xfId="3189" builtinId="9" hidden="1"/>
    <cellStyle name="Lien hypertexte visité" xfId="7291" builtinId="9" hidden="1"/>
    <cellStyle name="Lien hypertexte visité" xfId="10620" builtinId="9" hidden="1"/>
    <cellStyle name="Lien hypertexte visité" xfId="13948" builtinId="9" hidden="1"/>
    <cellStyle name="Lien hypertexte visité" xfId="21556" builtinId="9" hidden="1"/>
    <cellStyle name="Lien hypertexte visité" xfId="20502" builtinId="9" hidden="1"/>
    <cellStyle name="Lien hypertexte visité" xfId="14189" builtinId="9" hidden="1"/>
    <cellStyle name="Lien hypertexte visité" xfId="10093" builtinId="9" hidden="1"/>
    <cellStyle name="Lien hypertexte visité" xfId="12653" builtinId="9" hidden="1"/>
    <cellStyle name="Lien hypertexte visité" xfId="17989" builtinId="9" hidden="1"/>
    <cellStyle name="Lien hypertexte visité" xfId="3963" builtinId="9" hidden="1"/>
    <cellStyle name="Lien hypertexte visité" xfId="7439" builtinId="9" hidden="1"/>
    <cellStyle name="Lien hypertexte visité" xfId="6144" builtinId="9" hidden="1"/>
    <cellStyle name="Lien hypertexte visité" xfId="14337" builtinId="9" hidden="1"/>
    <cellStyle name="Lien hypertexte visité" xfId="21420" builtinId="9" hidden="1"/>
    <cellStyle name="Lien hypertexte visité" xfId="11152" builtinId="9" hidden="1"/>
    <cellStyle name="Lien hypertexte visité" xfId="12617" builtinId="9" hidden="1"/>
    <cellStyle name="Lien hypertexte visité" xfId="11145" builtinId="9" hidden="1"/>
    <cellStyle name="Lien hypertexte visité" xfId="21326" builtinId="9" hidden="1"/>
    <cellStyle name="Lien hypertexte visité" xfId="13024" builtinId="9" hidden="1"/>
    <cellStyle name="Lien hypertexte visité" xfId="9744" builtinId="9" hidden="1"/>
    <cellStyle name="Lien hypertexte visité" xfId="12024" builtinId="9" hidden="1"/>
    <cellStyle name="Lien hypertexte visité" xfId="15005" builtinId="9" hidden="1"/>
    <cellStyle name="Lien hypertexte visité" xfId="19500" builtinId="9" hidden="1"/>
    <cellStyle name="Lien hypertexte visité" xfId="24076" builtinId="9" hidden="1"/>
    <cellStyle name="Lien hypertexte visité" xfId="19694" builtinId="9" hidden="1"/>
    <cellStyle name="Lien hypertexte visité" xfId="15151" builtinId="9" hidden="1"/>
    <cellStyle name="Lien hypertexte visité" xfId="12569" builtinId="9" hidden="1"/>
    <cellStyle name="Lien hypertexte visité" xfId="9841" builtinId="9" hidden="1"/>
    <cellStyle name="Lien hypertexte visité" xfId="7552" builtinId="9" hidden="1"/>
    <cellStyle name="Lien hypertexte visité" xfId="5272" builtinId="9" hidden="1"/>
    <cellStyle name="Lien hypertexte visité" xfId="2538" builtinId="9" hidden="1"/>
    <cellStyle name="Lien hypertexte visité" xfId="587" builtinId="9" hidden="1"/>
    <cellStyle name="Lien hypertexte visité" xfId="5455" builtinId="9" hidden="1"/>
    <cellStyle name="Lien hypertexte visité" xfId="1352" builtinId="9" hidden="1"/>
    <cellStyle name="Lien hypertexte visité" xfId="3221" builtinId="9" hidden="1"/>
    <cellStyle name="Lien hypertexte visité" xfId="6619" builtinId="9" hidden="1"/>
    <cellStyle name="Lien hypertexte visité" xfId="10716" builtinId="9" hidden="1"/>
    <cellStyle name="Lien hypertexte visité" xfId="14140" builtinId="9" hidden="1"/>
    <cellStyle name="Lien hypertexte visité" xfId="20596" builtinId="9" hidden="1"/>
    <cellStyle name="Lien hypertexte visité" xfId="20438" builtinId="9" hidden="1"/>
    <cellStyle name="Lien hypertexte visité" xfId="14093" builtinId="9" hidden="1"/>
    <cellStyle name="Lien hypertexte visité" xfId="10669" builtinId="9" hidden="1"/>
    <cellStyle name="Lien hypertexte visité" xfId="6572" builtinId="9" hidden="1"/>
    <cellStyle name="Lien hypertexte visité" xfId="3142" builtinId="9" hidden="1"/>
    <cellStyle name="Lien hypertexte visité" xfId="1399" builtinId="9" hidden="1"/>
    <cellStyle name="Lien hypertexte visité" xfId="5502" builtinId="9" hidden="1"/>
    <cellStyle name="Lien hypertexte visité" xfId="8927" builtinId="9" hidden="1"/>
    <cellStyle name="Lien hypertexte visité" xfId="12351" builtinId="9" hidden="1"/>
    <cellStyle name="Lien hypertexte visité" xfId="8574" builtinId="9" hidden="1"/>
    <cellStyle name="Lien hypertexte visité" xfId="9171" builtinId="9" hidden="1"/>
    <cellStyle name="Lien hypertexte visité" xfId="6250" builtinId="9" hidden="1"/>
    <cellStyle name="Lien hypertexte visité" xfId="2732" builtinId="9" hidden="1"/>
    <cellStyle name="Lien hypertexte visité" xfId="8547" builtinId="9" hidden="1"/>
    <cellStyle name="Lien hypertexte visité" xfId="10307" builtinId="9" hidden="1"/>
    <cellStyle name="Lien hypertexte visité" xfId="14803" builtinId="9" hidden="1"/>
    <cellStyle name="Lien hypertexte visité" xfId="13059" builtinId="9" hidden="1"/>
    <cellStyle name="Lien hypertexte visité" xfId="10539" builtinId="9" hidden="1"/>
    <cellStyle name="Lien hypertexte visité" xfId="2716" builtinId="9" hidden="1"/>
    <cellStyle name="Lien hypertexte visité" xfId="3565" builtinId="9" hidden="1"/>
    <cellStyle name="Lien hypertexte visité" xfId="6490" builtinId="9" hidden="1"/>
    <cellStyle name="Lien hypertexte visité" xfId="2082" builtinId="9" hidden="1"/>
    <cellStyle name="Lien hypertexte visité" xfId="12329" builtinId="9" hidden="1"/>
    <cellStyle name="Lien hypertexte visité" xfId="18620" builtinId="9" hidden="1"/>
    <cellStyle name="Lien hypertexte visité" xfId="10376" builtinId="9" hidden="1"/>
    <cellStyle name="Lien hypertexte visité" xfId="13784" builtinId="9" hidden="1"/>
    <cellStyle name="Lien hypertexte visité" xfId="19868" builtinId="9" hidden="1"/>
    <cellStyle name="Lien hypertexte visité" xfId="21166" builtinId="9" hidden="1"/>
    <cellStyle name="Lien hypertexte visité" xfId="14433" builtinId="9" hidden="1"/>
    <cellStyle name="Lien hypertexte visité" xfId="11025" builtinId="9" hidden="1"/>
    <cellStyle name="Lien hypertexte visité" xfId="6928" builtinId="9" hidden="1"/>
    <cellStyle name="Lien hypertexte visité" xfId="3506" builtinId="9" hidden="1"/>
    <cellStyle name="Lien hypertexte visité" xfId="8608" builtinId="9" hidden="1"/>
    <cellStyle name="Lien hypertexte visité" xfId="2457" builtinId="9" hidden="1"/>
    <cellStyle name="Lien hypertexte visité" xfId="3822" builtinId="9" hidden="1"/>
    <cellStyle name="Lien hypertexte visité" xfId="8940" builtinId="9" hidden="1"/>
    <cellStyle name="Lien hypertexte visité" xfId="15653" builtinId="9" hidden="1"/>
    <cellStyle name="Lien hypertexte visité" xfId="23350" builtinId="9" hidden="1"/>
    <cellStyle name="Lien hypertexte visité" xfId="21780" builtinId="9" hidden="1"/>
    <cellStyle name="Lien hypertexte visité" xfId="1765" builtinId="9" hidden="1"/>
    <cellStyle name="Lien hypertexte visité" xfId="4880" builtinId="9" hidden="1"/>
    <cellStyle name="Lien hypertexte visité" xfId="17087" builtinId="9" hidden="1"/>
    <cellStyle name="Lien hypertexte visité" xfId="12424" builtinId="9" hidden="1"/>
    <cellStyle name="Lien hypertexte visité" xfId="8233" builtinId="9" hidden="1"/>
    <cellStyle name="Lien hypertexte visité" xfId="2388" builtinId="9" hidden="1"/>
    <cellStyle name="Lien hypertexte visité" xfId="16419" builtinId="9" hidden="1"/>
    <cellStyle name="Lien hypertexte visité" xfId="779" builtinId="9" hidden="1"/>
    <cellStyle name="Lien hypertexte visité" xfId="3266" builtinId="9" hidden="1"/>
    <cellStyle name="Lien hypertexte visité" xfId="7550" builtinId="9" hidden="1"/>
    <cellStyle name="Lien hypertexte visité" xfId="4524" builtinId="9" hidden="1"/>
    <cellStyle name="Lien hypertexte visité" xfId="16359" builtinId="9" hidden="1"/>
    <cellStyle name="Lien hypertexte visité" xfId="12764" builtinId="9" hidden="1"/>
    <cellStyle name="Lien hypertexte visité" xfId="1845" builtinId="9" hidden="1"/>
    <cellStyle name="Lien hypertexte visité" xfId="1169" builtinId="9" hidden="1"/>
    <cellStyle name="Lien hypertexte visité" xfId="8473" builtinId="9" hidden="1"/>
    <cellStyle name="Lien hypertexte visité" xfId="16975" builtinId="9" hidden="1"/>
    <cellStyle name="Lien hypertexte visité" xfId="17725" builtinId="9" hidden="1"/>
    <cellStyle name="Lien hypertexte visité" xfId="8928" builtinId="9" hidden="1"/>
    <cellStyle name="Lien hypertexte visité" xfId="8393" builtinId="9" hidden="1"/>
    <cellStyle name="Lien hypertexte visité" xfId="22334" builtinId="9" hidden="1"/>
    <cellStyle name="Lien hypertexte visité" xfId="3337" builtinId="9" hidden="1"/>
    <cellStyle name="Lien hypertexte visité" xfId="8557" builtinId="9" hidden="1"/>
    <cellStyle name="Lien hypertexte visité" xfId="23574" builtinId="9" hidden="1"/>
    <cellStyle name="Lien hypertexte visité" xfId="9340" builtinId="9" hidden="1"/>
    <cellStyle name="Lien hypertexte visité" xfId="2825" builtinId="9" hidden="1"/>
    <cellStyle name="Lien hypertexte visité" xfId="3579" builtinId="9" hidden="1"/>
    <cellStyle name="Lien hypertexte visité" xfId="10753" builtinId="9" hidden="1"/>
    <cellStyle name="Lien hypertexte visité" xfId="21662" builtinId="9" hidden="1"/>
    <cellStyle name="Lien hypertexte visité" xfId="13712" builtinId="9" hidden="1"/>
    <cellStyle name="Lien hypertexte visité" xfId="17037" builtinId="9" hidden="1"/>
    <cellStyle name="Lien hypertexte visité" xfId="8073" builtinId="9" hidden="1"/>
    <cellStyle name="Lien hypertexte visité" xfId="16223" builtinId="9" hidden="1"/>
    <cellStyle name="Lien hypertexte visité" xfId="18684" builtinId="9" hidden="1"/>
    <cellStyle name="Lien hypertexte visité" xfId="9248" builtinId="9" hidden="1"/>
    <cellStyle name="Lien hypertexte visité" xfId="11176" builtinId="9" hidden="1"/>
    <cellStyle name="Lien hypertexte visité" xfId="13560" builtinId="9" hidden="1"/>
    <cellStyle name="Lien hypertexte visité" xfId="17469" builtinId="9" hidden="1"/>
    <cellStyle name="Lien hypertexte visité" xfId="22364" builtinId="9" hidden="1"/>
    <cellStyle name="Lien hypertexte visité" xfId="22078" builtinId="9" hidden="1"/>
    <cellStyle name="Lien hypertexte visité" xfId="17199" builtinId="9" hidden="1"/>
    <cellStyle name="Lien hypertexte visité" xfId="13425" builtinId="9" hidden="1"/>
    <cellStyle name="Lien hypertexte visité" xfId="11033" builtinId="9" hidden="1"/>
    <cellStyle name="Lien hypertexte visité" xfId="8577" builtinId="9" hidden="1"/>
    <cellStyle name="Lien hypertexte visité" xfId="6128" builtinId="9" hidden="1"/>
    <cellStyle name="Lien hypertexte visité" xfId="3739" builtinId="9" hidden="1"/>
    <cellStyle name="Lien hypertexte visité" xfId="1297" builtinId="9" hidden="1"/>
    <cellStyle name="Lien hypertexte visité" xfId="6735" builtinId="9" hidden="1"/>
    <cellStyle name="Lien hypertexte visité" xfId="3145" builtinId="9" hidden="1"/>
    <cellStyle name="Lien hypertexte visité" xfId="1685" builtinId="9" hidden="1"/>
    <cellStyle name="Lien hypertexte visité" xfId="5339" builtinId="9" hidden="1"/>
    <cellStyle name="Lien hypertexte visité" xfId="8924" builtinId="9" hidden="1"/>
    <cellStyle name="Lien hypertexte visité" xfId="12604" builtinId="9" hidden="1"/>
    <cellStyle name="Lien hypertexte visité" xfId="18053" builtinId="9" hidden="1"/>
    <cellStyle name="Lien hypertexte visité" xfId="24022" builtinId="9" hidden="1"/>
    <cellStyle name="Lien hypertexte visité" xfId="16743" builtinId="9" hidden="1"/>
    <cellStyle name="Lien hypertexte visité" xfId="11949" builtinId="9" hidden="1"/>
    <cellStyle name="Lien hypertexte visité" xfId="8365" builtinId="9" hidden="1"/>
    <cellStyle name="Lien hypertexte visité" xfId="4684" builtinId="9" hidden="1"/>
    <cellStyle name="Lien hypertexte visité" xfId="895" builtinId="9" hidden="1"/>
    <cellStyle name="Lien hypertexte visité" xfId="3713" builtinId="9" hidden="1"/>
    <cellStyle name="Lien hypertexte visité" xfId="7390" builtinId="9" hidden="1"/>
    <cellStyle name="Lien hypertexte visité" xfId="11071" builtinId="9" hidden="1"/>
    <cellStyle name="Lien hypertexte visité" xfId="14795" builtinId="9" hidden="1"/>
    <cellStyle name="Lien hypertexte visité" xfId="3787" builtinId="9" hidden="1"/>
    <cellStyle name="Lien hypertexte visité" xfId="7346" builtinId="9" hidden="1"/>
    <cellStyle name="Lien hypertexte visité" xfId="4274" builtinId="9" hidden="1"/>
    <cellStyle name="Lien hypertexte visité" xfId="1083" builtinId="9" hidden="1"/>
    <cellStyle name="Lien hypertexte visité" xfId="11331" builtinId="9" hidden="1"/>
    <cellStyle name="Lien hypertexte visité" xfId="13699" builtinId="9" hidden="1"/>
    <cellStyle name="Lien hypertexte visité" xfId="16163" builtinId="9" hidden="1"/>
    <cellStyle name="Lien hypertexte visité" xfId="9515" builtinId="9" hidden="1"/>
    <cellStyle name="Lien hypertexte visité" xfId="12379" builtinId="9" hidden="1"/>
    <cellStyle name="Lien hypertexte visité" xfId="2244" builtinId="9" hidden="1"/>
    <cellStyle name="Lien hypertexte visité" xfId="5394" builtinId="9" hidden="1"/>
    <cellStyle name="Lien hypertexte visité" xfId="8467" builtinId="9" hidden="1"/>
    <cellStyle name="Lien hypertexte visité" xfId="7720" builtinId="9" hidden="1"/>
    <cellStyle name="Lien hypertexte visité" xfId="22926" builtinId="9" hidden="1"/>
    <cellStyle name="Lien hypertexte visité" xfId="9664" builtinId="9" hidden="1"/>
    <cellStyle name="Lien hypertexte visité" xfId="12248" builtinId="9" hidden="1"/>
    <cellStyle name="Lien hypertexte visité" xfId="17325" builtinId="9" hidden="1"/>
    <cellStyle name="Lien hypertexte visité" xfId="24476" builtinId="9" hidden="1"/>
    <cellStyle name="Lien hypertexte visité" xfId="17423" builtinId="9" hidden="1"/>
    <cellStyle name="Lien hypertexte visité" xfId="12305" builtinId="9" hidden="1"/>
    <cellStyle name="Lien hypertexte visité" xfId="8721" builtinId="9" hidden="1"/>
    <cellStyle name="Lien hypertexte visité" xfId="5048" builtinId="9" hidden="1"/>
    <cellStyle name="Lien hypertexte visité" xfId="1369" builtinId="9" hidden="1"/>
    <cellStyle name="Lien hypertexte visité" xfId="5151" builtinId="9" hidden="1"/>
    <cellStyle name="Lien hypertexte visité" xfId="1509" builtinId="9" hidden="1"/>
    <cellStyle name="Lien hypertexte visité" xfId="7019" builtinId="9" hidden="1"/>
    <cellStyle name="Lien hypertexte visité" xfId="12396" builtinId="9" hidden="1"/>
    <cellStyle name="Lien hypertexte visité" xfId="21268" builtinId="9" hidden="1"/>
    <cellStyle name="Lien hypertexte visité" xfId="16967" builtinId="9" hidden="1"/>
    <cellStyle name="Lien hypertexte visité" xfId="10365" builtinId="9" hidden="1"/>
    <cellStyle name="Lien hypertexte visité" xfId="4860" builtinId="9" hidden="1"/>
    <cellStyle name="Lien hypertexte visité" xfId="1800" builtinId="9" hidden="1"/>
    <cellStyle name="Lien hypertexte visité" xfId="7182" builtinId="9" hidden="1"/>
    <cellStyle name="Lien hypertexte visité" xfId="12687" builtinId="9" hidden="1"/>
    <cellStyle name="Lien hypertexte visité" xfId="9734" builtinId="9" hidden="1"/>
    <cellStyle name="Lien hypertexte visité" xfId="13318" builtinId="9" hidden="1"/>
    <cellStyle name="Lien hypertexte visité" xfId="19448" builtinId="9" hidden="1"/>
    <cellStyle name="Lien hypertexte visité" xfId="22442" builtinId="9" hidden="1"/>
    <cellStyle name="Lien hypertexte visité" xfId="23354" builtinId="9" hidden="1"/>
    <cellStyle name="Lien hypertexte visité" xfId="9194" builtinId="9" hidden="1"/>
    <cellStyle name="Lien hypertexte visité" xfId="6789" builtinId="9" hidden="1"/>
    <cellStyle name="Lien hypertexte visité" xfId="3171" builtinId="9" hidden="1"/>
    <cellStyle name="Lien hypertexte visité" xfId="1346" builtinId="9" hidden="1"/>
    <cellStyle name="Lien hypertexte visité" xfId="2227" builtinId="9" hidden="1"/>
    <cellStyle name="Lien hypertexte visité" xfId="5781" builtinId="9" hidden="1"/>
    <cellStyle name="Lien hypertexte visité" xfId="18135" builtinId="9" hidden="1"/>
    <cellStyle name="Lien hypertexte visité" xfId="8045" builtinId="9" hidden="1"/>
    <cellStyle name="Lien hypertexte visité" xfId="9503" builtinId="9" hidden="1"/>
    <cellStyle name="Lien hypertexte visité" xfId="5885" builtinId="9" hidden="1"/>
    <cellStyle name="Lien hypertexte visité" xfId="10762" builtinId="9" hidden="1"/>
    <cellStyle name="Lien hypertexte visité" xfId="23546" builtinId="9" hidden="1"/>
    <cellStyle name="Lien hypertexte visité" xfId="21442" builtinId="9" hidden="1"/>
    <cellStyle name="Lien hypertexte visité" xfId="21560" builtinId="9" hidden="1"/>
    <cellStyle name="Lien hypertexte visité" xfId="15305" builtinId="9" hidden="1"/>
    <cellStyle name="Lien hypertexte visité" xfId="11794" builtinId="9" hidden="1"/>
    <cellStyle name="Lien hypertexte visité" xfId="13246" builtinId="9" hidden="1"/>
    <cellStyle name="Lien hypertexte visité" xfId="3535" builtinId="9" hidden="1"/>
    <cellStyle name="Lien hypertexte visité" xfId="865" builtinId="9" hidden="1"/>
    <cellStyle name="Lien hypertexte visité" xfId="3079" builtinId="9" hidden="1"/>
    <cellStyle name="Lien hypertexte visité" xfId="7257" builtinId="9" hidden="1"/>
    <cellStyle name="Lien hypertexte visité" xfId="7914" builtinId="9" hidden="1"/>
    <cellStyle name="Lien hypertexte visité" xfId="5313" builtinId="9" hidden="1"/>
    <cellStyle name="Lien hypertexte visité" xfId="10330" builtinId="9" hidden="1"/>
    <cellStyle name="Lien hypertexte visité" xfId="6009" builtinId="9" hidden="1"/>
    <cellStyle name="Lien hypertexte visité" xfId="2339" builtinId="9" hidden="1"/>
    <cellStyle name="Lien hypertexte visité" xfId="6541" builtinId="9" hidden="1"/>
    <cellStyle name="Lien hypertexte visité" xfId="2395" builtinId="9" hidden="1"/>
    <cellStyle name="Lien hypertexte visité" xfId="2103" builtinId="9" hidden="1"/>
    <cellStyle name="Lien hypertexte visité" xfId="1607" builtinId="9" hidden="1"/>
    <cellStyle name="Lien hypertexte visité" xfId="24584" builtinId="9" hidden="1"/>
    <cellStyle name="Lien hypertexte visité" xfId="10898" builtinId="9" hidden="1"/>
    <cellStyle name="Lien hypertexte visité" xfId="14014" builtinId="9" hidden="1"/>
    <cellStyle name="Lien hypertexte visité" xfId="19720" builtinId="9" hidden="1"/>
    <cellStyle name="Lien hypertexte visité" xfId="23234" builtinId="9" hidden="1"/>
    <cellStyle name="Lien hypertexte visité" xfId="18187" builtinId="9" hidden="1"/>
    <cellStyle name="Lien hypertexte visité" xfId="13450" builtinId="9" hidden="1"/>
    <cellStyle name="Lien hypertexte visité" xfId="5101" builtinId="9" hidden="1"/>
    <cellStyle name="Lien hypertexte visité" xfId="14239" builtinId="9" hidden="1"/>
    <cellStyle name="Lien hypertexte visité" xfId="3302" builtinId="9" hidden="1"/>
    <cellStyle name="Lien hypertexte visité" xfId="24372" builtinId="9" hidden="1"/>
    <cellStyle name="Lien hypertexte visité" xfId="3061" builtinId="9" hidden="1"/>
    <cellStyle name="Lien hypertexte visité" xfId="4016" builtinId="9" hidden="1"/>
    <cellStyle name="Lien hypertexte visité" xfId="15359" builtinId="9" hidden="1"/>
    <cellStyle name="Lien hypertexte visité" xfId="13288" builtinId="9" hidden="1"/>
    <cellStyle name="Lien hypertexte visité" xfId="10825" builtinId="9" hidden="1"/>
    <cellStyle name="Lien hypertexte visité" xfId="17119" builtinId="9" hidden="1"/>
    <cellStyle name="Lien hypertexte visité" xfId="12384" builtinId="9" hidden="1"/>
    <cellStyle name="Lien hypertexte visité" xfId="11304" builtinId="9" hidden="1"/>
    <cellStyle name="Lien hypertexte visité" xfId="15389" builtinId="9" hidden="1"/>
    <cellStyle name="Lien hypertexte visité" xfId="22668" builtinId="9" hidden="1"/>
    <cellStyle name="Lien hypertexte visité" xfId="19310" builtinId="9" hidden="1"/>
    <cellStyle name="Lien hypertexte visité" xfId="13273" builtinId="9" hidden="1"/>
    <cellStyle name="Lien hypertexte visité" xfId="9625" builtinId="9" hidden="1"/>
    <cellStyle name="Lien hypertexte visité" xfId="6000" builtinId="9" hidden="1"/>
    <cellStyle name="Lien hypertexte visité" xfId="2346" builtinId="9" hidden="1"/>
    <cellStyle name="Lien hypertexte visité" xfId="6511" builtinId="9" hidden="1"/>
    <cellStyle name="Lien hypertexte visité" xfId="965" builtinId="9" hidden="1"/>
    <cellStyle name="Lien hypertexte visité" xfId="5563" builtinId="9" hidden="1"/>
    <cellStyle name="Lien hypertexte visité" xfId="11036" builtinId="9" hidden="1"/>
    <cellStyle name="Lien hypertexte visité" xfId="18420" builtinId="9" hidden="1"/>
    <cellStyle name="Lien hypertexte visité" xfId="19862" builtinId="9" hidden="1"/>
    <cellStyle name="Lien hypertexte visité" xfId="11725" builtinId="9" hidden="1"/>
    <cellStyle name="Lien hypertexte visité" xfId="6284" builtinId="9" hidden="1"/>
    <cellStyle name="Lien hypertexte visité" xfId="447" builtinId="9" hidden="1"/>
    <cellStyle name="Lien hypertexte visité" xfId="5822" builtinId="9" hidden="1"/>
    <cellStyle name="Lien hypertexte visité" xfId="11263" builtinId="9" hidden="1"/>
    <cellStyle name="Lien hypertexte visité" xfId="8766" builtinId="9" hidden="1"/>
    <cellStyle name="Lien hypertexte visité" xfId="7162" builtinId="9" hidden="1"/>
    <cellStyle name="Lien hypertexte visité" xfId="2476" builtinId="9" hidden="1"/>
    <cellStyle name="Lien hypertexte visité" xfId="11155" builtinId="9" hidden="1"/>
    <cellStyle name="Lien hypertexte visité" xfId="16563" builtinId="9" hidden="1"/>
    <cellStyle name="Lien hypertexte visité" xfId="9683" builtinId="9" hidden="1"/>
    <cellStyle name="Lien hypertexte visité" xfId="683" builtinId="9" hidden="1"/>
    <cellStyle name="Lien hypertexte visité" xfId="5578" builtinId="9" hidden="1"/>
    <cellStyle name="Lien hypertexte visité" xfId="2978" builtinId="9" hidden="1"/>
    <cellStyle name="Lien hypertexte visité" xfId="24206" builtinId="9" hidden="1"/>
    <cellStyle name="Lien hypertexte visité" xfId="10672" builtinId="9" hidden="1"/>
    <cellStyle name="Lien hypertexte visité" xfId="17757" builtinId="9" hidden="1"/>
    <cellStyle name="Lien hypertexte visité" xfId="20574" builtinId="9" hidden="1"/>
    <cellStyle name="Lien hypertexte visité" xfId="12089" builtinId="9" hidden="1"/>
    <cellStyle name="Lien hypertexte visité" xfId="6624" builtinId="9" hidden="1"/>
    <cellStyle name="Lien hypertexte visité" xfId="1161" builtinId="9" hidden="1"/>
    <cellStyle name="Lien hypertexte visité" xfId="2009" builtinId="9" hidden="1"/>
    <cellStyle name="Lien hypertexte visité" xfId="7339" builtinId="9" hidden="1"/>
    <cellStyle name="Lien hypertexte visité" xfId="16549" builtinId="9" hidden="1"/>
    <cellStyle name="Lien hypertexte visité" xfId="16327" builtinId="9" hidden="1"/>
    <cellStyle name="Lien hypertexte visité" xfId="7228" builtinId="9" hidden="1"/>
    <cellStyle name="Lien hypertexte visité" xfId="2120" builtinId="9" hidden="1"/>
    <cellStyle name="Lien hypertexte visité" xfId="10319" builtinId="9" hidden="1"/>
    <cellStyle name="Lien hypertexte visité" xfId="9950" builtinId="9" hidden="1"/>
    <cellStyle name="Lien hypertexte visité" xfId="16305" builtinId="9" hidden="1"/>
    <cellStyle name="Lien hypertexte visité" xfId="22018" builtinId="9" hidden="1"/>
    <cellStyle name="Lien hypertexte visité" xfId="13930" builtinId="9" hidden="1"/>
    <cellStyle name="Lien hypertexte visité" xfId="6973" builtinId="9" hidden="1"/>
    <cellStyle name="Lien hypertexte visité" xfId="1987" builtinId="9" hidden="1"/>
    <cellStyle name="Lien hypertexte visité" xfId="5033" builtinId="9" hidden="1"/>
    <cellStyle name="Lien hypertexte visité" xfId="3989" builtinId="9" hidden="1"/>
    <cellStyle name="Lien hypertexte visité" xfId="12437" builtinId="9" hidden="1"/>
    <cellStyle name="Lien hypertexte visité" xfId="6980" builtinId="9" hidden="1"/>
    <cellStyle name="Lien hypertexte visité" xfId="1518" builtinId="9" hidden="1"/>
    <cellStyle name="Lien hypertexte visité" xfId="5110" builtinId="9" hidden="1"/>
    <cellStyle name="Lien hypertexte visité" xfId="10567" builtinId="9" hidden="1"/>
    <cellStyle name="Lien hypertexte visité" xfId="8290" builtinId="9" hidden="1"/>
    <cellStyle name="Lien hypertexte visité" xfId="11938" builtinId="9" hidden="1"/>
    <cellStyle name="Lien hypertexte visité" xfId="16633" builtinId="9" hidden="1"/>
    <cellStyle name="Lien hypertexte visité" xfId="23896" builtinId="9" hidden="1"/>
    <cellStyle name="Lien hypertexte visité" xfId="18051" builtinId="9" hidden="1"/>
    <cellStyle name="Lien hypertexte visité" xfId="13434" builtinId="9" hidden="1"/>
    <cellStyle name="Lien hypertexte visité" xfId="22376" builtinId="9" hidden="1"/>
    <cellStyle name="Lien hypertexte visité" xfId="15259" builtinId="9" hidden="1"/>
    <cellStyle name="Lien hypertexte visité" xfId="2654" builtinId="9" hidden="1"/>
    <cellStyle name="Lien hypertexte visité" xfId="5811" builtinId="9" hidden="1"/>
    <cellStyle name="Lien hypertexte visité" xfId="10484" builtinId="9" hidden="1"/>
    <cellStyle name="Lien hypertexte visité" xfId="15829" builtinId="9" hidden="1"/>
    <cellStyle name="Lien hypertexte visité" xfId="24038" builtinId="9" hidden="1"/>
    <cellStyle name="Lien hypertexte visité" xfId="6915" builtinId="9" hidden="1"/>
    <cellStyle name="Lien hypertexte visité" xfId="2445" builtinId="9" hidden="1"/>
    <cellStyle name="Lien hypertexte visité" xfId="4807" builtinId="9" hidden="1"/>
    <cellStyle name="Lien hypertexte visité" xfId="7511" builtinId="9" hidden="1"/>
    <cellStyle name="Lien hypertexte visité" xfId="3153" builtinId="9" hidden="1"/>
    <cellStyle name="Lien hypertexte visité" xfId="4147" builtinId="9" hidden="1"/>
    <cellStyle name="Lien hypertexte visité" xfId="1376" builtinId="9" hidden="1"/>
    <cellStyle name="Lien hypertexte visité" xfId="20422" builtinId="9" hidden="1"/>
    <cellStyle name="Lien hypertexte visité" xfId="19428" builtinId="9" hidden="1"/>
    <cellStyle name="Lien hypertexte visité" xfId="12308" builtinId="9" hidden="1"/>
    <cellStyle name="Lien hypertexte visité" xfId="7619" builtinId="9" hidden="1"/>
    <cellStyle name="Lien hypertexte visité" xfId="8997" builtinId="9" hidden="1"/>
    <cellStyle name="Lien hypertexte visité" xfId="7936" builtinId="9" hidden="1"/>
    <cellStyle name="Lien hypertexte visité" xfId="2489" builtinId="9" hidden="1"/>
    <cellStyle name="Lien hypertexte visité" xfId="4171" builtinId="9" hidden="1"/>
    <cellStyle name="Lien hypertexte visité" xfId="13137" builtinId="9" hidden="1"/>
    <cellStyle name="Lien hypertexte visité" xfId="14113" builtinId="9" hidden="1"/>
    <cellStyle name="Lien hypertexte visité" xfId="15247" builtinId="9" hidden="1"/>
    <cellStyle name="Lien hypertexte visité" xfId="17215" builtinId="9" hidden="1"/>
    <cellStyle name="Lien hypertexte visité" xfId="19166" builtinId="9" hidden="1"/>
    <cellStyle name="Lien hypertexte visité" xfId="20702" builtinId="9" hidden="1"/>
    <cellStyle name="Lien hypertexte visité" xfId="22654" builtinId="9" hidden="1"/>
    <cellStyle name="Lien hypertexte visité" xfId="24190" builtinId="9" hidden="1"/>
    <cellStyle name="Lien hypertexte visité" xfId="23068" builtinId="9" hidden="1"/>
    <cellStyle name="Lien hypertexte visité" xfId="21532" builtinId="9" hidden="1"/>
    <cellStyle name="Lien hypertexte visité" xfId="19564" builtinId="9" hidden="1"/>
    <cellStyle name="Lien hypertexte visité" xfId="17629" builtinId="9" hidden="1"/>
    <cellStyle name="Lien hypertexte visité" xfId="16093" builtinId="9" hidden="1"/>
    <cellStyle name="Lien hypertexte visité" xfId="14320" builtinId="9" hidden="1"/>
    <cellStyle name="Lien hypertexte visité" xfId="13552" builtinId="9" hidden="1"/>
    <cellStyle name="Lien hypertexte visité" xfId="12568" builtinId="9" hidden="1"/>
    <cellStyle name="Lien hypertexte visité" xfId="11800" builtinId="9" hidden="1"/>
    <cellStyle name="Lien hypertexte visité" xfId="10824" builtinId="9" hidden="1"/>
    <cellStyle name="Lien hypertexte visité" xfId="9840" builtinId="9" hidden="1"/>
    <cellStyle name="Lien hypertexte visité" xfId="9072" builtinId="9" hidden="1"/>
    <cellStyle name="Lien hypertexte visité" xfId="11136" builtinId="9" hidden="1"/>
    <cellStyle name="Lien hypertexte visité" xfId="13568" builtinId="9" hidden="1"/>
    <cellStyle name="Lien hypertexte visité" xfId="18253" builtinId="9" hidden="1"/>
    <cellStyle name="Lien hypertexte visité" xfId="23100" builtinId="9" hidden="1"/>
    <cellStyle name="Lien hypertexte visité" xfId="20238" builtinId="9" hidden="1"/>
    <cellStyle name="Lien hypertexte visité" xfId="14623" builtinId="9" hidden="1"/>
    <cellStyle name="Lien hypertexte visité" xfId="12137" builtinId="9" hidden="1"/>
    <cellStyle name="Lien hypertexte visité" xfId="9193" builtinId="9" hidden="1"/>
    <cellStyle name="Lien hypertexte visité" xfId="6888" builtinId="9" hidden="1"/>
    <cellStyle name="Lien hypertexte visité" xfId="3944" builtinId="9" hidden="1"/>
    <cellStyle name="Lien hypertexte visité" xfId="1634" builtinId="9" hidden="1"/>
    <cellStyle name="Lien hypertexte visité" xfId="9035" builtinId="9" hidden="1"/>
    <cellStyle name="Lien hypertexte visité" xfId="8195" builtinId="9" hidden="1"/>
    <cellStyle name="Lien hypertexte visité" xfId="7538" builtinId="9" hidden="1"/>
    <cellStyle name="Lien hypertexte visité" xfId="6698" builtinId="9" hidden="1"/>
    <cellStyle name="Lien hypertexte visité" xfId="6034" builtinId="9" hidden="1"/>
    <cellStyle name="Lien hypertexte visité" xfId="5194" builtinId="9" hidden="1"/>
    <cellStyle name="Lien hypertexte visité" xfId="4538" builtinId="9" hidden="1"/>
    <cellStyle name="Lien hypertexte visité" xfId="3701" builtinId="9" hidden="1"/>
    <cellStyle name="Lien hypertexte visité" xfId="2852" builtinId="9" hidden="1"/>
    <cellStyle name="Lien hypertexte visité" xfId="8064" builtinId="9" hidden="1"/>
    <cellStyle name="Lien hypertexte visité" xfId="2937" builtinId="9" hidden="1"/>
    <cellStyle name="Lien hypertexte visité" xfId="2309" builtinId="9" hidden="1"/>
    <cellStyle name="Lien hypertexte visité" xfId="7435" builtinId="9" hidden="1"/>
    <cellStyle name="Lien hypertexte visité" xfId="11532" builtinId="9" hidden="1"/>
    <cellStyle name="Lien hypertexte visité" xfId="18772" builtinId="9" hidden="1"/>
    <cellStyle name="Lien hypertexte visité" xfId="20214" builtinId="9" hidden="1"/>
    <cellStyle name="Lien hypertexte visité" xfId="13277" builtinId="9" hidden="1"/>
    <cellStyle name="Lien hypertexte visité" xfId="8157" builtinId="9" hidden="1"/>
    <cellStyle name="Lien hypertexte visité" xfId="4060" builtinId="9" hidden="1"/>
    <cellStyle name="Lien hypertexte visité" xfId="2216" builtinId="9" hidden="1"/>
    <cellStyle name="Lien hypertexte visité" xfId="6318" builtinId="9" hidden="1"/>
    <cellStyle name="Lien hypertexte visité" xfId="11439" builtinId="9" hidden="1"/>
    <cellStyle name="Lien hypertexte visité" xfId="8646" builtinId="9" hidden="1"/>
    <cellStyle name="Lien hypertexte visité" xfId="11378" builtinId="9" hidden="1"/>
    <cellStyle name="Lien hypertexte visité" xfId="15065" builtinId="9" hidden="1"/>
    <cellStyle name="Lien hypertexte visité" xfId="20512" builtinId="9" hidden="1"/>
    <cellStyle name="Lien hypertexte visité" xfId="21890" builtinId="9" hidden="1"/>
    <cellStyle name="Lien hypertexte visité" xfId="19898" builtinId="9" hidden="1"/>
    <cellStyle name="Lien hypertexte visité" xfId="11690" builtinId="9" hidden="1"/>
    <cellStyle name="Lien hypertexte visité" xfId="5857" builtinId="9" hidden="1"/>
    <cellStyle name="Lien hypertexte visité" xfId="8198" builtinId="9" hidden="1"/>
    <cellStyle name="Lien hypertexte visité" xfId="1735" builtinId="9" hidden="1"/>
    <cellStyle name="Lien hypertexte visité" xfId="2107" builtinId="9" hidden="1"/>
    <cellStyle name="Lien hypertexte visité" xfId="5417" builtinId="9" hidden="1"/>
    <cellStyle name="Lien hypertexte visité" xfId="6273" builtinId="9" hidden="1"/>
    <cellStyle name="Lien hypertexte visité" xfId="10234" builtinId="9" hidden="1"/>
    <cellStyle name="Lien hypertexte visité" xfId="13749" builtinId="9" hidden="1"/>
    <cellStyle name="Lien hypertexte visité" xfId="11013" builtinId="9" hidden="1"/>
    <cellStyle name="Lien hypertexte visité" xfId="7604" builtinId="9" hidden="1"/>
    <cellStyle name="Lien hypertexte visité" xfId="4868" builtinId="9" hidden="1"/>
    <cellStyle name="Lien hypertexte visité" xfId="1453" builtinId="9" hidden="1"/>
    <cellStyle name="Lien hypertexte visité" xfId="2432" builtinId="9" hidden="1"/>
    <cellStyle name="Lien hypertexte visité" xfId="5846" builtinId="9" hidden="1"/>
    <cellStyle name="Lien hypertexte visité" xfId="9271" builtinId="9" hidden="1"/>
    <cellStyle name="Lien hypertexte visité" xfId="11991" builtinId="9" hidden="1"/>
    <cellStyle name="Lien hypertexte visité" xfId="16315" builtinId="9" hidden="1"/>
    <cellStyle name="Lien hypertexte visité" xfId="9698" builtinId="9" hidden="1"/>
    <cellStyle name="Lien hypertexte visité" xfId="11982" builtinId="9" hidden="1"/>
    <cellStyle name="Lien hypertexte visité" xfId="13794" builtinId="9" hidden="1"/>
    <cellStyle name="Lien hypertexte visité" xfId="17641" builtinId="9" hidden="1"/>
    <cellStyle name="Lien hypertexte visité" xfId="22168" builtinId="9" hidden="1"/>
    <cellStyle name="Lien hypertexte visité" xfId="23410" builtinId="9" hidden="1"/>
    <cellStyle name="Lien hypertexte visité" xfId="18866" builtinId="9" hidden="1"/>
    <cellStyle name="Lien hypertexte visité" xfId="23514" builtinId="9" hidden="1"/>
    <cellStyle name="Lien hypertexte visité" xfId="13306" builtinId="9" hidden="1"/>
    <cellStyle name="Lien hypertexte visité" xfId="20634" builtinId="9" hidden="1"/>
    <cellStyle name="Lien hypertexte visité" xfId="19392" builtinId="9" hidden="1"/>
    <cellStyle name="Lien hypertexte visité" xfId="10134" builtinId="9" hidden="1"/>
    <cellStyle name="Lien hypertexte visité" xfId="10599" builtinId="9" hidden="1"/>
    <cellStyle name="Lien hypertexte visité" xfId="431" builtinId="9" hidden="1"/>
    <cellStyle name="Lien hypertexte visité" xfId="3102" builtinId="9" hidden="1"/>
    <cellStyle name="Lien hypertexte visité" xfId="1504" builtinId="9" hidden="1"/>
    <cellStyle name="Lien hypertexte visité" xfId="4198" builtinId="9" hidden="1"/>
    <cellStyle name="Lien hypertexte visité" xfId="7654" builtinId="9" hidden="1"/>
    <cellStyle name="Lien hypertexte visité" xfId="10983" builtinId="9" hidden="1"/>
    <cellStyle name="Lien hypertexte visité" xfId="13799" builtinId="9" hidden="1"/>
    <cellStyle name="Lien hypertexte visité" xfId="9026" builtinId="9" hidden="1"/>
    <cellStyle name="Lien hypertexte visité" xfId="10902" builtinId="9" hidden="1"/>
    <cellStyle name="Lien hypertexte visité" xfId="13122" builtinId="9" hidden="1"/>
    <cellStyle name="Lien hypertexte visité" xfId="15481" builtinId="9" hidden="1"/>
    <cellStyle name="Lien hypertexte visité" xfId="19904" builtinId="9" hidden="1"/>
    <cellStyle name="Lien hypertexte visité" xfId="24512" builtinId="9" hidden="1"/>
    <cellStyle name="Lien hypertexte visité" xfId="21130" builtinId="9" hidden="1"/>
    <cellStyle name="Lien hypertexte visité" xfId="19610" builtinId="9" hidden="1"/>
    <cellStyle name="Lien hypertexte visité" xfId="18864" builtinId="9" hidden="1"/>
    <cellStyle name="Lien hypertexte visité" xfId="11770" builtinId="9" hidden="1"/>
    <cellStyle name="Lien hypertexte visité" xfId="13562" builtinId="9" hidden="1"/>
    <cellStyle name="Lien hypertexte visité" xfId="17217" builtinId="9" hidden="1"/>
    <cellStyle name="Lien hypertexte visité" xfId="21808" builtinId="9" hidden="1"/>
    <cellStyle name="Lien hypertexte visité" xfId="23834" builtinId="9" hidden="1"/>
    <cellStyle name="Lien hypertexte visité" xfId="19226" builtinId="9" hidden="1"/>
    <cellStyle name="Lien hypertexte visité" xfId="17859" builtinId="9" hidden="1"/>
    <cellStyle name="Lien hypertexte visité" xfId="19378" builtinId="9" hidden="1"/>
    <cellStyle name="Lien hypertexte visité" xfId="20578" builtinId="9" hidden="1"/>
    <cellStyle name="Lien hypertexte visité" xfId="22114" builtinId="9" hidden="1"/>
    <cellStyle name="Lien hypertexte visité" xfId="23586" builtinId="9" hidden="1"/>
    <cellStyle name="Lien hypertexte visité" xfId="24384" builtinId="9" hidden="1"/>
    <cellStyle name="Lien hypertexte visité" xfId="22912" builtinId="9" hidden="1"/>
    <cellStyle name="Lien hypertexte visité" xfId="21656" builtinId="9" hidden="1"/>
    <cellStyle name="Lien hypertexte visité" xfId="20184" builtinId="9" hidden="1"/>
    <cellStyle name="Lien hypertexte visité" xfId="18920" builtinId="9" hidden="1"/>
    <cellStyle name="Lien hypertexte visité" xfId="17465" builtinId="9" hidden="1"/>
    <cellStyle name="Lien hypertexte visité" xfId="15929" builtinId="9" hidden="1"/>
    <cellStyle name="Lien hypertexte visité" xfId="14737" builtinId="9" hidden="1"/>
    <cellStyle name="Lien hypertexte visité" xfId="13858" builtinId="9" hidden="1"/>
    <cellStyle name="Lien hypertexte visité" xfId="13262" builtinId="9" hidden="1"/>
    <cellStyle name="Lien hypertexte visité" xfId="12494" builtinId="9" hidden="1"/>
    <cellStyle name="Lien hypertexte visité" xfId="11894" builtinId="9" hidden="1"/>
    <cellStyle name="Lien hypertexte visité" xfId="11126" builtinId="9" hidden="1"/>
    <cellStyle name="Lien hypertexte visité" xfId="10358" builtinId="9" hidden="1"/>
    <cellStyle name="Lien hypertexte visité" xfId="9762" builtinId="9" hidden="1"/>
    <cellStyle name="Lien hypertexte visité" xfId="8994" builtinId="9" hidden="1"/>
    <cellStyle name="Lien hypertexte visité" xfId="8398" builtinId="9" hidden="1"/>
    <cellStyle name="Lien hypertexte visité" xfId="15547" builtinId="9" hidden="1"/>
    <cellStyle name="Lien hypertexte visité" xfId="14135" builtinId="9" hidden="1"/>
    <cellStyle name="Lien hypertexte visité" xfId="12983" builtinId="9" hidden="1"/>
    <cellStyle name="Lien hypertexte visité" xfId="11863" builtinId="9" hidden="1"/>
    <cellStyle name="Lien hypertexte visité" xfId="10935" builtinId="9" hidden="1"/>
    <cellStyle name="Lien hypertexte visité" xfId="9815" builtinId="9" hidden="1"/>
    <cellStyle name="Lien hypertexte visité" xfId="8887" builtinId="9" hidden="1"/>
    <cellStyle name="Lien hypertexte visité" xfId="7766" builtinId="9" hidden="1"/>
    <cellStyle name="Lien hypertexte visité" xfId="6838" builtinId="9" hidden="1"/>
    <cellStyle name="Lien hypertexte visité" xfId="5718" builtinId="9" hidden="1"/>
    <cellStyle name="Lien hypertexte visité" xfId="4566" builtinId="9" hidden="1"/>
    <cellStyle name="Lien hypertexte visité" xfId="3670" builtinId="9" hidden="1"/>
    <cellStyle name="Lien hypertexte visité" xfId="2512" builtinId="9" hidden="1"/>
    <cellStyle name="Lien hypertexte visité" xfId="1616" builtinId="9" hidden="1"/>
    <cellStyle name="Lien hypertexte visité" xfId="207" builtinId="9" hidden="1"/>
    <cellStyle name="Lien hypertexte visité" xfId="1582" builtinId="9" hidden="1"/>
    <cellStyle name="Lien hypertexte visité" xfId="2734" builtinId="9" hidden="1"/>
    <cellStyle name="Lien hypertexte visité" xfId="3896" builtinId="9" hidden="1"/>
    <cellStyle name="Lien hypertexte visité" xfId="4788" builtinId="9" hidden="1"/>
    <cellStyle name="Lien hypertexte visité" xfId="5940" builtinId="9" hidden="1"/>
    <cellStyle name="Lien hypertexte visité" xfId="6836" builtinId="9" hidden="1"/>
    <cellStyle name="Lien hypertexte visité" xfId="7989" builtinId="9" hidden="1"/>
    <cellStyle name="Lien hypertexte visité" xfId="8885" builtinId="9" hidden="1"/>
    <cellStyle name="Lien hypertexte visité" xfId="10037" builtinId="9" hidden="1"/>
    <cellStyle name="Lien hypertexte visité" xfId="11141" builtinId="9" hidden="1"/>
    <cellStyle name="Lien hypertexte visité" xfId="12085" builtinId="9" hidden="1"/>
    <cellStyle name="Lien hypertexte visité" xfId="13189" builtinId="9" hidden="1"/>
    <cellStyle name="Lien hypertexte visité" xfId="14133" builtinId="9" hidden="1"/>
    <cellStyle name="Lien hypertexte visité" xfId="15959" builtinId="9" hidden="1"/>
    <cellStyle name="Lien hypertexte visité" xfId="17847" builtinId="9" hidden="1"/>
    <cellStyle name="Lien hypertexte visité" xfId="9850" builtinId="9" hidden="1"/>
    <cellStyle name="Lien hypertexte visité" xfId="4445" builtinId="9" hidden="1"/>
    <cellStyle name="Lien hypertexte visité" xfId="5213" builtinId="9" hidden="1"/>
    <cellStyle name="Lien hypertexte visité" xfId="6201" builtinId="9" hidden="1"/>
    <cellStyle name="Lien hypertexte visité" xfId="6969" builtinId="9" hidden="1"/>
    <cellStyle name="Lien hypertexte visité" xfId="7958" builtinId="9" hidden="1"/>
    <cellStyle name="Lien hypertexte visité" xfId="4649" builtinId="9" hidden="1"/>
    <cellStyle name="Lien hypertexte visité" xfId="3031" builtinId="9" hidden="1"/>
    <cellStyle name="Lien hypertexte visité" xfId="3459" builtinId="9" hidden="1"/>
    <cellStyle name="Lien hypertexte visité" xfId="2043" builtinId="9" hidden="1"/>
    <cellStyle name="Lien hypertexte visité" xfId="289" builtinId="9" hidden="1"/>
    <cellStyle name="Lien hypertexte visité" xfId="1145" builtinId="9" hidden="1"/>
    <cellStyle name="Lien hypertexte visité" xfId="1434" builtinId="9" hidden="1"/>
    <cellStyle name="Lien hypertexte visité" xfId="3323" builtinId="9" hidden="1"/>
    <cellStyle name="Lien hypertexte visité" xfId="2403" builtinId="9" hidden="1"/>
    <cellStyle name="Lien hypertexte visité" xfId="8090" builtinId="9" hidden="1"/>
    <cellStyle name="Lien hypertexte visité" xfId="7285" builtinId="9" hidden="1"/>
    <cellStyle name="Lien hypertexte visité" xfId="6333" builtinId="9" hidden="1"/>
    <cellStyle name="Lien hypertexte visité" xfId="5529" builtinId="9" hidden="1"/>
    <cellStyle name="Lien hypertexte visité" xfId="4577" builtinId="9" hidden="1"/>
    <cellStyle name="Lien hypertexte visité" xfId="8746" builtinId="9" hidden="1"/>
    <cellStyle name="Lien hypertexte visité" xfId="12074" builtinId="9" hidden="1"/>
    <cellStyle name="Lien hypertexte visité" xfId="16545" builtinId="9" hidden="1"/>
    <cellStyle name="Lien hypertexte visité" xfId="21904" builtinId="9" hidden="1"/>
    <cellStyle name="Lien hypertexte visité" xfId="20410" builtinId="9" hidden="1"/>
    <cellStyle name="Lien hypertexte visité" xfId="18067" builtinId="9" hidden="1"/>
    <cellStyle name="Lien hypertexte visité" xfId="20354" builtinId="9" hidden="1"/>
    <cellStyle name="Lien hypertexte visité" xfId="22146" builtinId="9" hidden="1"/>
    <cellStyle name="Lien hypertexte visité" xfId="24450" builtinId="9" hidden="1"/>
    <cellStyle name="Lien hypertexte visité" xfId="22472" builtinId="9" hidden="1"/>
    <cellStyle name="Lien hypertexte visité" xfId="20680" builtinId="9" hidden="1"/>
    <cellStyle name="Lien hypertexte visité" xfId="18376" builtinId="9" hidden="1"/>
    <cellStyle name="Lien hypertexte visité" xfId="16601" builtinId="9" hidden="1"/>
    <cellStyle name="Lien hypertexte visité" xfId="14406" builtinId="9" hidden="1"/>
    <cellStyle name="Lien hypertexte visité" xfId="13510" builtinId="9" hidden="1"/>
    <cellStyle name="Lien hypertexte visité" xfId="12358" builtinId="9" hidden="1"/>
    <cellStyle name="Lien hypertexte visité" xfId="11250" builtinId="9" hidden="1"/>
    <cellStyle name="Lien hypertexte visité" xfId="10310" builtinId="9" hidden="1"/>
    <cellStyle name="Lien hypertexte visité" xfId="9202" builtinId="9" hidden="1"/>
    <cellStyle name="Lien hypertexte visité" xfId="8262" builtinId="9" hidden="1"/>
    <cellStyle name="Lien hypertexte visité" xfId="14319" builtinId="9" hidden="1"/>
    <cellStyle name="Lien hypertexte visité" xfId="12911" builtinId="9" hidden="1"/>
    <cellStyle name="Lien hypertexte visité" xfId="11247" builtinId="9" hidden="1"/>
    <cellStyle name="Lien hypertexte visité" xfId="9519" builtinId="9" hidden="1"/>
    <cellStyle name="Lien hypertexte visité" xfId="8175" builtinId="9" hidden="1"/>
    <cellStyle name="Lien hypertexte visité" xfId="6446" builtinId="9" hidden="1"/>
    <cellStyle name="Lien hypertexte visité" xfId="5102" builtinId="9" hidden="1"/>
    <cellStyle name="Lien hypertexte visité" xfId="3368" builtinId="9" hidden="1"/>
    <cellStyle name="Lien hypertexte visité" xfId="2024" builtinId="9" hidden="1"/>
    <cellStyle name="Lien hypertexte visité" xfId="543" builtinId="9" hidden="1"/>
    <cellStyle name="Lien hypertexte visité" xfId="2582" builtinId="9" hidden="1"/>
    <cellStyle name="Lien hypertexte visité" xfId="3932" builtinId="9" hidden="1"/>
    <cellStyle name="Lien hypertexte visité" xfId="5660" builtinId="9" hidden="1"/>
    <cellStyle name="Lien hypertexte visité" xfId="7004" builtinId="9" hidden="1"/>
    <cellStyle name="Lien hypertexte visité" xfId="8733" builtinId="9" hidden="1"/>
    <cellStyle name="Lien hypertexte visité" xfId="10077" builtinId="9" hidden="1"/>
    <cellStyle name="Lien hypertexte visité" xfId="11805" builtinId="9" hidden="1"/>
    <cellStyle name="Lien hypertexte visité" xfId="13469" builtinId="9" hidden="1"/>
    <cellStyle name="Lien hypertexte visité" xfId="15239" builtinId="9" hidden="1"/>
    <cellStyle name="Lien hypertexte visité" xfId="18550" builtinId="9" hidden="1"/>
    <cellStyle name="Lien hypertexte visité" xfId="21366" builtinId="9" hidden="1"/>
    <cellStyle name="Lien hypertexte visité" xfId="24532" builtinId="9" hidden="1"/>
    <cellStyle name="Lien hypertexte visité" xfId="21716" builtinId="9" hidden="1"/>
    <cellStyle name="Lien hypertexte visité" xfId="18388" builtinId="9" hidden="1"/>
    <cellStyle name="Lien hypertexte visité" xfId="14949" builtinId="9" hidden="1"/>
    <cellStyle name="Lien hypertexte visité" xfId="13388" builtinId="9" hidden="1"/>
    <cellStyle name="Lien hypertexte visité" xfId="11660" builtinId="9" hidden="1"/>
    <cellStyle name="Lien hypertexte visité" xfId="10316" builtinId="9" hidden="1"/>
    <cellStyle name="Lien hypertexte visité" xfId="8588" builtinId="9" hidden="1"/>
    <cellStyle name="Lien hypertexte visité" xfId="7243" builtinId="9" hidden="1"/>
    <cellStyle name="Lien hypertexte visité" xfId="6859" builtinId="9" hidden="1"/>
    <cellStyle name="Lien hypertexte visité" xfId="21076" builtinId="9" hidden="1"/>
    <cellStyle name="Lien hypertexte visité" xfId="10397" builtinId="9" hidden="1"/>
    <cellStyle name="Lien hypertexte visité" xfId="1640" builtinId="9" hidden="1"/>
    <cellStyle name="Lien hypertexte visité" xfId="12591" builtinId="9" hidden="1"/>
    <cellStyle name="Lien hypertexte visité" xfId="13298" builtinId="9" hidden="1"/>
    <cellStyle name="Lien hypertexte visité" xfId="22658" builtinId="9" hidden="1"/>
    <cellStyle name="Lien hypertexte visité" xfId="9386" builtinId="9" hidden="1"/>
    <cellStyle name="Lien hypertexte visité" xfId="3155" builtinId="9" hidden="1"/>
    <cellStyle name="Lien hypertexte visité" xfId="2315" builtinId="9" hidden="1"/>
    <cellStyle name="Lien hypertexte visité" xfId="18263" builtinId="9" hidden="1"/>
    <cellStyle name="Lien hypertexte visité" xfId="9093" builtinId="9" hidden="1"/>
    <cellStyle name="Lien hypertexte visité" xfId="1838" builtinId="9" hidden="1"/>
    <cellStyle name="Lien hypertexte visité" xfId="6614" builtinId="9" hidden="1"/>
    <cellStyle name="Lien hypertexte visité" xfId="13911" builtinId="9" hidden="1"/>
    <cellStyle name="Lien hypertexte visité" xfId="11726" builtinId="9" hidden="1"/>
    <cellStyle name="Lien hypertexte visité" xfId="18648" builtinId="9" hidden="1"/>
    <cellStyle name="Lien hypertexte visité" xfId="20850" builtinId="9" hidden="1"/>
    <cellStyle name="Lien hypertexte visité" xfId="14074" builtinId="9" hidden="1"/>
    <cellStyle name="Lien hypertexte visité" xfId="16337" builtinId="9" hidden="1"/>
    <cellStyle name="Lien hypertexte visité" xfId="4838" builtinId="9" hidden="1"/>
    <cellStyle name="Lien hypertexte visité" xfId="18914" builtinId="9" hidden="1"/>
    <cellStyle name="Lien hypertexte visité" xfId="14254" builtinId="9" hidden="1"/>
    <cellStyle name="Lien hypertexte visité" xfId="3120" builtinId="9" hidden="1"/>
    <cellStyle name="Lien hypertexte visité" xfId="5689" builtinId="9" hidden="1"/>
    <cellStyle name="Lien hypertexte visité" xfId="23994" builtinId="9" hidden="1"/>
    <cellStyle name="Lien hypertexte visité" xfId="7342" builtinId="9" hidden="1"/>
    <cellStyle name="Lien hypertexte visité" xfId="12556" builtinId="9" hidden="1"/>
    <cellStyle name="Lien hypertexte visité" xfId="4354" builtinId="9" hidden="1"/>
    <cellStyle name="Lien hypertexte visité" xfId="823" builtinId="9" hidden="1"/>
    <cellStyle name="Lien hypertexte visité" xfId="24124" builtinId="9" hidden="1"/>
    <cellStyle name="Lien hypertexte visité" xfId="11592" builtinId="9" hidden="1"/>
    <cellStyle name="Lien hypertexte visité" xfId="21100" builtinId="9" hidden="1"/>
    <cellStyle name="Lien hypertexte visité" xfId="15599" builtinId="9" hidden="1"/>
    <cellStyle name="Lien hypertexte visité" xfId="10211" builtinId="9" hidden="1"/>
    <cellStyle name="Lien hypertexte visité" xfId="10795" builtinId="9" hidden="1"/>
    <cellStyle name="Lien hypertexte visité" xfId="11539" builtinId="9" hidden="1"/>
    <cellStyle name="Lien hypertexte visité" xfId="12123" builtinId="9" hidden="1"/>
    <cellStyle name="Lien hypertexte visité" xfId="12699" builtinId="9" hidden="1"/>
    <cellStyle name="Lien hypertexte visité" xfId="6690" builtinId="9" hidden="1"/>
    <cellStyle name="Lien hypertexte visité" xfId="1307" builtinId="9" hidden="1"/>
    <cellStyle name="Lien hypertexte visité" xfId="1459" builtinId="9" hidden="1"/>
    <cellStyle name="Lien hypertexte visité" xfId="2084" builtinId="9" hidden="1"/>
    <cellStyle name="Lien hypertexte visité" xfId="2740" builtinId="9" hidden="1"/>
    <cellStyle name="Lien hypertexte visité" xfId="15939" builtinId="9" hidden="1"/>
    <cellStyle name="Lien hypertexte visité" xfId="4362" builtinId="9" hidden="1"/>
    <cellStyle name="Lien hypertexte visité" xfId="3741" builtinId="9" hidden="1"/>
    <cellStyle name="Lien hypertexte visité" xfId="2964" builtinId="9" hidden="1"/>
    <cellStyle name="Lien hypertexte visité" xfId="2380" builtinId="9" hidden="1"/>
    <cellStyle name="Lien hypertexte visité" xfId="1764" builtinId="9" hidden="1"/>
    <cellStyle name="Lien hypertexte visité" xfId="1171" builtinId="9" hidden="1"/>
    <cellStyle name="Lien hypertexte visité" xfId="4322" builtinId="9" hidden="1"/>
    <cellStyle name="Lien hypertexte visité" xfId="8419" builtinId="9" hidden="1"/>
    <cellStyle name="Lien hypertexte visité" xfId="12475" builtinId="9" hidden="1"/>
    <cellStyle name="Lien hypertexte visité" xfId="11923" builtinId="9" hidden="1"/>
    <cellStyle name="Lien hypertexte visité" xfId="11211" builtinId="9" hidden="1"/>
    <cellStyle name="Lien hypertexte visité" xfId="7947" builtinId="9" hidden="1"/>
    <cellStyle name="Lien hypertexte visité" xfId="7362" builtinId="9" hidden="1"/>
    <cellStyle name="Lien hypertexte visité" xfId="6778" builtinId="9" hidden="1"/>
    <cellStyle name="Lien hypertexte visité" xfId="6010" builtinId="9" hidden="1"/>
    <cellStyle name="Lien hypertexte visité" xfId="5426" builtinId="9" hidden="1"/>
    <cellStyle name="Lien hypertexte visité" xfId="4842" builtinId="9" hidden="1"/>
    <cellStyle name="Lien hypertexte visité" xfId="9155" builtinId="9" hidden="1"/>
    <cellStyle name="Lien hypertexte visité" xfId="8571" builtinId="9" hidden="1"/>
    <cellStyle name="Lien hypertexte visité" xfId="7987" builtinId="9" hidden="1"/>
    <cellStyle name="Lien hypertexte visité" xfId="1538" builtinId="9" hidden="1"/>
    <cellStyle name="Lien hypertexte visité" xfId="5384" builtinId="9" hidden="1"/>
    <cellStyle name="Lien hypertexte visité" xfId="5256" builtinId="9" hidden="1"/>
    <cellStyle name="Lien hypertexte visité" xfId="631" builtinId="9" hidden="1"/>
    <cellStyle name="Lien hypertexte visité" xfId="2946" builtinId="9" hidden="1"/>
    <cellStyle name="Lien hypertexte visité" xfId="8531" builtinId="9" hidden="1"/>
    <cellStyle name="Lien hypertexte visité" xfId="9115" builtinId="9" hidden="1"/>
    <cellStyle name="Lien hypertexte visité" xfId="4658" builtinId="9" hidden="1"/>
    <cellStyle name="Lien hypertexte visité" xfId="5242" builtinId="9" hidden="1"/>
    <cellStyle name="Lien hypertexte visité" xfId="5970" builtinId="9" hidden="1"/>
    <cellStyle name="Lien hypertexte visité" xfId="6594" builtinId="9" hidden="1"/>
    <cellStyle name="Lien hypertexte visité" xfId="7178" builtinId="9" hidden="1"/>
    <cellStyle name="Lien hypertexte visité" xfId="7915" builtinId="9" hidden="1"/>
    <cellStyle name="Lien hypertexte visité" xfId="11179" builtinId="9" hidden="1"/>
    <cellStyle name="Lien hypertexte visité" xfId="11755" builtinId="9" hidden="1"/>
    <cellStyle name="Lien hypertexte visité" xfId="12299" builtinId="9" hidden="1"/>
    <cellStyle name="Lien hypertexte visité" xfId="8675" builtinId="9" hidden="1"/>
    <cellStyle name="Lien hypertexte visité" xfId="4578" builtinId="9" hidden="1"/>
    <cellStyle name="Lien hypertexte visité" xfId="827" builtinId="9" hidden="1"/>
    <cellStyle name="Lien hypertexte visité" xfId="1580" builtinId="9" hidden="1"/>
    <cellStyle name="Lien hypertexte visité" xfId="2348" builtinId="9" hidden="1"/>
    <cellStyle name="Lien hypertexte visité" xfId="2932" builtinId="9" hidden="1"/>
    <cellStyle name="Lien hypertexte visité" xfId="3556" builtinId="9" hidden="1"/>
    <cellStyle name="Lien hypertexte visité" xfId="4146" builtinId="9" hidden="1"/>
    <cellStyle name="Lien hypertexte visité" xfId="17043" builtinId="9" hidden="1"/>
    <cellStyle name="Lien hypertexte visité" xfId="1532" builtinId="9" hidden="1"/>
    <cellStyle name="Lien hypertexte visité" xfId="2300" builtinId="9" hidden="1"/>
    <cellStyle name="Lien hypertexte visité" xfId="1491" builtinId="9" hidden="1"/>
    <cellStyle name="Lien hypertexte visité" xfId="939" builtinId="9" hidden="1"/>
    <cellStyle name="Lien hypertexte visité" xfId="5410" builtinId="9" hidden="1"/>
    <cellStyle name="Lien hypertexte visité" xfId="12875" builtinId="9" hidden="1"/>
    <cellStyle name="Lien hypertexte visité" xfId="12155" builtinId="9" hidden="1"/>
    <cellStyle name="Lien hypertexte visité" xfId="11579" builtinId="9" hidden="1"/>
    <cellStyle name="Lien hypertexte visité" xfId="10995" builtinId="9" hidden="1"/>
    <cellStyle name="Lien hypertexte visité" xfId="10419" builtinId="9" hidden="1"/>
    <cellStyle name="Lien hypertexte visité" xfId="9667" builtinId="9" hidden="1"/>
    <cellStyle name="Lien hypertexte visité" xfId="14299" builtinId="9" hidden="1"/>
    <cellStyle name="Lien hypertexte visité" xfId="13739" builtinId="9" hidden="1"/>
    <cellStyle name="Lien hypertexte visité" xfId="13179" builtinId="9" hidden="1"/>
    <cellStyle name="Lien hypertexte visité" xfId="15139" builtinId="9" hidden="1"/>
    <cellStyle name="Lien hypertexte visité" xfId="16259" builtinId="9" hidden="1"/>
    <cellStyle name="Lien hypertexte visité" xfId="17299" builtinId="9" hidden="1"/>
    <cellStyle name="Lien hypertexte visité" xfId="16595" builtinId="9" hidden="1"/>
    <cellStyle name="Lien hypertexte visité" xfId="15491" builtinId="9" hidden="1"/>
    <cellStyle name="Lien hypertexte visité" xfId="13219" builtinId="9" hidden="1"/>
    <cellStyle name="Lien hypertexte visité" xfId="13779" builtinId="9" hidden="1"/>
    <cellStyle name="Lien hypertexte visité" xfId="12707" builtinId="9" hidden="1"/>
    <cellStyle name="Lien hypertexte visité" xfId="9843" builtinId="9" hidden="1"/>
    <cellStyle name="Lien hypertexte visité" xfId="10427" builtinId="9" hidden="1"/>
    <cellStyle name="Lien hypertexte visité" xfId="3886" builtinId="9" hidden="1"/>
    <cellStyle name="Lien hypertexte visité" xfId="1079" builtinId="9" hidden="1"/>
    <cellStyle name="Lien hypertexte visité" xfId="20494" builtinId="9" hidden="1"/>
    <cellStyle name="Lien hypertexte visité" xfId="10056" builtinId="9" hidden="1"/>
    <cellStyle name="Lien hypertexte visité" xfId="16509" builtinId="9" hidden="1"/>
    <cellStyle name="Lien hypertexte visité" xfId="19070" builtinId="9" hidden="1"/>
    <cellStyle name="Lien hypertexte visité" xfId="11345" builtinId="9" hidden="1"/>
    <cellStyle name="Lien hypertexte visité" xfId="5880" builtinId="9" hidden="1"/>
    <cellStyle name="Lien hypertexte visité" xfId="2762" builtinId="9" hidden="1"/>
    <cellStyle name="Lien hypertexte visité" xfId="3571" builtinId="9" hidden="1"/>
    <cellStyle name="Lien hypertexte visité" xfId="4344" builtinId="9" hidden="1"/>
    <cellStyle name="Lien hypertexte visité" xfId="5112" builtinId="9" hidden="1"/>
    <cellStyle name="Lien hypertexte visité" xfId="6096" builtinId="9" hidden="1"/>
    <cellStyle name="Lien hypertexte visité" xfId="6864" builtinId="9" hidden="1"/>
    <cellStyle name="Lien hypertexte visité" xfId="7672" builtinId="9" hidden="1"/>
    <cellStyle name="Lien hypertexte visité" xfId="8441" builtinId="9" hidden="1"/>
    <cellStyle name="Lien hypertexte visité" xfId="9425" builtinId="9" hidden="1"/>
    <cellStyle name="Lien hypertexte visité" xfId="10193" builtinId="9" hidden="1"/>
    <cellStyle name="Lien hypertexte visité" xfId="10961" builtinId="9" hidden="1"/>
    <cellStyle name="Lien hypertexte visité" xfId="11769" builtinId="9" hidden="1"/>
    <cellStyle name="Lien hypertexte visité" xfId="11937" builtinId="9" hidden="1"/>
    <cellStyle name="Lien hypertexte visité" xfId="19228" builtinId="9" hidden="1"/>
    <cellStyle name="Lien hypertexte visité" xfId="13043" builtinId="9" hidden="1"/>
    <cellStyle name="Lien hypertexte visité" xfId="4330" builtinId="9" hidden="1"/>
    <cellStyle name="Lien hypertexte visité" xfId="5386" builtinId="9" hidden="1"/>
    <cellStyle name="Lien hypertexte visité" xfId="6634" builtinId="9" hidden="1"/>
    <cellStyle name="Lien hypertexte visité" xfId="2116" builtinId="9" hidden="1"/>
    <cellStyle name="Lien hypertexte visité" xfId="20252" builtinId="9" hidden="1"/>
    <cellStyle name="Lien hypertexte visité" xfId="21788" builtinId="9" hidden="1"/>
    <cellStyle name="Lien hypertexte visité" xfId="23404" builtinId="9" hidden="1"/>
    <cellStyle name="Lien hypertexte visité" xfId="23934" builtinId="9" hidden="1"/>
    <cellStyle name="Lien hypertexte visité" xfId="22318" builtinId="9" hidden="1"/>
    <cellStyle name="Lien hypertexte visité" xfId="20782" builtinId="9" hidden="1"/>
    <cellStyle name="Lien hypertexte visité" xfId="19246" builtinId="9" hidden="1"/>
    <cellStyle name="Lien hypertexte visité" xfId="17647" builtinId="9" hidden="1"/>
    <cellStyle name="Lien hypertexte visité" xfId="16111" builtinId="9" hidden="1"/>
    <cellStyle name="Lien hypertexte visité" xfId="14575" builtinId="9" hidden="1"/>
    <cellStyle name="Lien hypertexte visité" xfId="13777" builtinId="9" hidden="1"/>
    <cellStyle name="Lien hypertexte visité" xfId="12793" builtinId="9" hidden="1"/>
    <cellStyle name="Lien hypertexte visité" xfId="11985" builtinId="9" hidden="1"/>
    <cellStyle name="Lien hypertexte visité" xfId="11217" builtinId="9" hidden="1"/>
    <cellStyle name="Lien hypertexte visité" xfId="10449" builtinId="9" hidden="1"/>
    <cellStyle name="Lien hypertexte visité" xfId="9681" builtinId="9" hidden="1"/>
    <cellStyle name="Lien hypertexte visité" xfId="8865" builtinId="9" hidden="1"/>
    <cellStyle name="Lien hypertexte visité" xfId="8097" builtinId="9" hidden="1"/>
    <cellStyle name="Lien hypertexte visité" xfId="7120" builtinId="9" hidden="1"/>
    <cellStyle name="Lien hypertexte visité" xfId="6352" builtinId="9" hidden="1"/>
    <cellStyle name="Lien hypertexte visité" xfId="5584" builtinId="9" hidden="1"/>
    <cellStyle name="Lien hypertexte visité" xfId="4768" builtinId="9" hidden="1"/>
    <cellStyle name="Lien hypertexte visité" xfId="4000" builtinId="9" hidden="1"/>
    <cellStyle name="Lien hypertexte visité" xfId="3226" builtinId="9" hidden="1"/>
    <cellStyle name="Lien hypertexte visité" xfId="2418" builtinId="9" hidden="1"/>
    <cellStyle name="Lien hypertexte visité" xfId="6904" builtinId="9" hidden="1"/>
    <cellStyle name="Lien hypertexte visité" xfId="13729" builtinId="9" hidden="1"/>
    <cellStyle name="Lien hypertexte visité" xfId="23854" builtinId="9" hidden="1"/>
    <cellStyle name="Lien hypertexte visité" xfId="14488" builtinId="9" hidden="1"/>
    <cellStyle name="Lien hypertexte visité" xfId="9032" builtinId="9" hidden="1"/>
    <cellStyle name="Lien hypertexte visité" xfId="14441" builtinId="9" hidden="1"/>
    <cellStyle name="Lien hypertexte visité" xfId="8851" builtinId="9" hidden="1"/>
    <cellStyle name="Lien hypertexte visité" xfId="4170" builtinId="9" hidden="1"/>
    <cellStyle name="Lien hypertexte visité" xfId="10459" builtinId="9" hidden="1"/>
    <cellStyle name="Lien hypertexte visité" xfId="9739" builtinId="9" hidden="1"/>
    <cellStyle name="Lien hypertexte visité" xfId="14379" builtinId="9" hidden="1"/>
    <cellStyle name="Lien hypertexte visité" xfId="13811" builtinId="9" hidden="1"/>
    <cellStyle name="Lien hypertexte visité" xfId="13251" builtinId="9" hidden="1"/>
    <cellStyle name="Lien hypertexte visité" xfId="15555" builtinId="9" hidden="1"/>
    <cellStyle name="Lien hypertexte visité" xfId="14483" builtinId="9" hidden="1"/>
    <cellStyle name="Lien hypertexte visité" xfId="16643" builtinId="9" hidden="1"/>
    <cellStyle name="Lien hypertexte visité" xfId="16947" builtinId="9" hidden="1"/>
    <cellStyle name="Lien hypertexte visité" xfId="15075" builtinId="9" hidden="1"/>
    <cellStyle name="Lien hypertexte visité" xfId="13011" builtinId="9" hidden="1"/>
    <cellStyle name="Lien hypertexte visité" xfId="13571" builtinId="9" hidden="1"/>
    <cellStyle name="Lien hypertexte visité" xfId="14139" builtinId="9" hidden="1"/>
    <cellStyle name="Lien hypertexte visité" xfId="9491" builtinId="9" hidden="1"/>
    <cellStyle name="Lien hypertexte visité" xfId="10187" builtinId="9" hidden="1"/>
    <cellStyle name="Lien hypertexte visité" xfId="24172" builtinId="9" hidden="1"/>
    <cellStyle name="Lien hypertexte visité" xfId="3298" builtinId="9" hidden="1"/>
    <cellStyle name="Lien hypertexte visité" xfId="5608" builtinId="9" hidden="1"/>
    <cellStyle name="Lien hypertexte visité" xfId="7913" builtinId="9" hidden="1"/>
    <cellStyle name="Lien hypertexte visité" xfId="10217" builtinId="9" hidden="1"/>
    <cellStyle name="Lien hypertexte visité" xfId="12649" builtinId="9" hidden="1"/>
    <cellStyle name="Lien hypertexte visité" xfId="15391" builtinId="9" hidden="1"/>
    <cellStyle name="Lien hypertexte visité" xfId="19982" builtinId="9" hidden="1"/>
    <cellStyle name="Lien hypertexte visité" xfId="24380" builtinId="9" hidden="1"/>
    <cellStyle name="Lien hypertexte visité" xfId="19772" builtinId="9" hidden="1"/>
    <cellStyle name="Lien hypertexte visité" xfId="14208" builtinId="9" hidden="1"/>
    <cellStyle name="Lien hypertexte visité" xfId="11904" builtinId="9" hidden="1"/>
    <cellStyle name="Lien hypertexte visité" xfId="9600" builtinId="9" hidden="1"/>
    <cellStyle name="Lien hypertexte visité" xfId="9416" builtinId="9" hidden="1"/>
    <cellStyle name="Lien hypertexte visité" xfId="10184" builtinId="9" hidden="1"/>
    <cellStyle name="Lien hypertexte visité" xfId="10952" builtinId="9" hidden="1"/>
    <cellStyle name="Lien hypertexte visité" xfId="11720" builtinId="9" hidden="1"/>
    <cellStyle name="Lien hypertexte visité" xfId="12528" builtinId="9" hidden="1"/>
    <cellStyle name="Lien hypertexte visité" xfId="13296" builtinId="9" hidden="1"/>
    <cellStyle name="Lien hypertexte visité" xfId="14064" builtinId="9" hidden="1"/>
    <cellStyle name="Lien hypertexte visité" xfId="15229" builtinId="9" hidden="1"/>
    <cellStyle name="Lien hypertexte visité" xfId="16765" builtinId="9" hidden="1"/>
    <cellStyle name="Lien hypertexte visité" xfId="18301" builtinId="9" hidden="1"/>
    <cellStyle name="Lien hypertexte visité" xfId="15181" builtinId="9" hidden="1"/>
    <cellStyle name="Lien hypertexte visité" xfId="2290" builtinId="9" hidden="1"/>
    <cellStyle name="Lien hypertexte visité" xfId="3468" builtinId="9" hidden="1"/>
    <cellStyle name="Lien hypertexte visité" xfId="4138" builtinId="9" hidden="1"/>
    <cellStyle name="Lien hypertexte visité" xfId="4826" builtinId="9" hidden="1"/>
    <cellStyle name="Lien hypertexte visité" xfId="5490" builtinId="9" hidden="1"/>
    <cellStyle name="Lien hypertexte visité" xfId="6146" builtinId="9" hidden="1"/>
    <cellStyle name="Lien hypertexte visité" xfId="6842" builtinId="9" hidden="1"/>
    <cellStyle name="Lien hypertexte visité" xfId="7498" builtinId="9" hidden="1"/>
    <cellStyle name="Lien hypertexte visité" xfId="8155" builtinId="9" hidden="1"/>
    <cellStyle name="Lien hypertexte visité" xfId="8819" builtinId="9" hidden="1"/>
    <cellStyle name="Lien hypertexte visité" xfId="427" builtinId="9" hidden="1"/>
    <cellStyle name="Lien hypertexte visité" xfId="12812" builtinId="9" hidden="1"/>
    <cellStyle name="Lien hypertexte visité" xfId="8716" builtinId="9" hidden="1"/>
    <cellStyle name="Lien hypertexte visité" xfId="4619" builtinId="9" hidden="1"/>
    <cellStyle name="Lien hypertexte visité" xfId="221" builtinId="9" hidden="1"/>
    <cellStyle name="Lien hypertexte visité" xfId="4735" builtinId="9" hidden="1"/>
    <cellStyle name="Lien hypertexte visité" xfId="13021" builtinId="9" hidden="1"/>
    <cellStyle name="Lien hypertexte visité" xfId="19702" builtinId="9" hidden="1"/>
    <cellStyle name="Lien hypertexte visité" xfId="21332" builtinId="9" hidden="1"/>
    <cellStyle name="Lien hypertexte visité" xfId="7901" builtinId="9" hidden="1"/>
    <cellStyle name="Lien hypertexte visité" xfId="11997" builtinId="9" hidden="1"/>
    <cellStyle name="Lien hypertexte visité" xfId="2774" builtinId="9" hidden="1"/>
    <cellStyle name="Lien hypertexte visité" xfId="5852" builtinId="9" hidden="1"/>
    <cellStyle name="Lien hypertexte visité" xfId="10973" builtinId="9" hidden="1"/>
    <cellStyle name="Lien hypertexte visité" xfId="6876" builtinId="9" hidden="1"/>
    <cellStyle name="Lien hypertexte visité" xfId="23380" builtinId="9" hidden="1"/>
    <cellStyle name="Lien hypertexte visité" xfId="17671" builtinId="9" hidden="1"/>
    <cellStyle name="Lien hypertexte visité" xfId="7807" builtinId="9" hidden="1"/>
    <cellStyle name="Lien hypertexte visité" xfId="3714" builtinId="9" hidden="1"/>
    <cellStyle name="Lien hypertexte visité" xfId="1541" builtinId="9" hidden="1"/>
    <cellStyle name="Lien hypertexte visité" xfId="5643" builtinId="9" hidden="1"/>
    <cellStyle name="Lien hypertexte visité" xfId="9740" builtinId="9" hidden="1"/>
    <cellStyle name="Lien hypertexte visité" xfId="13836" builtinId="9" hidden="1"/>
    <cellStyle name="Lien hypertexte visité" xfId="9331" builtinId="9" hidden="1"/>
    <cellStyle name="Lien hypertexte visité" xfId="8667" builtinId="9" hidden="1"/>
    <cellStyle name="Lien hypertexte visité" xfId="8011" builtinId="9" hidden="1"/>
    <cellStyle name="Lien hypertexte visité" xfId="7314" builtinId="9" hidden="1"/>
    <cellStyle name="Lien hypertexte visité" xfId="6658" builtinId="9" hidden="1"/>
    <cellStyle name="Lien hypertexte visité" xfId="6002" builtinId="9" hidden="1"/>
    <cellStyle name="Lien hypertexte visité" xfId="5306" builtinId="9" hidden="1"/>
    <cellStyle name="Lien hypertexte visité" xfId="4650" builtinId="9" hidden="1"/>
    <cellStyle name="Lien hypertexte visité" xfId="3986" builtinId="9" hidden="1"/>
    <cellStyle name="Lien hypertexte visité" xfId="3324" builtinId="9" hidden="1"/>
    <cellStyle name="Lien hypertexte visité" xfId="1610" builtinId="9" hidden="1"/>
    <cellStyle name="Lien hypertexte visité" xfId="19484" builtinId="9" hidden="1"/>
    <cellStyle name="Lien hypertexte visité" xfId="17965" builtinId="9" hidden="1"/>
    <cellStyle name="Lien hypertexte visité" xfId="16349" builtinId="9" hidden="1"/>
    <cellStyle name="Lien hypertexte visité" xfId="14813" builtinId="9" hidden="1"/>
    <cellStyle name="Lien hypertexte visité" xfId="13896" builtinId="9" hidden="1"/>
    <cellStyle name="Lien hypertexte visité" xfId="13080" builtinId="9" hidden="1"/>
    <cellStyle name="Lien hypertexte visité" xfId="12312" builtinId="9" hidden="1"/>
    <cellStyle name="Lien hypertexte visité" xfId="11544" builtinId="9" hidden="1"/>
    <cellStyle name="Lien hypertexte visité" xfId="10776" builtinId="9" hidden="1"/>
    <cellStyle name="Lien hypertexte visité" xfId="9968" builtinId="9" hidden="1"/>
    <cellStyle name="Lien hypertexte visité" xfId="9200" builtinId="9" hidden="1"/>
    <cellStyle name="Lien hypertexte visité" xfId="10112" builtinId="9" hidden="1"/>
    <cellStyle name="Lien hypertexte visité" xfId="12544" builtinId="9" hidden="1"/>
    <cellStyle name="Lien hypertexte visité" xfId="16205" builtinId="9" hidden="1"/>
    <cellStyle name="Lien hypertexte visité" xfId="21052" builtinId="9" hidden="1"/>
    <cellStyle name="Lien hypertexte visité" xfId="23566" builtinId="9" hidden="1"/>
    <cellStyle name="Lien hypertexte visité" xfId="18958" builtinId="9" hidden="1"/>
    <cellStyle name="Lien hypertexte visité" xfId="14313" builtinId="9" hidden="1"/>
    <cellStyle name="Lien hypertexte visité" xfId="12009" builtinId="9" hidden="1"/>
    <cellStyle name="Lien hypertexte visité" xfId="9705" builtinId="9" hidden="1"/>
    <cellStyle name="Lien hypertexte visité" xfId="7400" builtinId="9" hidden="1"/>
    <cellStyle name="Lien hypertexte visité" xfId="4968" builtinId="9" hidden="1"/>
    <cellStyle name="Lien hypertexte visité" xfId="2658" builtinId="9" hidden="1"/>
    <cellStyle name="Lien hypertexte visité" xfId="13561" builtinId="9" hidden="1"/>
    <cellStyle name="Lien hypertexte visité" xfId="16195" builtinId="9" hidden="1"/>
    <cellStyle name="Lien hypertexte visité" xfId="11299" builtinId="9" hidden="1"/>
    <cellStyle name="Lien hypertexte visité" xfId="14003" builtinId="9" hidden="1"/>
    <cellStyle name="Lien hypertexte visité" xfId="13443" builtinId="9" hidden="1"/>
    <cellStyle name="Lien hypertexte visité" xfId="13859" builtinId="9" hidden="1"/>
    <cellStyle name="Lien hypertexte visité" xfId="14819" builtinId="9" hidden="1"/>
    <cellStyle name="Lien hypertexte visité" xfId="16691" builtinId="9" hidden="1"/>
    <cellStyle name="Lien hypertexte visité" xfId="16899" builtinId="9" hidden="1"/>
    <cellStyle name="Lien hypertexte visité" xfId="14707" builtinId="9" hidden="1"/>
    <cellStyle name="Lien hypertexte visité" xfId="15811" builtinId="9" hidden="1"/>
    <cellStyle name="Lien hypertexte visité" xfId="13387" builtinId="9" hidden="1"/>
    <cellStyle name="Lien hypertexte visité" xfId="13947" builtinId="9" hidden="1"/>
    <cellStyle name="Lien hypertexte visité" xfId="12195" builtinId="9" hidden="1"/>
    <cellStyle name="Lien hypertexte visité" xfId="9875" builtinId="9" hidden="1"/>
    <cellStyle name="Lien hypertexte visité" xfId="10627" builtinId="9" hidden="1"/>
    <cellStyle name="Lien hypertexte visité" xfId="5338" builtinId="9" hidden="1"/>
    <cellStyle name="Lien hypertexte visité" xfId="2146" builtinId="9" hidden="1"/>
    <cellStyle name="Lien hypertexte visité" xfId="22542" builtinId="9" hidden="1"/>
    <cellStyle name="Lien hypertexte visité" xfId="10392" builtinId="9" hidden="1"/>
    <cellStyle name="Lien hypertexte visité" xfId="17197" builtinId="9" hidden="1"/>
    <cellStyle name="Lien hypertexte visité" xfId="21118" builtinId="9" hidden="1"/>
    <cellStyle name="Lien hypertexte visité" xfId="12369" builtinId="9" hidden="1"/>
    <cellStyle name="Lien hypertexte visité" xfId="5536" builtinId="9" hidden="1"/>
    <cellStyle name="Lien hypertexte visité" xfId="2634" builtinId="9" hidden="1"/>
    <cellStyle name="Lien hypertexte visité" xfId="3402" builtinId="9" hidden="1"/>
    <cellStyle name="Lien hypertexte visité" xfId="4216" builtinId="9" hidden="1"/>
    <cellStyle name="Lien hypertexte visité" xfId="4984" builtinId="9" hidden="1"/>
    <cellStyle name="Lien hypertexte visité" xfId="5752" builtinId="9" hidden="1"/>
    <cellStyle name="Lien hypertexte visité" xfId="6520" builtinId="9" hidden="1"/>
    <cellStyle name="Lien hypertexte visité" xfId="7504" builtinId="9" hidden="1"/>
    <cellStyle name="Lien hypertexte visité" xfId="8313" builtinId="9" hidden="1"/>
    <cellStyle name="Lien hypertexte visité" xfId="9081" builtinId="9" hidden="1"/>
    <cellStyle name="Lien hypertexte visité" xfId="9849" builtinId="9" hidden="1"/>
    <cellStyle name="Lien hypertexte visité" xfId="10617" builtinId="9" hidden="1"/>
    <cellStyle name="Lien hypertexte visité" xfId="11425" builtinId="9" hidden="1"/>
    <cellStyle name="Lien hypertexte visité" xfId="12193" builtinId="9" hidden="1"/>
    <cellStyle name="Lien hypertexte visité" xfId="12961" builtinId="9" hidden="1"/>
    <cellStyle name="Lien hypertexte visité" xfId="13945" builtinId="9" hidden="1"/>
    <cellStyle name="Lien hypertexte visité" xfId="14911" builtinId="9" hidden="1"/>
    <cellStyle name="Lien hypertexte visité" xfId="16527" builtinId="9" hidden="1"/>
    <cellStyle name="Lien hypertexte visité" xfId="18063" builtinId="9" hidden="1"/>
    <cellStyle name="Lien hypertexte visité" xfId="19582" builtinId="9" hidden="1"/>
    <cellStyle name="Lien hypertexte visité" xfId="21214" builtinId="9" hidden="1"/>
    <cellStyle name="Lien hypertexte visité" xfId="22750" builtinId="9" hidden="1"/>
    <cellStyle name="Lien hypertexte visité" xfId="24286" builtinId="9" hidden="1"/>
    <cellStyle name="Lien hypertexte visité" xfId="22988" builtinId="9" hidden="1"/>
    <cellStyle name="Lien hypertexte visité" xfId="21452" builtinId="9" hidden="1"/>
    <cellStyle name="Lien hypertexte visité" xfId="19820" builtinId="9" hidden="1"/>
    <cellStyle name="Lien hypertexte visité" xfId="3148" builtinId="9" hidden="1"/>
    <cellStyle name="Lien hypertexte visité" xfId="9299" builtinId="9" hidden="1"/>
    <cellStyle name="Lien hypertexte visité" xfId="7762" builtinId="9" hidden="1"/>
    <cellStyle name="Lien hypertexte visité" xfId="1676" builtinId="9" hidden="1"/>
    <cellStyle name="Lien hypertexte visité" xfId="16275" builtinId="9" hidden="1"/>
    <cellStyle name="Lien hypertexte visité" xfId="2586" builtinId="9" hidden="1"/>
    <cellStyle name="Lien hypertexte visité" xfId="12537" builtinId="9" hidden="1"/>
    <cellStyle name="Lien hypertexte visité" xfId="11553" builtinId="9" hidden="1"/>
    <cellStyle name="Lien hypertexte visité" xfId="10785" builtinId="9" hidden="1"/>
    <cellStyle name="Lien hypertexte visité" xfId="10017" builtinId="9" hidden="1"/>
    <cellStyle name="Lien hypertexte visité" xfId="9209" builtinId="9" hidden="1"/>
    <cellStyle name="Lien hypertexte visité" xfId="8225" builtinId="9" hidden="1"/>
    <cellStyle name="Lien hypertexte visité" xfId="7456" builtinId="9" hidden="1"/>
    <cellStyle name="Lien hypertexte visité" xfId="6688" builtinId="9" hidden="1"/>
    <cellStyle name="Lien hypertexte visité" xfId="5920" builtinId="9" hidden="1"/>
    <cellStyle name="Lien hypertexte visité" xfId="4944" builtinId="9" hidden="1"/>
    <cellStyle name="Lien hypertexte visité" xfId="4128" builtinId="9" hidden="1"/>
    <cellStyle name="Lien hypertexte visité" xfId="3354" builtinId="9" hidden="1"/>
    <cellStyle name="Lien hypertexte visité" xfId="2378" builtinId="9" hidden="1"/>
    <cellStyle name="Lien hypertexte visité" xfId="7248" builtinId="9" hidden="1"/>
    <cellStyle name="Lien hypertexte visité" xfId="12705" builtinId="9" hidden="1"/>
    <cellStyle name="Lien hypertexte visité" xfId="21806" builtinId="9" hidden="1"/>
    <cellStyle name="Lien hypertexte visité" xfId="14152" builtinId="9" hidden="1"/>
    <cellStyle name="Lien hypertexte visité" xfId="9344" builtinId="9" hidden="1"/>
    <cellStyle name="Lien hypertexte visité" xfId="13417" builtinId="9" hidden="1"/>
    <cellStyle name="Lien hypertexte visité" xfId="8563" builtinId="9" hidden="1"/>
    <cellStyle name="Lien hypertexte visité" xfId="10867" builtinId="9" hidden="1"/>
    <cellStyle name="Lien hypertexte visité" xfId="10291" builtinId="9" hidden="1"/>
    <cellStyle name="Lien hypertexte visité" xfId="9707" builtinId="9" hidden="1"/>
    <cellStyle name="Lien hypertexte visité" xfId="14339" builtinId="9" hidden="1"/>
    <cellStyle name="Lien hypertexte visité" xfId="13651" builtinId="9" hidden="1"/>
    <cellStyle name="Lien hypertexte visité" xfId="13051" builtinId="9" hidden="1"/>
    <cellStyle name="Lien hypertexte visité" xfId="15155" builtinId="9" hidden="1"/>
    <cellStyle name="Lien hypertexte visité" xfId="16019" builtinId="9" hidden="1"/>
    <cellStyle name="Lien hypertexte visité" xfId="17027" builtinId="9" hidden="1"/>
    <cellStyle name="Lien hypertexte visité" xfId="16515" builtinId="9" hidden="1"/>
    <cellStyle name="Lien hypertexte visité" xfId="15411" builtinId="9" hidden="1"/>
    <cellStyle name="Lien hypertexte visité" xfId="13307" builtinId="9" hidden="1"/>
    <cellStyle name="Lien hypertexte visité" xfId="13907" builtinId="9" hidden="1"/>
    <cellStyle name="Lien hypertexte visité" xfId="12835" builtinId="9" hidden="1"/>
    <cellStyle name="Lien hypertexte visité" xfId="9835" builtinId="9" hidden="1"/>
    <cellStyle name="Lien hypertexte visité" xfId="10555" builtinId="9" hidden="1"/>
    <cellStyle name="Lien hypertexte visité" xfId="11131" builtinId="9" hidden="1"/>
    <cellStyle name="Lien hypertexte visité" xfId="11715" builtinId="9" hidden="1"/>
    <cellStyle name="Lien hypertexte visité" xfId="12291" builtinId="9" hidden="1"/>
    <cellStyle name="Lien hypertexte visité" xfId="8483" builtinId="9" hidden="1"/>
    <cellStyle name="Lien hypertexte visité" xfId="4130" builtinId="9" hidden="1"/>
    <cellStyle name="Lien hypertexte visité" xfId="955" builtinId="9" hidden="1"/>
    <cellStyle name="Lien hypertexte visité" xfId="1828" builtinId="9" hidden="1"/>
    <cellStyle name="Lien hypertexte visité" xfId="2444" builtinId="9" hidden="1"/>
    <cellStyle name="Lien hypertexte visité" xfId="12467" builtinId="9" hidden="1"/>
    <cellStyle name="Lien hypertexte visité" xfId="13619" builtinId="9" hidden="1"/>
    <cellStyle name="Lien hypertexte visité" xfId="3994" builtinId="9" hidden="1"/>
    <cellStyle name="Lien hypertexte visité" xfId="3404" builtinId="9" hidden="1"/>
    <cellStyle name="Lien hypertexte visité" xfId="2788" builtinId="9" hidden="1"/>
    <cellStyle name="Lien hypertexte visité" xfId="2196" builtinId="9" hidden="1"/>
    <cellStyle name="Lien hypertexte visité" xfId="1427" builtinId="9" hidden="1"/>
    <cellStyle name="Lien hypertexte visité" xfId="1243" builtinId="9" hidden="1"/>
    <cellStyle name="Lien hypertexte visité" xfId="5602" builtinId="9" hidden="1"/>
    <cellStyle name="Lien hypertexte visité" xfId="12883" builtinId="9" hidden="1"/>
    <cellStyle name="Lien hypertexte visité" xfId="12163" builtinId="9" hidden="1"/>
    <cellStyle name="Lien hypertexte visité" xfId="11587" builtinId="9" hidden="1"/>
    <cellStyle name="Lien hypertexte visité" xfId="11035" builtinId="9" hidden="1"/>
    <cellStyle name="Lien hypertexte visité" xfId="7618" builtinId="9" hidden="1"/>
    <cellStyle name="Lien hypertexte visité" xfId="7034" builtinId="9" hidden="1"/>
    <cellStyle name="Lien hypertexte visité" xfId="6410" builtinId="9" hidden="1"/>
    <cellStyle name="Lien hypertexte visité" xfId="5826" builtinId="9" hidden="1"/>
    <cellStyle name="Lien hypertexte visité" xfId="5098" builtinId="9" hidden="1"/>
    <cellStyle name="Lien hypertexte visité" xfId="75" builtinId="9" hidden="1"/>
    <cellStyle name="Lien hypertexte visité" xfId="8971" builtinId="9" hidden="1"/>
    <cellStyle name="Lien hypertexte visité" xfId="8387" builtinId="9" hidden="1"/>
    <cellStyle name="Lien hypertexte visité" xfId="2434" builtinId="9" hidden="1"/>
    <cellStyle name="Lien hypertexte visité" xfId="4616" builtinId="9" hidden="1"/>
    <cellStyle name="Lien hypertexte visité" xfId="5896" builtinId="9" hidden="1"/>
    <cellStyle name="Lien hypertexte visité" xfId="3723" builtinId="9" hidden="1"/>
    <cellStyle name="Lien hypertexte visité" xfId="2050" builtinId="9" hidden="1"/>
    <cellStyle name="Lien hypertexte visité" xfId="8131" builtinId="9" hidden="1"/>
    <cellStyle name="Lien hypertexte visité" xfId="8715" builtinId="9" hidden="1"/>
    <cellStyle name="Lien hypertexte visité" xfId="9451" builtinId="9" hidden="1"/>
    <cellStyle name="Lien hypertexte visité" xfId="4986" builtinId="9" hidden="1"/>
    <cellStyle name="Lien hypertexte visité" xfId="5570" builtinId="9" hidden="1"/>
    <cellStyle name="Lien hypertexte visité" xfId="6154" builtinId="9" hidden="1"/>
    <cellStyle name="Lien hypertexte visité" xfId="6922" builtinId="9" hidden="1"/>
    <cellStyle name="Lien hypertexte visité" xfId="7506" builtinId="9" hidden="1"/>
    <cellStyle name="Lien hypertexte visité" xfId="2524" builtinId="9" hidden="1"/>
    <cellStyle name="Lien hypertexte visité" xfId="11347" builtinId="9" hidden="1"/>
    <cellStyle name="Lien hypertexte visité" xfId="12059" builtinId="9" hidden="1"/>
    <cellStyle name="Lien hypertexte visité" xfId="12611" builtinId="9" hidden="1"/>
    <cellStyle name="Lien hypertexte visité" xfId="7394" builtinId="9" hidden="1"/>
    <cellStyle name="Lien hypertexte visité" xfId="3292" builtinId="9" hidden="1"/>
    <cellStyle name="Lien hypertexte visité" xfId="1323" builtinId="9" hidden="1"/>
    <cellStyle name="Lien hypertexte visité" xfId="1940" builtinId="9" hidden="1"/>
    <cellStyle name="Lien hypertexte visité" xfId="2532" builtinId="9" hidden="1"/>
    <cellStyle name="Lien hypertexte visité" xfId="3300" builtinId="9" hidden="1"/>
    <cellStyle name="Lien hypertexte visité" xfId="3894" builtinId="9" hidden="1"/>
    <cellStyle name="Lien hypertexte visité" xfId="4506" builtinId="9" hidden="1"/>
    <cellStyle name="Lien hypertexte visité" xfId="13875" builtinId="9" hidden="1"/>
    <cellStyle name="Lien hypertexte visité" xfId="2556" builtinId="9" hidden="1"/>
    <cellStyle name="Lien hypertexte visité" xfId="1932" builtinId="9" hidden="1"/>
    <cellStyle name="Lien hypertexte visité" xfId="1315" builtinId="9" hidden="1"/>
    <cellStyle name="Lien hypertexte visité" xfId="2332" builtinId="9" hidden="1"/>
    <cellStyle name="Lien hypertexte visité" xfId="7714" builtinId="9" hidden="1"/>
    <cellStyle name="Lien hypertexte visité" xfId="12563" builtinId="9" hidden="1"/>
    <cellStyle name="Lien hypertexte visité" xfId="11987" builtinId="9" hidden="1"/>
    <cellStyle name="Lien hypertexte visité" xfId="11403" builtinId="9" hidden="1"/>
    <cellStyle name="Lien hypertexte visité" xfId="10651" builtinId="9" hidden="1"/>
    <cellStyle name="Lien hypertexte visité" xfId="10075" builtinId="9" hidden="1"/>
    <cellStyle name="Lien hypertexte visité" xfId="18734" builtinId="9" hidden="1"/>
    <cellStyle name="Lien hypertexte visité" xfId="18045" builtinId="9" hidden="1"/>
    <cellStyle name="Lien hypertexte visité" xfId="10008" builtinId="9" hidden="1"/>
    <cellStyle name="Lien hypertexte visité" xfId="15647" builtinId="9" hidden="1"/>
    <cellStyle name="Lien hypertexte visité" xfId="8379" builtinId="9" hidden="1"/>
    <cellStyle name="Lien hypertexte visité" xfId="3028" builtinId="9" hidden="1"/>
    <cellStyle name="Lien hypertexte visité" xfId="22262" builtinId="9" hidden="1"/>
    <cellStyle name="Lien hypertexte visité" xfId="16555" builtinId="9" hidden="1"/>
    <cellStyle name="Lien hypertexte visité" xfId="5273" builtinId="9" hidden="1"/>
    <cellStyle name="Lien hypertexte visité" xfId="14421" builtinId="9" hidden="1"/>
    <cellStyle name="Lien hypertexte visité" xfId="8583" builtinId="9" hidden="1"/>
    <cellStyle name="Lien hypertexte visité" xfId="21248" builtinId="9" hidden="1"/>
    <cellStyle name="Lien hypertexte visité" xfId="11502" builtinId="9" hidden="1"/>
    <cellStyle name="Lien hypertexte visité" xfId="10343" builtinId="9" hidden="1"/>
    <cellStyle name="Lien hypertexte visité" xfId="23656" builtinId="9" hidden="1"/>
    <cellStyle name="Lien hypertexte visité" xfId="20784" builtinId="9" hidden="1"/>
    <cellStyle name="Lien hypertexte visité" xfId="23306" builtinId="9" hidden="1"/>
    <cellStyle name="Lien hypertexte visité" xfId="16209" builtinId="9" hidden="1"/>
    <cellStyle name="Lien hypertexte visité" xfId="10530" builtinId="9" hidden="1"/>
    <cellStyle name="Lien hypertexte visité" xfId="12087" builtinId="9" hidden="1"/>
    <cellStyle name="Lien hypertexte visité" xfId="4790" builtinId="9" hidden="1"/>
    <cellStyle name="Lien hypertexte visité" xfId="3631" builtinId="9" hidden="1"/>
    <cellStyle name="Lien hypertexte visité" xfId="10933" builtinId="9" hidden="1"/>
    <cellStyle name="Lien hypertexte visité" xfId="4261" builtinId="9" hidden="1"/>
    <cellStyle name="Lien hypertexte visité" xfId="3756" builtinId="9" hidden="1"/>
    <cellStyle name="Lien hypertexte visité" xfId="7818" builtinId="9" hidden="1"/>
    <cellStyle name="Lien hypertexte visité" xfId="15265" builtinId="9" hidden="1"/>
    <cellStyle name="Lien hypertexte visité" xfId="22984" builtinId="9" hidden="1"/>
    <cellStyle name="Lien hypertexte visité" xfId="11462" builtinId="9" hidden="1"/>
    <cellStyle name="Lien hypertexte visité" xfId="9839" builtinId="9" hidden="1"/>
    <cellStyle name="Lien hypertexte visité" xfId="2198" builtinId="9" hidden="1"/>
    <cellStyle name="Lien hypertexte visité" xfId="13149" builtinId="9" hidden="1"/>
    <cellStyle name="Lien hypertexte visité" xfId="15589" builtinId="9" hidden="1"/>
    <cellStyle name="Lien hypertexte visité" xfId="5835" builtinId="9" hidden="1"/>
    <cellStyle name="Lien hypertexte visité" xfId="7563" builtinId="9" hidden="1"/>
    <cellStyle name="Lien hypertexte visité" xfId="8908" builtinId="9" hidden="1"/>
    <cellStyle name="Lien hypertexte visité" xfId="10636" builtinId="9" hidden="1"/>
    <cellStyle name="Lien hypertexte visité" xfId="11980" builtinId="9" hidden="1"/>
    <cellStyle name="Lien hypertexte visité" xfId="13708" builtinId="9" hidden="1"/>
    <cellStyle name="Lien hypertexte visité" xfId="16357" builtinId="9" hidden="1"/>
    <cellStyle name="Lien hypertexte visité" xfId="19028" builtinId="9" hidden="1"/>
    <cellStyle name="Lien hypertexte visité" xfId="22484" builtinId="9" hidden="1"/>
    <cellStyle name="Lien hypertexte visité" xfId="24054" builtinId="9" hidden="1"/>
    <cellStyle name="Lien hypertexte visité" xfId="20598" builtinId="9" hidden="1"/>
    <cellStyle name="Lien hypertexte visité" xfId="17927" builtinId="9" hidden="1"/>
    <cellStyle name="Lien hypertexte visité" xfId="14493" builtinId="9" hidden="1"/>
    <cellStyle name="Lien hypertexte visité" xfId="12829" builtinId="9" hidden="1"/>
    <cellStyle name="Lien hypertexte visité" xfId="11421" builtinId="9" hidden="1"/>
    <cellStyle name="Lien hypertexte visité" xfId="9757" builtinId="9" hidden="1"/>
    <cellStyle name="Lien hypertexte visité" xfId="8349" builtinId="9" hidden="1"/>
    <cellStyle name="Lien hypertexte visité" xfId="6684" builtinId="9" hidden="1"/>
    <cellStyle name="Lien hypertexte visité" xfId="5276" builtinId="9" hidden="1"/>
    <cellStyle name="Lien hypertexte visité" xfId="3607" builtinId="9" hidden="1"/>
    <cellStyle name="Lien hypertexte visité" xfId="1878" builtinId="9" hidden="1"/>
    <cellStyle name="Lien hypertexte visité" xfId="101" builtinId="9" hidden="1"/>
    <cellStyle name="Lien hypertexte visité" xfId="2344" builtinId="9" hidden="1"/>
    <cellStyle name="Lien hypertexte visité" xfId="3697" builtinId="9" hidden="1"/>
    <cellStyle name="Lien hypertexte visité" xfId="5422" builtinId="9" hidden="1"/>
    <cellStyle name="Lien hypertexte visité" xfId="6766" builtinId="9" hidden="1"/>
    <cellStyle name="Lien hypertexte visité" xfId="8495" builtinId="9" hidden="1"/>
    <cellStyle name="Lien hypertexte visité" xfId="10223" builtinId="9" hidden="1"/>
    <cellStyle name="Lien hypertexte visité" xfId="11567" builtinId="9" hidden="1"/>
    <cellStyle name="Lien hypertexte visité" xfId="13295" builtinId="9" hidden="1"/>
    <cellStyle name="Lien hypertexte visité" xfId="14763" builtinId="9" hidden="1"/>
    <cellStyle name="Lien hypertexte visité" xfId="8518" builtinId="9" hidden="1"/>
    <cellStyle name="Lien hypertexte visité" xfId="9414" builtinId="9" hidden="1"/>
    <cellStyle name="Lien hypertexte visité" xfId="10566" builtinId="9" hidden="1"/>
    <cellStyle name="Lien hypertexte visité" xfId="11678" builtinId="9" hidden="1"/>
    <cellStyle name="Lien hypertexte visité" xfId="12614" builtinId="9" hidden="1"/>
    <cellStyle name="Lien hypertexte visité" xfId="13726" builtinId="9" hidden="1"/>
    <cellStyle name="Lien hypertexte visité" xfId="14809" builtinId="9" hidden="1"/>
    <cellStyle name="Lien hypertexte visité" xfId="17033" builtinId="9" hidden="1"/>
    <cellStyle name="Lien hypertexte visité" xfId="18888" builtinId="9" hidden="1"/>
    <cellStyle name="Lien hypertexte visité" xfId="21112" builtinId="9" hidden="1"/>
    <cellStyle name="Lien hypertexte visité" xfId="23416" builtinId="9" hidden="1"/>
    <cellStyle name="Lien hypertexte visité" xfId="24018" builtinId="9" hidden="1"/>
    <cellStyle name="Lien hypertexte visité" xfId="21714" builtinId="9" hidden="1"/>
    <cellStyle name="Lien hypertexte visité" xfId="19922" builtinId="9" hidden="1"/>
    <cellStyle name="Lien hypertexte visité" xfId="17635" builtinId="9" hidden="1"/>
    <cellStyle name="Lien hypertexte visité" xfId="21690" builtinId="9" hidden="1"/>
    <cellStyle name="Lien hypertexte visité" xfId="20624" builtinId="9" hidden="1"/>
    <cellStyle name="Lien hypertexte visité" xfId="14122" builtinId="9" hidden="1"/>
    <cellStyle name="Lien hypertexte visité" xfId="11434" builtinId="9" hidden="1"/>
    <cellStyle name="Lien hypertexte visité" xfId="3993" builtinId="9" hidden="1"/>
    <cellStyle name="Lien hypertexte visité" xfId="4761" builtinId="9" hidden="1"/>
    <cellStyle name="Lien hypertexte visité" xfId="5749" builtinId="9" hidden="1"/>
    <cellStyle name="Lien hypertexte visité" xfId="6517" builtinId="9" hidden="1"/>
    <cellStyle name="Lien hypertexte visité" xfId="7505" builtinId="9" hidden="1"/>
    <cellStyle name="Lien hypertexte visité" xfId="6537" builtinId="9" hidden="1"/>
    <cellStyle name="Lien hypertexte visité" xfId="2607" builtinId="9" hidden="1"/>
    <cellStyle name="Lien hypertexte visité" xfId="3495" builtinId="9" hidden="1"/>
    <cellStyle name="Lien hypertexte visité" xfId="1635" builtinId="9" hidden="1"/>
    <cellStyle name="Lien hypertexte visité" xfId="1318" builtinId="9" hidden="1"/>
    <cellStyle name="Lien hypertexte visité" xfId="841" builtinId="9" hidden="1"/>
    <cellStyle name="Lien hypertexte visité" xfId="1879" builtinId="9" hidden="1"/>
    <cellStyle name="Lien hypertexte visité" xfId="3576" builtinId="9" hidden="1"/>
    <cellStyle name="Lien hypertexte visité" xfId="2859" builtinId="9" hidden="1"/>
    <cellStyle name="Lien hypertexte visité" xfId="5929" builtinId="9" hidden="1"/>
    <cellStyle name="Lien hypertexte visité" xfId="7773" builtinId="9" hidden="1"/>
    <cellStyle name="Lien hypertexte visité" xfId="6785" builtinId="9" hidden="1"/>
    <cellStyle name="Lien hypertexte visité" xfId="6017" builtinId="9" hidden="1"/>
    <cellStyle name="Lien hypertexte visité" xfId="5029" builtinId="9" hidden="1"/>
    <cellStyle name="Lien hypertexte visité" xfId="4045" builtinId="9" hidden="1"/>
    <cellStyle name="Lien hypertexte visité" xfId="10490" builtinId="9" hidden="1"/>
    <cellStyle name="Lien hypertexte visité" xfId="17335" builtinId="9" hidden="1"/>
    <cellStyle name="Lien hypertexte visité" xfId="15543" builtinId="9" hidden="1"/>
    <cellStyle name="Lien hypertexte visité" xfId="13877" builtinId="9" hidden="1"/>
    <cellStyle name="Lien hypertexte visité" xfId="12981" builtinId="9" hidden="1"/>
    <cellStyle name="Lien hypertexte visité" xfId="11829" builtinId="9" hidden="1"/>
    <cellStyle name="Lien hypertexte visité" xfId="10709" builtinId="9" hidden="1"/>
    <cellStyle name="Lien hypertexte visité" xfId="9781" builtinId="9" hidden="1"/>
    <cellStyle name="Lien hypertexte visité" xfId="8661" builtinId="9" hidden="1"/>
    <cellStyle name="Lien hypertexte visité" xfId="7732" builtinId="9" hidden="1"/>
    <cellStyle name="Lien hypertexte visité" xfId="6612" builtinId="9" hidden="1"/>
    <cellStyle name="Lien hypertexte visité" xfId="5684" builtinId="9" hidden="1"/>
    <cellStyle name="Lien hypertexte visité" xfId="4564" builtinId="9" hidden="1"/>
    <cellStyle name="Lien hypertexte visité" xfId="3406" builtinId="9" hidden="1"/>
    <cellStyle name="Lien hypertexte visité" xfId="2510" builtinId="9" hidden="1"/>
    <cellStyle name="Lien hypertexte visité" xfId="1357" builtinId="9" hidden="1"/>
    <cellStyle name="Lien hypertexte visité" xfId="211" builtinId="9" hidden="1"/>
    <cellStyle name="Lien hypertexte visité" xfId="1840" builtinId="9" hidden="1"/>
    <cellStyle name="Lien hypertexte visité" xfId="2736" builtinId="9" hidden="1"/>
    <cellStyle name="Lien hypertexte visité" xfId="3898" builtinId="9" hidden="1"/>
    <cellStyle name="Lien hypertexte visité" xfId="5046" builtinId="9" hidden="1"/>
    <cellStyle name="Lien hypertexte visité" xfId="5942" builtinId="9" hidden="1"/>
    <cellStyle name="Lien hypertexte visité" xfId="7094" builtinId="9" hidden="1"/>
    <cellStyle name="Lien hypertexte visité" xfId="7991" builtinId="9" hidden="1"/>
    <cellStyle name="Lien hypertexte visité" xfId="9143" builtinId="9" hidden="1"/>
    <cellStyle name="Lien hypertexte visité" xfId="10039" builtinId="9" hidden="1"/>
    <cellStyle name="Lien hypertexte visité" xfId="11191" builtinId="9" hidden="1"/>
    <cellStyle name="Lien hypertexte visité" xfId="12295" builtinId="9" hidden="1"/>
    <cellStyle name="Lien hypertexte visité" xfId="13239" builtinId="9" hidden="1"/>
    <cellStyle name="Lien hypertexte visité" xfId="14343" builtinId="9" hidden="1"/>
    <cellStyle name="Lien hypertexte visité" xfId="16059" builtinId="9" hidden="1"/>
    <cellStyle name="Lien hypertexte visité" xfId="8534" builtinId="9" hidden="1"/>
    <cellStyle name="Lien hypertexte visité" xfId="9166" builtinId="9" hidden="1"/>
    <cellStyle name="Lien hypertexte visité" xfId="9902" builtinId="9" hidden="1"/>
    <cellStyle name="Lien hypertexte visité" xfId="10670" builtinId="9" hidden="1"/>
    <cellStyle name="Lien hypertexte visité" xfId="11266" builtinId="9" hidden="1"/>
    <cellStyle name="Lien hypertexte visité" xfId="12034" builtinId="9" hidden="1"/>
    <cellStyle name="Lien hypertexte visité" xfId="12630" builtinId="9" hidden="1"/>
    <cellStyle name="Lien hypertexte visité" xfId="13398" builtinId="9" hidden="1"/>
    <cellStyle name="Lien hypertexte visité" xfId="13998" builtinId="9" hidden="1"/>
    <cellStyle name="Lien hypertexte visité" xfId="15017" builtinId="9" hidden="1"/>
    <cellStyle name="Lien hypertexte visité" xfId="16553" builtinId="9" hidden="1"/>
    <cellStyle name="Lien hypertexte visité" xfId="17745" builtinId="9" hidden="1"/>
    <cellStyle name="Lien hypertexte visité" xfId="19264" builtinId="9" hidden="1"/>
    <cellStyle name="Lien hypertexte visité" xfId="20456" builtinId="9" hidden="1"/>
    <cellStyle name="Lien hypertexte visité" xfId="21992" builtinId="9" hidden="1"/>
    <cellStyle name="Lien hypertexte visité" xfId="23192" builtinId="9" hidden="1"/>
    <cellStyle name="Lien hypertexte visité" xfId="24498" builtinId="9" hidden="1"/>
    <cellStyle name="Lien hypertexte visité" xfId="23026" builtinId="9" hidden="1"/>
    <cellStyle name="Lien hypertexte visité" xfId="21770" builtinId="9" hidden="1"/>
    <cellStyle name="Lien hypertexte visité" xfId="20298" builtinId="9" hidden="1"/>
    <cellStyle name="Lien hypertexte visité" xfId="19042" builtinId="9" hidden="1"/>
    <cellStyle name="Lien hypertexte visité" xfId="17587" builtinId="9" hidden="1"/>
    <cellStyle name="Lien hypertexte visité" xfId="20250" builtinId="9" hidden="1"/>
    <cellStyle name="Lien hypertexte visité" xfId="24560" builtinId="9" hidden="1"/>
    <cellStyle name="Lien hypertexte visité" xfId="19952" builtinId="9" hidden="1"/>
    <cellStyle name="Lien hypertexte visité" xfId="16385" builtinId="9" hidden="1"/>
    <cellStyle name="Lien hypertexte visité" xfId="13146" builtinId="9" hidden="1"/>
    <cellStyle name="Lien hypertexte visité" xfId="11354" builtinId="9" hidden="1"/>
    <cellStyle name="Lien hypertexte visité" xfId="21424" builtinId="9" hidden="1"/>
    <cellStyle name="Lien hypertexte visité" xfId="17395" builtinId="9" hidden="1"/>
    <cellStyle name="Lien hypertexte visité" xfId="21986" builtinId="9" hidden="1"/>
    <cellStyle name="Lien hypertexte visité" xfId="22632" builtinId="9" hidden="1"/>
    <cellStyle name="Lien hypertexte visité" xfId="19048" builtinId="9" hidden="1"/>
    <cellStyle name="Lien hypertexte visité" xfId="14486" builtinId="9" hidden="1"/>
    <cellStyle name="Lien hypertexte visité" xfId="12694" builtinId="9" hidden="1"/>
    <cellStyle name="Lien hypertexte visité" xfId="10390" builtinId="9" hidden="1"/>
    <cellStyle name="Lien hypertexte visité" xfId="8598" builtinId="9" hidden="1"/>
    <cellStyle name="Lien hypertexte visité" xfId="13031" builtinId="9" hidden="1"/>
    <cellStyle name="Lien hypertexte visité" xfId="9703" builtinId="9" hidden="1"/>
    <cellStyle name="Lien hypertexte visité" xfId="6886" builtinId="9" hidden="1"/>
    <cellStyle name="Lien hypertexte visité" xfId="3552" builtinId="9" hidden="1"/>
    <cellStyle name="Lien hypertexte visité" xfId="307" builtinId="9" hidden="1"/>
    <cellStyle name="Lien hypertexte visité" xfId="3751" builtinId="9" hidden="1"/>
    <cellStyle name="Lien hypertexte visité" xfId="2400" builtinId="9" hidden="1"/>
    <cellStyle name="Lien hypertexte visité" xfId="12647" builtinId="9" hidden="1"/>
    <cellStyle name="Lien hypertexte visité" xfId="12866" builtinId="9" hidden="1"/>
    <cellStyle name="Lien hypertexte visité" xfId="22120" builtinId="9" hidden="1"/>
    <cellStyle name="Lien hypertexte visité" xfId="20400" builtinId="9" hidden="1"/>
    <cellStyle name="Lien hypertexte visité" xfId="14849" builtinId="9" hidden="1"/>
    <cellStyle name="Lien hypertexte visité" xfId="20762" builtinId="9" hidden="1"/>
    <cellStyle name="Lien hypertexte visité" xfId="19786" builtinId="9" hidden="1"/>
    <cellStyle name="Lien hypertexte visité" xfId="24330" builtinId="9" hidden="1"/>
    <cellStyle name="Lien hypertexte visité" xfId="20352" builtinId="9" hidden="1"/>
    <cellStyle name="Lien hypertexte visité" xfId="16721" builtinId="9" hidden="1"/>
    <cellStyle name="Lien hypertexte visité" xfId="13346" builtinId="9" hidden="1"/>
    <cellStyle name="Lien hypertexte visité" xfId="11522" builtinId="9" hidden="1"/>
    <cellStyle name="Lien hypertexte visité" xfId="9250" builtinId="9" hidden="1"/>
    <cellStyle name="Lien hypertexte visité" xfId="14939" builtinId="9" hidden="1"/>
    <cellStyle name="Lien hypertexte visité" xfId="11319" builtinId="9" hidden="1"/>
    <cellStyle name="Lien hypertexte visité" xfId="7895" builtinId="9" hidden="1"/>
    <cellStyle name="Lien hypertexte visité" xfId="5174" builtinId="9" hidden="1"/>
    <cellStyle name="Lien hypertexte visité" xfId="1744" builtinId="9" hidden="1"/>
    <cellStyle name="Lien hypertexte visité" xfId="2126" builtinId="9" hidden="1"/>
    <cellStyle name="Lien hypertexte visité" xfId="5556" builtinId="9" hidden="1"/>
    <cellStyle name="Lien hypertexte visité" xfId="8277" builtinId="9" hidden="1"/>
    <cellStyle name="Lien hypertexte visité" xfId="11701" builtinId="9" hidden="1"/>
    <cellStyle name="Lien hypertexte visité" xfId="15703" builtinId="9" hidden="1"/>
    <cellStyle name="Lien hypertexte visité" xfId="3933" builtinId="9" hidden="1"/>
    <cellStyle name="Lien hypertexte visité" xfId="6861" builtinId="9" hidden="1"/>
    <cellStyle name="Lien hypertexte visité" xfId="2551" builtinId="9" hidden="1"/>
    <cellStyle name="Lien hypertexte visité" xfId="649" builtinId="9" hidden="1"/>
    <cellStyle name="Lien hypertexte visité" xfId="3812" builtinId="9" hidden="1"/>
    <cellStyle name="Lien hypertexte visité" xfId="7613" builtinId="9" hidden="1"/>
    <cellStyle name="Lien hypertexte visité" xfId="4689" builtinId="9" hidden="1"/>
    <cellStyle name="Lien hypertexte visité" xfId="13738" builtinId="9" hidden="1"/>
    <cellStyle name="Lien hypertexte visité" xfId="17811" builtinId="9" hidden="1"/>
    <cellStyle name="Lien hypertexte visité" xfId="23250" builtinId="9" hidden="1"/>
    <cellStyle name="Lien hypertexte visité" xfId="19144" builtinId="9" hidden="1"/>
    <cellStyle name="Lien hypertexte visité" xfId="14110" builtinId="9" hidden="1"/>
    <cellStyle name="Lien hypertexte visité" xfId="10694" builtinId="9" hidden="1"/>
    <cellStyle name="Lien hypertexte visité" xfId="14511" builtinId="9" hidden="1"/>
    <cellStyle name="Lien hypertexte visité" xfId="10415" builtinId="9" hidden="1"/>
    <cellStyle name="Lien hypertexte visité" xfId="5294" builtinId="9" hidden="1"/>
    <cellStyle name="Lien hypertexte visité" xfId="1191" builtinId="9" hidden="1"/>
    <cellStyle name="Lien hypertexte visité" xfId="5084" builtinId="9" hidden="1"/>
    <cellStyle name="Lien hypertexte visité" xfId="9181" builtinId="9" hidden="1"/>
    <cellStyle name="Lien hypertexte visité" xfId="14301" builtinId="9" hidden="1"/>
    <cellStyle name="Lien hypertexte visité" xfId="24310" builtinId="9" hidden="1"/>
    <cellStyle name="Lien hypertexte visité" xfId="16741" builtinId="9" hidden="1"/>
    <cellStyle name="Lien hypertexte visité" xfId="10508" builtinId="9" hidden="1"/>
    <cellStyle name="Lien hypertexte visité" xfId="6411" builtinId="9" hidden="1"/>
    <cellStyle name="Lien hypertexte visité" xfId="1284" builtinId="9" hidden="1"/>
    <cellStyle name="Lien hypertexte visité" xfId="3967" builtinId="9" hidden="1"/>
    <cellStyle name="Lien hypertexte visité" xfId="315" builtinId="9" hidden="1"/>
    <cellStyle name="Lien hypertexte visité" xfId="3180" builtinId="9" hidden="1"/>
    <cellStyle name="Lien hypertexte visité" xfId="3845" builtinId="9" hidden="1"/>
    <cellStyle name="Lien hypertexte visité" xfId="4682" builtinId="9" hidden="1"/>
    <cellStyle name="Lien hypertexte visité" xfId="5378" builtinId="9" hidden="1"/>
    <cellStyle name="Lien hypertexte visité" xfId="6186" builtinId="9" hidden="1"/>
    <cellStyle name="Lien hypertexte visité" xfId="6874" builtinId="9" hidden="1"/>
    <cellStyle name="Lien hypertexte visité" xfId="7722" builtinId="9" hidden="1"/>
    <cellStyle name="Lien hypertexte visité" xfId="8523" builtinId="9" hidden="1"/>
    <cellStyle name="Lien hypertexte visité" xfId="9219" builtinId="9" hidden="1"/>
    <cellStyle name="Lien hypertexte visité" xfId="2274" builtinId="9" hidden="1"/>
    <cellStyle name="Lien hypertexte visité" xfId="4584" builtinId="9" hidden="1"/>
    <cellStyle name="Lien hypertexte visité" xfId="7528" builtinId="9" hidden="1"/>
    <cellStyle name="Lien hypertexte visité" xfId="9833" builtinId="9" hidden="1"/>
    <cellStyle name="Lien hypertexte visité" xfId="12777" builtinId="9" hidden="1"/>
    <cellStyle name="Lien hypertexte visité" xfId="16927" builtinId="9" hidden="1"/>
    <cellStyle name="Lien hypertexte visité" xfId="21518" builtinId="9" hidden="1"/>
    <cellStyle name="Lien hypertexte visité" xfId="21820" builtinId="9" hidden="1"/>
    <cellStyle name="Lien hypertexte visité" xfId="17229" builtinId="9" hidden="1"/>
    <cellStyle name="Lien hypertexte visité" xfId="12928" builtinId="9" hidden="1"/>
    <cellStyle name="Lien hypertexte visité" xfId="10624" builtinId="9" hidden="1"/>
    <cellStyle name="Lien hypertexte visité" xfId="9240" builtinId="9" hidden="1"/>
    <cellStyle name="Lien hypertexte visité" xfId="10224" builtinId="9" hidden="1"/>
    <cellStyle name="Lien hypertexte visité" xfId="10992" builtinId="9" hidden="1"/>
    <cellStyle name="Lien hypertexte visité" xfId="11976" builtinId="9" hidden="1"/>
    <cellStyle name="Lien hypertexte visité" xfId="12744" builtinId="9" hidden="1"/>
    <cellStyle name="Lien hypertexte visité" xfId="13720" builtinId="9" hidden="1"/>
    <cellStyle name="Lien hypertexte visité" xfId="14557" builtinId="9" hidden="1"/>
    <cellStyle name="Lien hypertexte visité" xfId="16429" builtinId="9" hidden="1"/>
    <cellStyle name="Lien hypertexte visité" xfId="18380" builtinId="9" hidden="1"/>
    <cellStyle name="Lien hypertexte visité" xfId="19996" builtinId="9" hidden="1"/>
    <cellStyle name="Lien hypertexte visité" xfId="21868" builtinId="9" hidden="1"/>
    <cellStyle name="Lien hypertexte visité" xfId="23500" builtinId="9" hidden="1"/>
    <cellStyle name="Lien hypertexte visité" xfId="23774" builtinId="9" hidden="1"/>
    <cellStyle name="Lien hypertexte visité" xfId="22238" builtinId="9" hidden="1"/>
    <cellStyle name="Lien hypertexte visité" xfId="20270" builtinId="9" hidden="1"/>
    <cellStyle name="Lien hypertexte visité" xfId="18314" builtinId="9" hidden="1"/>
    <cellStyle name="Lien hypertexte visité" xfId="16783" builtinId="9" hidden="1"/>
    <cellStyle name="Lien hypertexte visité" xfId="14831" builtinId="9" hidden="1"/>
    <cellStyle name="Lien hypertexte visité" xfId="13905" builtinId="9" hidden="1"/>
    <cellStyle name="Lien hypertexte visité" xfId="12921" builtinId="9" hidden="1"/>
    <cellStyle name="Lien hypertexte visité" xfId="2757" builtinId="9" hidden="1"/>
    <cellStyle name="Lien hypertexte visité" xfId="3842" builtinId="9" hidden="1"/>
    <cellStyle name="Lien hypertexte visité" xfId="107" builtinId="9" hidden="1"/>
    <cellStyle name="Lien hypertexte visité" xfId="13093" builtinId="9" hidden="1"/>
    <cellStyle name="Lien hypertexte visité" xfId="8788" builtinId="9" hidden="1"/>
    <cellStyle name="Lien hypertexte visité" xfId="13476" builtinId="9" hidden="1"/>
    <cellStyle name="Lien hypertexte visité" xfId="21764" builtinId="9" hidden="1"/>
    <cellStyle name="Lien hypertexte visité" xfId="23108" builtinId="9" hidden="1"/>
    <cellStyle name="Lien hypertexte visité" xfId="557" builtinId="9" hidden="1"/>
    <cellStyle name="Lien hypertexte visité" xfId="4355" builtinId="9" hidden="1"/>
    <cellStyle name="Lien hypertexte visité" xfId="6807" builtinId="9" hidden="1"/>
    <cellStyle name="Lien hypertexte visité" xfId="6327" builtinId="9" hidden="1"/>
    <cellStyle name="Lien hypertexte visité" xfId="5863" builtinId="9" hidden="1"/>
    <cellStyle name="Lien hypertexte visité" xfId="1356" builtinId="9" hidden="1"/>
    <cellStyle name="Lien hypertexte visité" xfId="15701" builtinId="9" hidden="1"/>
    <cellStyle name="Lien hypertexte visité" xfId="22820" builtinId="9" hidden="1"/>
    <cellStyle name="Lien hypertexte visité" xfId="14004" builtinId="9" hidden="1"/>
    <cellStyle name="Lien hypertexte visité" xfId="9316" builtinId="9" hidden="1"/>
    <cellStyle name="Lien hypertexte visité" xfId="15383" builtinId="9" hidden="1"/>
    <cellStyle name="Lien hypertexte visité" xfId="2592" builtinId="9" hidden="1"/>
    <cellStyle name="Lien hypertexte visité" xfId="10262" builtinId="9" hidden="1"/>
    <cellStyle name="Lien hypertexte visité" xfId="21386" builtinId="9" hidden="1"/>
    <cellStyle name="Lien hypertexte visité" xfId="17793" builtinId="9" hidden="1"/>
    <cellStyle name="Lien hypertexte visité" xfId="19874" builtinId="9" hidden="1"/>
    <cellStyle name="Lien hypertexte visité" xfId="22080" builtinId="9" hidden="1"/>
    <cellStyle name="Lien hypertexte visité" xfId="14825" builtinId="9" hidden="1"/>
    <cellStyle name="Lien hypertexte visité" xfId="11022" builtinId="9" hidden="1"/>
    <cellStyle name="Lien hypertexte visité" xfId="14811" builtinId="9" hidden="1"/>
    <cellStyle name="Lien hypertexte visité" xfId="9207" builtinId="9" hidden="1"/>
    <cellStyle name="Lien hypertexte visité" xfId="3737" builtinId="9" hidden="1"/>
    <cellStyle name="Lien hypertexte visité" xfId="2878" builtinId="9" hidden="1"/>
    <cellStyle name="Lien hypertexte visité" xfId="8341" builtinId="9" hidden="1"/>
    <cellStyle name="Lien hypertexte visité" xfId="13813" builtinId="9" hidden="1"/>
    <cellStyle name="Lien hypertexte visité" xfId="5157" builtinId="9" hidden="1"/>
    <cellStyle name="Lien hypertexte visité" xfId="3151" builtinId="9" hidden="1"/>
    <cellStyle name="Lien hypertexte visité" xfId="3760" builtinId="9" hidden="1"/>
    <cellStyle name="Lien hypertexte visité" xfId="5805" builtinId="9" hidden="1"/>
    <cellStyle name="Lien hypertexte visité" xfId="21520" builtinId="9" hidden="1"/>
    <cellStyle name="Lien hypertexte visité" xfId="24480" builtinId="9" hidden="1"/>
    <cellStyle name="Lien hypertexte visité" xfId="14046" builtinId="9" hidden="1"/>
    <cellStyle name="Lien hypertexte visité" xfId="8582" builtinId="9" hidden="1"/>
    <cellStyle name="Lien hypertexte visité" xfId="8271" builtinId="9" hidden="1"/>
    <cellStyle name="Lien hypertexte visité" xfId="991" builtinId="9" hidden="1"/>
    <cellStyle name="Lien hypertexte visité" xfId="9277" builtinId="9" hidden="1"/>
    <cellStyle name="Lien hypertexte visité" xfId="20406" builtinId="9" hidden="1"/>
    <cellStyle name="Lien hypertexte visité" xfId="13484" builtinId="9" hidden="1"/>
    <cellStyle name="Lien hypertexte visité" xfId="5291" builtinId="9" hidden="1"/>
    <cellStyle name="Lien hypertexte visité" xfId="4063" builtinId="9" hidden="1"/>
    <cellStyle name="Lien hypertexte visité" xfId="2868" builtinId="9" hidden="1"/>
    <cellStyle name="Lien hypertexte visité" xfId="1988" builtinId="9" hidden="1"/>
    <cellStyle name="Lien hypertexte visité" xfId="1259" builtinId="9" hidden="1"/>
    <cellStyle name="Lien hypertexte visité" xfId="12891" builtinId="9" hidden="1"/>
    <cellStyle name="Lien hypertexte visité" xfId="12211" builtinId="9" hidden="1"/>
    <cellStyle name="Lien hypertexte visité" xfId="11523" builtinId="9" hidden="1"/>
    <cellStyle name="Lien hypertexte visité" xfId="10027" builtinId="9" hidden="1"/>
    <cellStyle name="Lien hypertexte visité" xfId="11555" builtinId="9" hidden="1"/>
    <cellStyle name="Lien hypertexte visité" xfId="13755" builtinId="9" hidden="1"/>
    <cellStyle name="Lien hypertexte visité" xfId="15043" builtinId="9" hidden="1"/>
    <cellStyle name="Lien hypertexte visité" xfId="16787" builtinId="9" hidden="1"/>
    <cellStyle name="Lien hypertexte visité" xfId="15923" builtinId="9" hidden="1"/>
    <cellStyle name="Lien hypertexte visité" xfId="13203" builtinId="9" hidden="1"/>
    <cellStyle name="Lien hypertexte visité" xfId="13867" builtinId="9" hidden="1"/>
    <cellStyle name="Lien hypertexte visité" xfId="11939" builtinId="9" hidden="1"/>
    <cellStyle name="Lien hypertexte visité" xfId="10819" builtinId="9" hidden="1"/>
    <cellStyle name="Lien hypertexte visité" xfId="11499" builtinId="9" hidden="1"/>
    <cellStyle name="Lien hypertexte visité" xfId="12315" builtinId="9" hidden="1"/>
    <cellStyle name="Lien hypertexte visité" xfId="3684" builtinId="9" hidden="1"/>
    <cellStyle name="Lien hypertexte visité" xfId="1379" builtinId="9" hidden="1"/>
    <cellStyle name="Lien hypertexte visité" xfId="2108" builtinId="9" hidden="1"/>
    <cellStyle name="Lien hypertexte visité" xfId="3725" builtinId="9" hidden="1"/>
    <cellStyle name="Lien hypertexte visité" xfId="4458" builtinId="9" hidden="1"/>
    <cellStyle name="Lien hypertexte visité" xfId="5186" builtinId="9" hidden="1"/>
    <cellStyle name="Lien hypertexte visité" xfId="6794" builtinId="9" hidden="1"/>
    <cellStyle name="Lien hypertexte visité" xfId="7530" builtinId="9" hidden="1"/>
    <cellStyle name="Lien hypertexte visité" xfId="8403" builtinId="9" hidden="1"/>
    <cellStyle name="Lien hypertexte visité" xfId="1602" builtinId="9" hidden="1"/>
    <cellStyle name="Lien hypertexte visité" xfId="4680" builtinId="9" hidden="1"/>
    <cellStyle name="Lien hypertexte visité" xfId="9042" builtinId="9" hidden="1"/>
    <cellStyle name="Lien hypertexte visité" xfId="16075" builtinId="9" hidden="1"/>
    <cellStyle name="Lien hypertexte visité" xfId="14431" builtinId="9" hidden="1"/>
    <cellStyle name="Lien hypertexte visité" xfId="13567" builtinId="9" hidden="1"/>
    <cellStyle name="Lien hypertexte visité" xfId="11711" builtinId="9" hidden="1"/>
    <cellStyle name="Lien hypertexte visité" xfId="10847" builtinId="9" hidden="1"/>
    <cellStyle name="Lien hypertexte visité" xfId="9823" builtinId="9" hidden="1"/>
    <cellStyle name="Lien hypertexte visité" xfId="6364" builtinId="9" hidden="1"/>
    <cellStyle name="Lien hypertexte visité" xfId="10461" builtinId="9" hidden="1"/>
    <cellStyle name="Lien hypertexte visité" xfId="14599" builtinId="9" hidden="1"/>
    <cellStyle name="Lien hypertexte visité" xfId="18277" builtinId="9" hidden="1"/>
    <cellStyle name="Lien hypertexte visité" xfId="12300" builtinId="9" hidden="1"/>
    <cellStyle name="Lien hypertexte visité" xfId="8204" builtinId="9" hidden="1"/>
    <cellStyle name="Lien hypertexte visité" xfId="1125" builtinId="9" hidden="1"/>
    <cellStyle name="Lien hypertexte visité" xfId="5247" builtinId="9" hidden="1"/>
    <cellStyle name="Lien hypertexte visité" xfId="69" builtinId="9" hidden="1"/>
    <cellStyle name="Lien hypertexte visité" xfId="3733" builtinId="9" hidden="1"/>
    <cellStyle name="Lien hypertexte visité" xfId="4394" builtinId="9" hidden="1"/>
    <cellStyle name="Lien hypertexte visité" xfId="5082" builtinId="9" hidden="1"/>
    <cellStyle name="Lien hypertexte visité" xfId="6402" builtinId="9" hidden="1"/>
    <cellStyle name="Lien hypertexte visité" xfId="7058" builtinId="9" hidden="1"/>
    <cellStyle name="Lien hypertexte visité" xfId="7754" builtinId="9" hidden="1"/>
    <cellStyle name="Lien hypertexte visité" xfId="9075" builtinId="9" hidden="1"/>
    <cellStyle name="Lien hypertexte visité" xfId="1249" builtinId="9" hidden="1"/>
    <cellStyle name="Lien hypertexte visité" xfId="3554" builtinId="9" hidden="1"/>
    <cellStyle name="Lien hypertexte visité" xfId="8169" builtinId="9" hidden="1"/>
    <cellStyle name="Lien hypertexte visité" xfId="10601" builtinId="9" hidden="1"/>
    <cellStyle name="Lien hypertexte visité" xfId="12905" builtinId="9" hidden="1"/>
    <cellStyle name="Lien hypertexte visité" xfId="20750" builtinId="9" hidden="1"/>
    <cellStyle name="Lien hypertexte visité" xfId="23868" builtinId="9" hidden="1"/>
    <cellStyle name="Lien hypertexte visité" xfId="19260" builtinId="9" hidden="1"/>
    <cellStyle name="Lien hypertexte visité" xfId="12160" builtinId="9" hidden="1"/>
    <cellStyle name="Lien hypertexte visité" xfId="9856" builtinId="9" hidden="1"/>
    <cellStyle name="Lien hypertexte visité" xfId="9288" builtinId="9" hidden="1"/>
    <cellStyle name="Lien hypertexte visité" xfId="10864" builtinId="9" hidden="1"/>
    <cellStyle name="Lien hypertexte visité" xfId="11632" builtinId="9" hidden="1"/>
    <cellStyle name="Lien hypertexte visité" xfId="12400" builtinId="9" hidden="1"/>
    <cellStyle name="Lien hypertexte visité" xfId="13976" builtinId="9" hidden="1"/>
    <cellStyle name="Lien hypertexte visité" xfId="14973" builtinId="9" hidden="1"/>
    <cellStyle name="Lien hypertexte visité" xfId="16605" builtinId="9" hidden="1"/>
    <cellStyle name="Lien hypertexte visité" xfId="19660" builtinId="9" hidden="1"/>
    <cellStyle name="Lien hypertexte visité" xfId="21196" builtinId="9" hidden="1"/>
    <cellStyle name="Lien hypertexte visité" xfId="22812" builtinId="9" hidden="1"/>
    <cellStyle name="Lien hypertexte visité" xfId="23342" builtinId="9" hidden="1"/>
    <cellStyle name="Lien hypertexte visité" xfId="21726" builtinId="9" hidden="1"/>
    <cellStyle name="Lien hypertexte visité" xfId="20190" builtinId="9" hidden="1"/>
    <cellStyle name="Lien hypertexte visité" xfId="17135" builtinId="9" hidden="1"/>
    <cellStyle name="Lien hypertexte visité" xfId="15503" builtinId="9" hidden="1"/>
    <cellStyle name="Lien hypertexte visité" xfId="14241" builtinId="9" hidden="1"/>
    <cellStyle name="Lien hypertexte visité" xfId="12665" builtinId="9" hidden="1"/>
    <cellStyle name="Lien hypertexte visité" xfId="11897" builtinId="9" hidden="1"/>
    <cellStyle name="Lien hypertexte visité" xfId="11129" builtinId="9" hidden="1"/>
    <cellStyle name="Lien hypertexte visité" xfId="9553" builtinId="9" hidden="1"/>
    <cellStyle name="Lien hypertexte visité" xfId="8785" builtinId="9" hidden="1"/>
    <cellStyle name="Lien hypertexte visité" xfId="8017" builtinId="9" hidden="1"/>
    <cellStyle name="Lien hypertexte visité" xfId="6432" builtinId="9" hidden="1"/>
    <cellStyle name="Lien hypertexte visité" xfId="5664" builtinId="9" hidden="1"/>
    <cellStyle name="Lien hypertexte visité" xfId="4896" builtinId="9" hidden="1"/>
    <cellStyle name="Lien hypertexte visité" xfId="3314" builtinId="9" hidden="1"/>
    <cellStyle name="Lien hypertexte visité" xfId="2546" builtinId="9" hidden="1"/>
    <cellStyle name="Lien hypertexte visité" xfId="6224" builtinId="9" hidden="1"/>
    <cellStyle name="Lien hypertexte visité" xfId="19758" builtinId="9" hidden="1"/>
    <cellStyle name="Lien hypertexte visité" xfId="18540" builtinId="9" hidden="1"/>
    <cellStyle name="Lien hypertexte visité" xfId="11080" builtinId="9" hidden="1"/>
    <cellStyle name="Lien hypertexte visité" xfId="4200" builtinId="9" hidden="1"/>
    <cellStyle name="Lien hypertexte visité" xfId="5930" builtinId="9" hidden="1"/>
    <cellStyle name="Lien hypertexte visité" xfId="10699" builtinId="9" hidden="1"/>
    <cellStyle name="Lien hypertexte visité" xfId="9539" builtinId="9" hidden="1"/>
    <cellStyle name="Lien hypertexte visité" xfId="14179" builtinId="9" hidden="1"/>
    <cellStyle name="Lien hypertexte visité" xfId="13579" builtinId="9" hidden="1"/>
    <cellStyle name="Lien hypertexte visité" xfId="15091" builtinId="9" hidden="1"/>
    <cellStyle name="Lien hypertexte visité" xfId="16211" builtinId="9" hidden="1"/>
    <cellStyle name="Lien hypertexte visité" xfId="17251" builtinId="9" hidden="1"/>
    <cellStyle name="Lien hypertexte visité" xfId="15203" builtinId="9" hidden="1"/>
    <cellStyle name="Lien hypertexte visité" xfId="13075" builtinId="9" hidden="1"/>
    <cellStyle name="Lien hypertexte visité" xfId="13643" builtinId="9" hidden="1"/>
    <cellStyle name="Lien hypertexte visité" xfId="9563" builtinId="9" hidden="1"/>
    <cellStyle name="Lien hypertexte visité" xfId="10139" builtinId="9" hidden="1"/>
    <cellStyle name="Lien hypertexte visité" xfId="10723" builtinId="9" hidden="1"/>
    <cellStyle name="Lien hypertexte visité" xfId="11883" builtinId="9" hidden="1"/>
    <cellStyle name="Lien hypertexte visité" xfId="12499" builtinId="9" hidden="1"/>
    <cellStyle name="Lien hypertexte visité" xfId="8227" builtinId="9" hidden="1"/>
    <cellStyle name="Lien hypertexte visité" xfId="1019" builtinId="9" hidden="1"/>
    <cellStyle name="Lien hypertexte visité" xfId="1716" builtinId="9" hidden="1"/>
    <cellStyle name="Lien hypertexte visité" xfId="2340" builtinId="9" hidden="1"/>
    <cellStyle name="Lien hypertexte visité" xfId="16467" builtinId="9" hidden="1"/>
    <cellStyle name="Lien hypertexte visité" xfId="4290" builtinId="9" hidden="1"/>
    <cellStyle name="Lien hypertexte visité" xfId="3666" builtinId="9" hidden="1"/>
    <cellStyle name="Lien hypertexte visité" xfId="2452" builtinId="9" hidden="1"/>
    <cellStyle name="Lien hypertexte visité" xfId="1868" builtinId="9" hidden="1"/>
    <cellStyle name="Lien hypertexte visité" xfId="1251" builtinId="9" hidden="1"/>
    <cellStyle name="Lien hypertexte visité" xfId="6882" builtinId="9" hidden="1"/>
    <cellStyle name="Lien hypertexte visité" xfId="12675" builtinId="9" hidden="1"/>
    <cellStyle name="Lien hypertexte visité" xfId="12131" builtinId="9" hidden="1"/>
    <cellStyle name="Lien hypertexte visité" xfId="11003" builtinId="9" hidden="1"/>
    <cellStyle name="Lien hypertexte visité" xfId="7730" builtinId="9" hidden="1"/>
    <cellStyle name="Lien hypertexte visité" xfId="7146" builtinId="9" hidden="1"/>
    <cellStyle name="Lien hypertexte visité" xfId="5938" builtinId="9" hidden="1"/>
    <cellStyle name="Lien hypertexte visité" xfId="5354" builtinId="9" hidden="1"/>
    <cellStyle name="Lien hypertexte visité" xfId="4762" builtinId="9" hidden="1"/>
    <cellStyle name="Lien hypertexte visité" xfId="8643" builtinId="9" hidden="1"/>
    <cellStyle name="Lien hypertexte visité" xfId="8059" builtinId="9" hidden="1"/>
    <cellStyle name="Lien hypertexte visité" xfId="1794" builtinId="9" hidden="1"/>
    <cellStyle name="Lien hypertexte visité" xfId="6152" builtinId="9" hidden="1"/>
    <cellStyle name="Lien hypertexte visité" xfId="4360" builtinId="9" hidden="1"/>
    <cellStyle name="Lien hypertexte visité" xfId="2178" builtinId="9" hidden="1"/>
    <cellStyle name="Lien hypertexte visité" xfId="8755" builtinId="9" hidden="1"/>
    <cellStyle name="Lien hypertexte visité" xfId="9339" builtinId="9" hidden="1"/>
    <cellStyle name="Lien hypertexte visité" xfId="4874" builtinId="9" hidden="1"/>
    <cellStyle name="Lien hypertexte visité" xfId="6042" builtinId="9" hidden="1"/>
    <cellStyle name="Lien hypertexte visité" xfId="6666" builtinId="9" hidden="1"/>
    <cellStyle name="Lien hypertexte visité" xfId="7250" builtinId="9" hidden="1"/>
    <cellStyle name="Lien hypertexte visité" xfId="11107" builtinId="9" hidden="1"/>
    <cellStyle name="Lien hypertexte visité" xfId="11691" builtinId="9" hidden="1"/>
    <cellStyle name="Lien hypertexte visité" xfId="12235" builtinId="9" hidden="1"/>
    <cellStyle name="Lien hypertexte visité" xfId="6114" builtinId="9" hidden="1"/>
    <cellStyle name="Lien hypertexte visité" xfId="1756" builtinId="9" hidden="1"/>
    <cellStyle name="Lien hypertexte visité" xfId="1355" builtinId="9" hidden="1"/>
    <cellStyle name="Lien hypertexte visité" xfId="2564" builtinId="9" hidden="1"/>
    <cellStyle name="Lien hypertexte visité" xfId="3188" builtinId="9" hidden="1"/>
    <cellStyle name="Lien hypertexte visité" xfId="3781" builtinId="9" hidden="1"/>
    <cellStyle name="Lien hypertexte visité" xfId="14755" builtinId="9" hidden="1"/>
    <cellStyle name="Lien hypertexte visité" xfId="2700" builtinId="9" hidden="1"/>
    <cellStyle name="Lien hypertexte visité" xfId="2228" builtinId="9" hidden="1"/>
    <cellStyle name="Lien hypertexte visité" xfId="795" builtinId="9" hidden="1"/>
    <cellStyle name="Lien hypertexte visité" xfId="4898" builtinId="9" hidden="1"/>
    <cellStyle name="Lien hypertexte visité" xfId="9251" builtinId="9" hidden="1"/>
    <cellStyle name="Lien hypertexte visité" xfId="11779" builtinId="9" hidden="1"/>
    <cellStyle name="Lien hypertexte visité" xfId="11203" builtinId="9" hidden="1"/>
    <cellStyle name="Lien hypertexte visité" xfId="10619" builtinId="9" hidden="1"/>
    <cellStyle name="Lien hypertexte visité" xfId="9763" builtinId="9" hidden="1"/>
    <cellStyle name="Lien hypertexte visité" xfId="14099" builtinId="9" hidden="1"/>
    <cellStyle name="Lien hypertexte visité" xfId="13539" builtinId="9" hidden="1"/>
    <cellStyle name="Lien hypertexte visité" xfId="15011" builtinId="9" hidden="1"/>
    <cellStyle name="Lien hypertexte visité" xfId="16131" builtinId="9" hidden="1"/>
    <cellStyle name="Lien hypertexte visité" xfId="17187" builtinId="9" hidden="1"/>
    <cellStyle name="Lien hypertexte visité" xfId="15363" builtinId="9" hidden="1"/>
    <cellStyle name="Lien hypertexte visité" xfId="13155" builtinId="9" hidden="1"/>
    <cellStyle name="Lien hypertexte visité" xfId="13715" builtinId="9" hidden="1"/>
    <cellStyle name="Lien hypertexte visité" xfId="9643" builtinId="9" hidden="1"/>
    <cellStyle name="Lien hypertexte visité" xfId="10219" builtinId="9" hidden="1"/>
    <cellStyle name="Lien hypertexte visité" xfId="10803" builtinId="9" hidden="1"/>
    <cellStyle name="Lien hypertexte visité" xfId="7272" builtinId="9" hidden="1"/>
    <cellStyle name="Lien hypertexte visité" xfId="16461" builtinId="9" hidden="1"/>
    <cellStyle name="Lien hypertexte visité" xfId="12104" builtinId="9" hidden="1"/>
    <cellStyle name="Lien hypertexte visité" xfId="17727" builtinId="9" hidden="1"/>
    <cellStyle name="Lien hypertexte visité" xfId="10657" builtinId="9" hidden="1"/>
    <cellStyle name="Lien hypertexte visité" xfId="5200" builtinId="9" hidden="1"/>
    <cellStyle name="Lien hypertexte visité" xfId="3442" builtinId="9" hidden="1"/>
    <cellStyle name="Lien hypertexte visité" xfId="4256" builtinId="9" hidden="1"/>
    <cellStyle name="Lien hypertexte visité" xfId="5024" builtinId="9" hidden="1"/>
    <cellStyle name="Lien hypertexte visité" xfId="6608" builtinId="9" hidden="1"/>
    <cellStyle name="Lien hypertexte visité" xfId="7376" builtinId="9" hidden="1"/>
    <cellStyle name="Lien hypertexte visité" xfId="8145" builtinId="9" hidden="1"/>
    <cellStyle name="Lien hypertexte visité" xfId="9721" builtinId="9" hidden="1"/>
    <cellStyle name="Lien hypertexte visité" xfId="10489" builtinId="9" hidden="1"/>
    <cellStyle name="Lien hypertexte visité" xfId="11257" builtinId="9" hidden="1"/>
    <cellStyle name="Lien hypertexte visité" xfId="12833" builtinId="9" hidden="1"/>
    <cellStyle name="Lien hypertexte visité" xfId="13601" builtinId="9" hidden="1"/>
    <cellStyle name="Lien hypertexte visité" xfId="14369" builtinId="9" hidden="1"/>
    <cellStyle name="Lien hypertexte visité" xfId="17391" builtinId="9" hidden="1"/>
    <cellStyle name="Lien hypertexte visité" xfId="18910" builtinId="9" hidden="1"/>
    <cellStyle name="Lien hypertexte visité" xfId="20526" builtinId="9" hidden="1"/>
    <cellStyle name="Lien hypertexte visité" xfId="23598" builtinId="9" hidden="1"/>
    <cellStyle name="Lien hypertexte visité" xfId="24092" builtinId="9" hidden="1"/>
    <cellStyle name="Lien hypertexte visité" xfId="22476" builtinId="9" hidden="1"/>
    <cellStyle name="Lien hypertexte visité" xfId="19404" builtinId="9" hidden="1"/>
    <cellStyle name="Lien hypertexte visité" xfId="17789" builtinId="9" hidden="1"/>
    <cellStyle name="Lien hypertexte visité" xfId="16253" builtinId="9" hidden="1"/>
    <cellStyle name="Lien hypertexte visité" xfId="13848" builtinId="9" hidden="1"/>
    <cellStyle name="Lien hypertexte visité" xfId="13040" builtinId="9" hidden="1"/>
    <cellStyle name="Lien hypertexte visité" xfId="12272" builtinId="9" hidden="1"/>
    <cellStyle name="Lien hypertexte visité" xfId="10696" builtinId="9" hidden="1"/>
    <cellStyle name="Lien hypertexte visité" xfId="9928" builtinId="9" hidden="1"/>
    <cellStyle name="Lien hypertexte visité" xfId="9160" builtinId="9" hidden="1"/>
    <cellStyle name="Lien hypertexte visité" xfId="12672" builtinId="9" hidden="1"/>
    <cellStyle name="Lien hypertexte visité" xfId="15437" builtinId="9" hidden="1"/>
    <cellStyle name="Lien hypertexte visité" xfId="20028" builtinId="9" hidden="1"/>
    <cellStyle name="Lien hypertexte visité" xfId="19726" builtinId="9" hidden="1"/>
    <cellStyle name="Lien hypertexte visité" xfId="15135" builtinId="9" hidden="1"/>
    <cellStyle name="Lien hypertexte visité" xfId="12521" builtinId="9" hidden="1"/>
    <cellStyle name="Lien hypertexte visité" xfId="7784" builtinId="9" hidden="1"/>
    <cellStyle name="Lien hypertexte visité" xfId="5480" builtinId="9" hidden="1"/>
    <cellStyle name="Lien hypertexte visité" xfId="3042" builtinId="9" hidden="1"/>
    <cellStyle name="Lien hypertexte visité" xfId="8963" builtinId="9" hidden="1"/>
    <cellStyle name="Lien hypertexte visité" xfId="8307" builtinId="9" hidden="1"/>
    <cellStyle name="Lien hypertexte visité" xfId="7610" builtinId="9" hidden="1"/>
    <cellStyle name="Lien hypertexte visité" xfId="6290" builtinId="9" hidden="1"/>
    <cellStyle name="Lien hypertexte visité" xfId="5594" builtinId="9" hidden="1"/>
    <cellStyle name="Lien hypertexte visité" xfId="4938" builtinId="9" hidden="1"/>
    <cellStyle name="Lien hypertexte visité" xfId="3621" builtinId="9" hidden="1"/>
    <cellStyle name="Lien hypertexte visité" xfId="2924" builtinId="9" hidden="1"/>
    <cellStyle name="Lien hypertexte visité" xfId="8576" builtinId="9" hidden="1"/>
    <cellStyle name="Lien hypertexte visité" xfId="381" builtinId="9" hidden="1"/>
    <cellStyle name="Lien hypertexte visité" xfId="4875" builtinId="9" hidden="1"/>
    <cellStyle name="Lien hypertexte visité" xfId="8972" builtinId="9" hidden="1"/>
    <cellStyle name="Lien hypertexte visité" xfId="19796" builtinId="9" hidden="1"/>
    <cellStyle name="Lien hypertexte visité" xfId="21238" builtinId="9" hidden="1"/>
    <cellStyle name="Lien hypertexte visité" xfId="13789" builtinId="9" hidden="1"/>
    <cellStyle name="Lien hypertexte visité" xfId="5596" builtinId="9" hidden="1"/>
    <cellStyle name="Lien hypertexte visité" xfId="1493" builtinId="9" hidden="1"/>
    <cellStyle name="Lien hypertexte visité" xfId="3761" builtinId="9" hidden="1"/>
    <cellStyle name="Lien hypertexte visité" xfId="11951" builtinId="9" hidden="1"/>
    <cellStyle name="Lien hypertexte visité" xfId="8306" builtinId="9" hidden="1"/>
    <cellStyle name="Lien hypertexte visité" xfId="11038" builtinId="9" hidden="1"/>
    <cellStyle name="Lien hypertexte visité" xfId="18464" builtinId="9" hidden="1"/>
    <cellStyle name="Lien hypertexte visité" xfId="23928" builtinId="9" hidden="1"/>
    <cellStyle name="Lien hypertexte visité" xfId="19842" builtinId="9" hidden="1"/>
    <cellStyle name="Lien hypertexte visité" xfId="10666" builtinId="9" hidden="1"/>
    <cellStyle name="Lien hypertexte visité" xfId="5565" builtinId="9" hidden="1"/>
    <cellStyle name="Lien hypertexte visité" xfId="7906" builtinId="9" hidden="1"/>
    <cellStyle name="Lien hypertexte visité" xfId="361" builtinId="9" hidden="1"/>
    <cellStyle name="Lien hypertexte visité" xfId="3371" builtinId="9" hidden="1"/>
    <cellStyle name="Lien hypertexte visité" xfId="7737" builtinId="9" hidden="1"/>
    <cellStyle name="Lien hypertexte visité" xfId="11258" builtinId="9" hidden="1"/>
    <cellStyle name="Lien hypertexte visité" xfId="14085" builtinId="9" hidden="1"/>
    <cellStyle name="Lien hypertexte visité" xfId="11349" builtinId="9" hidden="1"/>
    <cellStyle name="Lien hypertexte visité" xfId="5892" builtinId="9" hidden="1"/>
    <cellStyle name="Lien hypertexte visité" xfId="3150" builtinId="9" hidden="1"/>
    <cellStyle name="Lien hypertexte visité" xfId="275" builtinId="9" hidden="1"/>
    <cellStyle name="Lien hypertexte visité" xfId="6198" builtinId="9" hidden="1"/>
    <cellStyle name="Lien hypertexte visité" xfId="8919" builtinId="9" hidden="1"/>
    <cellStyle name="Lien hypertexte visité" xfId="11655" builtinId="9" hidden="1"/>
    <cellStyle name="Lien hypertexte visité" xfId="9014" builtinId="9" hidden="1"/>
    <cellStyle name="Lien hypertexte visité" xfId="10838" builtinId="9" hidden="1"/>
    <cellStyle name="Lien hypertexte visité" xfId="12662" builtinId="9" hidden="1"/>
    <cellStyle name="Lien hypertexte visité" xfId="18089" builtinId="9" hidden="1"/>
    <cellStyle name="Lien hypertexte visité" xfId="21720" builtinId="9" hidden="1"/>
    <cellStyle name="Lien hypertexte visité" xfId="23882" builtinId="9" hidden="1"/>
    <cellStyle name="Lien hypertexte visité" xfId="19418" builtinId="9" hidden="1"/>
    <cellStyle name="Lien hypertexte visité" xfId="18928" builtinId="9" hidden="1"/>
    <cellStyle name="Lien hypertexte visité" xfId="11322" builtinId="9" hidden="1"/>
    <cellStyle name="Lien hypertexte visité" xfId="18041" builtinId="9" hidden="1"/>
    <cellStyle name="Lien hypertexte visité" xfId="10818" builtinId="9" hidden="1"/>
    <cellStyle name="Lien hypertexte visité" xfId="11623" builtinId="9" hidden="1"/>
    <cellStyle name="Lien hypertexte visité" xfId="4132" builtinId="9" hidden="1"/>
    <cellStyle name="Lien hypertexte visité" xfId="1437" builtinId="9" hidden="1"/>
    <cellStyle name="Lien hypertexte visité" xfId="2528" builtinId="9" hidden="1"/>
    <cellStyle name="Lien hypertexte visité" xfId="7911" builtinId="9" hidden="1"/>
    <cellStyle name="Lien hypertexte visité" xfId="10727" builtinId="9" hidden="1"/>
    <cellStyle name="Lien hypertexte visité" xfId="13415" builtinId="9" hidden="1"/>
    <cellStyle name="Lien hypertexte visité" xfId="10222" builtinId="9" hidden="1"/>
    <cellStyle name="Lien hypertexte visité" xfId="12014" builtinId="9" hidden="1"/>
    <cellStyle name="Lien hypertexte visité" xfId="13806" builtinId="9" hidden="1"/>
    <cellStyle name="Lien hypertexte visité" xfId="20416" builtinId="9" hidden="1"/>
    <cellStyle name="Lien hypertexte visité" xfId="24000" builtinId="9" hidden="1"/>
    <cellStyle name="Lien hypertexte visité" xfId="21474" builtinId="9" hidden="1"/>
    <cellStyle name="Lien hypertexte visité" xfId="22960" builtinId="9" hidden="1"/>
    <cellStyle name="Lien hypertexte visité" xfId="13114" builtinId="9" hidden="1"/>
    <cellStyle name="Lien hypertexte visité" xfId="12442" builtinId="9" hidden="1"/>
    <cellStyle name="Lien hypertexte visité" xfId="17729" builtinId="9" hidden="1"/>
    <cellStyle name="Lien hypertexte visité" xfId="21296" builtinId="9" hidden="1"/>
    <cellStyle name="Lien hypertexte visité" xfId="24346" builtinId="9" hidden="1"/>
    <cellStyle name="Lien hypertexte visité" xfId="17411" builtinId="9" hidden="1"/>
    <cellStyle name="Lien hypertexte visité" xfId="18594" builtinId="9" hidden="1"/>
    <cellStyle name="Lien hypertexte visité" xfId="19826" builtinId="9" hidden="1"/>
    <cellStyle name="Lien hypertexte visité" xfId="22218" builtinId="9" hidden="1"/>
    <cellStyle name="Lien hypertexte visité" xfId="23474" builtinId="9" hidden="1"/>
    <cellStyle name="Lien hypertexte visité" xfId="24552" builtinId="9" hidden="1"/>
    <cellStyle name="Lien hypertexte visité" xfId="22104" builtinId="9" hidden="1"/>
    <cellStyle name="Lien hypertexte visité" xfId="20904" builtinId="9" hidden="1"/>
    <cellStyle name="Lien hypertexte visité" xfId="19712" builtinId="9" hidden="1"/>
    <cellStyle name="Lien hypertexte visité" xfId="17297" builtinId="9" hidden="1"/>
    <cellStyle name="Lien hypertexte visité" xfId="16105" builtinId="9" hidden="1"/>
    <cellStyle name="Lien hypertexte visité" xfId="14841" builtinId="9" hidden="1"/>
    <cellStyle name="Lien hypertexte visité" xfId="13486" builtinId="9" hidden="1"/>
    <cellStyle name="Lien hypertexte visité" xfId="12854" builtinId="9" hidden="1"/>
    <cellStyle name="Lien hypertexte visité" xfId="12258" builtinId="9" hidden="1"/>
    <cellStyle name="Lien hypertexte visité" xfId="11042" builtinId="9" hidden="1"/>
    <cellStyle name="Lien hypertexte visité" xfId="10446" builtinId="9" hidden="1"/>
    <cellStyle name="Lien hypertexte visité" xfId="9846" builtinId="9" hidden="1"/>
    <cellStyle name="Lien hypertexte visité" xfId="8622" builtinId="9" hidden="1"/>
    <cellStyle name="Lien hypertexte visité" xfId="16731" builtinId="9" hidden="1"/>
    <cellStyle name="Lien hypertexte visité" xfId="14843" builtinId="9" hidden="1"/>
    <cellStyle name="Lien hypertexte visité" xfId="12887" builtinId="9" hidden="1"/>
    <cellStyle name="Lien hypertexte visité" xfId="11959" builtinId="9" hidden="1"/>
    <cellStyle name="Lien hypertexte visité" xfId="11063" builtinId="9" hidden="1"/>
    <cellStyle name="Lien hypertexte visité" xfId="9223" builtinId="9" hidden="1"/>
    <cellStyle name="Lien hypertexte visité" xfId="8327" builtinId="9" hidden="1"/>
    <cellStyle name="Lien hypertexte visité" xfId="7430" builtinId="9" hidden="1"/>
    <cellStyle name="Lien hypertexte visité" xfId="5590" builtinId="9" hidden="1"/>
    <cellStyle name="Lien hypertexte visité" xfId="4694" builtinId="9" hidden="1"/>
    <cellStyle name="Lien hypertexte visité" xfId="3769" builtinId="9" hidden="1"/>
    <cellStyle name="Lien hypertexte visité" xfId="1968" builtinId="9" hidden="1"/>
    <cellStyle name="Lien hypertexte visité" xfId="883" builtinId="9" hidden="1"/>
    <cellStyle name="Lien hypertexte visité" xfId="879" builtinId="9" hidden="1"/>
    <cellStyle name="Lien hypertexte visité" xfId="2862" builtinId="9" hidden="1"/>
    <cellStyle name="Lien hypertexte visité" xfId="3767" builtinId="9" hidden="1"/>
    <cellStyle name="Lien hypertexte visité" xfId="4660" builtinId="9" hidden="1"/>
    <cellStyle name="Lien hypertexte visité" xfId="6484" builtinId="9" hidden="1"/>
    <cellStyle name="Lien hypertexte visité" xfId="7380" builtinId="9" hidden="1"/>
    <cellStyle name="Lien hypertexte visité" xfId="8325" builtinId="9" hidden="1"/>
    <cellStyle name="Lien hypertexte visité" xfId="10117" builtinId="9" hidden="1"/>
    <cellStyle name="Lien hypertexte visité" xfId="11061" builtinId="9" hidden="1"/>
    <cellStyle name="Lien hypertexte visité" xfId="11957" builtinId="9" hidden="1"/>
    <cellStyle name="Lien hypertexte visité" xfId="13781" builtinId="9" hidden="1"/>
    <cellStyle name="Lien hypertexte visité" xfId="14839" builtinId="9" hidden="1"/>
    <cellStyle name="Lien hypertexte visité" xfId="16631" builtinId="9" hidden="1"/>
    <cellStyle name="Lien hypertexte visité" xfId="9466" builtinId="9" hidden="1"/>
    <cellStyle name="Lien hypertexte visité" xfId="4337" builtinId="9" hidden="1"/>
    <cellStyle name="Lien hypertexte visité" xfId="5141" builtinId="9" hidden="1"/>
    <cellStyle name="Lien hypertexte visité" xfId="6677" builtinId="9" hidden="1"/>
    <cellStyle name="Lien hypertexte visité" xfId="7481" builtinId="9" hidden="1"/>
    <cellStyle name="Lien hypertexte visité" xfId="7978" builtinId="9" hidden="1"/>
    <cellStyle name="Lien hypertexte visité" xfId="3131" builtinId="9" hidden="1"/>
    <cellStyle name="Lien hypertexte visité" xfId="3860" builtinId="9" hidden="1"/>
    <cellStyle name="Lien hypertexte visité" xfId="1943" builtinId="9" hidden="1"/>
    <cellStyle name="Lien hypertexte visité" xfId="1414" builtinId="9" hidden="1"/>
    <cellStyle name="Lien hypertexte visité" xfId="1899" builtinId="9" hidden="1"/>
    <cellStyle name="Lien hypertexte visité" xfId="3776" builtinId="9" hidden="1"/>
    <cellStyle name="Lien hypertexte visité" xfId="2335" builtinId="9" hidden="1"/>
    <cellStyle name="Lien hypertexte visité" xfId="8162" builtinId="9" hidden="1"/>
    <cellStyle name="Lien hypertexte visité" xfId="7393" builtinId="9" hidden="1"/>
    <cellStyle name="Lien hypertexte visité" xfId="5821" builtinId="9" hidden="1"/>
    <cellStyle name="Lien hypertexte visité" xfId="5053" builtinId="9" hidden="1"/>
    <cellStyle name="Lien hypertexte visité" xfId="4285" builtinId="9" hidden="1"/>
    <cellStyle name="Lien hypertexte visité" xfId="12458" builtinId="9" hidden="1"/>
    <cellStyle name="Lien hypertexte visité" xfId="15777" builtinId="9" hidden="1"/>
    <cellStyle name="Lien hypertexte visité" xfId="21392" builtinId="9" hidden="1"/>
    <cellStyle name="Lien hypertexte visité" xfId="17379" builtinId="9" hidden="1"/>
    <cellStyle name="Lien hypertexte visité" xfId="19242" builtinId="9" hidden="1"/>
    <cellStyle name="Lien hypertexte visité" xfId="21034" builtinId="9" hidden="1"/>
    <cellStyle name="Lien hypertexte visité" xfId="24520" builtinId="9" hidden="1"/>
    <cellStyle name="Lien hypertexte visité" xfId="22728" builtinId="9" hidden="1"/>
    <cellStyle name="Lien hypertexte visité" xfId="20936" builtinId="9" hidden="1"/>
    <cellStyle name="Lien hypertexte visité" xfId="17289" builtinId="9" hidden="1"/>
    <cellStyle name="Lien hypertexte visité" xfId="15497" builtinId="9" hidden="1"/>
    <cellStyle name="Lien hypertexte visité" xfId="14066" builtinId="9" hidden="1"/>
    <cellStyle name="Lien hypertexte visité" xfId="12274" builtinId="9" hidden="1"/>
    <cellStyle name="Lien hypertexte visité" xfId="11334" builtinId="9" hidden="1"/>
    <cellStyle name="Lien hypertexte visité" xfId="10438" builtinId="9" hidden="1"/>
    <cellStyle name="Lien hypertexte visité" xfId="8606" builtinId="9" hidden="1"/>
    <cellStyle name="Lien hypertexte visité" xfId="15787" builtinId="9" hidden="1"/>
    <cellStyle name="Lien hypertexte visité" xfId="13807" builtinId="9" hidden="1"/>
    <cellStyle name="Lien hypertexte visité" xfId="11055" builtinId="9" hidden="1"/>
    <cellStyle name="Lien hypertexte visité" xfId="9711" builtinId="9" hidden="1"/>
    <cellStyle name="Lien hypertexte visité" xfId="8303" builtinId="9" hidden="1"/>
    <cellStyle name="Lien hypertexte visité" xfId="5614" builtinId="9" hidden="1"/>
    <cellStyle name="Lien hypertexte visité" xfId="4206" builtinId="9" hidden="1"/>
    <cellStyle name="Lien hypertexte visité" xfId="2856" builtinId="9" hidden="1"/>
    <cellStyle name="Lien hypertexte visité" xfId="927" builtinId="9" hidden="1"/>
    <cellStyle name="Lien hypertexte visité" xfId="2390" builtinId="9" hidden="1"/>
    <cellStyle name="Lien hypertexte visité" xfId="3743" builtinId="9" hidden="1"/>
    <cellStyle name="Lien hypertexte visité" xfId="6492" builtinId="9" hidden="1"/>
    <cellStyle name="Lien hypertexte visité" xfId="7837" builtinId="9" hidden="1"/>
    <cellStyle name="Lien hypertexte visité" xfId="9245" builtinId="9" hidden="1"/>
    <cellStyle name="Lien hypertexte visité" xfId="11933" builtinId="9" hidden="1"/>
    <cellStyle name="Lien hypertexte visité" xfId="13341" builtinId="9" hidden="1"/>
    <cellStyle name="Lien hypertexte visité" xfId="14855" builtinId="9" hidden="1"/>
    <cellStyle name="Lien hypertexte visité" xfId="20342" builtinId="9" hidden="1"/>
    <cellStyle name="Lien hypertexte visité" xfId="23030" builtinId="9" hidden="1"/>
    <cellStyle name="Lien hypertexte visité" xfId="23508" builtinId="9" hidden="1"/>
    <cellStyle name="Lien hypertexte visité" xfId="18021" builtinId="9" hidden="1"/>
    <cellStyle name="Lien hypertexte visité" xfId="15333" builtinId="9" hidden="1"/>
    <cellStyle name="Lien hypertexte visité" xfId="13516" builtinId="9" hidden="1"/>
    <cellStyle name="Lien hypertexte visité" xfId="10828" builtinId="9" hidden="1"/>
    <cellStyle name="Lien hypertexte visité" xfId="9420" builtinId="9" hidden="1"/>
    <cellStyle name="Lien hypertexte visité" xfId="8076" builtinId="9" hidden="1"/>
    <cellStyle name="Lien hypertexte visité" xfId="5323" builtinId="9" hidden="1"/>
    <cellStyle name="Lien hypertexte visité" xfId="3979" builtinId="9" hidden="1"/>
    <cellStyle name="Lien hypertexte visité" xfId="2629" builtinId="9" hidden="1"/>
    <cellStyle name="Lien hypertexte visité" xfId="1272" builtinId="9" hidden="1"/>
    <cellStyle name="Lien hypertexte visité" xfId="2617" builtinId="9" hidden="1"/>
    <cellStyle name="Lien hypertexte visité" xfId="4031" builtinId="9" hidden="1"/>
    <cellStyle name="Lien hypertexte visité" xfId="6719" builtinId="9" hidden="1"/>
    <cellStyle name="Lien hypertexte visité" xfId="8128" builtinId="9" hidden="1"/>
    <cellStyle name="Lien hypertexte visité" xfId="167" builtinId="9" hidden="1"/>
    <cellStyle name="Lien hypertexte visité" xfId="5412" builtinId="9" hidden="1"/>
    <cellStyle name="Lien hypertexte visité" xfId="9509" builtinId="9" hidden="1"/>
    <cellStyle name="Lien hypertexte visité" xfId="13605" builtinId="9" hidden="1"/>
    <cellStyle name="Lien hypertexte visité" xfId="6595" builtinId="9" hidden="1"/>
    <cellStyle name="Lien hypertexte visité" xfId="7763" builtinId="9" hidden="1"/>
    <cellStyle name="Lien hypertexte visité" xfId="8932" builtinId="9" hidden="1"/>
    <cellStyle name="Lien hypertexte visité" xfId="11284" builtinId="9" hidden="1"/>
    <cellStyle name="Lien hypertexte visité" xfId="12452" builtinId="9" hidden="1"/>
    <cellStyle name="Lien hypertexte visité" xfId="13620" builtinId="9" hidden="1"/>
    <cellStyle name="Lien hypertexte visité" xfId="17397" builtinId="9" hidden="1"/>
    <cellStyle name="Lien hypertexte visité" xfId="19716" builtinId="9" hidden="1"/>
    <cellStyle name="Lien hypertexte visité" xfId="22052" builtinId="9" hidden="1"/>
    <cellStyle name="Lien hypertexte visité" xfId="22470" builtinId="9" hidden="1"/>
    <cellStyle name="Lien hypertexte visité" xfId="20134" builtinId="9" hidden="1"/>
    <cellStyle name="Lien hypertexte visité" xfId="21060" builtinId="9" hidden="1"/>
    <cellStyle name="Lien hypertexte visité" xfId="2337" builtinId="9" hidden="1"/>
    <cellStyle name="Lien hypertexte visité" xfId="1248" builtinId="9" hidden="1"/>
    <cellStyle name="Lien hypertexte visité" xfId="813" builtinId="9" hidden="1"/>
    <cellStyle name="Lien hypertexte visité" xfId="3181" builtinId="9" hidden="1"/>
    <cellStyle name="Lien hypertexte visité" xfId="4275" builtinId="9" hidden="1"/>
    <cellStyle name="Lien hypertexte visité" xfId="2301" builtinId="9" hidden="1"/>
    <cellStyle name="Lien hypertexte visité" xfId="4087" builtinId="9" hidden="1"/>
    <cellStyle name="Lien hypertexte visité" xfId="3025" builtinId="9" hidden="1"/>
    <cellStyle name="Lien hypertexte visité" xfId="6663" builtinId="9" hidden="1"/>
    <cellStyle name="Lien hypertexte visité" xfId="8696" builtinId="9" hidden="1"/>
    <cellStyle name="Lien hypertexte visité" xfId="7639" builtinId="9" hidden="1"/>
    <cellStyle name="Lien hypertexte visité" xfId="6455" builtinId="9" hidden="1"/>
    <cellStyle name="Lien hypertexte visité" xfId="3882" builtinId="9" hidden="1"/>
    <cellStyle name="Lien hypertexte visité" xfId="4935" builtinId="9" hidden="1"/>
    <cellStyle name="Lien hypertexte visité" xfId="2177" builtinId="9" hidden="1"/>
    <cellStyle name="Lien hypertexte visité" xfId="3405" builtinId="9" hidden="1"/>
    <cellStyle name="Lien hypertexte visité" xfId="2317" builtinId="9" hidden="1"/>
    <cellStyle name="Lien hypertexte visité" xfId="1212" builtinId="9" hidden="1"/>
    <cellStyle name="Lien hypertexte visité" xfId="2113" builtinId="9" hidden="1"/>
    <cellStyle name="Lien hypertexte visité" xfId="7940" builtinId="9" hidden="1"/>
    <cellStyle name="Lien hypertexte visité" xfId="17749" builtinId="9" hidden="1"/>
    <cellStyle name="Lien hypertexte visité" xfId="21990" builtinId="9" hidden="1"/>
    <cellStyle name="Lien hypertexte visité" xfId="24358" builtinId="9" hidden="1"/>
    <cellStyle name="Lien hypertexte visité" xfId="22532" builtinId="9" hidden="1"/>
    <cellStyle name="Lien hypertexte visité" xfId="17877" builtinId="9" hidden="1"/>
    <cellStyle name="Lien hypertexte visité" xfId="15541" builtinId="9" hidden="1"/>
    <cellStyle name="Lien hypertexte visité" xfId="13860" builtinId="9" hidden="1"/>
    <cellStyle name="Lien hypertexte visité" xfId="11508" builtinId="9" hidden="1"/>
    <cellStyle name="Lien hypertexte visité" xfId="10340" builtinId="9" hidden="1"/>
    <cellStyle name="Lien hypertexte visité" xfId="9172" builtinId="9" hidden="1"/>
    <cellStyle name="Lien hypertexte visité" xfId="6835" builtinId="9" hidden="1"/>
    <cellStyle name="Lien hypertexte visité" xfId="5667" builtinId="9" hidden="1"/>
    <cellStyle name="Lien hypertexte visité" xfId="14437" builtinId="9" hidden="1"/>
    <cellStyle name="Lien hypertexte visité" xfId="6244" builtinId="9" hidden="1"/>
    <cellStyle name="Lien hypertexte visité" xfId="2142" builtinId="9" hidden="1"/>
    <cellStyle name="Lien hypertexte visité" xfId="3104" builtinId="9" hidden="1"/>
    <cellStyle name="Lien hypertexte visité" xfId="11303" builtinId="9" hidden="1"/>
    <cellStyle name="Lien hypertexte visité" xfId="16283" builtinId="9" hidden="1"/>
    <cellStyle name="Lien hypertexte visité" xfId="10606" builtinId="9" hidden="1"/>
    <cellStyle name="Lien hypertexte visité" xfId="17617" builtinId="9" hidden="1"/>
    <cellStyle name="Lien hypertexte visité" xfId="23064" builtinId="9" hidden="1"/>
    <cellStyle name="Lien hypertexte visité" xfId="20706" builtinId="9" hidden="1"/>
    <cellStyle name="Lien hypertexte visité" xfId="11962" builtinId="9" hidden="1"/>
    <cellStyle name="Lien hypertexte visité" xfId="13786" builtinId="9" hidden="1"/>
    <cellStyle name="Lien hypertexte visité" xfId="18480" builtinId="9" hidden="1"/>
    <cellStyle name="Lien hypertexte visité" xfId="19802" builtinId="9" hidden="1"/>
    <cellStyle name="Lien hypertexte visité" xfId="18291" builtinId="9" hidden="1"/>
    <cellStyle name="Lien hypertexte visité" xfId="20082" builtinId="9" hidden="1"/>
    <cellStyle name="Lien hypertexte visité" xfId="23730" builtinId="9" hidden="1"/>
    <cellStyle name="Lien hypertexte visité" xfId="23680" builtinId="9" hidden="1"/>
    <cellStyle name="Lien hypertexte visité" xfId="21848" builtinId="9" hidden="1"/>
    <cellStyle name="Lien hypertexte visité" xfId="18233" builtinId="9" hidden="1"/>
    <cellStyle name="Lien hypertexte visité" xfId="16401" builtinId="9" hidden="1"/>
    <cellStyle name="Lien hypertexte visité" xfId="14585" builtinId="9" hidden="1"/>
    <cellStyle name="Lien hypertexte visité" xfId="12726" builtinId="9" hidden="1"/>
    <cellStyle name="Lien hypertexte visité" xfId="11822" builtinId="9" hidden="1"/>
    <cellStyle name="Lien hypertexte visité" xfId="10914" builtinId="9" hidden="1"/>
    <cellStyle name="Lien hypertexte visité" xfId="9090" builtinId="9" hidden="1"/>
    <cellStyle name="Lien hypertexte visité" xfId="17211" builtinId="9" hidden="1"/>
    <cellStyle name="Lien hypertexte visité" xfId="14487" builtinId="9" hidden="1"/>
    <cellStyle name="Lien hypertexte visité" xfId="11767" builtinId="9" hidden="1"/>
    <cellStyle name="Lien hypertexte visité" xfId="10391" builtinId="9" hidden="1"/>
    <cellStyle name="Lien hypertexte visité" xfId="9031" builtinId="9" hidden="1"/>
    <cellStyle name="Lien hypertexte visité" xfId="6294" builtinId="9" hidden="1"/>
    <cellStyle name="Lien hypertexte visité" xfId="4934" builtinId="9" hidden="1"/>
    <cellStyle name="Lien hypertexte visité" xfId="3569" builtinId="9" hidden="1"/>
    <cellStyle name="Lien hypertexte visité" xfId="499" builtinId="9" hidden="1"/>
    <cellStyle name="Lien hypertexte visité" xfId="1678" builtinId="9" hidden="1"/>
    <cellStyle name="Lien hypertexte visité" xfId="3054" builtinId="9" hidden="1"/>
    <cellStyle name="Lien hypertexte visité" xfId="5780" builtinId="9" hidden="1"/>
    <cellStyle name="Lien hypertexte visité" xfId="7156" builtinId="9" hidden="1"/>
    <cellStyle name="Lien hypertexte visité" xfId="8517" builtinId="9" hidden="1"/>
    <cellStyle name="Lien hypertexte visité" xfId="11253" builtinId="9" hidden="1"/>
    <cellStyle name="Lien hypertexte visité" xfId="12613" builtinId="9" hidden="1"/>
    <cellStyle name="Lien hypertexte visité" xfId="13973" builtinId="9" hidden="1"/>
    <cellStyle name="Lien hypertexte visité" xfId="18886" builtinId="9" hidden="1"/>
    <cellStyle name="Lien hypertexte visité" xfId="4133" builtinId="9" hidden="1"/>
    <cellStyle name="Lien hypertexte visité" xfId="5305" builtinId="9" hidden="1"/>
    <cellStyle name="Lien hypertexte visité" xfId="7645" builtinId="9" hidden="1"/>
    <cellStyle name="Lien hypertexte visité" xfId="4009" builtinId="9" hidden="1"/>
    <cellStyle name="Lien hypertexte visité" xfId="3287" builtinId="9" hidden="1"/>
    <cellStyle name="Lien hypertexte visité" xfId="465" builtinId="9" hidden="1"/>
    <cellStyle name="Lien hypertexte visité" xfId="2079" builtinId="9" hidden="1"/>
    <cellStyle name="Lien hypertexte visité" xfId="3616" builtinId="9" hidden="1"/>
    <cellStyle name="Lien hypertexte visité" xfId="7998" builtinId="9" hidden="1"/>
    <cellStyle name="Lien hypertexte visité" xfId="6829" builtinId="9" hidden="1"/>
    <cellStyle name="Lien hypertexte visité" xfId="5657" builtinId="9" hidden="1"/>
    <cellStyle name="Lien hypertexte visité" xfId="10346" builtinId="9" hidden="1"/>
    <cellStyle name="Lien hypertexte visité" xfId="14442" builtinId="9" hidden="1"/>
    <cellStyle name="Lien hypertexte visité" xfId="22544" builtinId="9" hidden="1"/>
    <cellStyle name="Lien hypertexte visité" xfId="19626" builtinId="9" hidden="1"/>
    <cellStyle name="Lien hypertexte visité" xfId="22354" builtinId="9" hidden="1"/>
    <cellStyle name="Lien hypertexte visité" xfId="24136" builtinId="9" hidden="1"/>
    <cellStyle name="Lien hypertexte visité" xfId="18680" builtinId="9" hidden="1"/>
    <cellStyle name="Lien hypertexte visité" xfId="15961" builtinId="9" hidden="1"/>
    <cellStyle name="Lien hypertexte visité" xfId="13874" builtinId="9" hidden="1"/>
    <cellStyle name="Lien hypertexte visité" xfId="11142" builtinId="9" hidden="1"/>
    <cellStyle name="Lien hypertexte visité" xfId="9778" builtinId="9" hidden="1"/>
    <cellStyle name="Lien hypertexte visité" xfId="8414" builtinId="9" hidden="1"/>
    <cellStyle name="Lien hypertexte visité" xfId="12111" builtinId="9" hidden="1"/>
    <cellStyle name="Lien hypertexte visité" xfId="10063" builtinId="9" hidden="1"/>
    <cellStyle name="Lien hypertexte visité" xfId="8015" builtinId="9" hidden="1"/>
    <cellStyle name="Lien hypertexte visité" xfId="3922" builtinId="9" hidden="1"/>
    <cellStyle name="Lien hypertexte visité" xfId="1864" builtinId="9" hidden="1"/>
    <cellStyle name="Lien hypertexte visité" xfId="1333" builtinId="9" hidden="1"/>
    <cellStyle name="Lien hypertexte visité" xfId="5436" builtinId="9" hidden="1"/>
    <cellStyle name="Lien hypertexte visité" xfId="7484" builtinId="9" hidden="1"/>
    <cellStyle name="Lien hypertexte visité" xfId="9533" builtinId="9" hidden="1"/>
    <cellStyle name="Lien hypertexte visité" xfId="13629" builtinId="9" hidden="1"/>
    <cellStyle name="Lien hypertexte visité" xfId="16839" builtinId="9" hidden="1"/>
    <cellStyle name="Lien hypertexte visité" xfId="20918" builtinId="9" hidden="1"/>
    <cellStyle name="Lien hypertexte visité" xfId="20116" builtinId="9" hidden="1"/>
    <cellStyle name="Lien hypertexte visité" xfId="16037" builtinId="9" hidden="1"/>
    <cellStyle name="Lien hypertexte visité" xfId="13228" builtinId="9" hidden="1"/>
    <cellStyle name="Lien hypertexte visité" xfId="9132" builtinId="9" hidden="1"/>
    <cellStyle name="Lien hypertexte visité" xfId="7083" builtinId="9" hidden="1"/>
    <cellStyle name="Lien hypertexte visité" xfId="5035" builtinId="9" hidden="1"/>
    <cellStyle name="Lien hypertexte visité" xfId="701" builtinId="9" hidden="1"/>
    <cellStyle name="Lien hypertexte visité" xfId="2265" builtinId="9" hidden="1"/>
    <cellStyle name="Lien hypertexte visité" xfId="4319" builtinId="9" hidden="1"/>
    <cellStyle name="Lien hypertexte visité" xfId="8416" builtinId="9" hidden="1"/>
    <cellStyle name="Lien hypertexte visité" xfId="1329" builtinId="9" hidden="1"/>
    <cellStyle name="Lien hypertexte visité" xfId="2698" builtinId="9" hidden="1"/>
    <cellStyle name="Lien hypertexte visité" xfId="5432" builtinId="9" hidden="1"/>
    <cellStyle name="Lien hypertexte visité" xfId="6800" builtinId="9" hidden="1"/>
    <cellStyle name="Lien hypertexte visité" xfId="8161" builtinId="9" hidden="1"/>
    <cellStyle name="Lien hypertexte visité" xfId="10897" builtinId="9" hidden="1"/>
    <cellStyle name="Lien hypertexte visité" xfId="12257" builtinId="9" hidden="1"/>
    <cellStyle name="Lien hypertexte visité" xfId="13625" builtinId="9" hidden="1"/>
    <cellStyle name="Lien hypertexte visité" xfId="18191" builtinId="9" hidden="1"/>
    <cellStyle name="Lien hypertexte visité" xfId="20910" builtinId="9" hidden="1"/>
    <cellStyle name="Lien hypertexte visité" xfId="23646" builtinId="9" hidden="1"/>
    <cellStyle name="Lien hypertexte visité" xfId="20124" builtinId="9" hidden="1"/>
    <cellStyle name="Lien hypertexte visité" xfId="17405" builtinId="9" hidden="1"/>
    <cellStyle name="Lien hypertexte visité" xfId="14685" builtinId="9" hidden="1"/>
    <cellStyle name="Lien hypertexte visité" xfId="11864" builtinId="9" hidden="1"/>
    <cellStyle name="Lien hypertexte visité" xfId="10504" builtinId="9" hidden="1"/>
    <cellStyle name="Lien hypertexte visité" xfId="9136" builtinId="9" hidden="1"/>
    <cellStyle name="Lien hypertexte visité" xfId="17869" builtinId="9" hidden="1"/>
    <cellStyle name="Lien hypertexte visité" xfId="23182" builtinId="9" hidden="1"/>
    <cellStyle name="Lien hypertexte visité" xfId="15007" builtinId="9" hidden="1"/>
    <cellStyle name="Lien hypertexte visité" xfId="6568" builtinId="9" hidden="1"/>
    <cellStyle name="Lien hypertexte visité" xfId="2466" builtinId="9" hidden="1"/>
    <cellStyle name="Lien hypertexte visité" xfId="8947" builtinId="9" hidden="1"/>
    <cellStyle name="Lien hypertexte visité" xfId="6602" builtinId="9" hidden="1"/>
    <cellStyle name="Lien hypertexte visité" xfId="5434" builtinId="9" hidden="1"/>
    <cellStyle name="Lien hypertexte visité" xfId="4266" builtinId="9" hidden="1"/>
    <cellStyle name="Lien hypertexte visité" xfId="1916" builtinId="9" hidden="1"/>
    <cellStyle name="Lien hypertexte visité" xfId="1948" builtinId="9" hidden="1"/>
    <cellStyle name="Lien hypertexte visité" xfId="12819" builtinId="9" hidden="1"/>
    <cellStyle name="Lien hypertexte visité" xfId="10635" builtinId="9" hidden="1"/>
    <cellStyle name="Lien hypertexte visité" xfId="9547" builtinId="9" hidden="1"/>
    <cellStyle name="Lien hypertexte visité" xfId="13691" builtinId="9" hidden="1"/>
    <cellStyle name="Lien hypertexte visité" xfId="16659" builtinId="9" hidden="1"/>
    <cellStyle name="Lien hypertexte visité" xfId="14611" builtinId="9" hidden="1"/>
    <cellStyle name="Lien hypertexte visité" xfId="13267" builtinId="9" hidden="1"/>
    <cellStyle name="Lien hypertexte visité" xfId="10203" builtinId="9" hidden="1"/>
    <cellStyle name="Lien hypertexte visité" xfId="11291" builtinId="9" hidden="1"/>
    <cellStyle name="Lien hypertexte visité" xfId="12387" builtinId="9" hidden="1"/>
    <cellStyle name="Lien hypertexte visité" xfId="1451" builtinId="9" hidden="1"/>
    <cellStyle name="Lien hypertexte visité" xfId="2620" builtinId="9" hidden="1"/>
    <cellStyle name="Lien hypertexte visité" xfId="3797" builtinId="9" hidden="1"/>
    <cellStyle name="Lien hypertexte visité" xfId="6138" builtinId="9" hidden="1"/>
    <cellStyle name="Lien hypertexte visité" xfId="7306" builtinId="9" hidden="1"/>
    <cellStyle name="Lien hypertexte visité" xfId="8475" builtinId="9" hidden="1"/>
    <cellStyle name="Lien hypertexte visité" xfId="4936" builtinId="9" hidden="1"/>
    <cellStyle name="Lien hypertexte visité" xfId="8658" builtinId="9" hidden="1"/>
    <cellStyle name="Lien hypertexte visité" xfId="15883" builtinId="9" hidden="1"/>
    <cellStyle name="Lien hypertexte visité" xfId="12479" builtinId="9" hidden="1"/>
    <cellStyle name="Lien hypertexte visité" xfId="11103" builtinId="9" hidden="1"/>
    <cellStyle name="Lien hypertexte visité" xfId="9727" builtinId="9" hidden="1"/>
    <cellStyle name="Lien hypertexte visité" xfId="7006" builtinId="9" hidden="1"/>
    <cellStyle name="Lien hypertexte visité" xfId="5630" builtinId="9" hidden="1"/>
    <cellStyle name="Lien hypertexte visité" xfId="4286" builtinId="9" hidden="1"/>
    <cellStyle name="Lien hypertexte visité" xfId="1528" builtinId="9" hidden="1"/>
    <cellStyle name="Lien hypertexte visité" xfId="767" builtinId="9" hidden="1"/>
    <cellStyle name="Lien hypertexte visité" xfId="2342" builtinId="9" hidden="1"/>
    <cellStyle name="Lien hypertexte visité" xfId="5068" builtinId="9" hidden="1"/>
    <cellStyle name="Lien hypertexte visité" xfId="6444" builtinId="9" hidden="1"/>
    <cellStyle name="Lien hypertexte visité" xfId="7821" builtinId="9" hidden="1"/>
    <cellStyle name="Lien hypertexte visité" xfId="10541" builtinId="9" hidden="1"/>
    <cellStyle name="Lien hypertexte visité" xfId="11917" builtinId="9" hidden="1"/>
    <cellStyle name="Lien hypertexte visité" xfId="13261" builtinId="9" hidden="1"/>
    <cellStyle name="Lien hypertexte visité" xfId="17511" builtinId="9" hidden="1"/>
    <cellStyle name="Lien hypertexte visité" xfId="20182" builtinId="9" hidden="1"/>
    <cellStyle name="Lien hypertexte visité" xfId="22934" builtinId="9" hidden="1"/>
    <cellStyle name="Lien hypertexte visité" xfId="20852" builtinId="9" hidden="1"/>
    <cellStyle name="Lien hypertexte visité" xfId="18117" builtinId="9" hidden="1"/>
    <cellStyle name="Lien hypertexte visité" xfId="15365" builtinId="9" hidden="1"/>
    <cellStyle name="Lien hypertexte visité" xfId="12220" builtinId="9" hidden="1"/>
    <cellStyle name="Lien hypertexte visité" xfId="10844" builtinId="9" hidden="1"/>
    <cellStyle name="Lien hypertexte visité" xfId="9500" builtinId="9" hidden="1"/>
    <cellStyle name="Lien hypertexte visité" xfId="6747" builtinId="9" hidden="1"/>
    <cellStyle name="Lien hypertexte visité" xfId="5403" builtinId="9" hidden="1"/>
    <cellStyle name="Lien hypertexte visité" xfId="4027" builtinId="9" hidden="1"/>
    <cellStyle name="Lien hypertexte visité" xfId="1300" builtinId="9" hidden="1"/>
    <cellStyle name="Lien hypertexte visité" xfId="1224" builtinId="9" hidden="1"/>
    <cellStyle name="Lien hypertexte visité" xfId="2601" builtinId="9" hidden="1"/>
    <cellStyle name="Lien hypertexte visité" xfId="5327" builtinId="9" hidden="1"/>
    <cellStyle name="Lien hypertexte visité" xfId="6703" builtinId="9" hidden="1"/>
    <cellStyle name="Lien hypertexte visité" xfId="8048" builtinId="9" hidden="1"/>
    <cellStyle name="Lien hypertexte visité" xfId="1554" builtinId="9" hidden="1"/>
    <cellStyle name="Lien hypertexte visité" xfId="2450" builtinId="9" hidden="1"/>
    <cellStyle name="Lien hypertexte visité" xfId="3370" builtinId="9" hidden="1"/>
    <cellStyle name="Lien hypertexte visité" xfId="5184" builtinId="9" hidden="1"/>
    <cellStyle name="Lien hypertexte visité" xfId="6104" builtinId="9" hidden="1"/>
    <cellStyle name="Lien hypertexte visité" xfId="7024" builtinId="9" hidden="1"/>
    <cellStyle name="Lien hypertexte visité" xfId="8833" builtinId="9" hidden="1"/>
    <cellStyle name="Lien hypertexte visité" xfId="9753" builtinId="9" hidden="1"/>
    <cellStyle name="Lien hypertexte visité" xfId="10649" builtinId="9" hidden="1"/>
    <cellStyle name="Lien hypertexte visité" xfId="12481" builtinId="9" hidden="1"/>
    <cellStyle name="Lien hypertexte visité" xfId="13377" builtinId="9" hidden="1"/>
    <cellStyle name="Lien hypertexte visité" xfId="14297" builtinId="9" hidden="1"/>
    <cellStyle name="Lien hypertexte visité" xfId="17711" builtinId="9" hidden="1"/>
    <cellStyle name="Lien hypertexte visité" xfId="19518" builtinId="9" hidden="1"/>
    <cellStyle name="Lien hypertexte visité" xfId="21358" builtinId="9" hidden="1"/>
    <cellStyle name="Lien hypertexte visité" xfId="24236" builtinId="9" hidden="1"/>
    <cellStyle name="Lien hypertexte visité" xfId="22412" builtinId="9" hidden="1"/>
    <cellStyle name="Lien hypertexte visité" xfId="20620" builtinId="9" hidden="1"/>
    <cellStyle name="Lien hypertexte visité" xfId="16957" builtinId="9" hidden="1"/>
    <cellStyle name="Lien hypertexte visité" xfId="15165" builtinId="9" hidden="1"/>
    <cellStyle name="Lien hypertexte visité" xfId="13928" builtinId="9" hidden="1"/>
    <cellStyle name="Lien hypertexte visité" xfId="12112" builtinId="9" hidden="1"/>
    <cellStyle name="Lien hypertexte visité" xfId="11192" builtinId="9" hidden="1"/>
    <cellStyle name="Lien hypertexte visité" xfId="10280" builtinId="9" hidden="1"/>
    <cellStyle name="Lien hypertexte visité" xfId="10016" builtinId="9" hidden="1"/>
    <cellStyle name="Lien hypertexte visité" xfId="12768" builtinId="9" hidden="1"/>
    <cellStyle name="Lien hypertexte visité" xfId="16397" builtinId="9" hidden="1"/>
    <cellStyle name="Lien hypertexte visité" xfId="21838" builtinId="9" hidden="1"/>
    <cellStyle name="Lien hypertexte visité" xfId="16479" builtinId="9" hidden="1"/>
    <cellStyle name="Lien hypertexte visité" xfId="12745" builtinId="9" hidden="1"/>
    <cellStyle name="Lien hypertexte visité" xfId="7304" builtinId="9" hidden="1"/>
    <cellStyle name="Lien hypertexte visité" xfId="11849" builtinId="9" hidden="1"/>
    <cellStyle name="Lien hypertexte visité" xfId="23676" builtinId="9" hidden="1"/>
    <cellStyle name="Lien hypertexte visité" xfId="10896" builtinId="9" hidden="1"/>
    <cellStyle name="Lien hypertexte visité" xfId="13624" builtinId="9" hidden="1"/>
    <cellStyle name="Lien hypertexte visité" xfId="18205" builtinId="9" hidden="1"/>
    <cellStyle name="Lien hypertexte visité" xfId="20126" builtinId="9" hidden="1"/>
    <cellStyle name="Lien hypertexte visité" xfId="14671" builtinId="9" hidden="1"/>
    <cellStyle name="Lien hypertexte visité" xfId="11865" builtinId="9" hidden="1"/>
    <cellStyle name="Lien hypertexte visité" xfId="6400" builtinId="9" hidden="1"/>
    <cellStyle name="Lien hypertexte visité" xfId="3672" builtinId="9" hidden="1"/>
    <cellStyle name="Lien hypertexte visité" xfId="711" builtinId="9" hidden="1"/>
    <cellStyle name="Lien hypertexte visité" xfId="1673" builtinId="9" hidden="1"/>
    <cellStyle name="Lien hypertexte visité" xfId="3574" builtinId="9" hidden="1"/>
    <cellStyle name="Lien hypertexte visité" xfId="7675" builtinId="9" hidden="1"/>
    <cellStyle name="Lien hypertexte visité" xfId="17221" builtinId="9" hidden="1"/>
    <cellStyle name="Lien hypertexte visité" xfId="23830" builtinId="9" hidden="1"/>
    <cellStyle name="Lien hypertexte visité" xfId="15655" builtinId="9" hidden="1"/>
    <cellStyle name="Lien hypertexte visité" xfId="6892" builtinId="9" hidden="1"/>
    <cellStyle name="Lien hypertexte visité" xfId="2790" builtinId="9" hidden="1"/>
    <cellStyle name="Lien hypertexte visité" xfId="2456" builtinId="9" hidden="1"/>
    <cellStyle name="Lien hypertexte visité" xfId="10655" builtinId="9" hidden="1"/>
    <cellStyle name="Lien hypertexte visité" xfId="14987" builtinId="9" hidden="1"/>
    <cellStyle name="Lien hypertexte visité" xfId="7037" builtinId="9" hidden="1"/>
    <cellStyle name="Lien hypertexte visité" xfId="5685" builtinId="9" hidden="1"/>
    <cellStyle name="Lien hypertexte visité" xfId="5025" builtinId="9" hidden="1"/>
    <cellStyle name="Lien hypertexte visité" xfId="4349" builtinId="9" hidden="1"/>
    <cellStyle name="Lien hypertexte visité" xfId="11402" builtinId="9" hidden="1"/>
    <cellStyle name="Lien hypertexte visité" xfId="13706" builtinId="9" hidden="1"/>
    <cellStyle name="Lien hypertexte visité" xfId="17633" builtinId="9" hidden="1"/>
    <cellStyle name="Lien hypertexte visité" xfId="22266" builtinId="9" hidden="1"/>
    <cellStyle name="Lien hypertexte visité" xfId="17547" builtinId="9" hidden="1"/>
    <cellStyle name="Lien hypertexte visité" xfId="18754" builtinId="9" hidden="1"/>
    <cellStyle name="Lien hypertexte visité" xfId="21866" builtinId="9" hidden="1"/>
    <cellStyle name="Lien hypertexte visité" xfId="23442" builtinId="9" hidden="1"/>
    <cellStyle name="Lien hypertexte visité" xfId="24200" builtinId="9" hidden="1"/>
    <cellStyle name="Lien hypertexte visité" xfId="21088" builtinId="9" hidden="1"/>
    <cellStyle name="Lien hypertexte visité" xfId="19552" builtinId="9" hidden="1"/>
    <cellStyle name="Lien hypertexte visité" xfId="17993" builtinId="9" hidden="1"/>
    <cellStyle name="Lien hypertexte visité" xfId="14873" builtinId="9" hidden="1"/>
    <cellStyle name="Lien hypertexte visité" xfId="13906" builtinId="9" hidden="1"/>
    <cellStyle name="Lien hypertexte visité" xfId="13138" builtinId="9" hidden="1"/>
    <cellStyle name="Lien hypertexte visité" xfId="11582" builtinId="9" hidden="1"/>
    <cellStyle name="Lien hypertexte visité" xfId="10790" builtinId="9" hidden="1"/>
    <cellStyle name="Lien hypertexte visité" xfId="10022" builtinId="9" hidden="1"/>
    <cellStyle name="Lien hypertexte visité" xfId="15049" builtinId="9" hidden="1"/>
    <cellStyle name="Lien hypertexte visité" xfId="23274" builtinId="9" hidden="1"/>
    <cellStyle name="Lien hypertexte visité" xfId="17121" builtinId="9" hidden="1"/>
    <cellStyle name="Lien hypertexte visité" xfId="3712" builtinId="9" hidden="1"/>
    <cellStyle name="Lien hypertexte visité" xfId="1671" builtinId="9" hidden="1"/>
    <cellStyle name="Lien hypertexte visité" xfId="961" builtinId="9" hidden="1"/>
    <cellStyle name="Lien hypertexte visité" xfId="1422" builtinId="9" hidden="1"/>
    <cellStyle name="Lien hypertexte visité" xfId="2039" builtinId="9" hidden="1"/>
    <cellStyle name="Lien hypertexte visité" xfId="1478" builtinId="9" hidden="1"/>
    <cellStyle name="Lien hypertexte visité" xfId="2907" builtinId="9" hidden="1"/>
    <cellStyle name="Lien hypertexte visité" xfId="2327" builtinId="9" hidden="1"/>
    <cellStyle name="Lien hypertexte visité" xfId="7369" builtinId="9" hidden="1"/>
    <cellStyle name="Lien hypertexte visité" xfId="2975" builtinId="9" hidden="1"/>
    <cellStyle name="Lien hypertexte visité" xfId="6629" builtinId="9" hidden="1"/>
    <cellStyle name="Lien hypertexte visité" xfId="7233" builtinId="9" hidden="1"/>
    <cellStyle name="Lien hypertexte visité" xfId="6633" builtinId="9" hidden="1"/>
    <cellStyle name="Lien hypertexte visité" xfId="2407" builtinId="9" hidden="1"/>
    <cellStyle name="Lien hypertexte visité" xfId="2971" builtinId="9" hidden="1"/>
    <cellStyle name="Lien hypertexte visité" xfId="5497" builtinId="9" hidden="1"/>
    <cellStyle name="Lien hypertexte visité" xfId="6081" builtinId="9" hidden="1"/>
    <cellStyle name="Lien hypertexte visité" xfId="4145" builtinId="9" hidden="1"/>
    <cellStyle name="Lien hypertexte visité" xfId="10842" builtinId="9" hidden="1"/>
    <cellStyle name="Lien hypertexte visité" xfId="8474" builtinId="9" hidden="1"/>
    <cellStyle name="Lien hypertexte visité" xfId="4493" builtinId="9" hidden="1"/>
    <cellStyle name="Lien hypertexte visité" xfId="5845" builtinId="9" hidden="1"/>
    <cellStyle name="Lien hypertexte visité" xfId="5241" builtinId="9" hidden="1"/>
    <cellStyle name="Lien hypertexte visité" xfId="7161" builtinId="9" hidden="1"/>
    <cellStyle name="Lien hypertexte visité" xfId="4201" builtinId="9" hidden="1"/>
    <cellStyle name="Lien hypertexte visité" xfId="8186" builtinId="9" hidden="1"/>
    <cellStyle name="Lien hypertexte visité" xfId="7581" builtinId="9" hidden="1"/>
    <cellStyle name="Lien hypertexte visité" xfId="6373" builtinId="9" hidden="1"/>
    <cellStyle name="Lien hypertexte visité" xfId="7349" builtinId="9" hidden="1"/>
    <cellStyle name="Lien hypertexte visité" xfId="7970" builtinId="9" hidden="1"/>
    <cellStyle name="Lien hypertexte visité" xfId="2567" builtinId="9" hidden="1"/>
    <cellStyle name="Lien hypertexte visité" xfId="3147" builtinId="9" hidden="1"/>
    <cellStyle name="Lien hypertexte visité" xfId="3736" builtinId="9" hidden="1"/>
    <cellStyle name="Lien hypertexte visité" xfId="1033" builtinId="9" hidden="1"/>
    <cellStyle name="Lien hypertexte visité" xfId="489" builtinId="9" hidden="1"/>
    <cellStyle name="Lien hypertexte visité" xfId="1386" builtinId="9" hidden="1"/>
    <cellStyle name="Lien hypertexte visité" xfId="1438" builtinId="9" hidden="1"/>
    <cellStyle name="Lien hypertexte visité" xfId="3467" builtinId="9" hidden="1"/>
    <cellStyle name="Lien hypertexte visité" xfId="4533" builtinId="9" hidden="1"/>
    <cellStyle name="Lien hypertexte visité" xfId="21512" builtinId="9" hidden="1"/>
    <cellStyle name="Lien hypertexte visité" xfId="12562" builtinId="9" hidden="1"/>
    <cellStyle name="Lien hypertexte visité" xfId="9554" builtinId="9" hidden="1"/>
    <cellStyle name="Lien hypertexte visité" xfId="11110" builtinId="9" hidden="1"/>
    <cellStyle name="Lien hypertexte visité" xfId="11902" builtinId="9" hidden="1"/>
    <cellStyle name="Lien hypertexte visité" xfId="12670" builtinId="9" hidden="1"/>
    <cellStyle name="Lien hypertexte visité" xfId="14226" builtinId="9" hidden="1"/>
    <cellStyle name="Lien hypertexte visité" xfId="15513" builtinId="9" hidden="1"/>
    <cellStyle name="Lien hypertexte visité" xfId="17049" builtinId="9" hidden="1"/>
    <cellStyle name="Lien hypertexte visité" xfId="20192" builtinId="9" hidden="1"/>
    <cellStyle name="Lien hypertexte visité" xfId="21728" builtinId="9" hidden="1"/>
    <cellStyle name="Lien hypertexte visité" xfId="23304" builtinId="9" hidden="1"/>
    <cellStyle name="Lien hypertexte visité" xfId="22802" builtinId="9" hidden="1"/>
    <cellStyle name="Lien hypertexte visité" xfId="21266" builtinId="9" hidden="1"/>
    <cellStyle name="Lien hypertexte visité" xfId="19690" builtinId="9" hidden="1"/>
    <cellStyle name="Lien hypertexte visité" xfId="19450" builtinId="9" hidden="1"/>
    <cellStyle name="Lien hypertexte visité" xfId="24186" builtinId="9" hidden="1"/>
    <cellStyle name="Lien hypertexte visité" xfId="20432" builtinId="9" hidden="1"/>
    <cellStyle name="Lien hypertexte visité" xfId="12810" builtinId="9" hidden="1"/>
    <cellStyle name="Lien hypertexte visité" xfId="10442" builtinId="9" hidden="1"/>
    <cellStyle name="Lien hypertexte visité" xfId="3965" builtinId="9" hidden="1"/>
    <cellStyle name="Lien hypertexte visité" xfId="5301" builtinId="9" hidden="1"/>
    <cellStyle name="Lien hypertexte visité" xfId="5957" builtinId="9" hidden="1"/>
    <cellStyle name="Lien hypertexte visité" xfId="6637" builtinId="9" hidden="1"/>
    <cellStyle name="Lien hypertexte visité" xfId="13087" builtinId="9" hidden="1"/>
    <cellStyle name="Lien hypertexte visité" xfId="8991" builtinId="9" hidden="1"/>
    <cellStyle name="Lien hypertexte visité" xfId="4894" builtinId="9" hidden="1"/>
    <cellStyle name="Lien hypertexte visité" xfId="4460" builtinId="9" hidden="1"/>
    <cellStyle name="Lien hypertexte visité" xfId="12821" builtinId="9" hidden="1"/>
    <cellStyle name="Lien hypertexte visité" xfId="13685" builtinId="9" hidden="1"/>
    <cellStyle name="Lien hypertexte visité" xfId="16599" builtinId="9" hidden="1"/>
    <cellStyle name="Lien hypertexte visité" xfId="18295" builtinId="9" hidden="1"/>
    <cellStyle name="Lien hypertexte visité" xfId="9658" builtinId="9" hidden="1"/>
    <cellStyle name="Lien hypertexte visité" xfId="5049" builtinId="9" hidden="1"/>
    <cellStyle name="Lien hypertexte visité" xfId="5853" builtinId="9" hidden="1"/>
    <cellStyle name="Lien hypertexte visité" xfId="6657" builtinId="9" hidden="1"/>
    <cellStyle name="Lien hypertexte visité" xfId="8194" builtinId="9" hidden="1"/>
    <cellStyle name="Lien hypertexte visité" xfId="2363" builtinId="9" hidden="1"/>
    <cellStyle name="Lien hypertexte visité" xfId="3047" builtinId="9" hidden="1"/>
    <cellStyle name="Lien hypertexte visité" xfId="1927" builtinId="9" hidden="1"/>
    <cellStyle name="Lien hypertexte visité" xfId="1410" builtinId="9" hidden="1"/>
    <cellStyle name="Lien hypertexte visité" xfId="657" builtinId="9" hidden="1"/>
    <cellStyle name="Lien hypertexte visité" xfId="3864" builtinId="9" hidden="1"/>
    <cellStyle name="Lien hypertexte visité" xfId="3103" builtinId="9" hidden="1"/>
    <cellStyle name="Lien hypertexte visité" xfId="2351" builtinId="9" hidden="1"/>
    <cellStyle name="Lien hypertexte visité" xfId="7449" builtinId="9" hidden="1"/>
    <cellStyle name="Lien hypertexte visité" xfId="6645" builtinId="9" hidden="1"/>
    <cellStyle name="Lien hypertexte visité" xfId="5913" builtinId="9" hidden="1"/>
    <cellStyle name="Lien hypertexte visité" xfId="4305" builtinId="9" hidden="1"/>
    <cellStyle name="Lien hypertexte visité" xfId="9450" builtinId="9" hidden="1"/>
    <cellStyle name="Lien hypertexte visité" xfId="12266" builtinId="9" hidden="1"/>
    <cellStyle name="Lien hypertexte visité" xfId="20752" builtinId="9" hidden="1"/>
    <cellStyle name="Lien hypertexte visité" xfId="22842" builtinId="9" hidden="1"/>
    <cellStyle name="Lien hypertexte visité" xfId="17339" builtinId="9" hidden="1"/>
    <cellStyle name="Lien hypertexte visité" xfId="20906" builtinId="9" hidden="1"/>
    <cellStyle name="Lien hypertexte visité" xfId="22786" builtinId="9" hidden="1"/>
    <cellStyle name="Lien hypertexte visité" xfId="24490" builtinId="9" hidden="1"/>
    <cellStyle name="Lien hypertexte visité" xfId="20984" builtinId="9" hidden="1"/>
    <cellStyle name="Lien hypertexte visité" xfId="19272" builtinId="9" hidden="1"/>
    <cellStyle name="Lien hypertexte visité" xfId="17417" builtinId="9" hidden="1"/>
    <cellStyle name="Lien hypertexte visité" xfId="14174" builtinId="9" hidden="1"/>
    <cellStyle name="Lien hypertexte visité" xfId="13234" builtinId="9" hidden="1"/>
    <cellStyle name="Lien hypertexte visité" xfId="12294" builtinId="9" hidden="1"/>
    <cellStyle name="Lien hypertexte visité" xfId="10502" builtinId="9" hidden="1"/>
    <cellStyle name="Lien hypertexte visité" xfId="9566" builtinId="9" hidden="1"/>
    <cellStyle name="Lien hypertexte visité" xfId="8710" builtinId="9" hidden="1"/>
    <cellStyle name="Lien hypertexte visité" xfId="13839" builtinId="9" hidden="1"/>
    <cellStyle name="Lien hypertexte visité" xfId="12559" builtinId="9" hidden="1"/>
    <cellStyle name="Lien hypertexte visité" xfId="11151" builtinId="9" hidden="1"/>
    <cellStyle name="Lien hypertexte visité" xfId="8463" builtinId="9" hidden="1"/>
    <cellStyle name="Lien hypertexte visité" xfId="7054" builtinId="9" hidden="1"/>
    <cellStyle name="Lien hypertexte visité" xfId="5646" builtinId="9" hidden="1"/>
    <cellStyle name="Lien hypertexte visité" xfId="2952" builtinId="9" hidden="1"/>
    <cellStyle name="Lien hypertexte visité" xfId="1544" builtinId="9" hidden="1"/>
    <cellStyle name="Lien hypertexte visité" xfId="607" builtinId="9" hidden="1"/>
    <cellStyle name="Lien hypertexte visité" xfId="3711" builtinId="9" hidden="1"/>
    <cellStyle name="Lien hypertexte visité" xfId="4988" builtinId="9" hidden="1"/>
    <cellStyle name="Lien hypertexte visité" xfId="6396" builtinId="9" hidden="1"/>
    <cellStyle name="Lien hypertexte visité" xfId="9085" builtinId="9" hidden="1"/>
    <cellStyle name="Lien hypertexte visité" xfId="10493" builtinId="9" hidden="1"/>
    <cellStyle name="Lien hypertexte visité" xfId="11901" builtinId="9" hidden="1"/>
    <cellStyle name="Lien hypertexte visité" xfId="14663" builtinId="9" hidden="1"/>
    <cellStyle name="Lien hypertexte visité" xfId="17479" builtinId="9" hidden="1"/>
    <cellStyle name="Lien hypertexte visité" xfId="20022" builtinId="9" hidden="1"/>
    <cellStyle name="Lien hypertexte visité" xfId="23572" builtinId="9" hidden="1"/>
    <cellStyle name="Lien hypertexte visité" xfId="21012" builtinId="9" hidden="1"/>
    <cellStyle name="Lien hypertexte visité" xfId="18213" builtinId="9" hidden="1"/>
    <cellStyle name="Lien hypertexte visité" xfId="13676" builtinId="9" hidden="1"/>
    <cellStyle name="Lien hypertexte visité" xfId="12268" builtinId="9" hidden="1"/>
    <cellStyle name="Lien hypertexte visité" xfId="10860" builtinId="9" hidden="1"/>
    <cellStyle name="Lien hypertexte visité" xfId="8172" builtinId="9" hidden="1"/>
    <cellStyle name="Lien hypertexte visité" xfId="6763" builtinId="9" hidden="1"/>
    <cellStyle name="Lien hypertexte visité" xfId="5483" builtinId="9" hidden="1"/>
    <cellStyle name="Lien hypertexte visité" xfId="2661" builtinId="9" hidden="1"/>
    <cellStyle name="Lien hypertexte visité" xfId="1380" builtinId="9" hidden="1"/>
    <cellStyle name="Lien hypertexte visité" xfId="1176" builtinId="9" hidden="1"/>
    <cellStyle name="Lien hypertexte visité" xfId="3874" builtinId="9" hidden="1"/>
    <cellStyle name="Lien hypertexte visité" xfId="5279" builtinId="9" hidden="1"/>
    <cellStyle name="Lien hypertexte visité" xfId="6687" builtinId="9" hidden="1"/>
    <cellStyle name="Lien hypertexte visité" xfId="95" builtinId="9" hidden="1"/>
    <cellStyle name="Lien hypertexte visité" xfId="1546" builtinId="9" hidden="1"/>
    <cellStyle name="Lien hypertexte visité" xfId="2394" builtinId="9" hidden="1"/>
    <cellStyle name="Lien hypertexte visité" xfId="4280" builtinId="9" hidden="1"/>
    <cellStyle name="Lien hypertexte visité" xfId="5136" builtinId="9" hidden="1"/>
    <cellStyle name="Lien hypertexte visité" xfId="6072" builtinId="9" hidden="1"/>
    <cellStyle name="Lien hypertexte visité" xfId="7865" builtinId="9" hidden="1"/>
    <cellStyle name="Lien hypertexte visité" xfId="8801" builtinId="9" hidden="1"/>
    <cellStyle name="Lien hypertexte visité" xfId="9745" builtinId="9" hidden="1"/>
    <cellStyle name="Lien hypertexte visité" xfId="11537" builtinId="9" hidden="1"/>
    <cellStyle name="Lien hypertexte visité" xfId="12473" builtinId="9" hidden="1"/>
    <cellStyle name="Lien hypertexte visité" xfId="13329" builtinId="9" hidden="1"/>
    <cellStyle name="Lien hypertexte visité" xfId="15887" builtinId="9" hidden="1"/>
    <cellStyle name="Lien hypertexte visité" xfId="17599" builtinId="9" hidden="1"/>
    <cellStyle name="Lien hypertexte visité" xfId="19454" builtinId="9" hidden="1"/>
    <cellStyle name="Lien hypertexte visité" xfId="23038" builtinId="9" hidden="1"/>
    <cellStyle name="Lien hypertexte visité" xfId="24300" builtinId="9" hidden="1"/>
    <cellStyle name="Lien hypertexte visité" xfId="22428" builtinId="9" hidden="1"/>
    <cellStyle name="Lien hypertexte visité" xfId="18844" builtinId="9" hidden="1"/>
    <cellStyle name="Lien hypertexte visité" xfId="16989" builtinId="9" hidden="1"/>
    <cellStyle name="Lien hypertexte visité" xfId="15277" builtinId="9" hidden="1"/>
    <cellStyle name="Lien hypertexte visité" xfId="13016" builtinId="9" hidden="1"/>
    <cellStyle name="Lien hypertexte visité" xfId="12168" builtinId="9" hidden="1"/>
    <cellStyle name="Lien hypertexte visité" xfId="11224" builtinId="9" hidden="1"/>
    <cellStyle name="Lien hypertexte visité" xfId="9432" builtinId="9" hidden="1"/>
    <cellStyle name="Lien hypertexte visité" xfId="9920" builtinId="9" hidden="1"/>
    <cellStyle name="Lien hypertexte visité" xfId="12736" builtinId="9" hidden="1"/>
    <cellStyle name="Lien hypertexte visité" xfId="21692" builtinId="9" hidden="1"/>
    <cellStyle name="Lien hypertexte visité" xfId="21902" builtinId="9" hidden="1"/>
    <cellStyle name="Lien hypertexte visité" xfId="16799" builtinId="9" hidden="1"/>
    <cellStyle name="Lien hypertexte visité" xfId="10025" builtinId="9" hidden="1"/>
    <cellStyle name="Lien hypertexte visité" xfId="7464" builtinId="9" hidden="1"/>
    <cellStyle name="Lien hypertexte visité" xfId="4648" builtinId="9" hidden="1"/>
    <cellStyle name="Lien hypertexte visité" xfId="9203" builtinId="9" hidden="1"/>
    <cellStyle name="Lien hypertexte visité" xfId="8395" builtinId="9" hidden="1"/>
    <cellStyle name="Lien hypertexte visité" xfId="7594" builtinId="9" hidden="1"/>
    <cellStyle name="Lien hypertexte visité" xfId="6058" builtinId="9" hidden="1"/>
    <cellStyle name="Lien hypertexte visité" xfId="5250" builtinId="9" hidden="1"/>
    <cellStyle name="Lien hypertexte visité" xfId="4522" builtinId="9" hidden="1"/>
    <cellStyle name="Lien hypertexte visité" xfId="2900" builtinId="9" hidden="1"/>
    <cellStyle name="Lien hypertexte visité" xfId="2172" builtinId="9" hidden="1"/>
    <cellStyle name="Lien hypertexte visité" xfId="1363" builtinId="9" hidden="1"/>
    <cellStyle name="Lien hypertexte visité" xfId="8355" builtinId="9" hidden="1"/>
    <cellStyle name="Lien hypertexte visité" xfId="12307" builtinId="9" hidden="1"/>
    <cellStyle name="Lien hypertexte visité" xfId="11563" builtinId="9" hidden="1"/>
    <cellStyle name="Lien hypertexte visité" xfId="10123" builtinId="9" hidden="1"/>
    <cellStyle name="Lien hypertexte visité" xfId="11043" builtinId="9" hidden="1"/>
    <cellStyle name="Lien hypertexte visité" xfId="13923" builtinId="9" hidden="1"/>
    <cellStyle name="Lien hypertexte visité" xfId="15107" builtinId="9" hidden="1"/>
    <cellStyle name="Lien hypertexte visité" xfId="16035" builtinId="9" hidden="1"/>
    <cellStyle name="Lien hypertexte visité" xfId="16803" builtinId="9" hidden="1"/>
    <cellStyle name="Lien hypertexte visité" xfId="13035" builtinId="9" hidden="1"/>
    <cellStyle name="Lien hypertexte visité" xfId="13763" builtinId="9" hidden="1"/>
    <cellStyle name="Lien hypertexte visité" xfId="12451" builtinId="9" hidden="1"/>
    <cellStyle name="Lien hypertexte visité" xfId="10715" builtinId="9" hidden="1"/>
    <cellStyle name="Lien hypertexte visité" xfId="11467" builtinId="9" hidden="1"/>
    <cellStyle name="Lien hypertexte visité" xfId="12147" builtinId="9" hidden="1"/>
    <cellStyle name="Lien hypertexte visité" xfId="3938" builtinId="9" hidden="1"/>
    <cellStyle name="Lien hypertexte visité" xfId="1195" builtinId="9" hidden="1"/>
    <cellStyle name="Lien hypertexte visité" xfId="1996" builtinId="9" hidden="1"/>
    <cellStyle name="Lien hypertexte visité" xfId="3532" builtinId="9" hidden="1"/>
    <cellStyle name="Lien hypertexte visité" xfId="4346" builtinId="9" hidden="1"/>
    <cellStyle name="Lien hypertexte visité" xfId="5146" builtinId="9" hidden="1"/>
    <cellStyle name="Lien hypertexte visité" xfId="6682" builtinId="9" hidden="1"/>
    <cellStyle name="Lien hypertexte visité" xfId="7490" builtinId="9" hidden="1"/>
    <cellStyle name="Lien hypertexte visité" xfId="8219" builtinId="9" hidden="1"/>
    <cellStyle name="Lien hypertexte visité" xfId="1473" builtinId="9" hidden="1"/>
    <cellStyle name="Lien hypertexte visité" xfId="4040" builtinId="9" hidden="1"/>
    <cellStyle name="Lien hypertexte visité" xfId="9126" builtinId="9" hidden="1"/>
    <cellStyle name="Lien hypertexte visité" xfId="16459" builtinId="9" hidden="1"/>
    <cellStyle name="Lien hypertexte visité" xfId="14603" builtinId="9" hidden="1"/>
    <cellStyle name="Lien hypertexte visité" xfId="13631" builtinId="9" hidden="1"/>
    <cellStyle name="Lien hypertexte visité" xfId="11839" builtinId="9" hidden="1"/>
    <cellStyle name="Lien hypertexte visité" xfId="10879" builtinId="9" hidden="1"/>
    <cellStyle name="Lien hypertexte visité" xfId="10047" builtinId="9" hidden="1"/>
    <cellStyle name="Lien hypertexte visité" xfId="8159" builtinId="9" hidden="1"/>
    <cellStyle name="Lien hypertexte visité" xfId="7294" builtinId="9" hidden="1"/>
    <cellStyle name="Lien hypertexte visité" xfId="6366" builtinId="9" hidden="1"/>
    <cellStyle name="Lien hypertexte visité" xfId="4574" builtinId="9" hidden="1"/>
    <cellStyle name="Lien hypertexte visité" xfId="3641" builtinId="9" hidden="1"/>
    <cellStyle name="Lien hypertexte visité" xfId="2680" builtinId="9" hidden="1"/>
    <cellStyle name="Lien hypertexte visité" xfId="611" builtinId="9" hidden="1"/>
    <cellStyle name="Lien hypertexte visité" xfId="1189" builtinId="9" hidden="1"/>
    <cellStyle name="Lien hypertexte visité" xfId="2054" builtinId="9" hidden="1"/>
    <cellStyle name="Lien hypertexte visité" xfId="3920" builtinId="9" hidden="1"/>
    <cellStyle name="Lien hypertexte visité" xfId="4780" builtinId="9" hidden="1"/>
    <cellStyle name="Lien hypertexte visité" xfId="5708" builtinId="9" hidden="1"/>
    <cellStyle name="Lien hypertexte visité" xfId="7500" builtinId="9" hidden="1"/>
    <cellStyle name="Lien hypertexte visité" xfId="8461" builtinId="9" hidden="1"/>
    <cellStyle name="Lien hypertexte visité" xfId="9389" builtinId="9" hidden="1"/>
    <cellStyle name="Lien hypertexte visité" xfId="11181" builtinId="9" hidden="1"/>
    <cellStyle name="Lien hypertexte visité" xfId="12109" builtinId="9" hidden="1"/>
    <cellStyle name="Lien hypertexte visité" xfId="12973" builtinId="9" hidden="1"/>
    <cellStyle name="Lien hypertexte visité" xfId="15207" builtinId="9" hidden="1"/>
    <cellStyle name="Lien hypertexte visité" xfId="16871" builtinId="9" hidden="1"/>
    <cellStyle name="Lien hypertexte visité" xfId="18774" builtinId="9" hidden="1"/>
    <cellStyle name="Lien hypertexte visité" xfId="22358" builtinId="9" hidden="1"/>
    <cellStyle name="Lien hypertexte visité" xfId="24214" builtinId="9" hidden="1"/>
    <cellStyle name="Lien hypertexte visité" xfId="23156" builtinId="9" hidden="1"/>
    <cellStyle name="Lien hypertexte visité" xfId="19572" builtinId="9" hidden="1"/>
    <cellStyle name="Lien hypertexte visité" xfId="17669" builtinId="9" hidden="1"/>
    <cellStyle name="Lien hypertexte visité" xfId="16005" builtinId="9" hidden="1"/>
    <cellStyle name="Lien hypertexte visité" xfId="13372" builtinId="9" hidden="1"/>
    <cellStyle name="Lien hypertexte visité" xfId="12508" builtinId="9" hidden="1"/>
    <cellStyle name="Lien hypertexte visité" xfId="11580" builtinId="9" hidden="1"/>
    <cellStyle name="Lien hypertexte visité" xfId="9788" builtinId="9" hidden="1"/>
    <cellStyle name="Lien hypertexte visité" xfId="8860" builtinId="9" hidden="1"/>
    <cellStyle name="Lien hypertexte visité" xfId="7900" builtinId="9" hidden="1"/>
    <cellStyle name="Lien hypertexte visité" xfId="6107" builtinId="9" hidden="1"/>
    <cellStyle name="Lien hypertexte visité" xfId="5179" builtinId="9" hidden="1"/>
    <cellStyle name="Lien hypertexte visité" xfId="4315" builtinId="9" hidden="1"/>
    <cellStyle name="Lien hypertexte visité" xfId="2453" builtinId="9" hidden="1"/>
    <cellStyle name="Lien hypertexte visité" xfId="1589" builtinId="9" hidden="1"/>
    <cellStyle name="Lien hypertexte visité" xfId="213" builtinId="9" hidden="1"/>
    <cellStyle name="Lien hypertexte visité" xfId="2281" builtinId="9" hidden="1"/>
    <cellStyle name="Lien hypertexte visité" xfId="3241" builtinId="9" hidden="1"/>
    <cellStyle name="Lien hypertexte visité" xfId="4175" builtinId="9" hidden="1"/>
    <cellStyle name="Lien hypertexte visité" xfId="5967" builtinId="9" hidden="1"/>
    <cellStyle name="Lien hypertexte visité" xfId="6895" builtinId="9" hidden="1"/>
    <cellStyle name="Lien hypertexte visité" xfId="7759" builtinId="9" hidden="1"/>
    <cellStyle name="Lien hypertexte visité" xfId="407" builtinId="9" hidden="1"/>
    <cellStyle name="Lien hypertexte visité" xfId="1337" builtinId="9" hidden="1"/>
    <cellStyle name="Lien hypertexte visité" xfId="1978" builtinId="9" hidden="1"/>
    <cellStyle name="Lien hypertexte visité" xfId="3178" builtinId="9" hidden="1"/>
    <cellStyle name="Lien hypertexte visité" xfId="3803" builtinId="9" hidden="1"/>
    <cellStyle name="Lien hypertexte visité" xfId="4416" builtinId="9" hidden="1"/>
    <cellStyle name="Lien hypertexte visité" xfId="5616" builtinId="9" hidden="1"/>
    <cellStyle name="Lien hypertexte visité" xfId="6256" builtinId="9" hidden="1"/>
    <cellStyle name="Lien hypertexte visité" xfId="6808" builtinId="9" hidden="1"/>
    <cellStyle name="Lien hypertexte visité" xfId="8065" builtinId="9" hidden="1"/>
    <cellStyle name="Lien hypertexte visité" xfId="8641" builtinId="9" hidden="1"/>
    <cellStyle name="Lien hypertexte visité" xfId="9265" builtinId="9" hidden="1"/>
    <cellStyle name="Lien hypertexte visité" xfId="10457" builtinId="9" hidden="1"/>
    <cellStyle name="Lien hypertexte visité" xfId="11073" builtinId="9" hidden="1"/>
    <cellStyle name="Lien hypertexte visité" xfId="11713" builtinId="9" hidden="1"/>
    <cellStyle name="Lien hypertexte visité" xfId="12913" builtinId="9" hidden="1"/>
    <cellStyle name="Lien hypertexte visité" xfId="13529" builtinId="9" hidden="1"/>
    <cellStyle name="Lien hypertexte visité" xfId="14105" builtinId="9" hidden="1"/>
    <cellStyle name="Lien hypertexte visité" xfId="16175" builtinId="9" hidden="1"/>
    <cellStyle name="Lien hypertexte visité" xfId="17327" builtinId="9" hidden="1"/>
    <cellStyle name="Lien hypertexte visité" xfId="18542" builtinId="9" hidden="1"/>
    <cellStyle name="Lien hypertexte visité" xfId="20926" builtinId="9" hidden="1"/>
    <cellStyle name="Lien hypertexte visité" xfId="22206" builtinId="9" hidden="1"/>
    <cellStyle name="Lien hypertexte visité" xfId="23454" builtinId="9" hidden="1"/>
    <cellStyle name="Lien hypertexte visité" xfId="23388" builtinId="9" hidden="1"/>
    <cellStyle name="Lien hypertexte visité" xfId="22156" builtinId="9" hidden="1"/>
    <cellStyle name="Lien hypertexte visité" xfId="21004" builtinId="9" hidden="1"/>
    <cellStyle name="Lien hypertexte visité" xfId="18476" builtinId="9" hidden="1"/>
    <cellStyle name="Lien hypertexte visité" xfId="17389" builtinId="9" hidden="1"/>
    <cellStyle name="Lien hypertexte visité" xfId="16109" builtinId="9" hidden="1"/>
    <cellStyle name="Lien hypertexte visité" xfId="14120" builtinId="9" hidden="1"/>
    <cellStyle name="Lien hypertexte visité" xfId="13496" builtinId="9" hidden="1"/>
    <cellStyle name="Lien hypertexte visité" xfId="12880" builtinId="9" hidden="1"/>
    <cellStyle name="Lien hypertexte visité" xfId="11688" builtinId="9" hidden="1"/>
    <cellStyle name="Lien hypertexte visité" xfId="11048" builtinId="9" hidden="1"/>
    <cellStyle name="Lien hypertexte visité" xfId="10488" builtinId="9" hidden="1"/>
    <cellStyle name="Lien hypertexte visité" xfId="9232" builtinId="9" hidden="1"/>
    <cellStyle name="Lien hypertexte visité" xfId="9440" builtinId="9" hidden="1"/>
    <cellStyle name="Lien hypertexte visité" xfId="11296" builtinId="9" hidden="1"/>
    <cellStyle name="Lien hypertexte visité" xfId="15245" builtinId="9" hidden="1"/>
    <cellStyle name="Lien hypertexte visité" xfId="18940" builtinId="9" hidden="1"/>
    <cellStyle name="Lien hypertexte visité" xfId="22780" builtinId="9" hidden="1"/>
    <cellStyle name="Lien hypertexte visité" xfId="19278" builtinId="9" hidden="1"/>
    <cellStyle name="Lien hypertexte visité" xfId="15583" builtinId="9" hidden="1"/>
    <cellStyle name="Lien hypertexte visité" xfId="13321" builtinId="9" hidden="1"/>
    <cellStyle name="Lien hypertexte visité" xfId="9609" builtinId="9" hidden="1"/>
    <cellStyle name="Lien hypertexte visité" xfId="7881" builtinId="9" hidden="1"/>
    <cellStyle name="Lien hypertexte visité" xfId="7496" builtinId="9" hidden="1"/>
    <cellStyle name="Lien hypertexte visité" xfId="21966" builtinId="9" hidden="1"/>
    <cellStyle name="Lien hypertexte visité" xfId="16013" builtinId="9" hidden="1"/>
    <cellStyle name="Lien hypertexte visité" xfId="9632" builtinId="9" hidden="1"/>
    <cellStyle name="Lien hypertexte visité" xfId="12176" builtinId="9" hidden="1"/>
    <cellStyle name="Lien hypertexte visité" xfId="14056" builtinId="9" hidden="1"/>
    <cellStyle name="Lien hypertexte visité" xfId="17005" builtinId="9" hidden="1"/>
    <cellStyle name="Lien hypertexte visité" xfId="24492" builtinId="9" hidden="1"/>
    <cellStyle name="Lien hypertexte visité" xfId="21310" builtinId="9" hidden="1"/>
    <cellStyle name="Lien hypertexte visité" xfId="17583" builtinId="9" hidden="1"/>
    <cellStyle name="Lien hypertexte visité" xfId="12465" builtinId="9" hidden="1"/>
    <cellStyle name="Lien hypertexte visité" xfId="10585" builtinId="9" hidden="1"/>
    <cellStyle name="Lien hypertexte visité" xfId="8705" builtinId="9" hidden="1"/>
    <cellStyle name="Lien hypertexte visité" xfId="5120" builtinId="9" hidden="1"/>
    <cellStyle name="Lien hypertexte visité" xfId="3242" builtinId="9" hidden="1"/>
    <cellStyle name="Lien hypertexte visité" xfId="1530" builtinId="9" hidden="1"/>
    <cellStyle name="Lien hypertexte visité" xfId="5135" builtinId="9" hidden="1"/>
    <cellStyle name="Lien hypertexte visité" xfId="2569" builtinId="9" hidden="1"/>
    <cellStyle name="Lien hypertexte visité" xfId="1396" builtinId="9" hidden="1"/>
    <cellStyle name="Lien hypertexte visité" xfId="6779" builtinId="9" hidden="1"/>
    <cellStyle name="Lien hypertexte visité" xfId="9596" builtinId="9" hidden="1"/>
    <cellStyle name="Lien hypertexte visité" xfId="12412" builtinId="9" hidden="1"/>
    <cellStyle name="Lien hypertexte visité" xfId="21044" builtinId="9" hidden="1"/>
    <cellStyle name="Lien hypertexte visité" xfId="22550" builtinId="9" hidden="1"/>
    <cellStyle name="Lien hypertexte visité" xfId="17447" builtinId="9" hidden="1"/>
    <cellStyle name="Lien hypertexte visité" xfId="10349" builtinId="9" hidden="1"/>
    <cellStyle name="Lien hypertexte visité" xfId="9581" builtinId="9" hidden="1"/>
    <cellStyle name="Lien hypertexte visité" xfId="21014" builtinId="9" hidden="1"/>
    <cellStyle name="Lien hypertexte visité" xfId="4987" builtinId="9" hidden="1"/>
    <cellStyle name="Lien hypertexte visité" xfId="4367" builtinId="9" hidden="1"/>
    <cellStyle name="Lien hypertexte visité" xfId="2730" builtinId="9" hidden="1"/>
    <cellStyle name="Lien hypertexte visité" xfId="13657" builtinId="9" hidden="1"/>
    <cellStyle name="Lien hypertexte visité" xfId="23710" builtinId="9" hidden="1"/>
    <cellStyle name="Lien hypertexte visité" xfId="14621" builtinId="9" hidden="1"/>
    <cellStyle name="Lien hypertexte visité" xfId="14815" builtinId="9" hidden="1"/>
    <cellStyle name="Lien hypertexte visité" xfId="9097" builtinId="9" hidden="1"/>
    <cellStyle name="Lien hypertexte visité" xfId="14559" builtinId="9" hidden="1"/>
    <cellStyle name="Lien hypertexte visité" xfId="13664" builtinId="9" hidden="1"/>
    <cellStyle name="Lien hypertexte visité" xfId="9064" builtinId="9" hidden="1"/>
    <cellStyle name="Lien hypertexte visité" xfId="10872" builtinId="9" hidden="1"/>
    <cellStyle name="Lien hypertexte visité" xfId="14525" builtinId="9" hidden="1"/>
    <cellStyle name="Lien hypertexte visité" xfId="18157" builtinId="9" hidden="1"/>
    <cellStyle name="Lien hypertexte visité" xfId="21804" builtinId="9" hidden="1"/>
    <cellStyle name="Lien hypertexte visité" xfId="20158" builtinId="9" hidden="1"/>
    <cellStyle name="Lien hypertexte visité" xfId="16511" builtinId="9" hidden="1"/>
    <cellStyle name="Lien hypertexte visité" xfId="13697" builtinId="9" hidden="1"/>
    <cellStyle name="Lien hypertexte visité" xfId="10049" builtinId="9" hidden="1"/>
    <cellStyle name="Lien hypertexte visité" xfId="8241" builtinId="9" hidden="1"/>
    <cellStyle name="Lien hypertexte visité" xfId="6424" builtinId="9" hidden="1"/>
    <cellStyle name="Lien hypertexte visité" xfId="2770" builtinId="9" hidden="1"/>
    <cellStyle name="Lien hypertexte visité" xfId="743" builtinId="9" hidden="1"/>
    <cellStyle name="Lien hypertexte visité" xfId="7151" builtinId="9" hidden="1"/>
    <cellStyle name="Lien hypertexte visité" xfId="1705" builtinId="9" hidden="1"/>
    <cellStyle name="Lien hypertexte visité" xfId="2197" builtinId="9" hidden="1"/>
    <cellStyle name="Lien hypertexte visité" xfId="4923" builtinId="9" hidden="1"/>
    <cellStyle name="Lien hypertexte visité" xfId="10396" builtinId="9" hidden="1"/>
    <cellStyle name="Lien hypertexte visité" xfId="13116" builtinId="9" hidden="1"/>
    <cellStyle name="Lien hypertexte visité" xfId="17157" builtinId="9" hidden="1"/>
    <cellStyle name="Lien hypertexte visité" xfId="21142" builtinId="9" hidden="1"/>
    <cellStyle name="Lien hypertexte visité" xfId="15719" builtinId="9" hidden="1"/>
    <cellStyle name="Lien hypertexte visité" xfId="12365" builtinId="9" hidden="1"/>
    <cellStyle name="Lien hypertexte visité" xfId="6924" builtinId="9" hidden="1"/>
    <cellStyle name="Lien hypertexte visité" xfId="4172" builtinId="9" hidden="1"/>
    <cellStyle name="Lien hypertexte visité" xfId="1445" builtinId="9" hidden="1"/>
    <cellStyle name="Lien hypertexte visité" xfId="5182" builtinId="9" hidden="1"/>
    <cellStyle name="Lien hypertexte visité" xfId="7903" builtinId="9" hidden="1"/>
    <cellStyle name="Lien hypertexte visité" xfId="10623" builtinId="9" hidden="1"/>
    <cellStyle name="Lien hypertexte visité" xfId="8338" builtinId="9" hidden="1"/>
    <cellStyle name="Lien hypertexte visité" xfId="2242" builtinId="9" hidden="1"/>
    <cellStyle name="Lien hypertexte visité" xfId="7706" builtinId="9" hidden="1"/>
    <cellStyle name="Lien hypertexte visité" xfId="3020" builtinId="9" hidden="1"/>
    <cellStyle name="Lien hypertexte visité" xfId="2396" builtinId="9" hidden="1"/>
    <cellStyle name="Lien hypertexte visité" xfId="11667" builtinId="9" hidden="1"/>
    <cellStyle name="Lien hypertexte visité" xfId="15331" builtinId="9" hidden="1"/>
    <cellStyle name="Lien hypertexte visité" xfId="14723" builtinId="9" hidden="1"/>
    <cellStyle name="Lien hypertexte visité" xfId="14387" builtinId="9" hidden="1"/>
    <cellStyle name="Lien hypertexte visité" xfId="4770" builtinId="9" hidden="1"/>
    <cellStyle name="Lien hypertexte visité" xfId="2684" builtinId="9" hidden="1"/>
    <cellStyle name="Lien hypertexte visité" xfId="5034" builtinId="9" hidden="1"/>
    <cellStyle name="Lien hypertexte visité" xfId="951" builtinId="9" hidden="1"/>
    <cellStyle name="Lien hypertexte visité" xfId="9257" builtinId="9" hidden="1"/>
    <cellStyle name="Lien hypertexte visité" xfId="20366" builtinId="9" hidden="1"/>
    <cellStyle name="Lien hypertexte visité" xfId="10032" builtinId="9" hidden="1"/>
    <cellStyle name="Lien hypertexte visité" xfId="12760" builtinId="9" hidden="1"/>
    <cellStyle name="Lien hypertexte visité" xfId="16477" builtinId="9" hidden="1"/>
    <cellStyle name="Lien hypertexte visité" xfId="21854" builtinId="9" hidden="1"/>
    <cellStyle name="Lien hypertexte visité" xfId="16399" builtinId="9" hidden="1"/>
    <cellStyle name="Lien hypertexte visité" xfId="12729" builtinId="9" hidden="1"/>
    <cellStyle name="Lien hypertexte visité" xfId="7264" builtinId="9" hidden="1"/>
    <cellStyle name="Lien hypertexte visité" xfId="4536" builtinId="9" hidden="1"/>
    <cellStyle name="Lien hypertexte visité" xfId="1802" builtinId="9" hidden="1"/>
    <cellStyle name="Lien hypertexte visité" xfId="2969" builtinId="9" hidden="1"/>
    <cellStyle name="Lien hypertexte visité" xfId="2277" builtinId="9" hidden="1"/>
    <cellStyle name="Lien hypertexte visité" xfId="6379" builtinId="9" hidden="1"/>
    <cellStyle name="Lien hypertexte visité" xfId="14629" builtinId="9" hidden="1"/>
    <cellStyle name="Lien hypertexte visité" xfId="22804" builtinId="9" hidden="1"/>
    <cellStyle name="Lien hypertexte visité" xfId="18247" builtinId="9" hidden="1"/>
    <cellStyle name="Lien hypertexte visité" xfId="8189" builtinId="9" hidden="1"/>
    <cellStyle name="Lien hypertexte visité" xfId="4092" builtinId="9" hidden="1"/>
    <cellStyle name="Lien hypertexte visité" xfId="1159" builtinId="9" hidden="1"/>
    <cellStyle name="Lien hypertexte visité" xfId="9359" builtinId="9" hidden="1"/>
    <cellStyle name="Lien hypertexte visité" xfId="13455" builtinId="9" hidden="1"/>
    <cellStyle name="Lien hypertexte visité" xfId="9310" builtinId="9" hidden="1"/>
    <cellStyle name="Lien hypertexte visité" xfId="15025" builtinId="9" hidden="1"/>
    <cellStyle name="Lien hypertexte visité" xfId="20472" builtinId="9" hidden="1"/>
    <cellStyle name="Lien hypertexte visité" xfId="23298" builtinId="9" hidden="1"/>
    <cellStyle name="Lien hypertexte visité" xfId="17185" builtinId="9" hidden="1"/>
    <cellStyle name="Lien hypertexte visité" xfId="4085" builtinId="9" hidden="1"/>
    <cellStyle name="Lien hypertexte visité" xfId="6425" builtinId="9" hidden="1"/>
    <cellStyle name="Lien hypertexte visité" xfId="1715" builtinId="9" hidden="1"/>
    <cellStyle name="Lien hypertexte visité" xfId="2127" builtinId="9" hidden="1"/>
    <cellStyle name="Lien hypertexte visité" xfId="2571" builtinId="9" hidden="1"/>
    <cellStyle name="Lien hypertexte visité" xfId="4537" builtinId="9" hidden="1"/>
    <cellStyle name="Lien hypertexte visité" xfId="17111" builtinId="9" hidden="1"/>
    <cellStyle name="Lien hypertexte visité" xfId="13077" builtinId="9" hidden="1"/>
    <cellStyle name="Lien hypertexte visité" xfId="19972" builtinId="9" hidden="1"/>
    <cellStyle name="Lien hypertexte visité" xfId="18660" builtinId="9" hidden="1"/>
    <cellStyle name="Lien hypertexte visité" xfId="17365" builtinId="9" hidden="1"/>
    <cellStyle name="Lien hypertexte visité" xfId="14581" builtinId="9" hidden="1"/>
    <cellStyle name="Lien hypertexte visité" xfId="13892" builtinId="9" hidden="1"/>
    <cellStyle name="Lien hypertexte visité" xfId="13236" builtinId="9" hidden="1"/>
    <cellStyle name="Lien hypertexte visité" xfId="11924" builtinId="9" hidden="1"/>
    <cellStyle name="Lien hypertexte visité" xfId="11252" builtinId="9" hidden="1"/>
    <cellStyle name="Lien hypertexte visité" xfId="10596" builtinId="9" hidden="1"/>
    <cellStyle name="Lien hypertexte visité" xfId="9204" builtinId="9" hidden="1"/>
    <cellStyle name="Lien hypertexte visité" xfId="8548" builtinId="9" hidden="1"/>
    <cellStyle name="Lien hypertexte visité" xfId="7892" builtinId="9" hidden="1"/>
    <cellStyle name="Lien hypertexte visité" xfId="6579" builtinId="9" hidden="1"/>
    <cellStyle name="Lien hypertexte visité" xfId="5923" builtinId="9" hidden="1"/>
    <cellStyle name="Lien hypertexte visité" xfId="5187" builtinId="9" hidden="1"/>
    <cellStyle name="Lien hypertexte visité" xfId="12261" builtinId="9" hidden="1"/>
    <cellStyle name="Lien hypertexte visité" xfId="9957" builtinId="9" hidden="1"/>
    <cellStyle name="Lien hypertexte visité" xfId="7652" builtinId="9" hidden="1"/>
    <cellStyle name="Lien hypertexte visité" xfId="3038" builtinId="9" hidden="1"/>
    <cellStyle name="Lien hypertexte visité" xfId="179" builtinId="9" hidden="1"/>
    <cellStyle name="Lien hypertexte visité" xfId="2976" builtinId="9" hidden="1"/>
    <cellStyle name="Lien hypertexte visité" xfId="7590" builtinId="9" hidden="1"/>
    <cellStyle name="Lien hypertexte visité" xfId="9895" builtinId="9" hidden="1"/>
    <cellStyle name="Lien hypertexte visité" xfId="12199" builtinId="9" hidden="1"/>
    <cellStyle name="Lien hypertexte visité" xfId="8982" builtinId="9" hidden="1"/>
    <cellStyle name="Lien hypertexte visité" xfId="10518" builtinId="9" hidden="1"/>
    <cellStyle name="Lien hypertexte visité" xfId="12054" builtinId="9" hidden="1"/>
    <cellStyle name="Lien hypertexte visité" xfId="15737" builtinId="9" hidden="1"/>
    <cellStyle name="Lien hypertexte visité" xfId="18792" builtinId="9" hidden="1"/>
    <cellStyle name="Lien hypertexte visité" xfId="21864" builtinId="9" hidden="1"/>
    <cellStyle name="Lien hypertexte visité" xfId="20874" builtinId="9" hidden="1"/>
    <cellStyle name="Lien hypertexte visité" xfId="17819" builtinId="9" hidden="1"/>
    <cellStyle name="Lien hypertexte visité" xfId="24240" builtinId="9" hidden="1"/>
    <cellStyle name="Lien hypertexte visité" xfId="11642" builtinId="9" hidden="1"/>
    <cellStyle name="Lien hypertexte visité" xfId="13178" builtinId="9" hidden="1"/>
    <cellStyle name="Lien hypertexte visité" xfId="15233" builtinId="9" hidden="1"/>
    <cellStyle name="Lien hypertexte visité" xfId="21360" builtinId="9" hidden="1"/>
    <cellStyle name="Lien hypertexte visité" xfId="24432" builtinId="9" hidden="1"/>
    <cellStyle name="Lien hypertexte visité" xfId="21722" builtinId="9" hidden="1"/>
    <cellStyle name="Lien hypertexte visité" xfId="17883" builtinId="9" hidden="1"/>
    <cellStyle name="Lien hypertexte visité" xfId="19018" builtinId="9" hidden="1"/>
    <cellStyle name="Lien hypertexte visité" xfId="20042" builtinId="9" hidden="1"/>
    <cellStyle name="Lien hypertexte visité" xfId="22090" builtinId="9" hidden="1"/>
    <cellStyle name="Lien hypertexte visité" xfId="23114" builtinId="9" hidden="1"/>
    <cellStyle name="Lien hypertexte visité" xfId="24138" builtinId="9" hidden="1"/>
    <cellStyle name="Lien hypertexte visité" xfId="22936" builtinId="9" hidden="1"/>
    <cellStyle name="Lien hypertexte visité" xfId="21912" builtinId="9" hidden="1"/>
    <cellStyle name="Lien hypertexte visité" xfId="20888" builtinId="9" hidden="1"/>
    <cellStyle name="Lien hypertexte visité" xfId="18840" builtinId="9" hidden="1"/>
    <cellStyle name="Lien hypertexte visité" xfId="17833" builtinId="9" hidden="1"/>
    <cellStyle name="Lien hypertexte visité" xfId="16809" builtinId="9" hidden="1"/>
    <cellStyle name="Lien hypertexte visité" xfId="14649" builtinId="9" hidden="1"/>
    <cellStyle name="Lien hypertexte visité" xfId="14070" builtinId="9" hidden="1"/>
    <cellStyle name="Lien hypertexte visité" xfId="13558" builtinId="9" hidden="1"/>
    <cellStyle name="Lien hypertexte visité" xfId="12534" builtinId="9" hidden="1"/>
    <cellStyle name="Lien hypertexte visité" xfId="12022" builtinId="9" hidden="1"/>
    <cellStyle name="Lien hypertexte visité" xfId="11446" builtinId="9" hidden="1"/>
    <cellStyle name="Lien hypertexte visité" xfId="10422" builtinId="9" hidden="1"/>
    <cellStyle name="Lien hypertexte visité" xfId="9910" builtinId="9" hidden="1"/>
    <cellStyle name="Lien hypertexte visité" xfId="9398" builtinId="9" hidden="1"/>
    <cellStyle name="Lien hypertexte visité" xfId="8374" builtinId="9" hidden="1"/>
    <cellStyle name="Lien hypertexte visité" xfId="16091" builtinId="9" hidden="1"/>
    <cellStyle name="Lien hypertexte visité" xfId="14555" builtinId="9" hidden="1"/>
    <cellStyle name="Lien hypertexte visité" xfId="12999" builtinId="9" hidden="1"/>
    <cellStyle name="Lien hypertexte visité" xfId="12231" builtinId="9" hidden="1"/>
    <cellStyle name="Lien hypertexte visité" xfId="11463" builtinId="9" hidden="1"/>
    <cellStyle name="Lien hypertexte visité" xfId="9847" builtinId="9" hidden="1"/>
    <cellStyle name="Lien hypertexte visité" xfId="9079" builtinId="9" hidden="1"/>
    <cellStyle name="Lien hypertexte visité" xfId="8311" builtinId="9" hidden="1"/>
    <cellStyle name="Lien hypertexte visité" xfId="6774" builtinId="9" hidden="1"/>
    <cellStyle name="Lien hypertexte visité" xfId="6006" builtinId="9" hidden="1"/>
    <cellStyle name="Lien hypertexte visité" xfId="5238" builtinId="9" hidden="1"/>
    <cellStyle name="Lien hypertexte visité" xfId="3601" builtinId="9" hidden="1"/>
    <cellStyle name="Lien hypertexte visité" xfId="2832" builtinId="9" hidden="1"/>
    <cellStyle name="Lien hypertexte visité" xfId="2064" builtinId="9" hidden="1"/>
    <cellStyle name="Lien hypertexte visité" xfId="93" builtinId="9" hidden="1"/>
    <cellStyle name="Lien hypertexte visité" xfId="1389" builtinId="9" hidden="1"/>
    <cellStyle name="Lien hypertexte visité" xfId="2238" builtinId="9" hidden="1"/>
    <cellStyle name="Lien hypertexte visité" xfId="3783" builtinId="9" hidden="1"/>
    <cellStyle name="Lien hypertexte visité" xfId="4548" builtinId="9" hidden="1"/>
    <cellStyle name="Lien hypertexte visité" xfId="5316" builtinId="9" hidden="1"/>
    <cellStyle name="Lien hypertexte visité" xfId="6852" builtinId="9" hidden="1"/>
    <cellStyle name="Lien hypertexte visité" xfId="7700" builtinId="9" hidden="1"/>
    <cellStyle name="Lien hypertexte visité" xfId="8469" builtinId="9" hidden="1"/>
    <cellStyle name="Lien hypertexte visité" xfId="10005" builtinId="9" hidden="1"/>
    <cellStyle name="Lien hypertexte visité" xfId="10773" builtinId="9" hidden="1"/>
    <cellStyle name="Lien hypertexte visité" xfId="11541" builtinId="9" hidden="1"/>
    <cellStyle name="Lien hypertexte visité" xfId="9669" builtinId="9" hidden="1"/>
    <cellStyle name="Lien hypertexte visité" xfId="4212" builtinId="9" hidden="1"/>
    <cellStyle name="Lien hypertexte visité" xfId="2416" builtinId="9" hidden="1"/>
    <cellStyle name="Lien hypertexte visité" xfId="13335" builtinId="9" hidden="1"/>
    <cellStyle name="Lien hypertexte visité" xfId="10146" builtinId="9" hidden="1"/>
    <cellStyle name="Lien hypertexte visité" xfId="13782" builtinId="9" hidden="1"/>
    <cellStyle name="Lien hypertexte visité" xfId="21618" builtinId="9" hidden="1"/>
    <cellStyle name="Lien hypertexte visité" xfId="23088" builtinId="9" hidden="1"/>
    <cellStyle name="Lien hypertexte visité" xfId="20890" builtinId="9" hidden="1"/>
    <cellStyle name="Lien hypertexte visité" xfId="6566" builtinId="9" hidden="1"/>
    <cellStyle name="Lien hypertexte visité" xfId="10981" builtinId="9" hidden="1"/>
    <cellStyle name="Lien hypertexte visité" xfId="8180" builtinId="9" hidden="1"/>
    <cellStyle name="Lien hypertexte visité" xfId="20580" builtinId="9" hidden="1"/>
    <cellStyle name="Lien hypertexte visité" xfId="2797" builtinId="9" hidden="1"/>
    <cellStyle name="Lien hypertexte visité" xfId="3421" builtinId="9" hidden="1"/>
    <cellStyle name="Lien hypertexte visité" xfId="4579" builtinId="9" hidden="1"/>
    <cellStyle name="Lien hypertexte visité" xfId="5139" builtinId="9" hidden="1"/>
    <cellStyle name="Lien hypertexte visité" xfId="5847" builtinId="9" hidden="1"/>
    <cellStyle name="Lien hypertexte visité" xfId="4711" builtinId="9" hidden="1"/>
    <cellStyle name="Lien hypertexte visité" xfId="4119" builtinId="9" hidden="1"/>
    <cellStyle name="Lien hypertexte visité" xfId="3586" builtinId="9" hidden="1"/>
    <cellStyle name="Lien hypertexte visité" xfId="7159" builtinId="9" hidden="1"/>
    <cellStyle name="Lien hypertexte visité" xfId="6567" builtinId="9" hidden="1"/>
    <cellStyle name="Lien hypertexte visité" xfId="6055" builtinId="9" hidden="1"/>
    <cellStyle name="Lien hypertexte visité" xfId="8248" builtinId="9" hidden="1"/>
    <cellStyle name="Lien hypertexte visité" xfId="8712" builtinId="9" hidden="1"/>
    <cellStyle name="Lien hypertexte visité" xfId="8424" builtinId="9" hidden="1"/>
    <cellStyle name="Lien hypertexte visité" xfId="6231" builtinId="9" hidden="1"/>
    <cellStyle name="Lien hypertexte visité" xfId="6823" builtinId="9" hidden="1"/>
    <cellStyle name="Lien hypertexte visité" xfId="7399" builtinId="9" hidden="1"/>
    <cellStyle name="Lien hypertexte visité" xfId="3850" builtinId="9" hidden="1"/>
    <cellStyle name="Lien hypertexte visité" xfId="4375" builtinId="9" hidden="1"/>
    <cellStyle name="Lien hypertexte visité" xfId="4967" builtinId="9" hidden="1"/>
    <cellStyle name="Lien hypertexte visité" xfId="241" builtinId="9" hidden="1"/>
    <cellStyle name="Lien hypertexte visité" xfId="4947" builtinId="9" hidden="1"/>
    <cellStyle name="Lien hypertexte visité" xfId="4323" builtinId="9" hidden="1"/>
    <cellStyle name="Lien hypertexte visité" xfId="3165" builtinId="9" hidden="1"/>
    <cellStyle name="Lien hypertexte visité" xfId="2621" builtinId="9" hidden="1"/>
    <cellStyle name="Lien hypertexte visité" xfId="1997" builtinId="9" hidden="1"/>
    <cellStyle name="Lien hypertexte visité" xfId="525" builtinId="9" hidden="1"/>
    <cellStyle name="Lien hypertexte visité" xfId="693" builtinId="9" hidden="1"/>
    <cellStyle name="Lien hypertexte visité" xfId="1472" builtinId="9" hidden="1"/>
    <cellStyle name="Lien hypertexte visité" xfId="2625" builtinId="9" hidden="1"/>
    <cellStyle name="Lien hypertexte visité" xfId="8196" builtinId="9" hidden="1"/>
    <cellStyle name="Lien hypertexte visité" xfId="12292" builtinId="9" hidden="1"/>
    <cellStyle name="Lien hypertexte visité" xfId="21766" builtinId="9" hidden="1"/>
    <cellStyle name="Lien hypertexte visité" xfId="20038" builtinId="9" hidden="1"/>
    <cellStyle name="Lien hypertexte visité" xfId="21190" builtinId="9" hidden="1"/>
    <cellStyle name="Lien hypertexte visité" xfId="23686" builtinId="9" hidden="1"/>
    <cellStyle name="Lien hypertexte visité" xfId="24228" builtinId="9" hidden="1"/>
    <cellStyle name="Lien hypertexte visité" xfId="23044" builtinId="9" hidden="1"/>
    <cellStyle name="Lien hypertexte visité" xfId="5831" builtinId="9" hidden="1"/>
    <cellStyle name="Lien hypertexte visité" xfId="6839" builtinId="9" hidden="1"/>
    <cellStyle name="Lien hypertexte visité" xfId="15573" builtinId="9" hidden="1"/>
    <cellStyle name="Lien hypertexte visité" xfId="18069" builtinId="9" hidden="1"/>
    <cellStyle name="Lien hypertexte visité" xfId="19204" builtinId="9" hidden="1"/>
    <cellStyle name="Lien hypertexte visité" xfId="20388" builtinId="9" hidden="1"/>
    <cellStyle name="Lien hypertexte visité" xfId="22884" builtinId="9" hidden="1"/>
    <cellStyle name="Lien hypertexte visité" xfId="24036" builtinId="9" hidden="1"/>
    <cellStyle name="Lien hypertexte visité" xfId="24006" builtinId="9" hidden="1"/>
    <cellStyle name="Lien hypertexte visité" xfId="21542" builtinId="9" hidden="1"/>
    <cellStyle name="Lien hypertexte visité" xfId="20358" builtinId="9" hidden="1"/>
    <cellStyle name="Lien hypertexte visité" xfId="19174" builtinId="9" hidden="1"/>
    <cellStyle name="Lien hypertexte visité" xfId="13956" builtinId="9" hidden="1"/>
    <cellStyle name="Lien hypertexte visité" xfId="9860" builtinId="9" hidden="1"/>
    <cellStyle name="Lien hypertexte visité" xfId="5763" builtinId="9" hidden="1"/>
    <cellStyle name="Lien hypertexte visité" xfId="1761" builtinId="9" hidden="1"/>
    <cellStyle name="Lien hypertexte visité" xfId="1216" builtinId="9" hidden="1"/>
    <cellStyle name="Lien hypertexte visité" xfId="197" builtinId="9" hidden="1"/>
    <cellStyle name="Lien hypertexte visité" xfId="1645" builtinId="9" hidden="1"/>
    <cellStyle name="Lien hypertexte visité" xfId="2189" builtinId="9" hidden="1"/>
    <cellStyle name="Lien hypertexte visité" xfId="17045" builtinId="9" hidden="1"/>
    <cellStyle name="Lien hypertexte visité" xfId="9332" builtinId="9" hidden="1"/>
    <cellStyle name="Lien hypertexte visité" xfId="9924" builtinId="9" hidden="1"/>
    <cellStyle name="Lien hypertexte visité" xfId="10516" builtinId="9" hidden="1"/>
    <cellStyle name="Lien hypertexte visité" xfId="11748" builtinId="9" hidden="1"/>
    <cellStyle name="Lien hypertexte visité" xfId="12340" builtinId="9" hidden="1"/>
    <cellStyle name="Lien hypertexte visité" xfId="12916" builtinId="9" hidden="1"/>
    <cellStyle name="Lien hypertexte visité" xfId="14100" builtinId="9" hidden="1"/>
    <cellStyle name="Lien hypertexte visité" xfId="14837" builtinId="9" hidden="1"/>
    <cellStyle name="Lien hypertexte visité" xfId="19078" builtinId="9" hidden="1"/>
    <cellStyle name="Lien hypertexte visité" xfId="6339" builtinId="9" hidden="1"/>
    <cellStyle name="Lien hypertexte visité" xfId="6931" builtinId="9" hidden="1"/>
    <cellStyle name="Lien hypertexte visité" xfId="7507" builtinId="9" hidden="1"/>
    <cellStyle name="Lien hypertexte visité" xfId="11941" builtinId="9" hidden="1"/>
    <cellStyle name="Lien hypertexte visité" xfId="13989" builtinId="9" hidden="1"/>
    <cellStyle name="Lien hypertexte visité" xfId="7588" builtinId="9" hidden="1"/>
    <cellStyle name="Lien hypertexte visité" xfId="7332" builtinId="9" hidden="1"/>
    <cellStyle name="Lien hypertexte visité" xfId="5796" builtinId="9" hidden="1"/>
    <cellStyle name="Lien hypertexte visité" xfId="6052" builtinId="9" hidden="1"/>
    <cellStyle name="Lien hypertexte visité" xfId="14999" builtinId="9" hidden="1"/>
    <cellStyle name="Lien hypertexte visité" xfId="12709" builtinId="9" hidden="1"/>
    <cellStyle name="Lien hypertexte visité" xfId="10661" builtinId="9" hidden="1"/>
    <cellStyle name="Lien hypertexte visité" xfId="7139" builtinId="9" hidden="1"/>
    <cellStyle name="Lien hypertexte visité" xfId="6563" builtinId="9" hidden="1"/>
    <cellStyle name="Lien hypertexte visité" xfId="5971" builtinId="9" hidden="1"/>
    <cellStyle name="Lien hypertexte visité" xfId="15285" builtinId="9" hidden="1"/>
    <cellStyle name="Lien hypertexte visité" xfId="14308" builtinId="9" hidden="1"/>
    <cellStyle name="Lien hypertexte visité" xfId="13732" builtinId="9" hidden="1"/>
    <cellStyle name="Lien hypertexte visité" xfId="12564" builtinId="9" hidden="1"/>
    <cellStyle name="Lien hypertexte visité" xfId="11972" builtinId="9" hidden="1"/>
    <cellStyle name="Lien hypertexte visité" xfId="11380" builtinId="9" hidden="1"/>
    <cellStyle name="Lien hypertexte visité" xfId="10148" builtinId="9" hidden="1"/>
    <cellStyle name="Lien hypertexte visité" xfId="9556" builtinId="9" hidden="1"/>
    <cellStyle name="Lien hypertexte visité" xfId="8980" builtinId="9" hidden="1"/>
    <cellStyle name="Lien hypertexte visité" xfId="493" builtinId="9" hidden="1"/>
    <cellStyle name="Lien hypertexte visité" xfId="1853" builtinId="9" hidden="1"/>
    <cellStyle name="Lien hypertexte visité" xfId="1308" builtinId="9" hidden="1"/>
    <cellStyle name="Lien hypertexte visité" xfId="853" builtinId="9" hidden="1"/>
    <cellStyle name="Lien hypertexte visité" xfId="1553" builtinId="9" hidden="1"/>
    <cellStyle name="Lien hypertexte visité" xfId="2097" builtinId="9" hidden="1"/>
    <cellStyle name="Lien hypertexte visité" xfId="8324" builtinId="9" hidden="1"/>
    <cellStyle name="Lien hypertexte visité" xfId="12420" builtinId="9" hidden="1"/>
    <cellStyle name="Lien hypertexte visité" xfId="18500" builtinId="9" hidden="1"/>
    <cellStyle name="Lien hypertexte visité" xfId="19910" builtinId="9" hidden="1"/>
    <cellStyle name="Lien hypertexte visité" xfId="21094" builtinId="9" hidden="1"/>
    <cellStyle name="Lien hypertexte visité" xfId="22246" builtinId="9" hidden="1"/>
    <cellStyle name="Lien hypertexte visité" xfId="24484" builtinId="9" hidden="1"/>
    <cellStyle name="Lien hypertexte visité" xfId="23300" builtinId="9" hidden="1"/>
    <cellStyle name="Lien hypertexte visité" xfId="22148" builtinId="9" hidden="1"/>
    <cellStyle name="Lien hypertexte visité" xfId="19652" builtinId="9" hidden="1"/>
    <cellStyle name="Lien hypertexte visité" xfId="18468" builtinId="9" hidden="1"/>
    <cellStyle name="Lien hypertexte visité" xfId="17333" builtinId="9" hidden="1"/>
    <cellStyle name="Lien hypertexte visité" xfId="5319" builtinId="9" hidden="1"/>
    <cellStyle name="Lien hypertexte visité" xfId="7335" builtinId="9" hidden="1"/>
    <cellStyle name="Lien hypertexte visité" xfId="533" builtinId="9" hidden="1"/>
    <cellStyle name="Lien hypertexte visité" xfId="23780" builtinId="9" hidden="1"/>
    <cellStyle name="Lien hypertexte visité" xfId="24262" builtinId="9" hidden="1"/>
    <cellStyle name="Lien hypertexte visité" xfId="22950" builtinId="9" hidden="1"/>
    <cellStyle name="Lien hypertexte visité" xfId="20454" builtinId="9" hidden="1"/>
    <cellStyle name="Lien hypertexte visité" xfId="19142" builtinId="9" hidden="1"/>
    <cellStyle name="Lien hypertexte visité" xfId="22340" builtinId="9" hidden="1"/>
    <cellStyle name="Lien hypertexte visité" xfId="9732" builtinId="9" hidden="1"/>
    <cellStyle name="Lien hypertexte visité" xfId="2833" builtinId="9" hidden="1"/>
    <cellStyle name="Lien hypertexte visité" xfId="2289" builtinId="9" hidden="1"/>
    <cellStyle name="Lien hypertexte visité" xfId="1077" builtinId="9" hidden="1"/>
    <cellStyle name="Lien hypertexte visité" xfId="237" builtinId="9" hidden="1"/>
    <cellStyle name="Lien hypertexte visité" xfId="1180" builtinId="9" hidden="1"/>
    <cellStyle name="Lien hypertexte visité" xfId="2349" builtinId="9" hidden="1"/>
    <cellStyle name="Lien hypertexte visité" xfId="2957" builtinId="9" hidden="1"/>
    <cellStyle name="Lien hypertexte visité" xfId="3501" builtinId="9" hidden="1"/>
    <cellStyle name="Lien hypertexte visité" xfId="4739" builtinId="9" hidden="1"/>
    <cellStyle name="Lien hypertexte visité" xfId="3582" builtinId="9" hidden="1"/>
    <cellStyle name="Lien hypertexte visité" xfId="5687" builtinId="9" hidden="1"/>
    <cellStyle name="Lien hypertexte visité" xfId="4567" builtinId="9" hidden="1"/>
    <cellStyle name="Lien hypertexte visité" xfId="4039" builtinId="9" hidden="1"/>
    <cellStyle name="Lien hypertexte visité" xfId="3441" builtinId="9" hidden="1"/>
    <cellStyle name="Lien hypertexte visité" xfId="7015" builtinId="9" hidden="1"/>
    <cellStyle name="Lien hypertexte visité" xfId="6487" builtinId="9" hidden="1"/>
    <cellStyle name="Lien hypertexte visité" xfId="8120" builtinId="9" hidden="1"/>
    <cellStyle name="Lien hypertexte visité" xfId="8632" builtinId="9" hidden="1"/>
    <cellStyle name="Lien hypertexte visité" xfId="8520" builtinId="9" hidden="1"/>
    <cellStyle name="Lien hypertexte visité" xfId="7495" builtinId="9" hidden="1"/>
    <cellStyle name="Lien hypertexte visité" xfId="6375" builtinId="9" hidden="1"/>
    <cellStyle name="Lien hypertexte visité" xfId="6967" builtinId="9" hidden="1"/>
    <cellStyle name="Lien hypertexte visité" xfId="4231" builtinId="9" hidden="1"/>
    <cellStyle name="Lien hypertexte visité" xfId="3927" builtinId="9" hidden="1"/>
    <cellStyle name="Lien hypertexte visité" xfId="4519" builtinId="9" hidden="1"/>
    <cellStyle name="Lien hypertexte visité" xfId="5047" builtinId="9" hidden="1"/>
    <cellStyle name="Lien hypertexte visité" xfId="1789" builtinId="9" hidden="1"/>
    <cellStyle name="Lien hypertexte visité" xfId="4787" builtinId="9" hidden="1"/>
    <cellStyle name="Lien hypertexte visité" xfId="4243" builtinId="9" hidden="1"/>
    <cellStyle name="Lien hypertexte visité" xfId="3085" builtinId="9" hidden="1"/>
    <cellStyle name="Lien hypertexte visité" xfId="2461" builtinId="9" hidden="1"/>
    <cellStyle name="Lien hypertexte visité" xfId="14741" builtinId="9" hidden="1"/>
    <cellStyle name="Lien hypertexte visité" xfId="5267" builtinId="9" hidden="1"/>
    <cellStyle name="Lien hypertexte visité" xfId="303" builtinId="9" hidden="1"/>
    <cellStyle name="Lien hypertexte visité" xfId="8814" builtinId="9" hidden="1"/>
    <cellStyle name="Lien hypertexte visité" xfId="14913" builtinId="9" hidden="1"/>
    <cellStyle name="Lien hypertexte visité" xfId="18890" builtinId="9" hidden="1"/>
    <cellStyle name="Lien hypertexte visité" xfId="23040" builtinId="9" hidden="1"/>
    <cellStyle name="Lien hypertexte visité" xfId="11510" builtinId="9" hidden="1"/>
    <cellStyle name="Lien hypertexte visité" xfId="16251" builtinId="9" hidden="1"/>
    <cellStyle name="Lien hypertexte visité" xfId="9927" builtinId="9" hidden="1"/>
    <cellStyle name="Lien hypertexte visité" xfId="2158" builtinId="9" hidden="1"/>
    <cellStyle name="Lien hypertexte visité" xfId="7620" builtinId="9" hidden="1"/>
    <cellStyle name="Lien hypertexte visité" xfId="12661" builtinId="9" hidden="1"/>
    <cellStyle name="Lien hypertexte visité" xfId="11125" builtinId="9" hidden="1"/>
    <cellStyle name="Lien hypertexte visité" xfId="10261" builtinId="9" hidden="1"/>
    <cellStyle name="Lien hypertexte visité" xfId="9493" builtinId="9" hidden="1"/>
    <cellStyle name="Lien hypertexte visité" xfId="7957" builtinId="9" hidden="1"/>
    <cellStyle name="Lien hypertexte visité" xfId="7188" builtinId="9" hidden="1"/>
    <cellStyle name="Lien hypertexte visité" xfId="6420" builtinId="9" hidden="1"/>
    <cellStyle name="Lien hypertexte visité" xfId="4804" builtinId="9" hidden="1"/>
    <cellStyle name="Lien hypertexte visité" xfId="4036" builtinId="9" hidden="1"/>
    <cellStyle name="Lien hypertexte visité" xfId="3262" builtinId="9" hidden="1"/>
    <cellStyle name="Lien hypertexte visité" xfId="1726" builtinId="9" hidden="1"/>
    <cellStyle name="Lien hypertexte visité" xfId="751" builtinId="9" hidden="1"/>
    <cellStyle name="Lien hypertexte visité" xfId="755" builtinId="9" hidden="1"/>
    <cellStyle name="Lien hypertexte visité" xfId="2576" builtinId="9" hidden="1"/>
    <cellStyle name="Lien hypertexte visité" xfId="3344" builtinId="9" hidden="1"/>
    <cellStyle name="Lien hypertexte visité" xfId="4118" builtinId="9" hidden="1"/>
    <cellStyle name="Lien hypertexte visité" xfId="5654" builtinId="9" hidden="1"/>
    <cellStyle name="Lien hypertexte visité" xfId="6422" builtinId="9" hidden="1"/>
    <cellStyle name="Lien hypertexte visité" xfId="7286" builtinId="9" hidden="1"/>
    <cellStyle name="Lien hypertexte visité" xfId="8823" builtinId="9" hidden="1"/>
    <cellStyle name="Lien hypertexte visité" xfId="9591" builtinId="9" hidden="1"/>
    <cellStyle name="Lien hypertexte visité" xfId="10359" builtinId="9" hidden="1"/>
    <cellStyle name="Lien hypertexte visité" xfId="11895" builtinId="9" hidden="1"/>
    <cellStyle name="Lien hypertexte visité" xfId="12743" builtinId="9" hidden="1"/>
    <cellStyle name="Lien hypertexte visité" xfId="13511" builtinId="9" hidden="1"/>
    <cellStyle name="Lien hypertexte visité" xfId="15579" builtinId="9" hidden="1"/>
    <cellStyle name="Lien hypertexte visité" xfId="17115" builtinId="9" hidden="1"/>
    <cellStyle name="Lien hypertexte visité" xfId="8662" builtinId="9" hidden="1"/>
    <cellStyle name="Lien hypertexte visité" xfId="9742" builtinId="9" hidden="1"/>
    <cellStyle name="Lien hypertexte visité" xfId="10254" builtinId="9" hidden="1"/>
    <cellStyle name="Lien hypertexte visité" xfId="10766" builtinId="9" hidden="1"/>
    <cellStyle name="Lien hypertexte visité" xfId="11790" builtinId="9" hidden="1"/>
    <cellStyle name="Lien hypertexte visité" xfId="12302" builtinId="9" hidden="1"/>
    <cellStyle name="Lien hypertexte visité" xfId="12814" builtinId="9" hidden="1"/>
    <cellStyle name="Lien hypertexte visité" xfId="13902" builtinId="9" hidden="1"/>
    <cellStyle name="Lien hypertexte visité" xfId="14414" builtinId="9" hidden="1"/>
    <cellStyle name="Lien hypertexte visité" xfId="15337" builtinId="9" hidden="1"/>
    <cellStyle name="Lien hypertexte visité" xfId="17385" builtinId="9" hidden="1"/>
    <cellStyle name="Lien hypertexte visité" xfId="18392" builtinId="9" hidden="1"/>
    <cellStyle name="Lien hypertexte visité" xfId="19520" builtinId="9" hidden="1"/>
    <cellStyle name="Lien hypertexte visité" xfId="21568" builtinId="9" hidden="1"/>
    <cellStyle name="Lien hypertexte visité" xfId="22592" builtinId="9" hidden="1"/>
    <cellStyle name="Lien hypertexte visité" xfId="23616" builtinId="9" hidden="1"/>
    <cellStyle name="Lien hypertexte visité" xfId="23562" builtinId="9" hidden="1"/>
    <cellStyle name="Lien hypertexte visité" xfId="22434" builtinId="9" hidden="1"/>
    <cellStyle name="Lien hypertexte visité" xfId="21410" builtinId="9" hidden="1"/>
    <cellStyle name="Lien hypertexte visité" xfId="19362" builtinId="9" hidden="1"/>
    <cellStyle name="Lien hypertexte visité" xfId="18338" builtinId="9" hidden="1"/>
    <cellStyle name="Lien hypertexte visité" xfId="17331" builtinId="9" hidden="1"/>
    <cellStyle name="Lien hypertexte visité" xfId="23770" builtinId="9" hidden="1"/>
    <cellStyle name="Lien hypertexte visité" xfId="22384" builtinId="9" hidden="1"/>
    <cellStyle name="Lien hypertexte visité" xfId="19312" builtinId="9" hidden="1"/>
    <cellStyle name="Lien hypertexte visité" xfId="13850" builtinId="9" hidden="1"/>
    <cellStyle name="Lien hypertexte visité" xfId="12314" builtinId="9" hidden="1"/>
    <cellStyle name="Lien hypertexte visité" xfId="12730" builtinId="9" hidden="1"/>
    <cellStyle name="Lien hypertexte visité" xfId="18842" builtinId="9" hidden="1"/>
    <cellStyle name="Lien hypertexte visité" xfId="19850" builtinId="9" hidden="1"/>
    <cellStyle name="Lien hypertexte visité" xfId="22922" builtinId="9" hidden="1"/>
    <cellStyle name="Lien hypertexte visité" xfId="20160" builtinId="9" hidden="1"/>
    <cellStyle name="Lien hypertexte visité" xfId="17105" builtinId="9" hidden="1"/>
    <cellStyle name="Lien hypertexte visité" xfId="14102" builtinId="9" hidden="1"/>
    <cellStyle name="Lien hypertexte visité" xfId="11030" builtinId="9" hidden="1"/>
    <cellStyle name="Lien hypertexte visité" xfId="9494" builtinId="9" hidden="1"/>
    <cellStyle name="Lien hypertexte visité" xfId="16539" builtinId="9" hidden="1"/>
    <cellStyle name="Lien hypertexte visité" xfId="10919" builtinId="9" hidden="1"/>
    <cellStyle name="Lien hypertexte visité" xfId="8359" builtinId="9" hidden="1"/>
    <cellStyle name="Lien hypertexte visité" xfId="6054" builtinId="9" hidden="1"/>
    <cellStyle name="Lien hypertexte visité" xfId="1439" builtinId="9" hidden="1"/>
    <cellStyle name="Lien hypertexte visité" xfId="2014" builtinId="9" hidden="1"/>
    <cellStyle name="Lien hypertexte visité" xfId="4324" builtinId="9" hidden="1"/>
    <cellStyle name="Lien hypertexte visité" xfId="9189" builtinId="9" hidden="1"/>
    <cellStyle name="Lien hypertexte visité" xfId="11493" builtinId="9" hidden="1"/>
    <cellStyle name="Lien hypertexte visité" xfId="13797" builtinId="9" hidden="1"/>
    <cellStyle name="Lien hypertexte visité" xfId="5619" builtinId="9" hidden="1"/>
    <cellStyle name="Lien hypertexte visité" xfId="6291" builtinId="9" hidden="1"/>
    <cellStyle name="Lien hypertexte visité" xfId="6947" builtinId="9" hidden="1"/>
    <cellStyle name="Lien hypertexte visité" xfId="8340" builtinId="9" hidden="1"/>
    <cellStyle name="Lien hypertexte visité" xfId="8996" builtinId="9" hidden="1"/>
    <cellStyle name="Lien hypertexte visité" xfId="9652" builtinId="9" hidden="1"/>
    <cellStyle name="Lien hypertexte visité" xfId="10964" builtinId="9" hidden="1"/>
    <cellStyle name="Lien hypertexte visité" xfId="11620" builtinId="9" hidden="1"/>
    <cellStyle name="Lien hypertexte visité" xfId="12356" builtinId="9" hidden="1"/>
    <cellStyle name="Lien hypertexte visité" xfId="13668" builtinId="9" hidden="1"/>
    <cellStyle name="Lien hypertexte visité" xfId="14324" builtinId="9" hidden="1"/>
    <cellStyle name="Lien hypertexte visité" xfId="15477" builtinId="9" hidden="1"/>
    <cellStyle name="Lien hypertexte visité" xfId="18101" builtinId="9" hidden="1"/>
    <cellStyle name="Lien hypertexte visité" xfId="19556" builtinId="9" hidden="1"/>
    <cellStyle name="Lien hypertexte visité" xfId="20868" builtinId="9" hidden="1"/>
    <cellStyle name="Lien hypertexte visité" xfId="15063" builtinId="9" hidden="1"/>
    <cellStyle name="Lien hypertexte visité" xfId="9146" builtinId="9" hidden="1"/>
    <cellStyle name="Lien hypertexte visité" xfId="6001" builtinId="9" hidden="1"/>
    <cellStyle name="Lien hypertexte visité" xfId="3724" builtinId="9" hidden="1"/>
    <cellStyle name="Lien hypertexte visité" xfId="1334" builtinId="9" hidden="1"/>
    <cellStyle name="Lien hypertexte visité" xfId="2967" builtinId="9" hidden="1"/>
    <cellStyle name="Lien hypertexte visité" xfId="4961" builtinId="9" hidden="1"/>
    <cellStyle name="Lien hypertexte visité" xfId="12778" builtinId="9" hidden="1"/>
    <cellStyle name="Lien hypertexte visité" xfId="21818" builtinId="9" hidden="1"/>
    <cellStyle name="Lien hypertexte visité" xfId="22520" builtinId="9" hidden="1"/>
    <cellStyle name="Lien hypertexte visité" xfId="17073" builtinId="9" hidden="1"/>
    <cellStyle name="Lien hypertexte visité" xfId="13062" builtinId="9" hidden="1"/>
    <cellStyle name="Lien hypertexte visité" xfId="15467" builtinId="9" hidden="1"/>
    <cellStyle name="Lien hypertexte visité" xfId="10895" builtinId="9" hidden="1"/>
    <cellStyle name="Lien hypertexte visité" xfId="6798" builtinId="9" hidden="1"/>
    <cellStyle name="Lien hypertexte visité" xfId="2550" builtinId="9" hidden="1"/>
    <cellStyle name="Lien hypertexte visité" xfId="6652" builtinId="9" hidden="1"/>
    <cellStyle name="Lien hypertexte visité" xfId="10749" builtinId="9" hidden="1"/>
    <cellStyle name="Lien hypertexte visité" xfId="4811" builtinId="9" hidden="1"/>
    <cellStyle name="Lien hypertexte visité" xfId="3790" builtinId="9" hidden="1"/>
    <cellStyle name="Lien hypertexte visité" xfId="3141" builtinId="9" hidden="1"/>
    <cellStyle name="Lien hypertexte visité" xfId="1021" builtinId="9" hidden="1"/>
    <cellStyle name="Lien hypertexte visité" xfId="357" builtinId="9" hidden="1"/>
    <cellStyle name="Lien hypertexte visité" xfId="1785" builtinId="9" hidden="1"/>
    <cellStyle name="Lien hypertexte visité" xfId="3513" builtinId="9" hidden="1"/>
    <cellStyle name="Lien hypertexte visité" xfId="4543" builtinId="9" hidden="1"/>
    <cellStyle name="Lien hypertexte visité" xfId="5567" builtinId="9" hidden="1"/>
    <cellStyle name="Lien hypertexte visité" xfId="7231" builtinId="9" hidden="1"/>
    <cellStyle name="Lien hypertexte visité" xfId="8256" builtinId="9" hidden="1"/>
    <cellStyle name="Lien hypertexte visité" xfId="475" builtinId="9" hidden="1"/>
    <cellStyle name="Lien hypertexte visité" xfId="1690" builtinId="9" hidden="1"/>
    <cellStyle name="Lien hypertexte visité" xfId="2162" builtinId="9" hidden="1"/>
    <cellStyle name="Lien hypertexte visité" xfId="6948" builtinId="9" hidden="1"/>
    <cellStyle name="Lien hypertexte visité" xfId="12069" builtinId="9" hidden="1"/>
    <cellStyle name="Lien hypertexte visité" xfId="15767" builtinId="9" hidden="1"/>
    <cellStyle name="Lien hypertexte visité" xfId="5571" builtinId="9" hidden="1"/>
    <cellStyle name="Lien hypertexte visité" xfId="7027" builtinId="9" hidden="1"/>
    <cellStyle name="Lien hypertexte visité" xfId="7908" builtinId="9" hidden="1"/>
    <cellStyle name="Lien hypertexte visité" xfId="8500" builtinId="9" hidden="1"/>
    <cellStyle name="Lien hypertexte visité" xfId="10260" builtinId="9" hidden="1"/>
    <cellStyle name="Lien hypertexte visité" xfId="10836" builtinId="9" hidden="1"/>
    <cellStyle name="Lien hypertexte visité" xfId="11716" builtinId="9" hidden="1"/>
    <cellStyle name="Lien hypertexte visité" xfId="13172" builtinId="9" hidden="1"/>
    <cellStyle name="Lien hypertexte visité" xfId="14052" builtinId="9" hidden="1"/>
    <cellStyle name="Lien hypertexte visité" xfId="15349" builtinId="9" hidden="1"/>
    <cellStyle name="Lien hypertexte visité" xfId="18293" builtinId="9" hidden="1"/>
    <cellStyle name="Lien hypertexte visité" xfId="20004" builtinId="9" hidden="1"/>
    <cellStyle name="Lien hypertexte visité" xfId="21188" builtinId="9" hidden="1"/>
    <cellStyle name="Lien hypertexte visité" xfId="24518" builtinId="9" hidden="1"/>
    <cellStyle name="Lien hypertexte visité" xfId="23366" builtinId="9" hidden="1"/>
    <cellStyle name="Lien hypertexte visité" xfId="21606" builtinId="9" hidden="1"/>
    <cellStyle name="Lien hypertexte visité" xfId="22022" builtinId="9" hidden="1"/>
    <cellStyle name="Lien hypertexte visité" xfId="14933" builtinId="9" hidden="1"/>
    <cellStyle name="Lien hypertexte visité" xfId="8580" builtinId="9" hidden="1"/>
    <cellStyle name="Lien hypertexte visité" xfId="1937" builtinId="9" hidden="1"/>
    <cellStyle name="Lien hypertexte visité" xfId="1045" builtinId="9" hidden="1"/>
    <cellStyle name="Lien hypertexte visité" xfId="125" builtinId="9" hidden="1"/>
    <cellStyle name="Lien hypertexte visité" xfId="2221" builtinId="9" hidden="1"/>
    <cellStyle name="Lien hypertexte visité" xfId="2765" builtinId="9" hidden="1"/>
    <cellStyle name="Lien hypertexte visité" xfId="3598" builtinId="9" hidden="1"/>
    <cellStyle name="Lien hypertexte visité" xfId="4963" builtinId="9" hidden="1"/>
    <cellStyle name="Lien hypertexte visité" xfId="5815" builtinId="9" hidden="1"/>
    <cellStyle name="Lien hypertexte visité" xfId="5015" builtinId="9" hidden="1"/>
    <cellStyle name="Lien hypertexte visité" xfId="3689" builtinId="9" hidden="1"/>
    <cellStyle name="Lien hypertexte visité" xfId="2897" builtinId="9" hidden="1"/>
    <cellStyle name="Lien hypertexte visité" xfId="7063" builtinId="9" hidden="1"/>
    <cellStyle name="Lien hypertexte visité" xfId="7719" builtinId="9" hidden="1"/>
    <cellStyle name="Lien hypertexte visité" xfId="8280" builtinId="9" hidden="1"/>
    <cellStyle name="Lien hypertexte visité" xfId="8600" builtinId="9" hidden="1"/>
    <cellStyle name="Lien hypertexte visité" xfId="6071" builtinId="9" hidden="1"/>
    <cellStyle name="Lien hypertexte visité" xfId="6855" builtinId="9" hidden="1"/>
    <cellStyle name="Lien hypertexte visité" xfId="2945" builtinId="9" hidden="1"/>
    <cellStyle name="Lien hypertexte visité" xfId="4279" builtinId="9" hidden="1"/>
    <cellStyle name="Lien hypertexte visité" xfId="5063" builtinId="9" hidden="1"/>
    <cellStyle name="Lien hypertexte visité" xfId="5591" builtinId="9" hidden="1"/>
    <cellStyle name="Lien hypertexte visité" xfId="4371" builtinId="9" hidden="1"/>
    <cellStyle name="Lien hypertexte visité" xfId="3814" builtinId="9" hidden="1"/>
    <cellStyle name="Lien hypertexte visité" xfId="2989" builtinId="9" hidden="1"/>
    <cellStyle name="Lien hypertexte visité" xfId="1629" builtinId="9" hidden="1"/>
    <cellStyle name="Lien hypertexte visité" xfId="461" builtinId="9" hidden="1"/>
    <cellStyle name="Lien hypertexte visité" xfId="1168" builtinId="9" hidden="1"/>
    <cellStyle name="Lien hypertexte visité" xfId="2529" builtinId="9" hidden="1"/>
    <cellStyle name="Lien hypertexte visité" xfId="8964" builtinId="9" hidden="1"/>
    <cellStyle name="Lien hypertexte visité" xfId="13060" builtinId="9" hidden="1"/>
    <cellStyle name="Lien hypertexte visité" xfId="19942" builtinId="9" hidden="1"/>
    <cellStyle name="Lien hypertexte visité" xfId="21126" builtinId="9" hidden="1"/>
    <cellStyle name="Lien hypertexte visité" xfId="22886" builtinId="9" hidden="1"/>
    <cellStyle name="Lien hypertexte visité" xfId="23428" builtinId="9" hidden="1"/>
    <cellStyle name="Lien hypertexte visité" xfId="21668" builtinId="9" hidden="1"/>
    <cellStyle name="Lien hypertexte visité" xfId="19908" builtinId="9" hidden="1"/>
    <cellStyle name="Lien hypertexte visité" xfId="17013" builtinId="9" hidden="1"/>
    <cellStyle name="Lien hypertexte visité" xfId="15253" builtinId="9" hidden="1"/>
    <cellStyle name="Lien hypertexte visité" xfId="14292" builtinId="9" hidden="1"/>
    <cellStyle name="Lien hypertexte visité" xfId="12532" builtinId="9" hidden="1"/>
    <cellStyle name="Lien hypertexte visité" xfId="11956" builtinId="9" hidden="1"/>
    <cellStyle name="Lien hypertexte visité" xfId="11076" builtinId="9" hidden="1"/>
    <cellStyle name="Lien hypertexte visité" xfId="9620" builtinId="9" hidden="1"/>
    <cellStyle name="Lien hypertexte visité" xfId="8740" builtinId="9" hidden="1"/>
    <cellStyle name="Lien hypertexte visité" xfId="7860" builtinId="9" hidden="1"/>
    <cellStyle name="Lien hypertexte visité" xfId="6387" builtinId="9" hidden="1"/>
    <cellStyle name="Lien hypertexte visité" xfId="5523" builtinId="9" hidden="1"/>
    <cellStyle name="Lien hypertexte visité" xfId="17431" builtinId="9" hidden="1"/>
    <cellStyle name="Lien hypertexte visité" xfId="9829" builtinId="9" hidden="1"/>
    <cellStyle name="Lien hypertexte visité" xfId="7780" builtinId="9" hidden="1"/>
    <cellStyle name="Lien hypertexte visité" xfId="4708" builtinId="9" hidden="1"/>
    <cellStyle name="Lien hypertexte visité" xfId="1568" builtinId="9" hidden="1"/>
    <cellStyle name="Lien hypertexte visité" xfId="4646" builtinId="9" hidden="1"/>
    <cellStyle name="Lien hypertexte visité" xfId="7718" builtinId="9" hidden="1"/>
    <cellStyle name="Lien hypertexte visité" xfId="12839" builtinId="9" hidden="1"/>
    <cellStyle name="Lien hypertexte visité" xfId="17307" builtinId="9" hidden="1"/>
    <cellStyle name="Lien hypertexte visité" xfId="9582" builtinId="9" hidden="1"/>
    <cellStyle name="Lien hypertexte visité" xfId="13678" builtinId="9" hidden="1"/>
    <cellStyle name="Lien hypertexte visité" xfId="15569" builtinId="9" hidden="1"/>
    <cellStyle name="Lien hypertexte visité" xfId="19648" builtinId="9" hidden="1"/>
    <cellStyle name="Lien hypertexte visité" xfId="22754" builtinId="9" hidden="1"/>
    <cellStyle name="Lien hypertexte visité" xfId="18658" builtinId="9" hidden="1"/>
    <cellStyle name="Lien hypertexte visité" xfId="23728" builtinId="9" hidden="1"/>
    <cellStyle name="Lien hypertexte visité" xfId="12058" builtinId="9" hidden="1"/>
    <cellStyle name="Lien hypertexte visité" xfId="14106" builtinId="9" hidden="1"/>
    <cellStyle name="Lien hypertexte visité" xfId="16449" builtinId="9" hidden="1"/>
    <cellStyle name="Lien hypertexte visité" xfId="24602" builtinId="9" hidden="1"/>
    <cellStyle name="Lien hypertexte visité" xfId="21850" builtinId="9" hidden="1"/>
    <cellStyle name="Lien hypertexte visité" xfId="17771" builtinId="9" hidden="1"/>
    <cellStyle name="Lien hypertexte visité" xfId="19402" builtinId="9" hidden="1"/>
    <cellStyle name="Lien hypertexte visité" xfId="20770" builtinId="9" hidden="1"/>
    <cellStyle name="Lien hypertexte visité" xfId="22130" builtinId="9" hidden="1"/>
    <cellStyle name="Lien hypertexte visité" xfId="24418" builtinId="9" hidden="1"/>
    <cellStyle name="Lien hypertexte visité" xfId="23448" builtinId="9" hidden="1"/>
    <cellStyle name="Lien hypertexte visité" xfId="22528" builtinId="9" hidden="1"/>
    <cellStyle name="Lien hypertexte visité" xfId="19800" builtinId="9" hidden="1"/>
    <cellStyle name="Lien hypertexte visité" xfId="18904" builtinId="9" hidden="1"/>
    <cellStyle name="Lien hypertexte visité" xfId="17553" builtinId="9" hidden="1"/>
    <cellStyle name="Lien hypertexte visité" xfId="15273" builtinId="9" hidden="1"/>
    <cellStyle name="Lien hypertexte visité" xfId="14210" builtinId="9" hidden="1"/>
    <cellStyle name="Lien hypertexte visité" xfId="13526" builtinId="9" hidden="1"/>
    <cellStyle name="Lien hypertexte visité" xfId="12386" builtinId="9" hidden="1"/>
    <cellStyle name="Lien hypertexte visité" xfId="11702" builtinId="9" hidden="1"/>
    <cellStyle name="Lien hypertexte visité" xfId="11254" builtinId="9" hidden="1"/>
    <cellStyle name="Lien hypertexte visité" xfId="9890" builtinId="9" hidden="1"/>
    <cellStyle name="Lien hypertexte visité" xfId="9430" builtinId="9" hidden="1"/>
    <cellStyle name="Lien hypertexte visité" xfId="8750" builtinId="9" hidden="1"/>
    <cellStyle name="Lien hypertexte visité" xfId="15483" builtinId="9" hidden="1"/>
    <cellStyle name="Lien hypertexte visité" xfId="13975" builtinId="9" hidden="1"/>
    <cellStyle name="Lien hypertexte visité" xfId="12951" builtinId="9" hidden="1"/>
    <cellStyle name="Lien hypertexte visité" xfId="11255" builtinId="9" hidden="1"/>
    <cellStyle name="Lien hypertexte visité" xfId="10231" builtinId="9" hidden="1"/>
    <cellStyle name="Lien hypertexte visité" xfId="9543" builtinId="9" hidden="1"/>
    <cellStyle name="Lien hypertexte visité" xfId="7494" builtinId="9" hidden="1"/>
    <cellStyle name="Lien hypertexte visité" xfId="6806" builtinId="9" hidden="1"/>
    <cellStyle name="Lien hypertexte visité" xfId="5782" builtinId="9" hidden="1"/>
    <cellStyle name="Lien hypertexte visité" xfId="4086" builtinId="9" hidden="1"/>
    <cellStyle name="Lien hypertexte visité" xfId="3056" builtinId="9" hidden="1"/>
    <cellStyle name="Lien hypertexte visité" xfId="2032" builtinId="9" hidden="1"/>
    <cellStyle name="Lien hypertexte visité" xfId="495" builtinId="9" hidden="1"/>
    <cellStyle name="Lien hypertexte visité" xfId="1854" builtinId="9" hidden="1"/>
    <cellStyle name="Lien hypertexte visité" xfId="2542" builtinId="9" hidden="1"/>
    <cellStyle name="Lien hypertexte visité" xfId="4596" builtinId="9" hidden="1"/>
    <cellStyle name="Lien hypertexte visité" xfId="5268" builtinId="9" hidden="1"/>
    <cellStyle name="Lien hypertexte visité" xfId="6292" builtinId="9" hidden="1"/>
    <cellStyle name="Lien hypertexte visité" xfId="8005" builtinId="9" hidden="1"/>
    <cellStyle name="Lien hypertexte visité" xfId="9029" builtinId="9" hidden="1"/>
    <cellStyle name="Lien hypertexte visité" xfId="10053" builtinId="9" hidden="1"/>
    <cellStyle name="Lien hypertexte visité" xfId="11765" builtinId="9" hidden="1"/>
    <cellStyle name="Lien hypertexte visité" xfId="12789" builtinId="9" hidden="1"/>
    <cellStyle name="Lien hypertexte visité" xfId="13461" builtinId="9" hidden="1"/>
    <cellStyle name="Lien hypertexte visité" xfId="16503" builtinId="9" hidden="1"/>
    <cellStyle name="Lien hypertexte visité" xfId="17879" builtinId="9" hidden="1"/>
    <cellStyle name="Lien hypertexte visité" xfId="10042" builtinId="9" hidden="1"/>
    <cellStyle name="Lien hypertexte visité" xfId="4865" builtinId="9" hidden="1"/>
    <cellStyle name="Lien hypertexte visité" xfId="5745" builtinId="9" hidden="1"/>
    <cellStyle name="Lien hypertexte visité" xfId="6621" builtinId="9" hidden="1"/>
    <cellStyle name="Lien hypertexte visité" xfId="8086" builtinId="9" hidden="1"/>
    <cellStyle name="Lien hypertexte visité" xfId="2331" builtinId="9" hidden="1"/>
    <cellStyle name="Lien hypertexte visité" xfId="2875" builtinId="9" hidden="1"/>
    <cellStyle name="Lien hypertexte visité" xfId="1895" builtinId="9" hidden="1"/>
    <cellStyle name="Lien hypertexte visité" xfId="1250" builtinId="9" hidden="1"/>
    <cellStyle name="Lien hypertexte visité" xfId="849" builtinId="9" hidden="1"/>
    <cellStyle name="Lien hypertexte visité" xfId="2371" builtinId="9" hidden="1"/>
    <cellStyle name="Lien hypertexte visité" xfId="3207" builtinId="9" hidden="1"/>
    <cellStyle name="Lien hypertexte visité" xfId="2387" builtinId="9" hidden="1"/>
    <cellStyle name="Lien hypertexte visité" xfId="7557" builtinId="9" hidden="1"/>
    <cellStyle name="Lien hypertexte visité" xfId="6681" builtinId="9" hidden="1"/>
    <cellStyle name="Lien hypertexte visité" xfId="6097" builtinId="9" hidden="1"/>
    <cellStyle name="Lien hypertexte visité" xfId="4341" builtinId="9" hidden="1"/>
    <cellStyle name="Lien hypertexte visité" xfId="8810" builtinId="9" hidden="1"/>
    <cellStyle name="Lien hypertexte visité" xfId="11882" builtinId="9" hidden="1"/>
    <cellStyle name="Lien hypertexte visité" xfId="19472" builtinId="9" hidden="1"/>
    <cellStyle name="Lien hypertexte visité" xfId="23610" builtinId="9" hidden="1"/>
    <cellStyle name="Lien hypertexte visité" xfId="17483" builtinId="9" hidden="1"/>
    <cellStyle name="Lien hypertexte visité" xfId="20650" builtinId="9" hidden="1"/>
    <cellStyle name="Lien hypertexte visité" xfId="22698" builtinId="9" hidden="1"/>
    <cellStyle name="Lien hypertexte visité" xfId="24066" builtinId="9" hidden="1"/>
    <cellStyle name="Lien hypertexte visité" xfId="21064" builtinId="9" hidden="1"/>
    <cellStyle name="Lien hypertexte visité" xfId="19704" builtinId="9" hidden="1"/>
    <cellStyle name="Lien hypertexte visité" xfId="17673" builtinId="9" hidden="1"/>
    <cellStyle name="Lien hypertexte visité" xfId="14386" builtinId="9" hidden="1"/>
    <cellStyle name="Lien hypertexte visité" xfId="13362" builtinId="9" hidden="1"/>
    <cellStyle name="Lien hypertexte visité" xfId="12338" builtinId="9" hidden="1"/>
    <cellStyle name="Lien hypertexte visité" xfId="10630" builtinId="9" hidden="1"/>
    <cellStyle name="Lien hypertexte visité" xfId="9606" builtinId="9" hidden="1"/>
    <cellStyle name="Lien hypertexte visité" xfId="8926" builtinId="9" hidden="1"/>
    <cellStyle name="Lien hypertexte visité" xfId="13903" builtinId="9" hidden="1"/>
    <cellStyle name="Lien hypertexte visité" xfId="12879" builtinId="9" hidden="1"/>
    <cellStyle name="Lien hypertexte visité" xfId="11343" builtinId="9" hidden="1"/>
    <cellStyle name="Lien hypertexte visité" xfId="8783" builtinId="9" hidden="1"/>
    <cellStyle name="Lien hypertexte visité" xfId="7246" builtinId="9" hidden="1"/>
    <cellStyle name="Lien hypertexte visité" xfId="5710" builtinId="9" hidden="1"/>
    <cellStyle name="Lien hypertexte visité" xfId="3144" builtinId="9" hidden="1"/>
    <cellStyle name="Lien hypertexte visité" xfId="1608" builtinId="9" hidden="1"/>
    <cellStyle name="Lien hypertexte visité" xfId="63" builtinId="9" hidden="1"/>
    <cellStyle name="Lien hypertexte visité" xfId="3639" builtinId="9" hidden="1"/>
    <cellStyle name="Lien hypertexte visité" xfId="4668" builtinId="9" hidden="1"/>
    <cellStyle name="Lien hypertexte visité" xfId="6204" builtinId="9" hidden="1"/>
    <cellStyle name="Lien hypertexte visité" xfId="8765" builtinId="9" hidden="1"/>
    <cellStyle name="Lien hypertexte visité" xfId="10301" builtinId="9" hidden="1"/>
    <cellStyle name="Lien hypertexte visité" xfId="11837" builtinId="9" hidden="1"/>
    <cellStyle name="Lien hypertexte visité" xfId="14397" builtinId="9" hidden="1"/>
    <cellStyle name="Lien hypertexte visité" xfId="17351" builtinId="9" hidden="1"/>
    <cellStyle name="Lien hypertexte visité" xfId="19382" builtinId="9" hidden="1"/>
    <cellStyle name="Lien hypertexte visité" xfId="23700" builtinId="9" hidden="1"/>
    <cellStyle name="Lien hypertexte visité" xfId="21652" builtinId="9" hidden="1"/>
    <cellStyle name="Lien hypertexte visité" xfId="18580" builtinId="9" hidden="1"/>
    <cellStyle name="Lien hypertexte visité" xfId="13996" builtinId="9" hidden="1"/>
    <cellStyle name="Lien hypertexte visité" xfId="12460" builtinId="9" hidden="1"/>
    <cellStyle name="Lien hypertexte visité" xfId="10924" builtinId="9" hidden="1"/>
    <cellStyle name="Lien hypertexte visité" xfId="8364" builtinId="9" hidden="1"/>
    <cellStyle name="Lien hypertexte visité" xfId="6827" builtinId="9" hidden="1"/>
    <cellStyle name="Lien hypertexte visité" xfId="5803" builtinId="9" hidden="1"/>
    <cellStyle name="Lien hypertexte visité" xfId="2725" builtinId="9" hidden="1"/>
    <cellStyle name="Lien hypertexte visité" xfId="1701" builtinId="9" hidden="1"/>
    <cellStyle name="Lien hypertexte visité" xfId="805" builtinId="9" hidden="1"/>
    <cellStyle name="Lien hypertexte visité" xfId="3545" builtinId="9" hidden="1"/>
    <cellStyle name="Lien hypertexte visité" xfId="5087" builtinId="9" hidden="1"/>
    <cellStyle name="Lien hypertexte visité" xfId="6623" builtinId="9" hidden="1"/>
    <cellStyle name="Lien hypertexte visité" xfId="187" builtinId="9" hidden="1"/>
    <cellStyle name="Lien hypertexte visité" xfId="1498" builtinId="9" hidden="1"/>
    <cellStyle name="Lien hypertexte visité" xfId="2186" builtinId="9" hidden="1"/>
    <cellStyle name="Lien hypertexte visité" xfId="4240" builtinId="9" hidden="1"/>
    <cellStyle name="Lien hypertexte visité" xfId="4920" builtinId="9" hidden="1"/>
    <cellStyle name="Lien hypertexte visité" xfId="5944" builtinId="9" hidden="1"/>
    <cellStyle name="Lien hypertexte visité" xfId="7648" builtinId="9" hidden="1"/>
    <cellStyle name="Lien hypertexte visité" xfId="8673" builtinId="9" hidden="1"/>
    <cellStyle name="Lien hypertexte visité" xfId="9697" builtinId="9" hidden="1"/>
    <cellStyle name="Lien hypertexte visité" xfId="11409" builtinId="9" hidden="1"/>
    <cellStyle name="Lien hypertexte visité" xfId="12433" builtinId="9" hidden="1"/>
    <cellStyle name="Lien hypertexte visité" xfId="13113" builtinId="9" hidden="1"/>
    <cellStyle name="Lien hypertexte visité" xfId="15807" builtinId="9" hidden="1"/>
    <cellStyle name="Lien hypertexte visité" xfId="17167" builtinId="9" hidden="1"/>
    <cellStyle name="Lien hypertexte visité" xfId="19198" builtinId="9" hidden="1"/>
    <cellStyle name="Lien hypertexte visité" xfId="22622" builtinId="9" hidden="1"/>
    <cellStyle name="Lien hypertexte visité" xfId="24556" builtinId="9" hidden="1"/>
    <cellStyle name="Lien hypertexte visité" xfId="22508" builtinId="9" hidden="1"/>
    <cellStyle name="Lien hypertexte visité" xfId="19100" builtinId="9" hidden="1"/>
    <cellStyle name="Lien hypertexte visité" xfId="17069" builtinId="9" hidden="1"/>
    <cellStyle name="Lien hypertexte visité" xfId="15709" builtinId="9" hidden="1"/>
    <cellStyle name="Lien hypertexte visité" xfId="13064" builtinId="9" hidden="1"/>
    <cellStyle name="Lien hypertexte visité" xfId="12376" builtinId="9" hidden="1"/>
    <cellStyle name="Lien hypertexte visité" xfId="11352" builtinId="9" hidden="1"/>
    <cellStyle name="Lien hypertexte visité" xfId="9648" builtinId="9" hidden="1"/>
    <cellStyle name="Lien hypertexte visité" xfId="9536" builtinId="9" hidden="1"/>
    <cellStyle name="Lien hypertexte visité" xfId="12608" builtinId="9" hidden="1"/>
    <cellStyle name="Lien hypertexte visité" xfId="20924" builtinId="9" hidden="1"/>
    <cellStyle name="Lien hypertexte visité" xfId="22158" builtinId="9" hidden="1"/>
    <cellStyle name="Lien hypertexte visité" xfId="18079" builtinId="9" hidden="1"/>
    <cellStyle name="Lien hypertexte visité" xfId="10153" builtinId="9" hidden="1"/>
    <cellStyle name="Lien hypertexte visité" xfId="8105" builtinId="9" hidden="1"/>
    <cellStyle name="Lien hypertexte visité" xfId="5032" builtinId="9" hidden="1"/>
    <cellStyle name="Lien hypertexte visité" xfId="9387" builtinId="9" hidden="1"/>
    <cellStyle name="Lien hypertexte visité" xfId="8507" builtinId="9" hidden="1"/>
    <cellStyle name="Lien hypertexte visité" xfId="7626" builtinId="9" hidden="1"/>
    <cellStyle name="Lien hypertexte visité" xfId="6162" builtinId="9" hidden="1"/>
    <cellStyle name="Lien hypertexte visité" xfId="5290" builtinId="9" hidden="1"/>
    <cellStyle name="Lien hypertexte visité" xfId="4698" builtinId="9" hidden="1"/>
    <cellStyle name="Lien hypertexte visité" xfId="2940" builtinId="9" hidden="1"/>
    <cellStyle name="Lien hypertexte visité" xfId="2356" builtinId="9" hidden="1"/>
    <cellStyle name="Lien hypertexte visité" xfId="1475" builtinId="9" hidden="1"/>
    <cellStyle name="Lien hypertexte visité" xfId="7074" builtinId="9" hidden="1"/>
    <cellStyle name="Lien hypertexte visité" xfId="12411" builtinId="9" hidden="1"/>
    <cellStyle name="Lien hypertexte visité" xfId="11595" builtinId="9" hidden="1"/>
    <cellStyle name="Lien hypertexte visité" xfId="10227" builtinId="9" hidden="1"/>
    <cellStyle name="Lien hypertexte visité" xfId="10531" builtinId="9" hidden="1"/>
    <cellStyle name="Lien hypertexte visité" xfId="14083" builtinId="9" hidden="1"/>
    <cellStyle name="Lien hypertexte visité" xfId="15171" builtinId="9" hidden="1"/>
    <cellStyle name="Lien hypertexte visité" xfId="16355" builtinId="9" hidden="1"/>
    <cellStyle name="Lien hypertexte visité" xfId="16611" builtinId="9" hidden="1"/>
    <cellStyle name="Lien hypertexte visité" xfId="14115" builtinId="9" hidden="1"/>
    <cellStyle name="Lien hypertexte visité" xfId="13667" builtinId="9" hidden="1"/>
    <cellStyle name="Lien hypertexte visité" xfId="14459" builtinId="9" hidden="1"/>
    <cellStyle name="Lien hypertexte visité" xfId="10611" builtinId="9" hidden="1"/>
    <cellStyle name="Lien hypertexte visité" xfId="11435" builtinId="9" hidden="1"/>
    <cellStyle name="Lien hypertexte visité" xfId="11979" builtinId="9" hidden="1"/>
    <cellStyle name="Lien hypertexte visité" xfId="4194" builtinId="9" hidden="1"/>
    <cellStyle name="Lien hypertexte visité" xfId="859" builtinId="9" hidden="1"/>
    <cellStyle name="Lien hypertexte visité" xfId="1892" builtinId="9" hidden="1"/>
    <cellStyle name="Lien hypertexte visité" xfId="3348" builtinId="9" hidden="1"/>
    <cellStyle name="Lien hypertexte visité" xfId="4234" builtinId="9" hidden="1"/>
    <cellStyle name="Lien hypertexte visité" xfId="5114" builtinId="9" hidden="1"/>
    <cellStyle name="Lien hypertexte visité" xfId="6578" builtinId="9" hidden="1"/>
    <cellStyle name="Lien hypertexte visité" xfId="7450" builtinId="9" hidden="1"/>
    <cellStyle name="Lien hypertexte visité" xfId="8043" builtinId="9" hidden="1"/>
    <cellStyle name="Lien hypertexte visité" xfId="1345" builtinId="9" hidden="1"/>
    <cellStyle name="Lien hypertexte visité" xfId="3394" builtinId="9" hidden="1"/>
    <cellStyle name="Lien hypertexte visité" xfId="9214" builtinId="9" hidden="1"/>
    <cellStyle name="Lien hypertexte visité" xfId="16907" builtinId="9" hidden="1"/>
    <cellStyle name="Lien hypertexte visité" xfId="14859" builtinId="9" hidden="1"/>
    <cellStyle name="Lien hypertexte visité" xfId="13663" builtinId="9" hidden="1"/>
    <cellStyle name="Lien hypertexte visité" xfId="11967" builtinId="9" hidden="1"/>
    <cellStyle name="Lien hypertexte visité" xfId="10943" builtinId="9" hidden="1"/>
    <cellStyle name="Lien hypertexte visité" xfId="10239" builtinId="9" hidden="1"/>
    <cellStyle name="Lien hypertexte visité" xfId="8191" builtinId="9" hidden="1"/>
    <cellStyle name="Lien hypertexte visité" xfId="7518" builtinId="9" hidden="1"/>
    <cellStyle name="Lien hypertexte visité" xfId="6494" builtinId="9" hidden="1"/>
    <cellStyle name="Lien hypertexte visité" xfId="4798" builtinId="9" hidden="1"/>
    <cellStyle name="Lien hypertexte visité" xfId="3777" builtinId="9" hidden="1"/>
    <cellStyle name="Lien hypertexte visité" xfId="2744" builtinId="9" hidden="1"/>
    <cellStyle name="Lien hypertexte visité" xfId="867" builtinId="9" hidden="1"/>
    <cellStyle name="Lien hypertexte visité" xfId="1151" builtinId="9" hidden="1" customBuiltin="1"/>
    <cellStyle name="Lien hypertexte visité" xfId="1830" builtinId="9" hidden="1"/>
    <cellStyle name="Lien hypertexte visité" xfId="3888" builtinId="9" hidden="1"/>
    <cellStyle name="Lien hypertexte visité" xfId="4556" builtinId="9" hidden="1"/>
    <cellStyle name="Lien hypertexte visité" xfId="5580" builtinId="9" hidden="1"/>
    <cellStyle name="Lien hypertexte visité" xfId="7308" builtinId="9" hidden="1"/>
    <cellStyle name="Lien hypertexte visité" xfId="8333" builtinId="9" hidden="1"/>
    <cellStyle name="Lien hypertexte visité" xfId="9357" builtinId="9" hidden="1"/>
    <cellStyle name="Lien hypertexte visité" xfId="11053" builtinId="9" hidden="1"/>
    <cellStyle name="Lien hypertexte visité" xfId="12077" builtinId="9" hidden="1"/>
    <cellStyle name="Lien hypertexte visité" xfId="12749" builtinId="9" hidden="1"/>
    <cellStyle name="Lien hypertexte visité" xfId="15079" builtinId="9" hidden="1"/>
    <cellStyle name="Lien hypertexte visité" xfId="16487" builtinId="9" hidden="1"/>
    <cellStyle name="Lien hypertexte visité" xfId="18518" builtinId="9" hidden="1"/>
    <cellStyle name="Lien hypertexte visité" xfId="21910" builtinId="9" hidden="1"/>
    <cellStyle name="Lien hypertexte visité" xfId="23958" builtinId="9" hidden="1"/>
    <cellStyle name="Lien hypertexte visité" xfId="23220" builtinId="9" hidden="1"/>
    <cellStyle name="Lien hypertexte visité" xfId="19828" builtinId="9" hidden="1"/>
    <cellStyle name="Lien hypertexte visité" xfId="17797" builtinId="9" hidden="1"/>
    <cellStyle name="Lien hypertexte visité" xfId="16389" builtinId="9" hidden="1"/>
    <cellStyle name="Lien hypertexte visité" xfId="13404" builtinId="9" hidden="1"/>
    <cellStyle name="Lien hypertexte visité" xfId="12732" builtinId="9" hidden="1"/>
    <cellStyle name="Lien hypertexte visité" xfId="11708" builtinId="9" hidden="1"/>
    <cellStyle name="Lien hypertexte visité" xfId="10012" builtinId="9" hidden="1"/>
    <cellStyle name="Lien hypertexte visité" xfId="8988" builtinId="9" hidden="1"/>
    <cellStyle name="Lien hypertexte visité" xfId="7964" builtinId="9" hidden="1"/>
    <cellStyle name="Lien hypertexte visité" xfId="6235" builtinId="9" hidden="1"/>
    <cellStyle name="Lien hypertexte visité" xfId="5211" builtinId="9" hidden="1"/>
    <cellStyle name="Lien hypertexte visité" xfId="4539" builtinId="9" hidden="1"/>
    <cellStyle name="Lien hypertexte visité" xfId="2485" builtinId="9" hidden="1"/>
    <cellStyle name="Lien hypertexte visité" xfId="1813" builtinId="9" hidden="1"/>
    <cellStyle name="Lien hypertexte visité" xfId="413" builtinId="9" hidden="1"/>
    <cellStyle name="Lien hypertexte visité" xfId="2089" builtinId="9" hidden="1"/>
    <cellStyle name="Lien hypertexte visité" xfId="3113" builtinId="9" hidden="1"/>
    <cellStyle name="Lien hypertexte visité" xfId="4143" builtinId="9" hidden="1"/>
    <cellStyle name="Lien hypertexte visité" xfId="5839" builtinId="9" hidden="1"/>
    <cellStyle name="Lien hypertexte visité" xfId="6863" builtinId="9" hidden="1"/>
    <cellStyle name="Lien hypertexte visité" xfId="7535" builtinId="9" hidden="1"/>
    <cellStyle name="Lien hypertexte visité" xfId="327" builtinId="9" hidden="1"/>
    <cellStyle name="Lien hypertexte visité" xfId="1209" builtinId="9" hidden="1"/>
    <cellStyle name="Lien hypertexte visité" xfId="1898" builtinId="9" hidden="1"/>
    <cellStyle name="Lien hypertexte visité" xfId="3026" builtinId="9" hidden="1"/>
    <cellStyle name="Lien hypertexte visité" xfId="3715" builtinId="9" hidden="1"/>
    <cellStyle name="Lien hypertexte visité" xfId="4400" builtinId="9" hidden="1"/>
    <cellStyle name="Lien hypertexte visité" xfId="5528" builtinId="9" hidden="1"/>
    <cellStyle name="Lien hypertexte visité" xfId="6208" builtinId="9" hidden="1"/>
    <cellStyle name="Lien hypertexte visité" xfId="6680" builtinId="9" hidden="1"/>
    <cellStyle name="Lien hypertexte visité" xfId="8049" builtinId="9" hidden="1"/>
    <cellStyle name="Lien hypertexte visité" xfId="8497" builtinId="9" hidden="1"/>
    <cellStyle name="Lien hypertexte visité" xfId="9177" builtinId="9" hidden="1"/>
    <cellStyle name="Lien hypertexte visité" xfId="10305" builtinId="9" hidden="1"/>
    <cellStyle name="Lien hypertexte visité" xfId="10993" builtinId="9" hidden="1"/>
    <cellStyle name="Lien hypertexte visité" xfId="11673" builtinId="9" hidden="1"/>
    <cellStyle name="Lien hypertexte visité" xfId="12825" builtinId="9" hidden="1"/>
    <cellStyle name="Lien hypertexte visité" xfId="13505" builtinId="9" hidden="1"/>
    <cellStyle name="Lien hypertexte visité" xfId="13953" builtinId="9" hidden="1"/>
    <cellStyle name="Lien hypertexte visité" xfId="16127" builtinId="9" hidden="1"/>
    <cellStyle name="Lien hypertexte visité" xfId="17023" builtinId="9" hidden="1"/>
    <cellStyle name="Lien hypertexte visité" xfId="18366" builtinId="9" hidden="1"/>
    <cellStyle name="Lien hypertexte visité" xfId="20670" builtinId="9" hidden="1"/>
    <cellStyle name="Lien hypertexte visité" xfId="22046" builtinId="9" hidden="1"/>
    <cellStyle name="Lien hypertexte visité" xfId="23406" builtinId="9" hidden="1"/>
    <cellStyle name="Lien hypertexte visité" xfId="23564" builtinId="9" hidden="1"/>
    <cellStyle name="Lien hypertexte visité" xfId="22188" builtinId="9" hidden="1"/>
    <cellStyle name="Lien hypertexte visité" xfId="21292" builtinId="9" hidden="1"/>
    <cellStyle name="Lien hypertexte visité" xfId="18572" builtinId="9" hidden="1"/>
    <cellStyle name="Lien hypertexte visité" xfId="17645" builtinId="9" hidden="1"/>
    <cellStyle name="Lien hypertexte visité" xfId="16285" builtinId="9" hidden="1"/>
    <cellStyle name="Lien hypertexte visité" xfId="14264" builtinId="9" hidden="1"/>
    <cellStyle name="Lien hypertexte visité" xfId="13584" builtinId="9" hidden="1"/>
    <cellStyle name="Lien hypertexte visité" xfId="12904" builtinId="9" hidden="1"/>
    <cellStyle name="Lien hypertexte visité" xfId="11768" builtinId="9" hidden="1"/>
    <cellStyle name="Lien hypertexte visité" xfId="11088" builtinId="9" hidden="1"/>
    <cellStyle name="Lien hypertexte visité" xfId="10616" builtinId="9" hidden="1"/>
    <cellStyle name="Lien hypertexte visité" xfId="9256" builtinId="9" hidden="1"/>
    <cellStyle name="Lien hypertexte visité" xfId="8992" builtinId="9" hidden="1"/>
    <cellStyle name="Lien hypertexte visité" xfId="11040" builtinId="9" hidden="1"/>
    <cellStyle name="Lien hypertexte visité" xfId="14432" builtinId="9" hidden="1"/>
    <cellStyle name="Lien hypertexte visité" xfId="18428" builtinId="9" hidden="1"/>
    <cellStyle name="Lien hypertexte visité" xfId="22524" builtinId="9" hidden="1"/>
    <cellStyle name="Lien hypertexte visité" xfId="19790" builtinId="9" hidden="1"/>
    <cellStyle name="Lien hypertexte visité" xfId="15711" builtinId="9" hidden="1"/>
    <cellStyle name="Lien hypertexte visité" xfId="13769" builtinId="9" hidden="1"/>
    <cellStyle name="Lien hypertexte visité" xfId="9673" builtinId="9" hidden="1"/>
    <cellStyle name="Lien hypertexte visité" xfId="8329" builtinId="9" hidden="1"/>
    <cellStyle name="Lien hypertexte visité" xfId="6728" builtinId="9" hidden="1"/>
    <cellStyle name="Lien hypertexte visité" xfId="19406" builtinId="9" hidden="1"/>
    <cellStyle name="Lien hypertexte visité" xfId="17549" builtinId="9" hidden="1"/>
    <cellStyle name="Lien hypertexte visité" xfId="9888" builtinId="9" hidden="1"/>
    <cellStyle name="Lien hypertexte visité" xfId="11920" builtinId="9" hidden="1"/>
    <cellStyle name="Lien hypertexte visité" xfId="13968" builtinId="9" hidden="1"/>
    <cellStyle name="Lien hypertexte visité" xfId="16157" builtinId="9" hidden="1"/>
    <cellStyle name="Lien hypertexte visité" xfId="24332" builtinId="9" hidden="1"/>
    <cellStyle name="Lien hypertexte visité" xfId="22174" builtinId="9" hidden="1"/>
    <cellStyle name="Lien hypertexte visité" xfId="18095" builtinId="9" hidden="1"/>
    <cellStyle name="Lien hypertexte visité" xfId="12889" builtinId="9" hidden="1"/>
    <cellStyle name="Lien hypertexte visité" xfId="10841" builtinId="9" hidden="1"/>
    <cellStyle name="Lien hypertexte visité" xfId="8793" builtinId="9" hidden="1"/>
    <cellStyle name="Lien hypertexte visité" xfId="5376" builtinId="9" hidden="1"/>
    <cellStyle name="Lien hypertexte visité" xfId="3322" builtinId="9" hidden="1"/>
    <cellStyle name="Lien hypertexte visité" xfId="1962" builtinId="9" hidden="1"/>
    <cellStyle name="Lien hypertexte visité" xfId="5263" builtinId="9" hidden="1"/>
    <cellStyle name="Lien hypertexte visité" xfId="3209" builtinId="9" hidden="1"/>
    <cellStyle name="Lien hypertexte visité" xfId="861" builtinId="9" hidden="1"/>
    <cellStyle name="Lien hypertexte visité" xfId="6139" builtinId="9" hidden="1"/>
    <cellStyle name="Lien hypertexte visité" xfId="9212" builtinId="9" hidden="1"/>
    <cellStyle name="Lien hypertexte visité" xfId="12284" builtinId="9" hidden="1"/>
    <cellStyle name="Lien hypertexte visité" xfId="20276" builtinId="9" hidden="1"/>
    <cellStyle name="Lien hypertexte visité" xfId="22806" builtinId="9" hidden="1"/>
    <cellStyle name="Lien hypertexte visité" xfId="18710" builtinId="9" hidden="1"/>
    <cellStyle name="Lien hypertexte visité" xfId="10477" builtinId="9" hidden="1"/>
    <cellStyle name="Lien hypertexte visité" xfId="8429" builtinId="9" hidden="1"/>
    <cellStyle name="Lien hypertexte visité" xfId="5356" builtinId="9" hidden="1"/>
    <cellStyle name="Lien hypertexte visité" xfId="675" builtinId="9" hidden="1"/>
    <cellStyle name="Lien hypertexte visité" xfId="3998" builtinId="9" hidden="1"/>
    <cellStyle name="Lien hypertexte visité" xfId="7070" builtinId="9" hidden="1"/>
    <cellStyle name="Lien hypertexte visité" xfId="12191" builtinId="9" hidden="1"/>
    <cellStyle name="Lien hypertexte visité" xfId="16011" builtinId="9" hidden="1"/>
    <cellStyle name="Lien hypertexte visité" xfId="9150" builtinId="9" hidden="1"/>
    <cellStyle name="Lien hypertexte visité" xfId="6269" builtinId="9" hidden="1"/>
    <cellStyle name="Lien hypertexte visité" xfId="5941" builtinId="9" hidden="1"/>
    <cellStyle name="Lien hypertexte visité" xfId="5445" builtinId="9" hidden="1"/>
    <cellStyle name="Lien hypertexte visité" xfId="4605" builtinId="9" hidden="1"/>
    <cellStyle name="Lien hypertexte visité" xfId="4113" builtinId="9" hidden="1"/>
    <cellStyle name="Lien hypertexte visité" xfId="9354" builtinId="9" hidden="1"/>
    <cellStyle name="Lien hypertexte visité" xfId="12298" builtinId="9" hidden="1"/>
    <cellStyle name="Lien hypertexte visité" xfId="14026" builtinId="9" hidden="1"/>
    <cellStyle name="Lien hypertexte visité" xfId="15841" builtinId="9" hidden="1"/>
    <cellStyle name="Lien hypertexte visité" xfId="22864" builtinId="9" hidden="1"/>
    <cellStyle name="Lien hypertexte visité" xfId="24058" builtinId="9" hidden="1"/>
    <cellStyle name="Lien hypertexte visité" xfId="20474" builtinId="9" hidden="1"/>
    <cellStyle name="Lien hypertexte visité" xfId="18211" builtinId="9" hidden="1"/>
    <cellStyle name="Lien hypertexte visité" xfId="19346" builtinId="9" hidden="1"/>
    <cellStyle name="Lien hypertexte visité" xfId="20498" builtinId="9" hidden="1"/>
    <cellStyle name="Lien hypertexte visité" xfId="22466" builtinId="9" hidden="1"/>
    <cellStyle name="Lien hypertexte visité" xfId="23658" builtinId="9" hidden="1"/>
    <cellStyle name="Lien hypertexte visité" xfId="24426" builtinId="9" hidden="1"/>
    <cellStyle name="Lien hypertexte visité" xfId="22456" builtinId="9" hidden="1"/>
    <cellStyle name="Lien hypertexte visité" xfId="21688" builtinId="9" hidden="1"/>
    <cellStyle name="Lien hypertexte visité" xfId="20536" builtinId="9" hidden="1"/>
    <cellStyle name="Lien hypertexte visité" xfId="18568" builtinId="9" hidden="1"/>
    <cellStyle name="Lien hypertexte visité" xfId="17393" builtinId="9" hidden="1"/>
    <cellStyle name="Lien hypertexte visité" xfId="16241" builtinId="9" hidden="1"/>
    <cellStyle name="Lien hypertexte visité" xfId="14398" builtinId="9" hidden="1"/>
    <cellStyle name="Lien hypertexte visité" xfId="13822" builtinId="9" hidden="1"/>
    <cellStyle name="Lien hypertexte visité" xfId="13438" builtinId="9" hidden="1"/>
    <cellStyle name="Lien hypertexte visité" xfId="12262" builtinId="9" hidden="1"/>
    <cellStyle name="Lien hypertexte visité" xfId="11858" builtinId="9" hidden="1"/>
    <cellStyle name="Lien hypertexte visité" xfId="11282" builtinId="9" hidden="1"/>
    <cellStyle name="Lien hypertexte visité" xfId="10302" builtinId="9" hidden="1"/>
    <cellStyle name="Lien hypertexte visité" xfId="9726" builtinId="9" hidden="1"/>
    <cellStyle name="Lien hypertexte visité" xfId="10002" builtinId="9" hidden="1"/>
    <cellStyle name="Lien hypertexte visité" xfId="19128" builtinId="9" hidden="1"/>
    <cellStyle name="Lien hypertexte visité" xfId="21906" builtinId="9" hidden="1"/>
    <cellStyle name="Lien hypertexte visité" xfId="19834" builtinId="9" hidden="1"/>
    <cellStyle name="Lien hypertexte visité" xfId="7021" builtinId="9" hidden="1"/>
    <cellStyle name="Lien hypertexte visité" xfId="3483" builtinId="9" hidden="1"/>
    <cellStyle name="Lien hypertexte visité" xfId="3921" builtinId="9" hidden="1"/>
    <cellStyle name="Lien hypertexte visité" xfId="2019" builtinId="9" hidden="1"/>
    <cellStyle name="Lien hypertexte visité" xfId="1274" builtinId="9" hidden="1"/>
    <cellStyle name="Lien hypertexte visité" xfId="545" builtinId="9" hidden="1"/>
    <cellStyle name="Lien hypertexte visité" xfId="1210" builtinId="9" hidden="1"/>
    <cellStyle name="Lien hypertexte visité" xfId="1955" builtinId="9" hidden="1"/>
    <cellStyle name="Lien hypertexte visité" xfId="1675" builtinId="9" hidden="1"/>
    <cellStyle name="Lien hypertexte visité" xfId="3419" builtinId="9" hidden="1"/>
    <cellStyle name="Lien hypertexte visité" xfId="3127" builtinId="9" hidden="1"/>
    <cellStyle name="Lien hypertexte visité" xfId="2683" builtinId="9" hidden="1"/>
    <cellStyle name="Lien hypertexte visité" xfId="5705" builtinId="9" hidden="1"/>
    <cellStyle name="Lien hypertexte visité" xfId="8098" builtinId="9" hidden="1"/>
    <cellStyle name="Lien hypertexte visité" xfId="7641" builtinId="9" hidden="1"/>
    <cellStyle name="Lien hypertexte visité" xfId="1206" builtinId="9" hidden="1"/>
    <cellStyle name="Lien hypertexte visité" xfId="6705" builtinId="9" hidden="1"/>
    <cellStyle name="Lien hypertexte visité" xfId="6997" builtinId="9" hidden="1"/>
    <cellStyle name="Lien hypertexte visité" xfId="7910" builtinId="9" hidden="1"/>
    <cellStyle name="Lien hypertexte visité" xfId="8206" builtinId="9" hidden="1"/>
    <cellStyle name="Lien hypertexte visité" xfId="5097" builtinId="9" hidden="1"/>
    <cellStyle name="Lien hypertexte visité" xfId="2747" builtinId="9" hidden="1"/>
    <cellStyle name="Lien hypertexte visité" xfId="3175" builtinId="9" hidden="1"/>
    <cellStyle name="Lien hypertexte visité" xfId="4965" builtinId="9" hidden="1"/>
    <cellStyle name="Lien hypertexte visité" xfId="5717" builtinId="9" hidden="1"/>
    <cellStyle name="Lien hypertexte visité" xfId="6157" builtinId="9" hidden="1"/>
    <cellStyle name="Lien hypertexte visité" xfId="8218" builtinId="9" hidden="1"/>
    <cellStyle name="Lien hypertexte visité" xfId="9434" builtinId="9" hidden="1"/>
    <cellStyle name="Lien hypertexte visité" xfId="10522" builtinId="9" hidden="1"/>
    <cellStyle name="Lien hypertexte visité" xfId="10970" builtinId="9" hidden="1"/>
    <cellStyle name="Lien hypertexte visité" xfId="9754" builtinId="9" hidden="1"/>
    <cellStyle name="Lien hypertexte visité" xfId="4273" builtinId="9" hidden="1"/>
    <cellStyle name="Lien hypertexte visité" xfId="6357" builtinId="9" hidden="1"/>
    <cellStyle name="Lien hypertexte visité" xfId="5625" builtinId="9" hidden="1"/>
    <cellStyle name="Lien hypertexte visité" xfId="5169" builtinId="9" hidden="1"/>
    <cellStyle name="Lien hypertexte visité" xfId="4877" builtinId="9" hidden="1"/>
    <cellStyle name="Lien hypertexte visité" xfId="2663" builtinId="9" hidden="1"/>
    <cellStyle name="Lien hypertexte visité" xfId="2391" builtinId="9" hidden="1"/>
    <cellStyle name="Lien hypertexte visité" xfId="5737" builtinId="9" hidden="1"/>
    <cellStyle name="Lien hypertexte visité" xfId="7822" builtinId="9" hidden="1"/>
    <cellStyle name="Lien hypertexte visité" xfId="7361" builtinId="9" hidden="1"/>
    <cellStyle name="Lien hypertexte visité" xfId="6905" builtinId="9" hidden="1"/>
    <cellStyle name="Lien hypertexte visité" xfId="1001" builtinId="9" hidden="1"/>
    <cellStyle name="Lien hypertexte visité" xfId="7421" builtinId="9" hidden="1"/>
    <cellStyle name="Lien hypertexte visité" xfId="7733" builtinId="9" hidden="1"/>
    <cellStyle name="Lien hypertexte visité" xfId="5065" builtinId="9" hidden="1"/>
    <cellStyle name="Lien hypertexte visité" xfId="2343" builtinId="9" hidden="1"/>
    <cellStyle name="Lien hypertexte visité" xfId="2787" builtinId="9" hidden="1"/>
    <cellStyle name="Lien hypertexte visité" xfId="3503" builtinId="9" hidden="1"/>
    <cellStyle name="Lien hypertexte visité" xfId="3523" builtinId="9" hidden="1"/>
    <cellStyle name="Lien hypertexte visité" xfId="1775" builtinId="9" hidden="1"/>
    <cellStyle name="Lien hypertexte visité" xfId="1294" builtinId="9" hidden="1"/>
    <cellStyle name="Lien hypertexte visité" xfId="353" builtinId="9" hidden="1"/>
    <cellStyle name="Lien hypertexte visité" xfId="921" builtinId="9" hidden="1"/>
    <cellStyle name="Lien hypertexte visité" xfId="1935" builtinId="9" hidden="1"/>
    <cellStyle name="Lien hypertexte visité" xfId="1655" builtinId="9" hidden="1"/>
    <cellStyle name="Lien hypertexte visité" xfId="3832" builtinId="9" hidden="1"/>
    <cellStyle name="Lien hypertexte visité" xfId="6289" builtinId="9" hidden="1"/>
    <cellStyle name="Lien hypertexte visité" xfId="12234" builtinId="9" hidden="1"/>
    <cellStyle name="Lien hypertexte visité" xfId="18171" builtinId="9" hidden="1"/>
    <cellStyle name="Lien hypertexte visité" xfId="17433" builtinId="9" hidden="1"/>
    <cellStyle name="Lien hypertexte visité" xfId="11878" builtinId="9" hidden="1"/>
    <cellStyle name="Lien hypertexte visité" xfId="9254" builtinId="9" hidden="1"/>
    <cellStyle name="Lien hypertexte visité" xfId="10430" builtinId="9" hidden="1"/>
    <cellStyle name="Lien hypertexte visité" xfId="10814" builtinId="9" hidden="1"/>
    <cellStyle name="Lien hypertexte visité" xfId="11410" builtinId="9" hidden="1"/>
    <cellStyle name="Lien hypertexte visité" xfId="12370" builtinId="9" hidden="1"/>
    <cellStyle name="Lien hypertexte visité" xfId="12966" builtinId="9" hidden="1"/>
    <cellStyle name="Lien hypertexte visité" xfId="13542" builtinId="9" hidden="1"/>
    <cellStyle name="Lien hypertexte visité" xfId="14537" builtinId="9" hidden="1"/>
    <cellStyle name="Lien hypertexte visité" xfId="15689" builtinId="9" hidden="1"/>
    <cellStyle name="Lien hypertexte visité" xfId="16497" builtinId="9" hidden="1"/>
    <cellStyle name="Lien hypertexte visité" xfId="18824" builtinId="9" hidden="1"/>
    <cellStyle name="Lien hypertexte visité" xfId="19592" builtinId="9" hidden="1"/>
    <cellStyle name="Lien hypertexte visité" xfId="20744" builtinId="9" hidden="1"/>
    <cellStyle name="Lien hypertexte visité" xfId="22712" builtinId="9" hidden="1"/>
    <cellStyle name="Lien hypertexte visité" xfId="23864" builtinId="9" hidden="1"/>
    <cellStyle name="Lien hypertexte visité" xfId="24170" builtinId="9" hidden="1"/>
    <cellStyle name="Lien hypertexte visité" xfId="22210" builtinId="9" hidden="1"/>
    <cellStyle name="Lien hypertexte visité" xfId="21058" builtinId="9" hidden="1"/>
    <cellStyle name="Lien hypertexte visité" xfId="20290" builtinId="9" hidden="1"/>
    <cellStyle name="Lien hypertexte visité" xfId="17955" builtinId="9" hidden="1"/>
    <cellStyle name="Lien hypertexte visité" xfId="17675" builtinId="9" hidden="1"/>
    <cellStyle name="Lien hypertexte visité" xfId="21242" builtinId="9" hidden="1"/>
    <cellStyle name="Lien hypertexte visité" xfId="22096" builtinId="9" hidden="1"/>
    <cellStyle name="Lien hypertexte visité" xfId="18640" builtinId="9" hidden="1"/>
    <cellStyle name="Lien hypertexte visité" xfId="15201" builtinId="9" hidden="1"/>
    <cellStyle name="Lien hypertexte visité" xfId="11914" builtinId="9" hidden="1"/>
    <cellStyle name="Lien hypertexte visité" xfId="10122" builtinId="9" hidden="1"/>
    <cellStyle name="Lien hypertexte visité" xfId="8970" builtinId="9" hidden="1"/>
    <cellStyle name="Lien hypertexte visité" xfId="4717" builtinId="9" hidden="1"/>
    <cellStyle name="Lien hypertexte visité" xfId="5045" builtinId="9" hidden="1"/>
    <cellStyle name="Lien hypertexte visité" xfId="5537" builtinId="9" hidden="1"/>
    <cellStyle name="Lien hypertexte visité" xfId="6381" builtinId="9" hidden="1"/>
    <cellStyle name="Lien hypertexte visité" xfId="6893" builtinId="9" hidden="1"/>
    <cellStyle name="Lien hypertexte visité" xfId="8722" builtinId="9" hidden="1"/>
    <cellStyle name="Lien hypertexte visité" xfId="11551" builtinId="9" hidden="1"/>
    <cellStyle name="Lien hypertexte visité" xfId="8479" builtinId="9" hidden="1"/>
    <cellStyle name="Lien hypertexte visité" xfId="6430" builtinId="9" hidden="1"/>
    <cellStyle name="Lien hypertexte visité" xfId="575" builtinId="9" hidden="1"/>
    <cellStyle name="Lien hypertexte visité" xfId="2918" builtinId="9" hidden="1"/>
    <cellStyle name="Lien hypertexte visité" xfId="5996" builtinId="9" hidden="1"/>
    <cellStyle name="Lien hypertexte visité" xfId="13333" builtinId="9" hidden="1"/>
    <cellStyle name="Lien hypertexte visité" xfId="14021" builtinId="9" hidden="1"/>
    <cellStyle name="Lien hypertexte visité" xfId="14903" builtinId="9" hidden="1"/>
    <cellStyle name="Lien hypertexte visité" xfId="17271" builtinId="9" hidden="1"/>
    <cellStyle name="Lien hypertexte visité" xfId="18630" builtinId="9" hidden="1"/>
    <cellStyle name="Lien hypertexte visité" xfId="10682" builtinId="9" hidden="1"/>
    <cellStyle name="Lien hypertexte visité" xfId="4389" builtinId="9" hidden="1"/>
    <cellStyle name="Lien hypertexte visité" xfId="4757" builtinId="9" hidden="1"/>
    <cellStyle name="Lien hypertexte visité" xfId="5341" builtinId="9" hidden="1"/>
    <cellStyle name="Lien hypertexte visité" xfId="6365" builtinId="9" hidden="1"/>
    <cellStyle name="Lien hypertexte visité" xfId="6949" builtinId="9" hidden="1"/>
    <cellStyle name="Lien hypertexte visité" xfId="7537" builtinId="9" hidden="1"/>
    <cellStyle name="Lien hypertexte visité" xfId="6313" builtinId="9" hidden="1"/>
    <cellStyle name="Lien hypertexte visité" xfId="2431" builtinId="9" hidden="1"/>
    <cellStyle name="Lien hypertexte visité" xfId="2775" builtinId="9" hidden="1"/>
    <cellStyle name="Lien hypertexte visité" xfId="3876" builtinId="9" hidden="1"/>
    <cellStyle name="Lien hypertexte visité" xfId="1663" builtinId="9" hidden="1"/>
    <cellStyle name="Lien hypertexte visité" xfId="2191" builtinId="9" hidden="1"/>
    <cellStyle name="Lien hypertexte visité" xfId="369" builtinId="9" hidden="1"/>
    <cellStyle name="Lien hypertexte visité" xfId="1202" builtinId="9" hidden="1"/>
    <cellStyle name="Lien hypertexte visité" xfId="1847" builtinId="9" hidden="1"/>
    <cellStyle name="Lien hypertexte visité" xfId="3580" builtinId="9" hidden="1"/>
    <cellStyle name="Lien hypertexte visité" xfId="3035" builtinId="9" hidden="1"/>
    <cellStyle name="Lien hypertexte visité" xfId="2623" builtinId="9" hidden="1"/>
    <cellStyle name="Lien hypertexte visité" xfId="8110" builtinId="9" hidden="1"/>
    <cellStyle name="Lien hypertexte visité" xfId="7741" builtinId="9" hidden="1"/>
    <cellStyle name="Lien hypertexte visité" xfId="7157" builtinId="9" hidden="1"/>
    <cellStyle name="Lien hypertexte visité" xfId="6205" builtinId="9" hidden="1"/>
    <cellStyle name="Lien hypertexte visité" xfId="5621" builtinId="9" hidden="1"/>
    <cellStyle name="Lien hypertexte visité" xfId="5037" builtinId="9" hidden="1"/>
    <cellStyle name="Lien hypertexte visité" xfId="4013" builtinId="9" hidden="1"/>
    <cellStyle name="Lien hypertexte visité" xfId="9962" builtinId="9" hidden="1"/>
    <cellStyle name="Lien hypertexte visité" xfId="11242" builtinId="9" hidden="1"/>
    <cellStyle name="Lien hypertexte visité" xfId="16161" builtinId="9" hidden="1"/>
    <cellStyle name="Lien hypertexte visité" xfId="18704" builtinId="9" hidden="1"/>
    <cellStyle name="Lien hypertexte visité" xfId="22800" builtinId="9" hidden="1"/>
    <cellStyle name="Lien hypertexte visité" xfId="19258" builtinId="9" hidden="1"/>
    <cellStyle name="Lien hypertexte visité" xfId="18019" builtinId="9" hidden="1"/>
    <cellStyle name="Lien hypertexte visité" xfId="19370" builtinId="9" hidden="1"/>
    <cellStyle name="Lien hypertexte visité" xfId="21586" builtinId="9" hidden="1"/>
    <cellStyle name="Lien hypertexte visité" xfId="22954" builtinId="9" hidden="1"/>
    <cellStyle name="Lien hypertexte visité" xfId="23810" builtinId="9" hidden="1"/>
    <cellStyle name="Lien hypertexte visité" xfId="22688" builtinId="9" hidden="1"/>
    <cellStyle name="Lien hypertexte visité" xfId="21664" builtinId="9" hidden="1"/>
    <cellStyle name="Lien hypertexte visité" xfId="20296" builtinId="9" hidden="1"/>
    <cellStyle name="Lien hypertexte visité" xfId="18097" builtinId="9" hidden="1"/>
    <cellStyle name="Lien hypertexte visité" xfId="16729" builtinId="9" hidden="1"/>
    <cellStyle name="Lien hypertexte visité" xfId="15369" builtinId="9" hidden="1"/>
    <cellStyle name="Lien hypertexte visité" xfId="13830" builtinId="9" hidden="1"/>
    <cellStyle name="Lien hypertexte visité" xfId="13150" builtinId="9" hidden="1"/>
    <cellStyle name="Lien hypertexte visité" xfId="12638" builtinId="9" hidden="1"/>
    <cellStyle name="Lien hypertexte visité" xfId="11270" builtinId="9" hidden="1"/>
    <cellStyle name="Lien hypertexte visité" xfId="10846" builtinId="9" hidden="1"/>
    <cellStyle name="Lien hypertexte visité" xfId="10162" builtinId="9" hidden="1"/>
    <cellStyle name="Lien hypertexte visité" xfId="9054" builtinId="9" hidden="1"/>
    <cellStyle name="Lien hypertexte visité" xfId="8370" builtinId="9" hidden="1"/>
    <cellStyle name="Lien hypertexte visité" xfId="15723" builtinId="9" hidden="1"/>
    <cellStyle name="Lien hypertexte visité" xfId="13327" builtinId="9" hidden="1"/>
    <cellStyle name="Lien hypertexte visité" xfId="12303" builtinId="9" hidden="1"/>
    <cellStyle name="Lien hypertexte visité" xfId="11663" builtinId="9" hidden="1"/>
    <cellStyle name="Lien hypertexte visité" xfId="9615" builtinId="9" hidden="1"/>
    <cellStyle name="Lien hypertexte visité" xfId="8975" builtinId="9" hidden="1"/>
    <cellStyle name="Lien hypertexte visité" xfId="7951" builtinId="9" hidden="1"/>
    <cellStyle name="Lien hypertexte visité" xfId="6158" builtinId="9" hidden="1"/>
    <cellStyle name="Lien hypertexte visité" xfId="5134" builtinId="9" hidden="1"/>
    <cellStyle name="Lien hypertexte visité" xfId="4110" builtinId="9" hidden="1"/>
    <cellStyle name="Lien hypertexte visité" xfId="2440" builtinId="9" hidden="1"/>
    <cellStyle name="Lien hypertexte visité" xfId="1415" builtinId="9" hidden="1"/>
    <cellStyle name="Lien hypertexte visité" xfId="387" builtinId="9" hidden="1"/>
    <cellStyle name="Lien hypertexte visité" xfId="2422" builtinId="9" hidden="1"/>
    <cellStyle name="Lien hypertexte visité" xfId="3190" builtinId="9" hidden="1"/>
    <cellStyle name="Lien hypertexte visité" xfId="4220" builtinId="9" hidden="1"/>
    <cellStyle name="Lien hypertexte visité" xfId="5884" builtinId="9" hidden="1"/>
    <cellStyle name="Lien hypertexte visité" xfId="6908" builtinId="9" hidden="1"/>
    <cellStyle name="Lien hypertexte visité" xfId="7933" builtinId="9" hidden="1"/>
    <cellStyle name="Lien hypertexte visité" xfId="9597" builtinId="9" hidden="1"/>
    <cellStyle name="Lien hypertexte visité" xfId="10621" builtinId="9" hidden="1"/>
    <cellStyle name="Lien hypertexte visité" xfId="11389" builtinId="9" hidden="1"/>
    <cellStyle name="Lien hypertexte visité" xfId="13437" builtinId="9" hidden="1"/>
    <cellStyle name="Lien hypertexte visité" xfId="14077" builtinId="9" hidden="1"/>
    <cellStyle name="Lien hypertexte visité" xfId="15687" builtinId="9" hidden="1"/>
    <cellStyle name="Lien hypertexte visité" xfId="18998" builtinId="9" hidden="1"/>
    <cellStyle name="Lien hypertexte visité" xfId="21046" builtinId="9" hidden="1"/>
    <cellStyle name="Lien hypertexte visité" xfId="23094" builtinId="9" hidden="1"/>
    <cellStyle name="Lien hypertexte visité" xfId="22548" builtinId="9" hidden="1"/>
    <cellStyle name="Lien hypertexte visité" xfId="20500" builtinId="9" hidden="1"/>
    <cellStyle name="Lien hypertexte visité" xfId="19220" builtinId="9" hidden="1"/>
    <cellStyle name="Lien hypertexte visité" xfId="15141" builtinId="9" hidden="1"/>
    <cellStyle name="Lien hypertexte visité" xfId="14188" builtinId="9" hidden="1"/>
    <cellStyle name="Lien hypertexte visité" xfId="13164" builtinId="9" hidden="1"/>
    <cellStyle name="Lien hypertexte visité" xfId="11372" builtinId="9" hidden="1"/>
    <cellStyle name="Lien hypertexte visité" xfId="10348" builtinId="9" hidden="1"/>
    <cellStyle name="Lien hypertexte visité" xfId="9324" builtinId="9" hidden="1"/>
    <cellStyle name="Lien hypertexte visité" xfId="7659" builtinId="9" hidden="1"/>
    <cellStyle name="Lien hypertexte visité" xfId="6635" builtinId="9" hidden="1"/>
    <cellStyle name="Lien hypertexte visité" xfId="5995" builtinId="9" hidden="1"/>
    <cellStyle name="Lien hypertexte visité" xfId="3947" builtinId="9" hidden="1"/>
    <cellStyle name="Lien hypertexte visité" xfId="3173" builtinId="9" hidden="1"/>
    <cellStyle name="Lien hypertexte visité" xfId="2150" builtinId="9" hidden="1"/>
    <cellStyle name="Lien hypertexte visité" xfId="209" builtinId="9" hidden="1"/>
    <cellStyle name="Lien hypertexte visité" xfId="1689" builtinId="9" hidden="1"/>
    <cellStyle name="Lien hypertexte visité" xfId="2713" builtinId="9" hidden="1"/>
    <cellStyle name="Lien hypertexte visité" xfId="4383" builtinId="9" hidden="1"/>
    <cellStyle name="Lien hypertexte visité" xfId="5407" builtinId="9" hidden="1"/>
    <cellStyle name="Lien hypertexte visité" xfId="6175" builtinId="9" hidden="1"/>
    <cellStyle name="Lien hypertexte visité" xfId="8224" builtinId="9" hidden="1"/>
    <cellStyle name="Lien hypertexte visité" xfId="603" builtinId="9" hidden="1"/>
    <cellStyle name="Lien hypertexte visité" xfId="727" builtinId="9" hidden="1"/>
    <cellStyle name="Lien hypertexte visité" xfId="2058" builtinId="9" hidden="1"/>
    <cellStyle name="Lien hypertexte visité" xfId="2738" builtinId="9" hidden="1"/>
    <cellStyle name="Lien hypertexte visité" xfId="3418" builtinId="9" hidden="1"/>
    <cellStyle name="Lien hypertexte visité" xfId="4624" builtinId="9" hidden="1"/>
    <cellStyle name="Lien hypertexte visité" xfId="5304" builtinId="9" hidden="1"/>
    <cellStyle name="Lien hypertexte visité" xfId="5728" builtinId="9" hidden="1"/>
    <cellStyle name="Lien hypertexte visité" xfId="7096" builtinId="9" hidden="1"/>
    <cellStyle name="Lien hypertexte visité" xfId="7520" builtinId="9" hidden="1"/>
    <cellStyle name="Lien hypertexte visité" xfId="8209" builtinId="9" hidden="1"/>
    <cellStyle name="Lien hypertexte visité" xfId="9401" builtinId="9" hidden="1"/>
    <cellStyle name="Lien hypertexte visité" xfId="10081" builtinId="9" hidden="1"/>
    <cellStyle name="Lien hypertexte visité" xfId="10769" builtinId="9" hidden="1"/>
    <cellStyle name="Lien hypertexte visité" xfId="11873" builtinId="9" hidden="1"/>
    <cellStyle name="Lien hypertexte visité" xfId="12561" builtinId="9" hidden="1"/>
    <cellStyle name="Lien hypertexte visité" xfId="12985" builtinId="9" hidden="1"/>
    <cellStyle name="Lien hypertexte visité" xfId="14353" builtinId="9" hidden="1"/>
    <cellStyle name="Lien hypertexte visité" xfId="15215" builtinId="9" hidden="1"/>
    <cellStyle name="Lien hypertexte visité" xfId="16575" builtinId="9" hidden="1"/>
    <cellStyle name="Lien hypertexte visité" xfId="18782" builtinId="9" hidden="1"/>
    <cellStyle name="Lien hypertexte visité" xfId="20142" builtinId="9" hidden="1"/>
    <cellStyle name="Lien hypertexte visité" xfId="21502" builtinId="9" hidden="1"/>
    <cellStyle name="Lien hypertexte visité" xfId="23726" builtinId="9" hidden="1"/>
    <cellStyle name="Lien hypertexte visité" xfId="24140" builtinId="9" hidden="1"/>
    <cellStyle name="Lien hypertexte visité" xfId="23116" builtinId="9" hidden="1"/>
    <cellStyle name="Lien hypertexte visité" xfId="20380" builtinId="9" hidden="1"/>
    <cellStyle name="Lien hypertexte visité" xfId="19532" builtinId="9" hidden="1"/>
    <cellStyle name="Lien hypertexte visité" xfId="18173" builtinId="9" hidden="1"/>
    <cellStyle name="Lien hypertexte visité" xfId="15965" builtinId="9" hidden="1"/>
    <cellStyle name="Lien hypertexte visité" xfId="14589" builtinId="9" hidden="1"/>
    <cellStyle name="Lien hypertexte visité" xfId="13872" builtinId="9" hidden="1"/>
    <cellStyle name="Lien hypertexte visité" xfId="12680" builtinId="9" hidden="1"/>
    <cellStyle name="Lien hypertexte visité" xfId="11992" builtinId="9" hidden="1"/>
    <cellStyle name="Lien hypertexte visité" xfId="11568" builtinId="9" hidden="1"/>
    <cellStyle name="Lien hypertexte visité" xfId="10200" builtinId="9" hidden="1"/>
    <cellStyle name="Lien hypertexte visité" xfId="9776" builtinId="9" hidden="1"/>
    <cellStyle name="Lien hypertexte visité" xfId="9096" builtinId="9" hidden="1"/>
    <cellStyle name="Lien hypertexte visité" xfId="11712" builtinId="9" hidden="1"/>
    <cellStyle name="Lien hypertexte visité" xfId="13760" builtinId="9" hidden="1"/>
    <cellStyle name="Lien hypertexte visité" xfId="17101" builtinId="9" hidden="1"/>
    <cellStyle name="Lien hypertexte visité" xfId="23740" builtinId="9" hidden="1"/>
    <cellStyle name="Lien hypertexte visité" xfId="21390" builtinId="9" hidden="1"/>
    <cellStyle name="Lien hypertexte visité" xfId="18830" builtinId="9" hidden="1"/>
    <cellStyle name="Lien hypertexte visité" xfId="12585" builtinId="9" hidden="1"/>
    <cellStyle name="Lien hypertexte visité" xfId="11049" builtinId="9" hidden="1"/>
    <cellStyle name="Lien hypertexte visité" xfId="9001" builtinId="9" hidden="1"/>
    <cellStyle name="Lien hypertexte visité" xfId="5672" builtinId="9" hidden="1"/>
    <cellStyle name="Lien hypertexte visité" xfId="3619" builtinId="9" hidden="1"/>
    <cellStyle name="Lien hypertexte visité" xfId="1570" builtinId="9" hidden="1"/>
    <cellStyle name="Lien hypertexte visité" xfId="8907" builtinId="9" hidden="1"/>
    <cellStyle name="Lien hypertexte visité" xfId="8323" builtinId="9" hidden="1"/>
    <cellStyle name="Lien hypertexte visité" xfId="7883" builtinId="9" hidden="1"/>
    <cellStyle name="Lien hypertexte visité" xfId="6714" builtinId="9" hidden="1"/>
    <cellStyle name="Lien hypertexte visité" xfId="6346" builtinId="9" hidden="1"/>
    <cellStyle name="Lien hypertexte visité" xfId="5762" builtinId="9" hidden="1"/>
    <cellStyle name="Lien hypertexte visité" xfId="4810" builtinId="9" hidden="1"/>
    <cellStyle name="Lien hypertexte visité" xfId="4226" builtinId="9" hidden="1"/>
    <cellStyle name="Lien hypertexte visité" xfId="3637" builtinId="9" hidden="1"/>
    <cellStyle name="Lien hypertexte visité" xfId="2612" builtinId="9" hidden="1"/>
    <cellStyle name="Lien hypertexte visité" xfId="2028" builtinId="9" hidden="1"/>
    <cellStyle name="Lien hypertexte visité" xfId="1660" builtinId="9" hidden="1"/>
    <cellStyle name="Lien hypertexte visité" xfId="3749" builtinId="9" hidden="1"/>
    <cellStyle name="Lien hypertexte visité" xfId="6306" builtinId="9" hidden="1"/>
    <cellStyle name="Lien hypertexte visité" xfId="12787" builtinId="9" hidden="1"/>
    <cellStyle name="Lien hypertexte visité" xfId="11835" builtinId="9" hidden="1"/>
    <cellStyle name="Lien hypertexte visité" xfId="11283" builtinId="9" hidden="1"/>
    <cellStyle name="Lien hypertexte visité" xfId="10739" builtinId="9" hidden="1"/>
    <cellStyle name="Lien hypertexte visité" xfId="9851" builtinId="9" hidden="1"/>
    <cellStyle name="Lien hypertexte visité" xfId="12067" builtinId="9" hidden="1"/>
    <cellStyle name="Lien hypertexte visité" xfId="14187" builtinId="9" hidden="1"/>
    <cellStyle name="Lien hypertexte visité" xfId="13131" builtinId="9" hidden="1"/>
    <cellStyle name="Lien hypertexte visité" xfId="15635" builtinId="9" hidden="1"/>
    <cellStyle name="Lien hypertexte visité" xfId="14595" builtinId="9" hidden="1"/>
    <cellStyle name="Lien hypertexte visité" xfId="17235" builtinId="9" hidden="1"/>
    <cellStyle name="Lien hypertexte visité" xfId="16243" builtinId="9" hidden="1"/>
    <cellStyle name="Lien hypertexte visité" xfId="15059" builtinId="9" hidden="1"/>
    <cellStyle name="Lien hypertexte visité" xfId="13299" builtinId="9" hidden="1"/>
    <cellStyle name="Lien hypertexte visité" xfId="13827" builtinId="9" hidden="1"/>
    <cellStyle name="Lien hypertexte visité" xfId="14227" builtinId="9" hidden="1"/>
    <cellStyle name="Lien hypertexte visité" xfId="10099" builtinId="9" hidden="1"/>
    <cellStyle name="Lien hypertexte visité" xfId="10443" builtinId="9" hidden="1"/>
    <cellStyle name="Lien hypertexte visité" xfId="10987" builtinId="9" hidden="1"/>
    <cellStyle name="Lien hypertexte visité" xfId="11875" builtinId="9" hidden="1"/>
    <cellStyle name="Lien hypertexte visité" xfId="12419" builtinId="9" hidden="1"/>
    <cellStyle name="Lien hypertexte visité" xfId="9059" builtinId="9" hidden="1"/>
    <cellStyle name="Lien hypertexte visité" xfId="1884" builtinId="9" hidden="1"/>
    <cellStyle name="Lien hypertexte visité" xfId="1339" builtinId="9" hidden="1"/>
    <cellStyle name="Lien hypertexte visité" xfId="1708" builtinId="9" hidden="1"/>
    <cellStyle name="Lien hypertexte visité" xfId="2876" builtinId="9" hidden="1"/>
    <cellStyle name="Lien hypertexte visité" xfId="3244" builtinId="9" hidden="1"/>
    <cellStyle name="Lien hypertexte visité" xfId="3837" builtinId="9" hidden="1"/>
    <cellStyle name="Lien hypertexte visité" xfId="4858" builtinId="9" hidden="1"/>
    <cellStyle name="Lien hypertexte visité" xfId="5442" builtinId="9" hidden="1"/>
    <cellStyle name="Lien hypertexte visité" xfId="6026" builtinId="9" hidden="1"/>
    <cellStyle name="Lien hypertexte visité" xfId="6978" builtinId="9" hidden="1"/>
    <cellStyle name="Lien hypertexte visité" xfId="7562" builtinId="9" hidden="1"/>
    <cellStyle name="Lien hypertexte visité" xfId="7931" builtinId="9" hidden="1"/>
    <cellStyle name="Lien hypertexte visité" xfId="9099" builtinId="9" hidden="1"/>
    <cellStyle name="Lien hypertexte visité" xfId="235" builtinId="9" hidden="1"/>
    <cellStyle name="Lien hypertexte visité" xfId="2498" builtinId="9" hidden="1"/>
    <cellStyle name="Lien hypertexte visité" xfId="5832" builtinId="9" hidden="1"/>
    <cellStyle name="Lien hypertexte visité" xfId="8914" builtinId="9" hidden="1"/>
    <cellStyle name="Lien hypertexte visité" xfId="8446" builtinId="9" hidden="1"/>
    <cellStyle name="Lien hypertexte visité" xfId="15819" builtinId="9" hidden="1"/>
    <cellStyle name="Lien hypertexte visité" xfId="14463" builtinId="9" hidden="1"/>
    <cellStyle name="Lien hypertexte visité" xfId="13951" builtinId="9" hidden="1"/>
    <cellStyle name="Lien hypertexte visité" xfId="12607" builtinId="9" hidden="1"/>
    <cellStyle name="Lien hypertexte visité" xfId="12159" builtinId="9" hidden="1"/>
    <cellStyle name="Lien hypertexte visité" xfId="11487" builtinId="9" hidden="1"/>
    <cellStyle name="Lien hypertexte visité" xfId="10367" builtinId="9" hidden="1"/>
    <cellStyle name="Lien hypertexte visité" xfId="9695" builtinId="9" hidden="1"/>
    <cellStyle name="Lien hypertexte visité" xfId="9023" builtinId="9" hidden="1"/>
    <cellStyle name="Lien hypertexte visité" xfId="7806" builtinId="9" hidden="1"/>
    <cellStyle name="Lien hypertexte visité" xfId="7134" builtinId="9" hidden="1"/>
    <cellStyle name="Lien hypertexte visité" xfId="6718" builtinId="9" hidden="1"/>
    <cellStyle name="Lien hypertexte visité" xfId="5342" builtinId="9" hidden="1"/>
    <cellStyle name="Lien hypertexte visité" xfId="4926" builtinId="9" hidden="1"/>
    <cellStyle name="Lien hypertexte visité" xfId="4222" builtinId="9" hidden="1"/>
    <cellStyle name="Lien hypertexte visité" xfId="3032" builtinId="9" hidden="1"/>
    <cellStyle name="Lien hypertexte visité" xfId="2360" builtinId="9" hidden="1"/>
    <cellStyle name="Lien hypertexte visité" xfId="1656" builtinId="9" hidden="1"/>
    <cellStyle name="Lien hypertexte visité" xfId="55" builtinId="9" hidden="1"/>
    <cellStyle name="Lien hypertexte visité" xfId="1285" builtinId="9" hidden="1"/>
    <cellStyle name="Lien hypertexte visité" xfId="1702" builtinId="9" hidden="1"/>
    <cellStyle name="Lien hypertexte visité" xfId="3078" builtinId="9" hidden="1"/>
    <cellStyle name="Lien hypertexte visité" xfId="3591" builtinId="9" hidden="1"/>
    <cellStyle name="Lien hypertexte visité" xfId="4268" builtinId="9" hidden="1"/>
    <cellStyle name="Lien hypertexte visité" xfId="5388" builtinId="9" hidden="1"/>
    <cellStyle name="Lien hypertexte visité" xfId="6060" builtinId="9" hidden="1"/>
    <cellStyle name="Lien hypertexte visité" xfId="6732" builtinId="9" hidden="1"/>
    <cellStyle name="Lien hypertexte visité" xfId="7853" builtinId="9" hidden="1"/>
    <cellStyle name="Lien hypertexte visité" xfId="8525" builtinId="9" hidden="1"/>
    <cellStyle name="Lien hypertexte visité" xfId="9037" builtinId="9" hidden="1"/>
    <cellStyle name="Lien hypertexte visité" xfId="10413" builtinId="9" hidden="1"/>
    <cellStyle name="Lien hypertexte visité" xfId="10829" builtinId="9" hidden="1"/>
    <cellStyle name="Lien hypertexte visité" xfId="11533" builtinId="9" hidden="1"/>
    <cellStyle name="Lien hypertexte visité" xfId="12621" builtinId="9" hidden="1"/>
    <cellStyle name="Lien hypertexte visité" xfId="13325" builtinId="9" hidden="1"/>
    <cellStyle name="Lien hypertexte visité" xfId="13997" builtinId="9" hidden="1"/>
    <cellStyle name="Lien hypertexte visité" xfId="15847" builtinId="9" hidden="1"/>
    <cellStyle name="Lien hypertexte visité" xfId="17255" builtinId="9" hidden="1"/>
    <cellStyle name="Lien hypertexte visité" xfId="18087" builtinId="9" hidden="1"/>
    <cellStyle name="Lien hypertexte visité" xfId="20822" builtinId="9" hidden="1"/>
    <cellStyle name="Lien hypertexte visité" xfId="21654" builtinId="9" hidden="1"/>
    <cellStyle name="Lien hypertexte visité" xfId="22998" builtinId="9" hidden="1"/>
    <cellStyle name="Lien hypertexte visité" xfId="23796" builtinId="9" hidden="1"/>
    <cellStyle name="Lien hypertexte visité" xfId="22452" builtinId="9" hidden="1"/>
    <cellStyle name="Lien hypertexte visité" xfId="21108" builtinId="9" hidden="1"/>
    <cellStyle name="Lien hypertexte visité" xfId="18868" builtinId="9" hidden="1"/>
    <cellStyle name="Lien hypertexte visité" xfId="17541" builtinId="9" hidden="1"/>
    <cellStyle name="Lien hypertexte visité" xfId="16645" builtinId="9" hidden="1"/>
    <cellStyle name="Lien hypertexte visité" xfId="14236" builtinId="9" hidden="1"/>
    <cellStyle name="Lien hypertexte visité" xfId="13724" builtinId="9" hidden="1"/>
    <cellStyle name="Lien hypertexte visité" xfId="13020" builtinId="9" hidden="1"/>
    <cellStyle name="Lien hypertexte visité" xfId="11932" builtinId="9" hidden="1"/>
    <cellStyle name="Lien hypertexte visité" xfId="11228" builtinId="9" hidden="1"/>
    <cellStyle name="Lien hypertexte visité" xfId="10556" builtinId="9" hidden="1"/>
    <cellStyle name="Lien hypertexte visité" xfId="9436" builtinId="9" hidden="1"/>
    <cellStyle name="Lien hypertexte visité" xfId="8764" builtinId="9" hidden="1"/>
    <cellStyle name="Lien hypertexte visité" xfId="8252" builtinId="9" hidden="1"/>
    <cellStyle name="Lien hypertexte visité" xfId="6875" builtinId="9" hidden="1"/>
    <cellStyle name="Lien hypertexte visité" xfId="6459" builtinId="9" hidden="1"/>
    <cellStyle name="Lien hypertexte visité" xfId="5787" builtinId="9" hidden="1"/>
    <cellStyle name="Lien hypertexte visité" xfId="4667" builtinId="9" hidden="1"/>
    <cellStyle name="Lien hypertexte visité" xfId="3995" builtinId="9" hidden="1"/>
    <cellStyle name="Lien hypertexte visité" xfId="3285" builtinId="9" hidden="1"/>
    <cellStyle name="Lien hypertexte visité" xfId="2101" builtinId="9" hidden="1"/>
    <cellStyle name="Lien hypertexte visité" xfId="1428" builtinId="9" hidden="1"/>
    <cellStyle name="Lien hypertexte visité" xfId="797" builtinId="9" hidden="1"/>
    <cellStyle name="Lien hypertexte visité" xfId="1513" builtinId="9" hidden="1"/>
    <cellStyle name="Lien hypertexte visité" xfId="1961" builtinId="9" hidden="1"/>
    <cellStyle name="Lien hypertexte visité" xfId="2633" builtinId="9" hidden="1"/>
    <cellStyle name="Lien hypertexte visité" xfId="3826" builtinId="9" hidden="1"/>
    <cellStyle name="Lien hypertexte visité" xfId="4527" builtinId="9" hidden="1"/>
    <cellStyle name="Lien hypertexte visité" xfId="5199" builtinId="9" hidden="1"/>
    <cellStyle name="Lien hypertexte visité" xfId="6319" builtinId="9" hidden="1"/>
    <cellStyle name="Lien hypertexte visité" xfId="6991" builtinId="9" hidden="1"/>
    <cellStyle name="Lien hypertexte visité" xfId="7407" builtinId="9" hidden="1"/>
    <cellStyle name="Lien hypertexte visité" xfId="8784" builtinId="9" hidden="1"/>
    <cellStyle name="Lien hypertexte visité" xfId="71" builtinId="9" hidden="1"/>
    <cellStyle name="Lien hypertexte visité" xfId="839" builtinId="9" hidden="1"/>
    <cellStyle name="Lien hypertexte visité" xfId="1746" builtinId="9" hidden="1"/>
    <cellStyle name="Lien hypertexte visité" xfId="2194" builtinId="9" hidden="1"/>
    <cellStyle name="Lien hypertexte visité" xfId="2666" builtinId="9" hidden="1"/>
    <cellStyle name="Lien hypertexte visité" xfId="3386" builtinId="9" hidden="1"/>
    <cellStyle name="Lien hypertexte visité" xfId="3867" builtinId="9" hidden="1"/>
    <cellStyle name="Lien hypertexte visité" xfId="4208" builtinId="9" hidden="1"/>
    <cellStyle name="Lien hypertexte visité" xfId="5104" builtinId="9" hidden="1"/>
    <cellStyle name="Lien hypertexte visité" xfId="5400" builtinId="9" hidden="1"/>
    <cellStyle name="Lien hypertexte visité" xfId="5848" builtinId="9" hidden="1"/>
    <cellStyle name="Lien hypertexte visité" xfId="6592" builtinId="9" hidden="1"/>
    <cellStyle name="Lien hypertexte visité" xfId="7040" builtinId="9" hidden="1"/>
    <cellStyle name="Lien hypertexte visité" xfId="7488" builtinId="9" hidden="1"/>
    <cellStyle name="Lien hypertexte visité" xfId="8305" builtinId="9" hidden="1"/>
    <cellStyle name="Lien hypertexte visité" xfId="8753" builtinId="9" hidden="1"/>
    <cellStyle name="Lien hypertexte visité" xfId="9025" builtinId="9" hidden="1"/>
    <cellStyle name="Lien hypertexte visité" xfId="9945" builtinId="9" hidden="1"/>
    <cellStyle name="Lien hypertexte visité" xfId="10225" builtinId="9" hidden="1"/>
    <cellStyle name="Lien hypertexte visité" xfId="10689" builtinId="9" hidden="1"/>
    <cellStyle name="Lien hypertexte visité" xfId="11481" builtinId="9" hidden="1"/>
    <cellStyle name="Lien hypertexte visité" xfId="11929" builtinId="9" hidden="1"/>
    <cellStyle name="Lien hypertexte visité" xfId="12401" builtinId="9" hidden="1"/>
    <cellStyle name="Lien hypertexte visité" xfId="13121" builtinId="9" hidden="1"/>
    <cellStyle name="Lien hypertexte visité" xfId="13593" builtinId="9" hidden="1"/>
    <cellStyle name="Lien hypertexte visité" xfId="13873" builtinId="9" hidden="1"/>
    <cellStyle name="Lien hypertexte visité" xfId="15055" builtinId="9" hidden="1"/>
    <cellStyle name="Lien hypertexte visité" xfId="15743" builtinId="9" hidden="1"/>
    <cellStyle name="Lien hypertexte visité" xfId="16639" builtinId="9" hidden="1"/>
    <cellStyle name="Lien hypertexte visité" xfId="18127" builtinId="9" hidden="1"/>
    <cellStyle name="Lien hypertexte visité" xfId="19006" builtinId="9" hidden="1"/>
    <cellStyle name="Lien hypertexte visité" xfId="19902" builtinId="9" hidden="1"/>
    <cellStyle name="Lien hypertexte visité" xfId="21406" builtinId="9" hidden="1"/>
    <cellStyle name="Lien hypertexte visité" xfId="22302" builtinId="9" hidden="1"/>
    <cellStyle name="Lien hypertexte visité" xfId="22974" builtinId="9" hidden="1"/>
    <cellStyle name="Lien hypertexte visité" xfId="24412" builtinId="9" hidden="1"/>
    <cellStyle name="Lien hypertexte visité" xfId="23852" builtinId="9" hidden="1"/>
    <cellStyle name="Lien hypertexte visité" xfId="22924" builtinId="9" hidden="1"/>
    <cellStyle name="Lien hypertexte visité" xfId="21468" builtinId="9" hidden="1"/>
    <cellStyle name="Lien hypertexte visité" xfId="20524" builtinId="9" hidden="1"/>
    <cellStyle name="Lien hypertexte visité" xfId="19628" builtinId="9" hidden="1"/>
    <cellStyle name="Lien hypertexte visité" xfId="18077" builtinId="9" hidden="1"/>
    <cellStyle name="Lien hypertexte visité" xfId="17133" builtinId="9" hidden="1"/>
    <cellStyle name="Lien hypertexte visité" xfId="16573" builtinId="9" hidden="1"/>
    <cellStyle name="Lien hypertexte visité" xfId="14749" builtinId="9" hidden="1"/>
    <cellStyle name="Lien hypertexte visité" xfId="14352" builtinId="9" hidden="1"/>
    <cellStyle name="Lien hypertexte visité" xfId="13904" builtinId="9" hidden="1"/>
    <cellStyle name="Lien hypertexte visité" xfId="13096" builtinId="9" hidden="1"/>
    <cellStyle name="Lien hypertexte visité" xfId="12648" builtinId="9" hidden="1"/>
    <cellStyle name="Lien hypertexte visité" xfId="12200" builtinId="9" hidden="1"/>
    <cellStyle name="Lien hypertexte visité" xfId="11448" builtinId="9" hidden="1"/>
    <cellStyle name="Lien hypertexte visité" xfId="11000" builtinId="9" hidden="1"/>
    <cellStyle name="Lien hypertexte visité" xfId="10704" builtinId="9" hidden="1"/>
    <cellStyle name="Lien hypertexte visité" xfId="9808" builtinId="9" hidden="1"/>
    <cellStyle name="Lien hypertexte visité" xfId="9464" builtinId="9" hidden="1"/>
    <cellStyle name="Lien hypertexte visité" xfId="9000" builtinId="9" hidden="1"/>
    <cellStyle name="Lien hypertexte visité" xfId="10592" builtinId="9" hidden="1"/>
    <cellStyle name="Lien hypertexte visité" xfId="12000" builtinId="9" hidden="1"/>
    <cellStyle name="Lien hypertexte visité" xfId="13344" builtinId="9" hidden="1"/>
    <cellStyle name="Lien hypertexte visité" xfId="16653" builtinId="9" hidden="1"/>
    <cellStyle name="Lien hypertexte visité" xfId="19324" builtinId="9" hidden="1"/>
    <cellStyle name="Lien hypertexte visité" xfId="21372" builtinId="9" hidden="1"/>
    <cellStyle name="Lien hypertexte visité" xfId="22350" builtinId="9" hidden="1"/>
    <cellStyle name="Lien hypertexte visité" xfId="20686" builtinId="9" hidden="1"/>
    <cellStyle name="Lien hypertexte visité" xfId="18015" builtinId="9" hidden="1"/>
    <cellStyle name="Lien hypertexte visité" xfId="14025" builtinId="9" hidden="1"/>
    <cellStyle name="Lien hypertexte visité" xfId="12681" builtinId="9" hidden="1"/>
    <cellStyle name="Lien hypertexte visité" xfId="11273" builtinId="9" hidden="1"/>
    <cellStyle name="Lien hypertexte visité" xfId="8905" builtinId="9" hidden="1"/>
    <cellStyle name="Lien hypertexte visité" xfId="7560" builtinId="9" hidden="1"/>
    <cellStyle name="Lien hypertexte visité" xfId="6664" builtinId="9" hidden="1"/>
    <cellStyle name="Lien hypertexte visité" xfId="13641" builtinId="9" hidden="1"/>
    <cellStyle name="Lien hypertexte visité" xfId="17887" builtinId="9" hidden="1"/>
    <cellStyle name="Lien hypertexte visité" xfId="23164" builtinId="9" hidden="1"/>
    <cellStyle name="Lien hypertexte visité" xfId="11680" builtinId="9" hidden="1"/>
    <cellStyle name="Lien hypertexte visité" xfId="9272" builtinId="9" hidden="1"/>
    <cellStyle name="Lien hypertexte visité" xfId="10640" builtinId="9" hidden="1"/>
    <cellStyle name="Lien hypertexte visité" xfId="12856" builtinId="9" hidden="1"/>
    <cellStyle name="Lien hypertexte visité" xfId="14224" builtinId="9" hidden="1"/>
    <cellStyle name="Lien hypertexte visité" xfId="15645" builtinId="9" hidden="1"/>
    <cellStyle name="Lien hypertexte visité" xfId="21084" builtinId="9" hidden="1"/>
    <cellStyle name="Lien hypertexte visité" xfId="23132" builtinId="9" hidden="1"/>
    <cellStyle name="Lien hypertexte visité" xfId="23358" builtinId="9" hidden="1"/>
    <cellStyle name="Lien hypertexte visité" xfId="18926" builtinId="9" hidden="1"/>
    <cellStyle name="Lien hypertexte visité" xfId="16207" builtinId="9" hidden="1"/>
    <cellStyle name="Lien hypertexte visité" xfId="14001" builtinId="9" hidden="1"/>
    <cellStyle name="Lien hypertexte visité" xfId="11777" builtinId="9" hidden="1"/>
    <cellStyle name="Lien hypertexte visité" xfId="10417" builtinId="9" hidden="1"/>
    <cellStyle name="Lien hypertexte visité" xfId="9393" builtinId="9" hidden="1"/>
    <cellStyle name="Lien hypertexte visité" xfId="6656" builtinId="9" hidden="1"/>
    <cellStyle name="Lien hypertexte visité" xfId="5808" builtinId="9" hidden="1"/>
    <cellStyle name="Lien hypertexte visité" xfId="4440" builtinId="9" hidden="1"/>
    <cellStyle name="Lien hypertexte visité" xfId="2218" builtinId="9" hidden="1"/>
    <cellStyle name="Lien hypertexte visité" xfId="535" builtinId="9" hidden="1"/>
    <cellStyle name="Lien hypertexte visité" xfId="7695" builtinId="9" hidden="1"/>
    <cellStyle name="Lien hypertexte visité" xfId="4111" builtinId="9" hidden="1"/>
    <cellStyle name="Lien hypertexte visité" xfId="2057" builtinId="9" hidden="1"/>
    <cellStyle name="Lien hypertexte visité" xfId="389" builtinId="9" hidden="1"/>
    <cellStyle name="Lien hypertexte visité" xfId="4475" builtinId="9" hidden="1"/>
    <cellStyle name="Lien hypertexte visité" xfId="5755" builtinId="9" hidden="1"/>
    <cellStyle name="Lien hypertexte visité" xfId="7803" builtinId="9" hidden="1"/>
    <cellStyle name="Lien hypertexte visité" xfId="11388" builtinId="9" hidden="1"/>
    <cellStyle name="Lien hypertexte visité" xfId="13436" builtinId="9" hidden="1"/>
    <cellStyle name="Lien hypertexte visité" xfId="16453" builtinId="9" hidden="1"/>
    <cellStyle name="Lien hypertexte visité" xfId="23092" builtinId="9" hidden="1"/>
    <cellStyle name="Lien hypertexte visité" xfId="22038" builtinId="9" hidden="1"/>
    <cellStyle name="Lien hypertexte visité" xfId="19478" builtinId="9" hidden="1"/>
    <cellStyle name="Lien hypertexte visité" xfId="12909" builtinId="9" hidden="1"/>
    <cellStyle name="Lien hypertexte visité" xfId="11373" builtinId="9" hidden="1"/>
    <cellStyle name="Lien hypertexte visité" xfId="9325" builtinId="9" hidden="1"/>
    <cellStyle name="Lien hypertexte visité" xfId="14887" builtinId="9" hidden="1"/>
    <cellStyle name="Lien hypertexte visité" xfId="22068" builtinId="9" hidden="1"/>
    <cellStyle name="Lien hypertexte visité" xfId="12156" builtinId="9" hidden="1"/>
    <cellStyle name="Lien hypertexte visité" xfId="1909" builtinId="9" hidden="1"/>
    <cellStyle name="Lien hypertexte visité" xfId="5391" builtinId="9" hidden="1"/>
    <cellStyle name="Lien hypertexte visité" xfId="199" builtinId="9" hidden="1"/>
    <cellStyle name="Lien hypertexte visité" xfId="8881" builtinId="9" hidden="1"/>
    <cellStyle name="Lien hypertexte visité" xfId="11609" builtinId="9" hidden="1"/>
    <cellStyle name="Lien hypertexte visité" xfId="16895" builtinId="9" hidden="1"/>
    <cellStyle name="Lien hypertexte visité" xfId="18700" builtinId="9" hidden="1"/>
    <cellStyle name="Lien hypertexte visité" xfId="12520" builtinId="9" hidden="1"/>
    <cellStyle name="Lien hypertexte visité" xfId="10144" builtinId="9" hidden="1"/>
    <cellStyle name="Lien hypertexte visité" xfId="8521" builtinId="9" hidden="1"/>
    <cellStyle name="Lien hypertexte visité" xfId="9737" builtinId="9" hidden="1"/>
    <cellStyle name="Lien hypertexte visité" xfId="12489" builtinId="9" hidden="1"/>
    <cellStyle name="Lien hypertexte visité" xfId="22396" builtinId="9" hidden="1"/>
    <cellStyle name="Lien hypertexte visité" xfId="16909" builtinId="9" hidden="1"/>
    <cellStyle name="Lien hypertexte visité" xfId="11616" builtinId="9" hidden="1"/>
    <cellStyle name="Lien hypertexte visité" xfId="10192" builtinId="9" hidden="1"/>
    <cellStyle name="Lien hypertexte visité" xfId="11560" builtinId="9" hidden="1"/>
    <cellStyle name="Lien hypertexte visité" xfId="12920" builtinId="9" hidden="1"/>
    <cellStyle name="Lien hypertexte visité" xfId="15901" builtinId="9" hidden="1"/>
    <cellStyle name="Lien hypertexte visité" xfId="18604" builtinId="9" hidden="1"/>
    <cellStyle name="Lien hypertexte visité" xfId="20444" builtinId="9" hidden="1"/>
    <cellStyle name="Lien hypertexte visité" xfId="23326" builtinId="9" hidden="1"/>
    <cellStyle name="Lien hypertexte visité" xfId="21534" builtinId="9" hidden="1"/>
    <cellStyle name="Lien hypertexte visité" xfId="18798" builtinId="9" hidden="1"/>
    <cellStyle name="Lien hypertexte visité" xfId="14385" builtinId="9" hidden="1"/>
    <cellStyle name="Lien hypertexte visité" xfId="13017" builtinId="9" hidden="1"/>
    <cellStyle name="Lien hypertexte visité" xfId="11649" builtinId="9" hidden="1"/>
    <cellStyle name="Lien hypertexte visité" xfId="9369" builtinId="9" hidden="1"/>
    <cellStyle name="Lien hypertexte visité" xfId="8001" builtinId="9" hidden="1"/>
    <cellStyle name="Lien hypertexte visité" xfId="7104" builtinId="9" hidden="1"/>
    <cellStyle name="Lien hypertexte visité" xfId="4376" builtinId="9" hidden="1"/>
    <cellStyle name="Lien hypertexte visité" xfId="3450" builtinId="9" hidden="1"/>
    <cellStyle name="Lien hypertexte visité" xfId="2090" builtinId="9" hidden="1"/>
    <cellStyle name="Lien hypertexte visité" xfId="8176" builtinId="9" hidden="1"/>
    <cellStyle name="Lien hypertexte visité" xfId="6127" builtinId="9" hidden="1"/>
    <cellStyle name="Lien hypertexte visité" xfId="4079" builtinId="9" hidden="1"/>
    <cellStyle name="Lien hypertexte visité" xfId="185" builtinId="9" hidden="1"/>
    <cellStyle name="Lien hypertexte visité" xfId="2517" builtinId="9" hidden="1"/>
    <cellStyle name="Lien hypertexte visité" xfId="3903" builtinId="9" hidden="1"/>
    <cellStyle name="Lien hypertexte visité" xfId="7996" builtinId="9" hidden="1"/>
    <cellStyle name="Lien hypertexte visité" xfId="9372" builtinId="9" hidden="1"/>
    <cellStyle name="Lien hypertexte visité" xfId="11420" builtinId="9" hidden="1"/>
    <cellStyle name="Lien hypertexte visité" xfId="15109" builtinId="9" hidden="1"/>
    <cellStyle name="Lien hypertexte visité" xfId="19188" builtinId="9" hidden="1"/>
    <cellStyle name="Lien hypertexte visité" xfId="23284" builtinId="9" hidden="1"/>
    <cellStyle name="Lien hypertexte visité" xfId="19094" builtinId="9" hidden="1"/>
    <cellStyle name="Lien hypertexte visité" xfId="15015" builtinId="9" hidden="1"/>
    <cellStyle name="Lien hypertexte visité" xfId="13389" builtinId="9" hidden="1"/>
    <cellStyle name="Lien hypertexte visité" xfId="9293" builtinId="9" hidden="1"/>
    <cellStyle name="Lien hypertexte visité" xfId="7949" builtinId="9" hidden="1"/>
    <cellStyle name="Lien hypertexte visité" xfId="5900" builtinId="9" hidden="1"/>
    <cellStyle name="Lien hypertexte visité" xfId="2470" builtinId="9" hidden="1"/>
    <cellStyle name="Lien hypertexte visité" xfId="291" builtinId="9" hidden="1"/>
    <cellStyle name="Lien hypertexte visité" xfId="2776" builtinId="9" hidden="1"/>
    <cellStyle name="Lien hypertexte visité" xfId="6206" builtinId="9" hidden="1"/>
    <cellStyle name="Lien hypertexte visité" xfId="8255" builtinId="9" hidden="1"/>
    <cellStyle name="Lien hypertexte visité" xfId="9599" builtinId="9" hidden="1"/>
    <cellStyle name="Lien hypertexte visité" xfId="13695" builtinId="9" hidden="1"/>
    <cellStyle name="Lien hypertexte visité" xfId="15627" builtinId="9" hidden="1"/>
    <cellStyle name="Lien hypertexte visité" xfId="9022" builtinId="9" hidden="1"/>
    <cellStyle name="Lien hypertexte visité" xfId="8587" builtinId="9" hidden="1"/>
    <cellStyle name="Lien hypertexte visité" xfId="6834" builtinId="9" hidden="1"/>
    <cellStyle name="Lien hypertexte visité" xfId="5074" builtinId="9" hidden="1"/>
    <cellStyle name="Lien hypertexte visité" xfId="2148" builtinId="9" hidden="1"/>
    <cellStyle name="Lien hypertexte visité" xfId="4450" builtinId="9" hidden="1"/>
    <cellStyle name="Lien hypertexte visité" xfId="12491" builtinId="9" hidden="1"/>
    <cellStyle name="Lien hypertexte visité" xfId="14427" builtinId="9" hidden="1"/>
    <cellStyle name="Lien hypertexte visité" xfId="13371" builtinId="9" hidden="1"/>
    <cellStyle name="Lien hypertexte visité" xfId="15987" builtinId="9" hidden="1"/>
    <cellStyle name="Lien hypertexte visité" xfId="13587" builtinId="9" hidden="1"/>
    <cellStyle name="Lien hypertexte visité" xfId="9987" builtinId="9" hidden="1"/>
    <cellStyle name="Lien hypertexte visité" xfId="11627" builtinId="9" hidden="1"/>
    <cellStyle name="Lien hypertexte visité" xfId="1219" builtinId="9" hidden="1"/>
    <cellStyle name="Lien hypertexte visité" xfId="2980" builtinId="9" hidden="1"/>
    <cellStyle name="Lien hypertexte visité" xfId="4154" builtinId="9" hidden="1"/>
    <cellStyle name="Lien hypertexte visité" xfId="7666" builtinId="9" hidden="1"/>
    <cellStyle name="Lien hypertexte visité" xfId="8835" builtinId="9" hidden="1"/>
    <cellStyle name="Lien hypertexte visité" xfId="4136" builtinId="9" hidden="1"/>
    <cellStyle name="Lien hypertexte visité" xfId="14377" builtinId="9" hidden="1"/>
    <cellStyle name="Lien hypertexte visité" xfId="22716" builtinId="9" hidden="1"/>
    <cellStyle name="Lien hypertexte visité" xfId="12480" builtinId="9" hidden="1"/>
    <cellStyle name="Lien hypertexte visité" xfId="11056" builtinId="9" hidden="1"/>
    <cellStyle name="Lien hypertexte visité" xfId="13104" builtinId="9" hidden="1"/>
    <cellStyle name="Lien hypertexte visité" xfId="14472" builtinId="9" hidden="1"/>
    <cellStyle name="Lien hypertexte visité" xfId="22604" builtinId="9" hidden="1"/>
    <cellStyle name="Lien hypertexte visité" xfId="23902" builtinId="9" hidden="1"/>
    <cellStyle name="Lien hypertexte visité" xfId="19806" builtinId="9" hidden="1"/>
    <cellStyle name="Lien hypertexte visité" xfId="13753" builtinId="9" hidden="1"/>
    <cellStyle name="Lien hypertexte visité" xfId="11705" builtinId="9" hidden="1"/>
    <cellStyle name="Lien hypertexte visité" xfId="9657" builtinId="9" hidden="1"/>
    <cellStyle name="Lien hypertexte visité" xfId="6240" builtinId="9" hidden="1"/>
    <cellStyle name="Lien hypertexte visité" xfId="4192" builtinId="9" hidden="1"/>
    <cellStyle name="Lien hypertexte visité" xfId="2826" builtinId="9" hidden="1"/>
    <cellStyle name="Lien hypertexte visité" xfId="6559" builtinId="9" hidden="1"/>
    <cellStyle name="Lien hypertexte visité" xfId="4511" builtinId="9" hidden="1"/>
    <cellStyle name="Lien hypertexte visité" xfId="1432" builtinId="9" hidden="1"/>
    <cellStyle name="Lien hypertexte visité" xfId="4843" builtinId="9" hidden="1"/>
    <cellStyle name="Lien hypertexte visité" xfId="7916" builtinId="9" hidden="1"/>
    <cellStyle name="Lien hypertexte visité" xfId="10988" builtinId="9" hidden="1"/>
    <cellStyle name="Lien hypertexte visité" xfId="17701" builtinId="9" hidden="1"/>
    <cellStyle name="Lien hypertexte visité" xfId="23828" builtinId="9" hidden="1"/>
    <cellStyle name="Lien hypertexte visité" xfId="21302" builtinId="9" hidden="1"/>
    <cellStyle name="Lien hypertexte visité" xfId="14060" builtinId="9" hidden="1"/>
    <cellStyle name="Lien hypertexte visité" xfId="5867" builtinId="9" hidden="1"/>
    <cellStyle name="Lien hypertexte visité" xfId="3481" builtinId="9" hidden="1"/>
    <cellStyle name="Lien hypertexte visité" xfId="7608" builtinId="9" hidden="1"/>
    <cellStyle name="Lien hypertexte visité" xfId="13073" builtinId="9" hidden="1"/>
    <cellStyle name="Lien hypertexte visité" xfId="22526" builtinId="9" hidden="1"/>
    <cellStyle name="Lien hypertexte visité" xfId="9688" builtinId="9" hidden="1"/>
    <cellStyle name="Lien hypertexte visité" xfId="18322" builtinId="9" hidden="1"/>
    <cellStyle name="Lien hypertexte visité" xfId="9419" builtinId="9" hidden="1"/>
    <cellStyle name="Lien hypertexte visité" xfId="6818" builtinId="9" hidden="1"/>
    <cellStyle name="Lien hypertexte visité" xfId="14123" builtinId="9" hidden="1"/>
    <cellStyle name="Lien hypertexte visité" xfId="15843" builtinId="9" hidden="1"/>
    <cellStyle name="Lien hypertexte visité" xfId="3316" builtinId="9" hidden="1"/>
    <cellStyle name="Lien hypertexte visité" xfId="8003" builtinId="9" hidden="1"/>
    <cellStyle name="Lien hypertexte visité" xfId="16971" builtinId="9" hidden="1"/>
    <cellStyle name="Lien hypertexte visité" xfId="4830" builtinId="9" hidden="1"/>
    <cellStyle name="Lien hypertexte visité" xfId="1798" builtinId="9" hidden="1"/>
    <cellStyle name="Lien hypertexte visité" xfId="7244" builtinId="9" hidden="1"/>
    <cellStyle name="Lien hypertexte visité" xfId="21846" builtinId="9" hidden="1"/>
    <cellStyle name="Lien hypertexte visité" xfId="16517" builtinId="9" hidden="1"/>
    <cellStyle name="Lien hypertexte visité" xfId="10044" builtinId="9" hidden="1"/>
    <cellStyle name="Lien hypertexte visité" xfId="2025" builtinId="9" hidden="1"/>
    <cellStyle name="Lien hypertexte visité" xfId="7503" builtinId="9" hidden="1"/>
    <cellStyle name="Lien hypertexte visité" xfId="3002" builtinId="9" hidden="1"/>
    <cellStyle name="Lien hypertexte visité" xfId="10289" builtinId="9" hidden="1"/>
    <cellStyle name="Lien hypertexte visité" xfId="13937" builtinId="9" hidden="1"/>
    <cellStyle name="Lien hypertexte visité" xfId="20590" builtinId="9" hidden="1"/>
    <cellStyle name="Lien hypertexte visité" xfId="14288" builtinId="9" hidden="1"/>
    <cellStyle name="Lien hypertexte visité" xfId="10664" builtinId="9" hidden="1"/>
    <cellStyle name="Lien hypertexte visité" xfId="14368" builtinId="9" hidden="1"/>
    <cellStyle name="Lien hypertexte visité" xfId="18894" builtinId="9" hidden="1"/>
    <cellStyle name="Lien hypertexte visité" xfId="15981" builtinId="9" hidden="1"/>
    <cellStyle name="Lien hypertexte visité" xfId="12977" builtinId="9" hidden="1"/>
    <cellStyle name="Lien hypertexte visité" xfId="6011" builtinId="9" hidden="1"/>
    <cellStyle name="Lien hypertexte visité" xfId="18966" builtinId="9" hidden="1"/>
    <cellStyle name="Lien hypertexte visité" xfId="10861" builtinId="9" hidden="1"/>
    <cellStyle name="Lien hypertexte visité" xfId="20532" builtinId="9" hidden="1"/>
    <cellStyle name="Lien hypertexte visité" xfId="11900" builtinId="9" hidden="1"/>
    <cellStyle name="Lien hypertexte visité" xfId="6523" builtinId="9" hidden="1"/>
    <cellStyle name="Lien hypertexte visité" xfId="5647" builtinId="9" hidden="1"/>
    <cellStyle name="Lien hypertexte visité" xfId="1706" builtinId="9" hidden="1"/>
    <cellStyle name="Lien hypertexte visité" xfId="5296" builtinId="9" hidden="1"/>
    <cellStyle name="Lien hypertexte visité" xfId="12633" builtinId="9" hidden="1"/>
    <cellStyle name="Lien hypertexte visité" xfId="17919" builtinId="9" hidden="1"/>
    <cellStyle name="Lien hypertexte visité" xfId="23820" builtinId="9" hidden="1"/>
    <cellStyle name="Lien hypertexte visité" xfId="12008" builtinId="9" hidden="1"/>
    <cellStyle name="Lien hypertexte visité" xfId="10656" builtinId="9" hidden="1"/>
    <cellStyle name="Lien hypertexte visité" xfId="20942" builtinId="9" hidden="1"/>
    <cellStyle name="Lien hypertexte visité" xfId="9929" builtinId="9" hidden="1"/>
    <cellStyle name="Lien hypertexte visité" xfId="13513" builtinId="9" hidden="1"/>
    <cellStyle name="Lien hypertexte visité" xfId="19662" builtinId="9" hidden="1"/>
    <cellStyle name="Lien hypertexte visité" xfId="14861" builtinId="9" hidden="1"/>
    <cellStyle name="Lien hypertexte visité" xfId="11104" builtinId="9" hidden="1"/>
    <cellStyle name="Lien hypertexte visité" xfId="9336" builtinId="9" hidden="1"/>
    <cellStyle name="Lien hypertexte visité" xfId="11728" builtinId="9" hidden="1"/>
    <cellStyle name="Lien hypertexte visité" xfId="12984" builtinId="9" hidden="1"/>
    <cellStyle name="Lien hypertexte visité" xfId="14184" builtinId="9" hidden="1"/>
    <cellStyle name="Lien hypertexte visité" xfId="18732" builtinId="9" hidden="1"/>
    <cellStyle name="Lien hypertexte visité" xfId="21132" builtinId="9" hidden="1"/>
    <cellStyle name="Lien hypertexte visité" xfId="23516" builtinId="9" hidden="1"/>
    <cellStyle name="Lien hypertexte visité" xfId="20846" builtinId="9" hidden="1"/>
    <cellStyle name="Lien hypertexte visité" xfId="18462" builtinId="9" hidden="1"/>
    <cellStyle name="Lien hypertexte visité" xfId="15951" builtinId="9" hidden="1"/>
    <cellStyle name="Lien hypertexte visité" xfId="12849" builtinId="9" hidden="1"/>
    <cellStyle name="Lien hypertexte visité" xfId="11585" builtinId="9" hidden="1"/>
    <cellStyle name="Lien hypertexte visité" xfId="10393" builtinId="9" hidden="1"/>
    <cellStyle name="Lien hypertexte visité" xfId="7961" builtinId="9" hidden="1"/>
    <cellStyle name="Lien hypertexte visité" xfId="6768" builtinId="9" hidden="1"/>
    <cellStyle name="Lien hypertexte visité" xfId="5568" builtinId="9" hidden="1"/>
    <cellStyle name="Lien hypertexte visité" xfId="3114" builtinId="9" hidden="1"/>
    <cellStyle name="Lien hypertexte visité" xfId="1914" builtinId="9" hidden="1"/>
    <cellStyle name="Lien hypertexte visité" xfId="151" builtinId="9" hidden="1"/>
    <cellStyle name="Lien hypertexte visité" xfId="5871" builtinId="9" hidden="1"/>
    <cellStyle name="Lien hypertexte visité" xfId="4015" builtinId="9" hidden="1"/>
    <cellStyle name="Lien hypertexte visité" xfId="2217" builtinId="9" hidden="1"/>
    <cellStyle name="Lien hypertexte visité" xfId="2613" builtinId="9" hidden="1"/>
    <cellStyle name="Lien hypertexte visité" xfId="4411" builtinId="9" hidden="1"/>
    <cellStyle name="Lien hypertexte visité" xfId="6203" builtinId="9" hidden="1"/>
    <cellStyle name="Lien hypertexte visité" xfId="9884" builtinId="9" hidden="1"/>
    <cellStyle name="Lien hypertexte visité" xfId="11676" builtinId="9" hidden="1"/>
    <cellStyle name="Lien hypertexte visité" xfId="13532" builtinId="9" hidden="1"/>
    <cellStyle name="Lien hypertexte visité" xfId="19700" builtinId="9" hidden="1"/>
    <cellStyle name="Lien hypertexte visité" xfId="23476" builtinId="9" hidden="1"/>
    <cellStyle name="Lien hypertexte visité" xfId="22166" builtinId="9" hidden="1"/>
    <cellStyle name="Lien hypertexte visité" xfId="14823" builtinId="9" hidden="1"/>
    <cellStyle name="Lien hypertexte visité" xfId="12877" builtinId="9" hidden="1"/>
    <cellStyle name="Lien hypertexte visité" xfId="11085" builtinId="9" hidden="1"/>
    <cellStyle name="Lien hypertexte visité" xfId="7436" builtinId="9" hidden="1"/>
    <cellStyle name="Lien hypertexte visité" xfId="5644" builtinId="9" hidden="1"/>
    <cellStyle name="Lien hypertexte visité" xfId="3759" builtinId="9" hidden="1"/>
    <cellStyle name="Lien hypertexte visité" xfId="803" builtinId="9" hidden="1"/>
    <cellStyle name="Lien hypertexte visité" xfId="2872" builtinId="9" hidden="1"/>
    <cellStyle name="Lien hypertexte visité" xfId="4670" builtinId="9" hidden="1"/>
    <cellStyle name="Lien hypertexte visité" xfId="8319" builtinId="9" hidden="1"/>
    <cellStyle name="Lien hypertexte visité" xfId="10111" builtinId="9" hidden="1"/>
    <cellStyle name="Lien hypertexte visité" xfId="11903" builtinId="9" hidden="1"/>
    <cellStyle name="Lien hypertexte visité" xfId="16651" builtinId="9" hidden="1"/>
    <cellStyle name="Lien hypertexte visité" xfId="9190" builtinId="9" hidden="1"/>
    <cellStyle name="Lien hypertexte visité" xfId="759" builtinId="9" hidden="1"/>
    <cellStyle name="Lien hypertexte visité" xfId="6610" builtinId="9" hidden="1"/>
    <cellStyle name="Lien hypertexte visité" xfId="5002" builtinId="9" hidden="1"/>
    <cellStyle name="Lien hypertexte visité" xfId="3460" builtinId="9" hidden="1"/>
    <cellStyle name="Lien hypertexte visité" xfId="4962" builtinId="9" hidden="1"/>
    <cellStyle name="Lien hypertexte visité" xfId="12083" builtinId="9" hidden="1"/>
    <cellStyle name="Lien hypertexte visité" xfId="10643" builtinId="9" hidden="1"/>
    <cellStyle name="Lien hypertexte visité" xfId="12971" builtinId="9" hidden="1"/>
    <cellStyle name="Lien hypertexte visité" xfId="16675" builtinId="9" hidden="1"/>
    <cellStyle name="Lien hypertexte visité" xfId="15379" builtinId="9" hidden="1"/>
    <cellStyle name="Lien hypertexte visité" xfId="10195" builtinId="9" hidden="1"/>
    <cellStyle name="Lien hypertexte visité" xfId="11699" builtinId="9" hidden="1"/>
    <cellStyle name="Lien hypertexte visité" xfId="7843" builtinId="9" hidden="1"/>
    <cellStyle name="Lien hypertexte visité" xfId="3052" builtinId="9" hidden="1"/>
    <cellStyle name="Lien hypertexte visité" xfId="4594" builtinId="9" hidden="1"/>
    <cellStyle name="Lien hypertexte visité" xfId="6130" builtinId="9" hidden="1"/>
    <cellStyle name="Lien hypertexte visité" xfId="9275" builtinId="9" hidden="1"/>
    <cellStyle name="Lien hypertexte visité" xfId="4904" builtinId="9" hidden="1"/>
    <cellStyle name="Lien hypertexte visité" xfId="10537" builtinId="9" hidden="1"/>
    <cellStyle name="Lien hypertexte visité" xfId="21180" builtinId="9" hidden="1"/>
    <cellStyle name="Lien hypertexte visité" xfId="12224" builtinId="9" hidden="1"/>
    <cellStyle name="Lien hypertexte visité" xfId="9520" builtinId="9" hidden="1"/>
    <cellStyle name="Lien hypertexte visité" xfId="13192" builtinId="9" hidden="1"/>
    <cellStyle name="Lien hypertexte visité" xfId="15453" builtinId="9" hidden="1"/>
    <cellStyle name="Lien hypertexte visité" xfId="19020" builtinId="9" hidden="1"/>
    <cellStyle name="Lien hypertexte visité" xfId="22878" builtinId="9" hidden="1"/>
    <cellStyle name="Lien hypertexte visité" xfId="19294" builtinId="9" hidden="1"/>
    <cellStyle name="Lien hypertexte visité" xfId="15551" builtinId="9" hidden="1"/>
    <cellStyle name="Lien hypertexte visité" xfId="11449" builtinId="9" hidden="1"/>
    <cellStyle name="Lien hypertexte visité" xfId="9569" builtinId="9" hidden="1"/>
    <cellStyle name="Lien hypertexte visité" xfId="7776" builtinId="9" hidden="1"/>
    <cellStyle name="Lien hypertexte visité" xfId="4112" builtinId="9" hidden="1"/>
    <cellStyle name="Lien hypertexte visité" xfId="2314" builtinId="9" hidden="1"/>
    <cellStyle name="Lien hypertexte visité" xfId="85" builtinId="9" hidden="1"/>
    <cellStyle name="Lien hypertexte visité" xfId="3746" builtinId="9" hidden="1"/>
    <cellStyle name="Lien hypertexte visité" xfId="933" builtinId="9" hidden="1"/>
    <cellStyle name="Lien hypertexte visité" xfId="2917" builtinId="9" hidden="1"/>
    <cellStyle name="Lien hypertexte visité" xfId="8300" builtinId="9" hidden="1"/>
    <cellStyle name="Lien hypertexte visité" xfId="11116" builtinId="9" hidden="1"/>
    <cellStyle name="Lien hypertexte visité" xfId="13804" builtinId="9" hidden="1"/>
    <cellStyle name="Lien hypertexte visité" xfId="24084" builtinId="9" hidden="1"/>
    <cellStyle name="Lien hypertexte visité" xfId="19766" builtinId="9" hidden="1"/>
    <cellStyle name="Lien hypertexte visité" xfId="14461" builtinId="9" hidden="1"/>
    <cellStyle name="Lien hypertexte visité" xfId="8957" builtinId="9" hidden="1"/>
    <cellStyle name="Lien hypertexte visité" xfId="6268" builtinId="9" hidden="1"/>
    <cellStyle name="Lien hypertexte visité" xfId="3446" builtinId="9" hidden="1"/>
    <cellStyle name="Lien hypertexte visité" xfId="3080" builtinId="9" hidden="1"/>
    <cellStyle name="Lien hypertexte visité" xfId="5902" builtinId="9" hidden="1"/>
    <cellStyle name="Lien hypertexte visité" xfId="8591" builtinId="9" hidden="1"/>
    <cellStyle name="Lien hypertexte visité" xfId="14095" builtinId="9" hidden="1"/>
    <cellStyle name="Lien hypertexte visité" xfId="8798" builtinId="9" hidden="1"/>
    <cellStyle name="Lien hypertexte visité" xfId="10590" builtinId="9" hidden="1"/>
    <cellStyle name="Lien hypertexte visité" xfId="14258" builtinId="9" hidden="1"/>
    <cellStyle name="Lien hypertexte visité" xfId="17585" builtinId="9" hidden="1"/>
    <cellStyle name="Lien hypertexte visité" xfId="21320" builtinId="9" hidden="1"/>
    <cellStyle name="Lien hypertexte visité" xfId="20738" builtinId="9" hidden="1"/>
    <cellStyle name="Lien hypertexte visité" xfId="18251" builtinId="9" hidden="1"/>
    <cellStyle name="Lien hypertexte visité" xfId="20240" builtinId="9" hidden="1"/>
    <cellStyle name="Lien hypertexte visité" xfId="4449" builtinId="9" hidden="1"/>
    <cellStyle name="Lien hypertexte visité" xfId="5985" builtinId="9" hidden="1"/>
    <cellStyle name="Lien hypertexte visité" xfId="7521" builtinId="9" hidden="1"/>
    <cellStyle name="Lien hypertexte visité" xfId="3917" builtinId="9" hidden="1"/>
    <cellStyle name="Lien hypertexte visité" xfId="785" builtinId="9" hidden="1"/>
    <cellStyle name="Lien hypertexte visité" xfId="1795" builtinId="9" hidden="1"/>
    <cellStyle name="Lien hypertexte visité" xfId="8122" builtinId="9" hidden="1"/>
    <cellStyle name="Lien hypertexte visité" xfId="6513" builtinId="9" hidden="1"/>
    <cellStyle name="Lien hypertexte visité" xfId="4977" builtinId="9" hidden="1"/>
    <cellStyle name="Lien hypertexte visité" xfId="16247" builtinId="9" hidden="1"/>
    <cellStyle name="Lien hypertexte visité" xfId="13589" builtinId="9" hidden="1"/>
    <cellStyle name="Lien hypertexte visité" xfId="3948" builtinId="9" hidden="1"/>
    <cellStyle name="Lien hypertexte visité" xfId="13599" builtinId="9" hidden="1"/>
    <cellStyle name="Lien hypertexte visité" xfId="6545" builtinId="9" hidden="1"/>
    <cellStyle name="Lien hypertexte visité" xfId="5209" builtinId="9" hidden="1"/>
    <cellStyle name="Lien hypertexte visité" xfId="13066" builtinId="9" hidden="1"/>
    <cellStyle name="Lien hypertexte visité" xfId="20944" builtinId="9" hidden="1"/>
    <cellStyle name="Lien hypertexte visité" xfId="18938" builtinId="9" hidden="1"/>
    <cellStyle name="Lien hypertexte visité" xfId="23018" builtinId="9" hidden="1"/>
    <cellStyle name="Lien hypertexte visité" xfId="23096" builtinId="9" hidden="1"/>
    <cellStyle name="Lien hypertexte visité" xfId="19976" builtinId="9" hidden="1"/>
    <cellStyle name="Lien hypertexte visité" xfId="14142" builtinId="9" hidden="1"/>
    <cellStyle name="Lien hypertexte visité" xfId="12582" builtinId="9" hidden="1"/>
    <cellStyle name="Lien hypertexte visité" xfId="11006" builtinId="9" hidden="1"/>
    <cellStyle name="Lien hypertexte visité" xfId="22880" builtinId="9" hidden="1"/>
    <cellStyle name="Lien hypertexte visité" xfId="5117" builtinId="9" hidden="1"/>
    <cellStyle name="Lien hypertexte visité" xfId="1507" builtinId="9" hidden="1"/>
    <cellStyle name="Lien hypertexte visité" xfId="2187" builtinId="9" hidden="1"/>
    <cellStyle name="Lien hypertexte visité" xfId="3665" builtinId="9" hidden="1"/>
    <cellStyle name="Lien hypertexte visité" xfId="2495" builtinId="9" hidden="1"/>
    <cellStyle name="Lien hypertexte visité" xfId="6449" builtinId="9" hidden="1"/>
    <cellStyle name="Lien hypertexte visité" xfId="7653" builtinId="9" hidden="1"/>
    <cellStyle name="Lien hypertexte visité" xfId="2235" builtinId="9" hidden="1"/>
    <cellStyle name="Lien hypertexte visité" xfId="5917" builtinId="9" hidden="1"/>
    <cellStyle name="Lien hypertexte visité" xfId="4565" builtinId="9" hidden="1"/>
    <cellStyle name="Lien hypertexte visité" xfId="10010" builtinId="9" hidden="1"/>
    <cellStyle name="Lien hypertexte visité" xfId="5425" builtinId="9" hidden="1"/>
    <cellStyle name="Lien hypertexte visité" xfId="2903" builtinId="9" hidden="1"/>
    <cellStyle name="Lien hypertexte visité" xfId="7145" builtinId="9" hidden="1"/>
    <cellStyle name="Lien hypertexte visité" xfId="6345" builtinId="9" hidden="1"/>
    <cellStyle name="Lien hypertexte visité" xfId="6857" builtinId="9" hidden="1"/>
    <cellStyle name="Lien hypertexte visité" xfId="2991" builtinId="9" hidden="1"/>
    <cellStyle name="Lien hypertexte visité" xfId="705" builtinId="9" hidden="1"/>
    <cellStyle name="Lien hypertexte visité" xfId="2167" builtinId="9" hidden="1"/>
    <cellStyle name="Lien hypertexte visité" xfId="3620" builtinId="9" hidden="1"/>
    <cellStyle name="Lien hypertexte visité" xfId="14098" builtinId="9" hidden="1"/>
    <cellStyle name="Lien hypertexte visité" xfId="10110" builtinId="9" hidden="1"/>
    <cellStyle name="Lien hypertexte visité" xfId="11666" builtinId="9" hidden="1"/>
    <cellStyle name="Lien hypertexte visité" xfId="15089" builtinId="9" hidden="1"/>
    <cellStyle name="Lien hypertexte visité" xfId="18201" builtinId="9" hidden="1"/>
    <cellStyle name="Lien hypertexte visité" xfId="21304" builtinId="9" hidden="1"/>
    <cellStyle name="Lien hypertexte visité" xfId="21698" builtinId="9" hidden="1"/>
    <cellStyle name="Lien hypertexte visité" xfId="18578" builtinId="9" hidden="1"/>
    <cellStyle name="Lien hypertexte visité" xfId="22778" builtinId="9" hidden="1"/>
    <cellStyle name="Lien hypertexte visité" xfId="11082" builtinId="9" hidden="1"/>
    <cellStyle name="Lien hypertexte visité" xfId="4441" builtinId="9" hidden="1"/>
    <cellStyle name="Lien hypertexte visité" xfId="5777" builtinId="9" hidden="1"/>
    <cellStyle name="Lien hypertexte visité" xfId="10143" builtinId="9" hidden="1"/>
    <cellStyle name="Lien hypertexte visité" xfId="1944" builtinId="9" hidden="1"/>
    <cellStyle name="Lien hypertexte visité" xfId="7404" builtinId="9" hidden="1"/>
    <cellStyle name="Lien hypertexte visité" xfId="16197" builtinId="9" hidden="1"/>
    <cellStyle name="Lien hypertexte visité" xfId="7163" builtinId="9" hidden="1"/>
    <cellStyle name="Lien hypertexte visité" xfId="2185" builtinId="9" hidden="1"/>
    <cellStyle name="Lien hypertexte visité" xfId="6744" builtinId="9" hidden="1"/>
    <cellStyle name="Lien hypertexte visité" xfId="12209" builtinId="9" hidden="1"/>
    <cellStyle name="Lien hypertexte visité" xfId="20798" builtinId="9" hidden="1"/>
    <cellStyle name="Lien hypertexte visité" xfId="10552" builtinId="9" hidden="1"/>
    <cellStyle name="Lien hypertexte visité" xfId="23502" builtinId="9" hidden="1"/>
    <cellStyle name="Lien hypertexte visité" xfId="7624" builtinId="9" hidden="1"/>
    <cellStyle name="Lien hypertexte visité" xfId="22606" builtinId="9" hidden="1"/>
    <cellStyle name="Lien hypertexte visité" xfId="15757" builtinId="9" hidden="1"/>
    <cellStyle name="Lien hypertexte visité" xfId="9696" builtinId="9" hidden="1"/>
    <cellStyle name="Lien hypertexte visité" xfId="12216" builtinId="9" hidden="1"/>
    <cellStyle name="Lien hypertexte visité" xfId="14032" builtinId="9" hidden="1"/>
    <cellStyle name="Lien hypertexte visité" xfId="17213" builtinId="9" hidden="1"/>
    <cellStyle name="Lien hypertexte visité" xfId="24460" builtinId="9" hidden="1"/>
    <cellStyle name="Lien hypertexte visité" xfId="21102" builtinId="9" hidden="1"/>
    <cellStyle name="Lien hypertexte visité" xfId="17487" builtinId="9" hidden="1"/>
    <cellStyle name="Lien hypertexte visité" xfId="12353" builtinId="9" hidden="1"/>
    <cellStyle name="Lien hypertexte visité" xfId="10545" builtinId="9" hidden="1"/>
    <cellStyle name="Lien hypertexte visité" xfId="8729" builtinId="9" hidden="1"/>
    <cellStyle name="Lien hypertexte visité" xfId="5080" builtinId="9" hidden="1"/>
    <cellStyle name="Lien hypertexte visité" xfId="3258" builtinId="9" hidden="1"/>
    <cellStyle name="Lien hypertexte visité" xfId="1425" builtinId="9" hidden="1"/>
    <cellStyle name="Lien hypertexte visité" xfId="5167" builtinId="9" hidden="1"/>
    <cellStyle name="Lien hypertexte visité" xfId="2409" builtinId="9" hidden="1"/>
    <cellStyle name="Lien hypertexte visité" xfId="1460" builtinId="9" hidden="1"/>
    <cellStyle name="Lien hypertexte visité" xfId="6939" builtinId="9" hidden="1"/>
    <cellStyle name="Lien hypertexte visité" xfId="9660" builtinId="9" hidden="1"/>
    <cellStyle name="Lien hypertexte visité" xfId="12380" builtinId="9" hidden="1"/>
    <cellStyle name="Lien hypertexte visité" xfId="21172" builtinId="9" hidden="1"/>
    <cellStyle name="Lien hypertexte visité" xfId="22614" builtinId="9" hidden="1"/>
    <cellStyle name="Lien hypertexte visité" xfId="17127" builtinId="9" hidden="1"/>
    <cellStyle name="Lien hypertexte visité" xfId="10381" builtinId="9" hidden="1"/>
    <cellStyle name="Lien hypertexte visité" xfId="7628" builtinId="9" hidden="1"/>
    <cellStyle name="Lien hypertexte visité" xfId="4908" builtinId="9" hidden="1"/>
    <cellStyle name="Lien hypertexte visité" xfId="1720" builtinId="9" hidden="1"/>
    <cellStyle name="Lien hypertexte visité" xfId="4446" builtinId="9" hidden="1"/>
    <cellStyle name="Lien hypertexte visité" xfId="7166" builtinId="9" hidden="1"/>
    <cellStyle name="Lien hypertexte visité" xfId="12639" builtinId="9" hidden="1"/>
    <cellStyle name="Lien hypertexte visité" xfId="16203" builtinId="9" hidden="1"/>
    <cellStyle name="Lien hypertexte visité" xfId="4424" builtinId="9" hidden="1"/>
    <cellStyle name="Lien hypertexte visité" xfId="5994" builtinId="9" hidden="1"/>
    <cellStyle name="Lien hypertexte visité" xfId="3645" builtinId="9" hidden="1"/>
    <cellStyle name="Lien hypertexte visité" xfId="1299" builtinId="9" hidden="1"/>
    <cellStyle name="Lien hypertexte visité" xfId="10067" builtinId="9" hidden="1"/>
    <cellStyle name="Lien hypertexte visité" xfId="13139" builtinId="9" hidden="1"/>
    <cellStyle name="Lien hypertexte visité" xfId="16915" builtinId="9" hidden="1"/>
    <cellStyle name="Lien hypertexte visité" xfId="10771" builtinId="9" hidden="1"/>
    <cellStyle name="Lien hypertexte visité" xfId="9123" builtinId="9" hidden="1"/>
    <cellStyle name="Lien hypertexte visité" xfId="2060" builtinId="9" hidden="1"/>
    <cellStyle name="Lien hypertexte visité" xfId="6746" builtinId="9" hidden="1"/>
    <cellStyle name="Lien hypertexte visité" xfId="9091" builtinId="9" hidden="1"/>
    <cellStyle name="Lien hypertexte visité" xfId="7080" builtinId="9" hidden="1"/>
    <cellStyle name="Lien hypertexte visité" xfId="16845" builtinId="9" hidden="1"/>
    <cellStyle name="Lien hypertexte visité" xfId="9304" builtinId="9" hidden="1"/>
    <cellStyle name="Lien hypertexte visité" xfId="12040" builtinId="9" hidden="1"/>
    <cellStyle name="Lien hypertexte visité" xfId="20460" builtinId="9" hidden="1"/>
    <cellStyle name="Lien hypertexte visité" xfId="23294" builtinId="9" hidden="1"/>
    <cellStyle name="Lien hypertexte visité" xfId="17855" builtinId="9" hidden="1"/>
    <cellStyle name="Lien hypertexte visité" xfId="10721" builtinId="9" hidden="1"/>
    <cellStyle name="Lien hypertexte visité" xfId="7993" builtinId="9" hidden="1"/>
    <cellStyle name="Lien hypertexte visité" xfId="5264" builtinId="9" hidden="1"/>
    <cellStyle name="Lien hypertexte visité" xfId="8160" builtinId="9" hidden="1"/>
    <cellStyle name="Lien hypertexte visité" xfId="2522" builtinId="9" hidden="1"/>
    <cellStyle name="Lien hypertexte visité" xfId="13457" builtinId="9" hidden="1"/>
    <cellStyle name="Lien hypertexte visité" xfId="15021" builtinId="9" hidden="1"/>
    <cellStyle name="Lien hypertexte visité" xfId="16031" builtinId="9" hidden="1"/>
    <cellStyle name="Lien hypertexte visité" xfId="4410" builtinId="9" hidden="1"/>
    <cellStyle name="Lien hypertexte visité" xfId="13819" builtinId="9" hidden="1"/>
    <cellStyle name="Lien hypertexte visité" xfId="12251" builtinId="9" hidden="1"/>
    <cellStyle name="Lien hypertexte visité" xfId="8331" builtinId="9" hidden="1"/>
    <cellStyle name="Lien hypertexte visité" xfId="9919" builtinId="9" hidden="1"/>
    <cellStyle name="Lien hypertexte visité" xfId="2182" builtinId="9" hidden="1"/>
    <cellStyle name="Lien hypertexte visité" xfId="13101" builtinId="9" hidden="1"/>
    <cellStyle name="Lien hypertexte visité" xfId="15749" builtinId="9" hidden="1"/>
    <cellStyle name="Lien hypertexte visité" xfId="4187" builtinId="9" hidden="1"/>
    <cellStyle name="Lien hypertexte visité" xfId="7888" builtinId="9" hidden="1"/>
    <cellStyle name="Lien hypertexte visité" xfId="6896" builtinId="9" hidden="1"/>
    <cellStyle name="Lien hypertexte visité" xfId="14193" builtinId="9" hidden="1"/>
    <cellStyle name="Lien hypertexte visité" xfId="20828" builtinId="9" hidden="1"/>
    <cellStyle name="Lien hypertexte visité" xfId="10408" builtinId="9" hidden="1"/>
    <cellStyle name="Lien hypertexte visité" xfId="13065" builtinId="9" hidden="1"/>
    <cellStyle name="Lien hypertexte visité" xfId="17517" builtinId="9" hidden="1"/>
    <cellStyle name="Lien hypertexte visité" xfId="1273" builtinId="9" hidden="1"/>
    <cellStyle name="Lien hypertexte visité" xfId="16679" builtinId="9" hidden="1"/>
    <cellStyle name="Lien hypertexte visité" xfId="7109" builtinId="9" hidden="1"/>
    <cellStyle name="Lien hypertexte visité" xfId="16993" builtinId="9" hidden="1"/>
    <cellStyle name="Lien hypertexte visité" xfId="24416" builtinId="9" hidden="1"/>
    <cellStyle name="Lien hypertexte visité" xfId="13222" builtinId="9" hidden="1"/>
    <cellStyle name="Lien hypertexte visité" xfId="21200" builtinId="9" hidden="1"/>
    <cellStyle name="Lien hypertexte visité" xfId="1543" builtinId="9" hidden="1"/>
    <cellStyle name="Lien hypertexte visité" xfId="7141" builtinId="9" hidden="1"/>
    <cellStyle name="Lien hypertexte visité" xfId="4069" builtinId="9" hidden="1"/>
    <cellStyle name="Lien hypertexte visité" xfId="4729" builtinId="9" hidden="1"/>
    <cellStyle name="Lien hypertexte visité" xfId="7878" builtinId="9" hidden="1"/>
    <cellStyle name="Lien hypertexte visité" xfId="633" builtinId="9" hidden="1"/>
    <cellStyle name="Lien hypertexte visité" xfId="9446" builtinId="9" hidden="1"/>
    <cellStyle name="Lien hypertexte visité" xfId="16881" builtinId="9" hidden="1"/>
    <cellStyle name="Lien hypertexte visité" xfId="19906" builtinId="9" hidden="1"/>
    <cellStyle name="Lien hypertexte visité" xfId="8394" builtinId="9" hidden="1"/>
    <cellStyle name="Lien hypertexte visité" xfId="5406" builtinId="9" hidden="1"/>
    <cellStyle name="Lien hypertexte visité" xfId="9914" builtinId="9" hidden="1"/>
    <cellStyle name="Lien hypertexte visité" xfId="2979" builtinId="9" hidden="1"/>
    <cellStyle name="Lien hypertexte visité" xfId="2487" builtinId="9" hidden="1"/>
    <cellStyle name="Lien hypertexte visité" xfId="12010" builtinId="9" hidden="1"/>
    <cellStyle name="Lien hypertexte visité" xfId="24322" builtinId="9" hidden="1"/>
    <cellStyle name="Lien hypertexte visité" xfId="12466" builtinId="9" hidden="1"/>
    <cellStyle name="Lien hypertexte visité" xfId="11279" builtinId="9" hidden="1"/>
    <cellStyle name="Lien hypertexte visité" xfId="351" builtinId="9" hidden="1"/>
    <cellStyle name="Lien hypertexte visité" xfId="11645" builtinId="9" hidden="1"/>
    <cellStyle name="Lien hypertexte visité" xfId="18452" builtinId="9" hidden="1"/>
    <cellStyle name="Lien hypertexte visité" xfId="5611" builtinId="9" hidden="1"/>
    <cellStyle name="Lien hypertexte visité" xfId="6431" builtinId="9" hidden="1"/>
    <cellStyle name="Lien hypertexte visité" xfId="5984" builtinId="9" hidden="1"/>
    <cellStyle name="Lien hypertexte visité" xfId="13241" builtinId="9" hidden="1"/>
    <cellStyle name="Lien hypertexte visité" xfId="22764" builtinId="9" hidden="1"/>
    <cellStyle name="Lien hypertexte visité" xfId="11312" builtinId="9" hidden="1"/>
    <cellStyle name="Lien hypertexte visité" xfId="17311" builtinId="9" hidden="1"/>
    <cellStyle name="Lien hypertexte visité" xfId="7738" builtinId="9" hidden="1"/>
    <cellStyle name="Lien hypertexte visité" xfId="1443" builtinId="9" hidden="1"/>
    <cellStyle name="Lien hypertexte visité" xfId="13987" builtinId="9" hidden="1"/>
    <cellStyle name="Lien hypertexte visité" xfId="14355" builtinId="9" hidden="1"/>
    <cellStyle name="Lien hypertexte visité" xfId="1924" builtinId="9" hidden="1"/>
    <cellStyle name="Lien hypertexte visité" xfId="8147" builtinId="9" hidden="1"/>
    <cellStyle name="Lien hypertexte visité" xfId="13791" builtinId="9" hidden="1"/>
    <cellStyle name="Lien hypertexte visité" xfId="6462" builtinId="9" hidden="1"/>
    <cellStyle name="Lien hypertexte visité" xfId="1958" builtinId="9" hidden="1"/>
    <cellStyle name="Lien hypertexte visité" xfId="9229" builtinId="9" hidden="1"/>
    <cellStyle name="Lien hypertexte visité" xfId="18582" builtinId="9" hidden="1"/>
    <cellStyle name="Lien hypertexte visité" xfId="16133" builtinId="9" hidden="1"/>
    <cellStyle name="Lien hypertexte visité" xfId="8092" builtinId="9" hidden="1"/>
    <cellStyle name="Lien hypertexte visité" xfId="285" builtinId="9" hidden="1"/>
    <cellStyle name="Lien hypertexte visité" xfId="7663" builtinId="9" hidden="1"/>
    <cellStyle name="Lien hypertexte visité" xfId="4312" builtinId="9" hidden="1"/>
    <cellStyle name="Lien hypertexte visité" xfId="9201" builtinId="9" hidden="1"/>
    <cellStyle name="Lien hypertexte visité" xfId="14041" builtinId="9" hidden="1"/>
    <cellStyle name="Lien hypertexte visité" xfId="23230" builtinId="9" hidden="1"/>
    <cellStyle name="Lien hypertexte visité" xfId="16237" builtinId="9" hidden="1"/>
    <cellStyle name="Lien hypertexte visité" xfId="10536" builtinId="9" hidden="1"/>
    <cellStyle name="Lien hypertexte visité" xfId="22012" builtinId="9" hidden="1"/>
    <cellStyle name="Lien hypertexte visité" xfId="6984" builtinId="9" hidden="1"/>
    <cellStyle name="Lien hypertexte visité" xfId="16669" builtinId="9" hidden="1"/>
    <cellStyle name="Lien hypertexte visité" xfId="9049" builtinId="9" hidden="1"/>
    <cellStyle name="Lien hypertexte visité" xfId="1117" builtinId="9" hidden="1"/>
    <cellStyle name="Lien hypertexte visité" xfId="17959" builtinId="9" hidden="1"/>
    <cellStyle name="Lien hypertexte visité" xfId="2042" builtinId="9" hidden="1"/>
    <cellStyle name="Lien hypertexte visité" xfId="13833" builtinId="9" hidden="1"/>
    <cellStyle name="Lien hypertexte visité" xfId="21340" builtinId="9" hidden="1"/>
    <cellStyle name="Lien hypertexte visité" xfId="6640" builtinId="9" hidden="1"/>
    <cellStyle name="Lien hypertexte visité" xfId="4571" builtinId="9" hidden="1"/>
    <cellStyle name="Lien hypertexte visité" xfId="12717" builtinId="9" hidden="1"/>
    <cellStyle name="Lien hypertexte visité" xfId="10303" builtinId="9" hidden="1"/>
    <cellStyle name="Lien hypertexte visité" xfId="11947" builtinId="9" hidden="1"/>
    <cellStyle name="Lien hypertexte visité" xfId="4738" builtinId="9" hidden="1"/>
    <cellStyle name="Lien hypertexte visité" xfId="15789" builtinId="9" hidden="1"/>
    <cellStyle name="Lien hypertexte visité" xfId="2138" builtinId="9" hidden="1"/>
    <cellStyle name="Lien hypertexte visité" xfId="19254" builtinId="9" hidden="1"/>
    <cellStyle name="Lien hypertexte visité" xfId="13036" builtinId="9" hidden="1"/>
    <cellStyle name="Lien hypertexte visité" xfId="2789" builtinId="9" hidden="1"/>
    <cellStyle name="Lien hypertexte visité" xfId="391" builtinId="9" hidden="1"/>
    <cellStyle name="Lien hypertexte visité" xfId="8289" builtinId="9" hidden="1"/>
    <cellStyle name="Lien hypertexte visité" xfId="15727" builtinId="9" hidden="1"/>
    <cellStyle name="Lien hypertexte visité" xfId="18508" builtinId="9" hidden="1"/>
    <cellStyle name="Lien hypertexte visité" xfId="9008" builtinId="9" hidden="1"/>
    <cellStyle name="Lien hypertexte visité" xfId="10281" builtinId="9" hidden="1"/>
    <cellStyle name="Lien hypertexte visité" xfId="5906" builtinId="9" hidden="1"/>
    <cellStyle name="Lien hypertexte visité" xfId="12723" builtinId="9" hidden="1"/>
    <cellStyle name="Lien hypertexte visité" xfId="15235" builtinId="9" hidden="1"/>
    <cellStyle name="Lien hypertexte visité" xfId="10851" builtinId="9" hidden="1"/>
    <cellStyle name="Lien hypertexte visité" xfId="3910" builtinId="9" hidden="1"/>
    <cellStyle name="Lien hypertexte visité" xfId="1217" builtinId="9" hidden="1"/>
    <cellStyle name="Lien hypertexte visité" xfId="11647" builtinId="9" hidden="1"/>
    <cellStyle name="Lien hypertexte visité" xfId="4158" builtinId="9" hidden="1"/>
    <cellStyle name="Lien hypertexte visité" xfId="3855" builtinId="9" hidden="1"/>
    <cellStyle name="Lien hypertexte visité" xfId="11341" builtinId="9" hidden="1"/>
    <cellStyle name="Lien hypertexte visité" xfId="23190" builtinId="9" hidden="1"/>
    <cellStyle name="Lien hypertexte visité" xfId="13468" builtinId="9" hidden="1"/>
    <cellStyle name="Lien hypertexte visité" xfId="5947" builtinId="9" hidden="1"/>
    <cellStyle name="Lien hypertexte visité" xfId="2729" builtinId="9" hidden="1"/>
    <cellStyle name="Lien hypertexte visité" xfId="279" builtinId="9" hidden="1"/>
    <cellStyle name="Lien hypertexte visité" xfId="5744" builtinId="9" hidden="1"/>
    <cellStyle name="Lien hypertexte visité" xfId="10737" builtinId="9" hidden="1"/>
    <cellStyle name="Lien hypertexte visité" xfId="16079" builtinId="9" hidden="1"/>
    <cellStyle name="Lien hypertexte visité" xfId="23180" builtinId="9" hidden="1"/>
    <cellStyle name="Lien hypertexte visité" xfId="13840" builtinId="9" hidden="1"/>
    <cellStyle name="Lien hypertexte visité" xfId="9296" builtinId="9" hidden="1"/>
    <cellStyle name="Lien hypertexte visité" xfId="18638" builtinId="9" hidden="1"/>
    <cellStyle name="Lien hypertexte visité" xfId="22140" builtinId="9" hidden="1"/>
    <cellStyle name="Lien hypertexte visité" xfId="24156" builtinId="9" hidden="1"/>
    <cellStyle name="Lien hypertexte visité" xfId="4784" builtinId="9" hidden="1"/>
    <cellStyle name="Lien hypertexte visité" xfId="8060" builtinId="9" hidden="1"/>
    <cellStyle name="Lien hypertexte visité" xfId="10605" builtinId="9" hidden="1"/>
    <cellStyle name="Lien hypertexte visité" xfId="15399" builtinId="9" hidden="1"/>
    <cellStyle name="Lien hypertexte visité" xfId="18996" builtinId="9" hidden="1"/>
    <cellStyle name="Lien hypertexte visité" xfId="9852" builtinId="9" hidden="1"/>
    <cellStyle name="Lien hypertexte visité" xfId="2421" builtinId="9" hidden="1"/>
    <cellStyle name="Lien hypertexte visité" xfId="6159" builtinId="9" hidden="1"/>
    <cellStyle name="Lien hypertexte visité" xfId="3066" builtinId="9" hidden="1"/>
    <cellStyle name="Lien hypertexte visité" xfId="8025" builtinId="9" hidden="1"/>
    <cellStyle name="Lien hypertexte visité" xfId="13145" builtinId="9" hidden="1"/>
    <cellStyle name="Lien hypertexte visité" xfId="20638" builtinId="9" hidden="1"/>
    <cellStyle name="Lien hypertexte visité" xfId="18348" builtinId="9" hidden="1"/>
    <cellStyle name="Lien hypertexte visité" xfId="11496" builtinId="9" hidden="1"/>
    <cellStyle name="Lien hypertexte visité" xfId="14989" builtinId="9" hidden="1"/>
    <cellStyle name="Lien hypertexte visité" xfId="9545" builtinId="9" hidden="1"/>
    <cellStyle name="Lien hypertexte visité" xfId="10249" builtinId="9" hidden="1"/>
    <cellStyle name="Lien hypertexte visité" xfId="15199" builtinId="9" hidden="1"/>
    <cellStyle name="Lien hypertexte visité" xfId="24060" builtinId="9" hidden="1"/>
    <cellStyle name="Lien hypertexte visité" xfId="14176" builtinId="9" hidden="1"/>
    <cellStyle name="Lien hypertexte visité" xfId="9760" builtinId="9" hidden="1"/>
    <cellStyle name="Lien hypertexte visité" xfId="10256" builtinId="9" hidden="1"/>
    <cellStyle name="Lien hypertexte visité" xfId="11896" builtinId="9" hidden="1"/>
    <cellStyle name="Lien hypertexte visité" xfId="13432" builtinId="9" hidden="1"/>
    <cellStyle name="Lien hypertexte visité" xfId="15677" builtinId="9" hidden="1"/>
    <cellStyle name="Lien hypertexte visité" xfId="18956" builtinId="9" hidden="1"/>
    <cellStyle name="Lien hypertexte visité" xfId="22028" builtinId="9" hidden="1"/>
    <cellStyle name="Lien hypertexte visité" xfId="23918" builtinId="9" hidden="1"/>
    <cellStyle name="Lien hypertexte visité" xfId="20510" builtinId="9" hidden="1"/>
    <cellStyle name="Lien hypertexte visité" xfId="17535" builtinId="9" hidden="1"/>
    <cellStyle name="Lien hypertexte visité" xfId="14321" builtinId="9" hidden="1"/>
    <cellStyle name="Lien hypertexte visité" xfId="12673" builtinId="9" hidden="1"/>
    <cellStyle name="Lien hypertexte visité" xfId="11137" builtinId="9" hidden="1"/>
    <cellStyle name="Lien hypertexte visité" xfId="9497" builtinId="9" hidden="1"/>
    <cellStyle name="Lien hypertexte visité" xfId="7833" builtinId="9" hidden="1"/>
    <cellStyle name="Lien hypertexte visité" xfId="6296" builtinId="9" hidden="1"/>
    <cellStyle name="Lien hypertexte visité" xfId="4656" builtinId="9" hidden="1"/>
    <cellStyle name="Lien hypertexte visité" xfId="2938" builtinId="9" hidden="1"/>
    <cellStyle name="Lien hypertexte visité" xfId="1465" builtinId="9" hidden="1"/>
    <cellStyle name="Lien hypertexte visité" xfId="8112" builtinId="9" hidden="1"/>
    <cellStyle name="Lien hypertexte visité" xfId="5615" builtinId="9" hidden="1"/>
    <cellStyle name="Lien hypertexte visité" xfId="3305" builtinId="9" hidden="1"/>
    <cellStyle name="Lien hypertexte visité" xfId="517" builtinId="9" hidden="1"/>
    <cellStyle name="Lien hypertexte visité" xfId="2773" builtinId="9" hidden="1"/>
    <cellStyle name="Lien hypertexte visité" xfId="5083" builtinId="9" hidden="1"/>
    <cellStyle name="Lien hypertexte visité" xfId="7579" builtinId="9" hidden="1"/>
    <cellStyle name="Lien hypertexte visité" xfId="10140" builtinId="9" hidden="1"/>
    <cellStyle name="Lien hypertexte visité" xfId="12348" builtinId="9" hidden="1"/>
    <cellStyle name="Lien hypertexte visité" xfId="15301" builtinId="9" hidden="1"/>
    <cellStyle name="Lien hypertexte visité" xfId="20212" builtinId="9" hidden="1"/>
    <cellStyle name="Lien hypertexte visité" xfId="24406" builtinId="9" hidden="1"/>
    <cellStyle name="Lien hypertexte visité" xfId="19414" builtinId="9" hidden="1"/>
    <cellStyle name="Lien hypertexte visité" xfId="14509" builtinId="9" hidden="1"/>
    <cellStyle name="Lien hypertexte visité" xfId="12205" builtinId="9" hidden="1"/>
    <cellStyle name="Lien hypertexte visité" xfId="9741" builtinId="9" hidden="1"/>
    <cellStyle name="Lien hypertexte visité" xfId="7180" builtinId="9" hidden="1"/>
    <cellStyle name="Lien hypertexte visité" xfId="4940" builtinId="9" hidden="1"/>
    <cellStyle name="Lien hypertexte visité" xfId="2374" builtinId="9" hidden="1"/>
    <cellStyle name="Lien hypertexte visité" xfId="1239" builtinId="9" hidden="1"/>
    <cellStyle name="Lien hypertexte visité" xfId="3544" builtinId="9" hidden="1"/>
    <cellStyle name="Lien hypertexte visité" xfId="6014" builtinId="9" hidden="1"/>
    <cellStyle name="Lien hypertexte visité" xfId="8511" builtinId="9" hidden="1"/>
    <cellStyle name="Lien hypertexte visité" xfId="10815" builtinId="9" hidden="1"/>
    <cellStyle name="Lien hypertexte visité" xfId="13279" builtinId="9" hidden="1"/>
    <cellStyle name="Lien hypertexte visité" xfId="17163" builtinId="9" hidden="1"/>
    <cellStyle name="Lien hypertexte visité" xfId="4552" builtinId="9" hidden="1"/>
    <cellStyle name="Lien hypertexte visité" xfId="8515" builtinId="9" hidden="1"/>
    <cellStyle name="Lien hypertexte visité" xfId="6394" builtinId="9" hidden="1"/>
    <cellStyle name="Lien hypertexte visité" xfId="4418" builtinId="9" hidden="1"/>
    <cellStyle name="Lien hypertexte visité" xfId="2292" builtinId="9" hidden="1"/>
    <cellStyle name="Lien hypertexte visité" xfId="5986" builtinId="9" hidden="1"/>
    <cellStyle name="Lien hypertexte visité" xfId="11531" builtinId="9" hidden="1"/>
    <cellStyle name="Lien hypertexte visité" xfId="9555" builtinId="9" hidden="1"/>
    <cellStyle name="Lien hypertexte visité" xfId="15715" builtinId="9" hidden="1"/>
    <cellStyle name="Lien hypertexte visité" xfId="16851" builtinId="9" hidden="1"/>
    <cellStyle name="Lien hypertexte visité" xfId="13659" builtinId="9" hidden="1"/>
    <cellStyle name="Lien hypertexte visité" xfId="10395" builtinId="9" hidden="1"/>
    <cellStyle name="Lien hypertexte visité" xfId="12243" builtinId="9" hidden="1"/>
    <cellStyle name="Lien hypertexte visité" xfId="987" builtinId="9" hidden="1"/>
    <cellStyle name="Lien hypertexte visité" xfId="3196" builtinId="9" hidden="1"/>
    <cellStyle name="Lien hypertexte visité" xfId="5178" builtinId="9" hidden="1"/>
    <cellStyle name="Lien hypertexte visité" xfId="7298" builtinId="9" hidden="1"/>
    <cellStyle name="Lien hypertexte visité" xfId="555" builtinId="9" hidden="1"/>
    <cellStyle name="Lien hypertexte visité" xfId="6952" builtinId="9" hidden="1"/>
    <cellStyle name="Lien hypertexte visité" xfId="14751" builtinId="9" hidden="1"/>
    <cellStyle name="Lien hypertexte visité" xfId="19644" builtinId="9" hidden="1"/>
    <cellStyle name="Lien hypertexte visité" xfId="10176" builtinId="9" hidden="1"/>
    <cellStyle name="Lien hypertexte visité" xfId="10888" builtinId="9" hidden="1"/>
    <cellStyle name="Lien hypertexte visité" xfId="13360" builtinId="9" hidden="1"/>
    <cellStyle name="Lien hypertexte visité" xfId="16813" builtinId="9" hidden="1"/>
    <cellStyle name="Lien hypertexte visité" xfId="21740" builtinId="9" hidden="1"/>
    <cellStyle name="Lien hypertexte visité" xfId="22366" builtinId="9" hidden="1"/>
    <cellStyle name="Lien hypertexte visité" xfId="17935" builtinId="9" hidden="1"/>
    <cellStyle name="Lien hypertexte visité" xfId="13665" builtinId="9" hidden="1"/>
    <cellStyle name="Lien hypertexte visité" xfId="11193" builtinId="9" hidden="1"/>
    <cellStyle name="Lien hypertexte visité" xfId="8889" builtinId="9" hidden="1"/>
    <cellStyle name="Lien hypertexte visité" xfId="6416" builtinId="9" hidden="1"/>
    <cellStyle name="Lien hypertexte visité" xfId="3936" builtinId="9" hidden="1"/>
    <cellStyle name="Lien hypertexte visité" xfId="1626" builtinId="9" hidden="1"/>
    <cellStyle name="Lien hypertexte visité" xfId="7199" builtinId="9" hidden="1"/>
    <cellStyle name="Lien hypertexte visité" xfId="3353" builtinId="9" hidden="1"/>
    <cellStyle name="Lien hypertexte visité" xfId="1085" builtinId="9" hidden="1"/>
    <cellStyle name="Lien hypertexte visité" xfId="4971" builtinId="9" hidden="1"/>
    <cellStyle name="Lien hypertexte visité" xfId="8684" builtinId="9" hidden="1"/>
    <cellStyle name="Lien hypertexte visité" xfId="12140" builtinId="9" hidden="1"/>
    <cellStyle name="Lien hypertexte visité" xfId="17189" builtinId="9" hidden="1"/>
    <cellStyle name="Lien hypertexte visité" xfId="24596" builtinId="9" hidden="1"/>
    <cellStyle name="Lien hypertexte visité" xfId="17735" builtinId="9" hidden="1"/>
    <cellStyle name="Lien hypertexte visité" xfId="12413" builtinId="9" hidden="1"/>
    <cellStyle name="Lien hypertexte visité" xfId="8573" builtinId="9" hidden="1"/>
    <cellStyle name="Lien hypertexte visité" xfId="5244" builtinId="9" hidden="1"/>
    <cellStyle name="Lien hypertexte visité" xfId="1397" builtinId="9" hidden="1"/>
    <cellStyle name="Lien hypertexte visité" xfId="3464" builtinId="9" hidden="1"/>
    <cellStyle name="Lien hypertexte visité" xfId="6926" builtinId="9" hidden="1"/>
    <cellStyle name="Lien hypertexte visité" xfId="10639" builtinId="9" hidden="1"/>
    <cellStyle name="Lien hypertexte visité" xfId="14351" builtinId="9" hidden="1"/>
    <cellStyle name="Lien hypertexte visité" xfId="9478" builtinId="9" hidden="1"/>
    <cellStyle name="Lien hypertexte visité" xfId="11954" builtinId="9" hidden="1"/>
    <cellStyle name="Lien hypertexte visité" xfId="14514" builtinId="9" hidden="1"/>
    <cellStyle name="Lien hypertexte visité" xfId="18936" builtinId="9" hidden="1"/>
    <cellStyle name="Lien hypertexte visité" xfId="24056" builtinId="9" hidden="1"/>
    <cellStyle name="Lien hypertexte visité" xfId="20226" builtinId="9" hidden="1"/>
    <cellStyle name="Lien hypertexte visité" xfId="22330" builtinId="9" hidden="1"/>
    <cellStyle name="Lien hypertexte visité" xfId="13290" builtinId="9" hidden="1"/>
    <cellStyle name="Lien hypertexte visité" xfId="4597" builtinId="9" hidden="1"/>
    <cellStyle name="Lien hypertexte visité" xfId="6573" builtinId="9" hidden="1"/>
    <cellStyle name="Lien hypertexte visité" xfId="4873" builtinId="9" hidden="1"/>
    <cellStyle name="Lien hypertexte visité" xfId="1519" builtinId="9" hidden="1"/>
    <cellStyle name="Lien hypertexte visité" xfId="809" builtinId="9" hidden="1"/>
    <cellStyle name="Lien hypertexte visité" xfId="3319" builtinId="9" hidden="1"/>
    <cellStyle name="Lien hypertexte visité" xfId="7902" builtinId="9" hidden="1"/>
    <cellStyle name="Lien hypertexte visité" xfId="5925" builtinId="9" hidden="1"/>
    <cellStyle name="Lien hypertexte visité" xfId="8634" builtinId="9" hidden="1"/>
    <cellStyle name="Lien hypertexte visité" xfId="15927" builtinId="9" hidden="1"/>
    <cellStyle name="Lien hypertexte visité" xfId="12917" builtinId="9" hidden="1"/>
    <cellStyle name="Lien hypertexte visité" xfId="3352" builtinId="9" hidden="1"/>
    <cellStyle name="Lien hypertexte visité" xfId="14731" builtinId="9" hidden="1"/>
    <cellStyle name="Lien hypertexte visité" xfId="6049" builtinId="9" hidden="1"/>
    <cellStyle name="Lien hypertexte visité" xfId="4205" builtinId="9" hidden="1"/>
    <cellStyle name="Lien hypertexte visité" xfId="13642" builtinId="9" hidden="1"/>
    <cellStyle name="Lien hypertexte visité" xfId="24528" builtinId="9" hidden="1"/>
    <cellStyle name="Lien hypertexte visité" xfId="19090" builtinId="9" hidden="1"/>
    <cellStyle name="Lien hypertexte visité" xfId="23402" builtinId="9" hidden="1"/>
    <cellStyle name="Lien hypertexte visité" xfId="21944" builtinId="9" hidden="1"/>
    <cellStyle name="Lien hypertexte visité" xfId="17649" builtinId="9" hidden="1"/>
    <cellStyle name="Lien hypertexte visité" xfId="13950" builtinId="9" hidden="1"/>
    <cellStyle name="Lien hypertexte visité" xfId="11986" builtinId="9" hidden="1"/>
    <cellStyle name="Lien hypertexte visité" xfId="9854" builtinId="9" hidden="1"/>
    <cellStyle name="Lien hypertexte visité" xfId="23618" builtinId="9" hidden="1"/>
    <cellStyle name="Lien hypertexte visité" xfId="3399" builtinId="9" hidden="1"/>
    <cellStyle name="Lien hypertexte visité" xfId="1174" builtinId="9" hidden="1"/>
    <cellStyle name="Lien hypertexte visité" xfId="2055" builtinId="9" hidden="1"/>
    <cellStyle name="Lien hypertexte visité" xfId="3215" builtinId="9" hidden="1"/>
    <cellStyle name="Lien hypertexte visité" xfId="8210" builtinId="9" hidden="1"/>
    <cellStyle name="Lien hypertexte visité" xfId="6613" builtinId="9" hidden="1"/>
    <cellStyle name="Lien hypertexte visité" xfId="8114" builtinId="9" hidden="1"/>
    <cellStyle name="Lien hypertexte visité" xfId="3091" builtinId="9" hidden="1"/>
    <cellStyle name="Lien hypertexte visité" xfId="6065" builtinId="9" hidden="1"/>
    <cellStyle name="Lien hypertexte visité" xfId="8730" builtinId="9" hidden="1"/>
    <cellStyle name="Lien hypertexte visité" xfId="4365" builtinId="9" hidden="1"/>
    <cellStyle name="Lien hypertexte visité" xfId="5261" builtinId="9" hidden="1"/>
    <cellStyle name="Lien hypertexte visité" xfId="2475" builtinId="9" hidden="1"/>
    <cellStyle name="Lien hypertexte visité" xfId="7453" builtinId="9" hidden="1"/>
    <cellStyle name="Lien hypertexte visité" xfId="7329" builtinId="9" hidden="1"/>
    <cellStyle name="Lien hypertexte visité" xfId="2259" builtinId="9" hidden="1"/>
    <cellStyle name="Lien hypertexte visité" xfId="3872" builtinId="9" hidden="1"/>
    <cellStyle name="Lien hypertexte visité" xfId="457" builtinId="9" hidden="1"/>
    <cellStyle name="Lien hypertexte visité" xfId="1739" builtinId="9" hidden="1"/>
    <cellStyle name="Lien hypertexte visité" xfId="9674" builtinId="9" hidden="1"/>
    <cellStyle name="Lien hypertexte visité" xfId="12734" builtinId="9" hidden="1"/>
    <cellStyle name="Lien hypertexte visité" xfId="10706" builtinId="9" hidden="1"/>
    <cellStyle name="Lien hypertexte visité" xfId="12838" builtinId="9" hidden="1"/>
    <cellStyle name="Lien hypertexte visité" xfId="15473" builtinId="9" hidden="1"/>
    <cellStyle name="Lien hypertexte visité" xfId="19336" builtinId="9" hidden="1"/>
    <cellStyle name="Lien hypertexte visité" xfId="23648" builtinId="9" hidden="1"/>
    <cellStyle name="Lien hypertexte visité" xfId="21314" builtinId="9" hidden="1"/>
    <cellStyle name="Lien hypertexte visité" xfId="17403" builtinId="9" hidden="1"/>
    <cellStyle name="Lien hypertexte visité" xfId="19408" builtinId="9" hidden="1"/>
    <cellStyle name="Lien hypertexte visité" xfId="10506" builtinId="9" hidden="1"/>
    <cellStyle name="Lien hypertexte visité" xfId="4933" builtinId="9" hidden="1"/>
    <cellStyle name="Lien hypertexte visité" xfId="6781" builtinId="9" hidden="1"/>
    <cellStyle name="Lien hypertexte visité" xfId="9119" builtinId="9" hidden="1"/>
    <cellStyle name="Lien hypertexte visité" xfId="2278" builtinId="9" hidden="1"/>
    <cellStyle name="Lien hypertexte visité" xfId="13549" builtinId="9" hidden="1"/>
    <cellStyle name="Lien hypertexte visité" xfId="14332" builtinId="9" hidden="1"/>
    <cellStyle name="Lien hypertexte visité" xfId="4091" builtinId="9" hidden="1"/>
    <cellStyle name="Lien hypertexte visité" xfId="8336" builtinId="9" hidden="1"/>
    <cellStyle name="Lien hypertexte visité" xfId="7424" builtinId="9" hidden="1"/>
    <cellStyle name="Lien hypertexte visité" xfId="14257" builtinId="9" hidden="1"/>
    <cellStyle name="Lien hypertexte visité" xfId="20236" builtinId="9" hidden="1"/>
    <cellStyle name="Lien hypertexte visité" xfId="9872" builtinId="9" hidden="1"/>
    <cellStyle name="Lien hypertexte visité" xfId="12873" builtinId="9" hidden="1"/>
    <cellStyle name="Lien hypertexte visité" xfId="11721" builtinId="9" hidden="1"/>
    <cellStyle name="Lien hypertexte visité" xfId="23886" builtinId="9" hidden="1"/>
    <cellStyle name="Lien hypertexte visité" xfId="13088" builtinId="9" hidden="1"/>
    <cellStyle name="Lien hypertexte visité" xfId="9936" builtinId="9" hidden="1"/>
    <cellStyle name="Lien hypertexte visité" xfId="12456" builtinId="9" hidden="1"/>
    <cellStyle name="Lien hypertexte visité" xfId="14909" builtinId="9" hidden="1"/>
    <cellStyle name="Lien hypertexte visité" xfId="19932" builtinId="9" hidden="1"/>
    <cellStyle name="Lien hypertexte visité" xfId="24302" builtinId="9" hidden="1"/>
    <cellStyle name="Lien hypertexte visité" xfId="19742" builtinId="9" hidden="1"/>
    <cellStyle name="Lien hypertexte visité" xfId="14767" builtinId="9" hidden="1"/>
    <cellStyle name="Lien hypertexte visité" xfId="12145" builtinId="9" hidden="1"/>
    <cellStyle name="Lien hypertexte visité" xfId="9857" builtinId="9" hidden="1"/>
    <cellStyle name="Lien hypertexte visité" xfId="7360" builtinId="9" hidden="1"/>
    <cellStyle name="Lien hypertexte visité" xfId="4848" builtinId="9" hidden="1"/>
    <cellStyle name="Lien hypertexte visité" xfId="2578" builtinId="9" hidden="1"/>
    <cellStyle name="Lien hypertexte visité" xfId="8560" builtinId="9" hidden="1"/>
    <cellStyle name="Lien hypertexte visité" xfId="4815" builtinId="9" hidden="1"/>
    <cellStyle name="Lien hypertexte visité" xfId="1384" builtinId="9" hidden="1"/>
    <cellStyle name="Lien hypertexte visité" xfId="3509" builtinId="9" hidden="1"/>
    <cellStyle name="Lien hypertexte visité" xfId="7259" builtinId="9" hidden="1"/>
    <cellStyle name="Lien hypertexte visité" xfId="10684" builtinId="9" hidden="1"/>
    <cellStyle name="Lien hypertexte visité" xfId="14428" builtinId="9" hidden="1"/>
    <cellStyle name="Lien hypertexte visité" xfId="21876" builtinId="9" hidden="1"/>
    <cellStyle name="Lien hypertexte visité" xfId="20566" builtinId="9" hidden="1"/>
    <cellStyle name="Lien hypertexte visité" xfId="13773" builtinId="9" hidden="1"/>
    <cellStyle name="Lien hypertexte visité" xfId="10029" builtinId="9" hidden="1"/>
    <cellStyle name="Lien hypertexte visité" xfId="6604" builtinId="9" hidden="1"/>
    <cellStyle name="Lien hypertexte visité" xfId="2854" builtinId="9" hidden="1"/>
    <cellStyle name="Lien hypertexte visité" xfId="2040" builtinId="9" hidden="1"/>
    <cellStyle name="Lien hypertexte visité" xfId="5470" builtinId="9" hidden="1"/>
    <cellStyle name="Lien hypertexte visité" xfId="9215" builtinId="9" hidden="1"/>
    <cellStyle name="Lien hypertexte visité" xfId="12991" builtinId="9" hidden="1"/>
    <cellStyle name="Lien hypertexte visité" xfId="8530" builtinId="9" hidden="1"/>
    <cellStyle name="Lien hypertexte visité" xfId="8915" builtinId="9" hidden="1"/>
    <cellStyle name="Lien hypertexte visité" xfId="5698" builtinId="9" hidden="1"/>
    <cellStyle name="Lien hypertexte visité" xfId="2764" builtinId="9" hidden="1"/>
    <cellStyle name="Lien hypertexte visité" xfId="12795" builtinId="9" hidden="1"/>
    <cellStyle name="Lien hypertexte visité" xfId="9795" builtinId="9" hidden="1"/>
    <cellStyle name="Lien hypertexte visité" xfId="14867" builtinId="9" hidden="1"/>
    <cellStyle name="Lien hypertexte visité" xfId="13291" builtinId="9" hidden="1"/>
    <cellStyle name="Lien hypertexte visité" xfId="11051" builtinId="9" hidden="1"/>
    <cellStyle name="Lien hypertexte visité" xfId="2972" builtinId="9" hidden="1"/>
    <cellStyle name="Lien hypertexte visité" xfId="3829" builtinId="9" hidden="1"/>
    <cellStyle name="Lien hypertexte visité" xfId="7042" builtinId="9" hidden="1"/>
    <cellStyle name="Lien hypertexte visité" xfId="1954" builtinId="9" hidden="1"/>
    <cellStyle name="Lien hypertexte visité" xfId="13225" builtinId="9" hidden="1"/>
    <cellStyle name="Lien hypertexte visité" xfId="14797" builtinId="9" hidden="1"/>
    <cellStyle name="Lien hypertexte visité" xfId="10328" builtinId="9" hidden="1"/>
    <cellStyle name="Lien hypertexte visité" xfId="14088" builtinId="9" hidden="1"/>
    <cellStyle name="Lien hypertexte visité" xfId="21148" builtinId="9" hidden="1"/>
    <cellStyle name="Lien hypertexte visité" xfId="21246" builtinId="9" hidden="1"/>
    <cellStyle name="Lien hypertexte visité" xfId="14137" builtinId="9" hidden="1"/>
    <cellStyle name="Lien hypertexte visité" xfId="10385" builtinId="9" hidden="1"/>
    <cellStyle name="Lien hypertexte visité" xfId="6968" builtinId="9" hidden="1"/>
    <cellStyle name="Lien hypertexte visité" xfId="3210" builtinId="9" hidden="1"/>
    <cellStyle name="Lien hypertexte visité" xfId="7647" builtinId="9" hidden="1"/>
    <cellStyle name="Lien hypertexte visité" xfId="2521" builtinId="9" hidden="1"/>
    <cellStyle name="Lien hypertexte visité" xfId="4267" builtinId="9" hidden="1"/>
    <cellStyle name="Lien hypertexte visité" xfId="9900" builtinId="9" hidden="1"/>
    <cellStyle name="Lien hypertexte visité" xfId="15525" builtinId="9" hidden="1"/>
    <cellStyle name="Lien hypertexte visité" xfId="22454" builtinId="9" hidden="1"/>
    <cellStyle name="Lien hypertexte visité" xfId="12861" builtinId="9" hidden="1"/>
    <cellStyle name="Lien hypertexte visité" xfId="7740" builtinId="9" hidden="1"/>
    <cellStyle name="Lien hypertexte visité" xfId="2102" builtinId="9" hidden="1"/>
    <cellStyle name="Lien hypertexte visité" xfId="4686" builtinId="9" hidden="1"/>
    <cellStyle name="Lien hypertexte visité" xfId="9807" builtinId="9" hidden="1"/>
    <cellStyle name="Lien hypertexte visité" xfId="16363" builtinId="9" hidden="1"/>
    <cellStyle name="Lien hypertexte visité" xfId="11654" builtinId="9" hidden="1"/>
    <cellStyle name="Lien hypertexte visité" xfId="15625" builtinId="9" hidden="1"/>
    <cellStyle name="Lien hypertexte visité" xfId="23112" builtinId="9" hidden="1"/>
    <cellStyle name="Lien hypertexte visité" xfId="18602" builtinId="9" hidden="1"/>
    <cellStyle name="Lien hypertexte visité" xfId="15393" builtinId="9" hidden="1"/>
    <cellStyle name="Lien hypertexte visité" xfId="5217" builtinId="9" hidden="1"/>
    <cellStyle name="Lien hypertexte visité" xfId="6665" builtinId="9" hidden="1"/>
    <cellStyle name="Lien hypertexte visité" xfId="1947" builtinId="9" hidden="1"/>
    <cellStyle name="Lien hypertexte visité" xfId="3704" builtinId="9" hidden="1"/>
    <cellStyle name="Lien hypertexte visité" xfId="7205" builtinId="9" hidden="1"/>
    <cellStyle name="Lien hypertexte visité" xfId="4281" builtinId="9" hidden="1"/>
    <cellStyle name="Lien hypertexte visité" xfId="14485" builtinId="9" hidden="1"/>
    <cellStyle name="Lien hypertexte visité" xfId="10741" builtinId="9" hidden="1"/>
    <cellStyle name="Lien hypertexte visité" xfId="7316" builtinId="9" hidden="1"/>
    <cellStyle name="Lien hypertexte visité" xfId="3567" builtinId="9" hidden="1"/>
    <cellStyle name="Lien hypertexte visité" xfId="1343" builtinId="9" hidden="1"/>
    <cellStyle name="Lien hypertexte visité" xfId="4758" builtinId="9" hidden="1"/>
    <cellStyle name="Lien hypertexte visité" xfId="8519" builtinId="9" hidden="1"/>
    <cellStyle name="Lien hypertexte visité" xfId="12279" builtinId="9" hidden="1"/>
    <cellStyle name="Lien hypertexte visité" xfId="16859" builtinId="9" hidden="1"/>
    <cellStyle name="Lien hypertexte visité" xfId="10574" builtinId="9" hidden="1"/>
    <cellStyle name="Lien hypertexte visité" xfId="13070" builtinId="9" hidden="1"/>
    <cellStyle name="Lien hypertexte visité" xfId="16185" builtinId="9" hidden="1"/>
    <cellStyle name="Lien hypertexte visité" xfId="21160" builtinId="9" hidden="1"/>
    <cellStyle name="Lien hypertexte visité" xfId="23050" builtinId="9" hidden="1"/>
    <cellStyle name="Lien hypertexte visité" xfId="18506" builtinId="9" hidden="1"/>
    <cellStyle name="Lien hypertexte visité" xfId="20528" builtinId="9" hidden="1"/>
    <cellStyle name="Lien hypertexte visité" xfId="15553" builtinId="9" hidden="1"/>
    <cellStyle name="Lien hypertexte visité" xfId="23744" builtinId="9" hidden="1"/>
    <cellStyle name="Lien hypertexte visité" xfId="11630" builtinId="9" hidden="1"/>
    <cellStyle name="Lien hypertexte visité" xfId="9767" builtinId="9" hidden="1"/>
    <cellStyle name="Lien hypertexte visité" xfId="1630" builtinId="9" hidden="1"/>
    <cellStyle name="Lien hypertexte visité" xfId="12901" builtinId="9" hidden="1"/>
    <cellStyle name="Lien hypertexte visité" xfId="7267" builtinId="9" hidden="1"/>
    <cellStyle name="Lien hypertexte visité" xfId="10196" builtinId="9" hidden="1"/>
    <cellStyle name="Lien hypertexte visité" xfId="13412" builtinId="9" hidden="1"/>
    <cellStyle name="Lien hypertexte visité" xfId="18724" builtinId="9" hidden="1"/>
    <cellStyle name="Lien hypertexte visité" xfId="24580" builtinId="9" hidden="1"/>
    <cellStyle name="Lien hypertexte visité" xfId="23876" builtinId="9" hidden="1"/>
    <cellStyle name="Lien hypertexte visité" xfId="1713" builtinId="9" hidden="1"/>
    <cellStyle name="Lien hypertexte visité" xfId="2173" builtinId="9" hidden="1"/>
    <cellStyle name="Lien hypertexte visité" xfId="5123" builtinId="9" hidden="1"/>
    <cellStyle name="Lien hypertexte visité" xfId="3473" builtinId="9" hidden="1"/>
    <cellStyle name="Lien hypertexte visité" xfId="7767" builtinId="9" hidden="1"/>
    <cellStyle name="Lien hypertexte visité" xfId="6279" builtinId="9" hidden="1"/>
    <cellStyle name="Lien hypertexte visité" xfId="4487" builtinId="9" hidden="1"/>
    <cellStyle name="Lien hypertexte visité" xfId="4419" builtinId="9" hidden="1"/>
    <cellStyle name="Lien hypertexte visité" xfId="1404" builtinId="9" hidden="1"/>
    <cellStyle name="Lien hypertexte visité" xfId="2753" builtinId="9" hidden="1"/>
    <cellStyle name="Lien hypertexte visité" xfId="19846" builtinId="9" hidden="1"/>
    <cellStyle name="Lien hypertexte visité" xfId="22948" builtinId="9" hidden="1"/>
    <cellStyle name="Lien hypertexte visité" xfId="16533" builtinId="9" hidden="1"/>
    <cellStyle name="Lien hypertexte visité" xfId="12596" builtinId="9" hidden="1"/>
    <cellStyle name="Lien hypertexte visité" xfId="9380" builtinId="9" hidden="1"/>
    <cellStyle name="Lien hypertexte visité" xfId="6163" builtinId="9" hidden="1"/>
    <cellStyle name="Lien hypertexte visité" xfId="10021" builtinId="9" hidden="1"/>
    <cellStyle name="Lien hypertexte visité" xfId="855" builtinId="9" hidden="1"/>
    <cellStyle name="Lien hypertexte visité" xfId="6207" builtinId="9" hidden="1"/>
    <cellStyle name="Lien hypertexte visité" xfId="2809" builtinId="9" hidden="1"/>
    <cellStyle name="Lien hypertexte visité" xfId="2117" builtinId="9" hidden="1"/>
    <cellStyle name="Lien hypertexte visité" xfId="15175" builtinId="9" hidden="1"/>
    <cellStyle name="Lien hypertexte visité" xfId="2696" builtinId="9" hidden="1"/>
    <cellStyle name="Lien hypertexte visité" xfId="10334" builtinId="9" hidden="1"/>
    <cellStyle name="Lien hypertexte visité" xfId="21250" builtinId="9" hidden="1"/>
    <cellStyle name="Lien hypertexte visité" xfId="7301" builtinId="9" hidden="1"/>
    <cellStyle name="Lien hypertexte visité" xfId="7337" builtinId="9" hidden="1"/>
    <cellStyle name="Lien hypertexte visité" xfId="22180" builtinId="9" hidden="1"/>
    <cellStyle name="Lien hypertexte visité" xfId="16789" builtinId="9" hidden="1"/>
    <cellStyle name="Lien hypertexte visité" xfId="13012" builtinId="9" hidden="1"/>
    <cellStyle name="Lien hypertexte visité" xfId="10308" builtinId="9" hidden="1"/>
    <cellStyle name="Lien hypertexte visité" xfId="7667" builtinId="9" hidden="1"/>
    <cellStyle name="Lien hypertexte visité" xfId="17687" builtinId="9" hidden="1"/>
    <cellStyle name="Lien hypertexte visité" xfId="6628" builtinId="9" hidden="1"/>
    <cellStyle name="Lien hypertexte visité" xfId="3753" builtinId="9" hidden="1"/>
    <cellStyle name="Lien hypertexte visité" xfId="13223" builtinId="9" hidden="1"/>
    <cellStyle name="Lien hypertexte visité" xfId="12566" builtinId="9" hidden="1"/>
    <cellStyle name="Lien hypertexte visité" xfId="23232" builtinId="9" hidden="1"/>
    <cellStyle name="Lien hypertexte visité" xfId="21168" builtinId="9" hidden="1"/>
    <cellStyle name="Lien hypertexte visité" xfId="16257" builtinId="9" hidden="1"/>
    <cellStyle name="Lien hypertexte visité" xfId="20314" builtinId="9" hidden="1"/>
    <cellStyle name="Lien hypertexte visité" xfId="20386" builtinId="9" hidden="1"/>
    <cellStyle name="Lien hypertexte visité" xfId="24586" builtinId="9" hidden="1"/>
    <cellStyle name="Lien hypertexte visité" xfId="20544" builtinId="9" hidden="1"/>
    <cellStyle name="Lien hypertexte visité" xfId="16361" builtinId="9" hidden="1"/>
    <cellStyle name="Lien hypertexte visité" xfId="13390" builtinId="9" hidden="1"/>
    <cellStyle name="Lien hypertexte visité" xfId="11278" builtinId="9" hidden="1"/>
    <cellStyle name="Lien hypertexte visité" xfId="9174" builtinId="9" hidden="1"/>
    <cellStyle name="Lien hypertexte visité" xfId="14279" builtinId="9" hidden="1"/>
    <cellStyle name="Lien hypertexte visité" xfId="11127" builtinId="9" hidden="1"/>
    <cellStyle name="Lien hypertexte visité" xfId="8055" builtinId="9" hidden="1"/>
    <cellStyle name="Lien hypertexte visité" xfId="4886" builtinId="9" hidden="1"/>
    <cellStyle name="Lien hypertexte visité" xfId="1808" builtinId="9" hidden="1"/>
    <cellStyle name="Lien hypertexte visité" xfId="2494" builtinId="9" hidden="1"/>
    <cellStyle name="Lien hypertexte visité" xfId="5652" builtinId="9" hidden="1"/>
    <cellStyle name="Lien hypertexte visité" xfId="8725" builtinId="9" hidden="1"/>
    <cellStyle name="Lien hypertexte visité" xfId="11893" builtinId="9" hidden="1"/>
    <cellStyle name="Lien hypertexte visité" xfId="4470" builtinId="9" hidden="1"/>
    <cellStyle name="Lien hypertexte visité" xfId="15785" builtinId="9" hidden="1"/>
    <cellStyle name="Lien hypertexte visité" xfId="24290" builtinId="9" hidden="1"/>
    <cellStyle name="Lien hypertexte visité" xfId="9940" builtinId="9" hidden="1"/>
    <cellStyle name="Lien hypertexte visité" xfId="3630" builtinId="9" hidden="1"/>
    <cellStyle name="Lien hypertexte visité" xfId="5639" builtinId="9" hidden="1"/>
    <cellStyle name="Lien hypertexte visité" xfId="3393" builtinId="9" hidden="1"/>
    <cellStyle name="Lien hypertexte visité" xfId="8072" builtinId="9" hidden="1"/>
    <cellStyle name="Lien hypertexte visité" xfId="7607" builtinId="9" hidden="1"/>
    <cellStyle name="Lien hypertexte visité" xfId="2913" builtinId="9" hidden="1"/>
    <cellStyle name="Lien hypertexte visité" xfId="5159" builtinId="9" hidden="1"/>
    <cellStyle name="Lien hypertexte visité" xfId="4131" builtinId="9" hidden="1"/>
    <cellStyle name="Lien hypertexte visité" xfId="1805" builtinId="9" hidden="1"/>
    <cellStyle name="Lien hypertexte visité" xfId="1681" builtinId="9" hidden="1"/>
    <cellStyle name="Lien hypertexte visité" xfId="13828" builtinId="9" hidden="1"/>
    <cellStyle name="Lien hypertexte visité" xfId="21798" builtinId="9" hidden="1"/>
    <cellStyle name="Lien hypertexte visité" xfId="22468" builtinId="9" hidden="1"/>
    <cellStyle name="Lien hypertexte visité" xfId="16021" builtinId="9" hidden="1"/>
    <cellStyle name="Lien hypertexte visité" xfId="20836" builtinId="9" hidden="1"/>
    <cellStyle name="Lien hypertexte visité" xfId="23590" builtinId="9" hidden="1"/>
    <cellStyle name="Lien hypertexte visité" xfId="21510" builtinId="9" hidden="1"/>
    <cellStyle name="Lien hypertexte visité" xfId="2721" builtinId="9" hidden="1"/>
    <cellStyle name="Lien hypertexte visité" xfId="181" builtinId="9" hidden="1"/>
    <cellStyle name="Lien hypertexte visité" xfId="8388" builtinId="9" hidden="1"/>
    <cellStyle name="Lien hypertexte visité" xfId="10724" builtinId="9" hidden="1"/>
    <cellStyle name="Lien hypertexte visité" xfId="13140" builtinId="9" hidden="1"/>
    <cellStyle name="Lien hypertexte visité" xfId="5395" builtinId="9" hidden="1"/>
    <cellStyle name="Lien hypertexte visité" xfId="7731" builtinId="9" hidden="1"/>
    <cellStyle name="Lien hypertexte visité" xfId="8357" builtinId="9" hidden="1"/>
    <cellStyle name="Lien hypertexte visité" xfId="9637" builtinId="9" hidden="1"/>
    <cellStyle name="Lien hypertexte visité" xfId="8100" builtinId="9" hidden="1"/>
    <cellStyle name="Lien hypertexte visité" xfId="5747" builtinId="9" hidden="1"/>
    <cellStyle name="Lien hypertexte visité" xfId="13508" builtinId="9" hidden="1"/>
    <cellStyle name="Lien hypertexte visité" xfId="11172" builtinId="9" hidden="1"/>
    <cellStyle name="Lien hypertexte visité" xfId="8756" builtinId="9" hidden="1"/>
    <cellStyle name="Lien hypertexte visité" xfId="1037" builtinId="9" hidden="1"/>
    <cellStyle name="Lien hypertexte visité" xfId="2305" builtinId="9" hidden="1"/>
    <cellStyle name="Lien hypertexte visité" xfId="21572" builtinId="9" hidden="1"/>
    <cellStyle name="Lien hypertexte visité" xfId="22694" builtinId="9" hidden="1"/>
    <cellStyle name="Lien hypertexte visité" xfId="21540" builtinId="9" hidden="1"/>
    <cellStyle name="Lien hypertexte visité" xfId="16757" builtinId="9" hidden="1"/>
    <cellStyle name="Lien hypertexte visité" xfId="15189" builtinId="9" hidden="1"/>
    <cellStyle name="Lien hypertexte visité" xfId="22502" builtinId="9" hidden="1"/>
    <cellStyle name="Lien hypertexte visité" xfId="19268" builtinId="9" hidden="1"/>
    <cellStyle name="Lien hypertexte visité" xfId="2081" builtinId="9" hidden="1"/>
    <cellStyle name="Lien hypertexte visité" xfId="1452" builtinId="9" hidden="1"/>
    <cellStyle name="Lien hypertexte visité" xfId="3782" builtinId="9" hidden="1"/>
    <cellStyle name="Lien hypertexte visité" xfId="5495" builtinId="9" hidden="1"/>
    <cellStyle name="Lien hypertexte visité" xfId="3249" builtinId="9" hidden="1"/>
    <cellStyle name="Lien hypertexte visité" xfId="7928" builtinId="9" hidden="1"/>
    <cellStyle name="Lien hypertexte visité" xfId="7687" builtinId="9" hidden="1"/>
    <cellStyle name="Lien hypertexte visité" xfId="2993" builtinId="9" hidden="1"/>
    <cellStyle name="Lien hypertexte visité" xfId="5239" builtinId="9" hidden="1"/>
    <cellStyle name="Lien hypertexte visité" xfId="3971" builtinId="9" hidden="1"/>
    <cellStyle name="Lien hypertexte visité" xfId="12868" builtinId="9" hidden="1"/>
    <cellStyle name="Lien hypertexte visité" xfId="12910" builtinId="9" hidden="1"/>
    <cellStyle name="Lien hypertexte visité" xfId="20312" builtinId="9" hidden="1"/>
    <cellStyle name="Lien hypertexte visité" xfId="7879" builtinId="9" hidden="1"/>
    <cellStyle name="Lien hypertexte visité" xfId="12309" builtinId="9" hidden="1"/>
    <cellStyle name="Lien hypertexte visité" xfId="9237" builtinId="9" hidden="1"/>
    <cellStyle name="Lien hypertexte visité" xfId="6084" builtinId="9" hidden="1"/>
    <cellStyle name="Lien hypertexte visité" xfId="3006" builtinId="9" hidden="1"/>
    <cellStyle name="Lien hypertexte visité" xfId="1295" builtinId="9" hidden="1"/>
    <cellStyle name="Lien hypertexte visité" xfId="4374" builtinId="9" hidden="1"/>
    <cellStyle name="Lien hypertexte visité" xfId="7542" builtinId="9" hidden="1"/>
    <cellStyle name="Lien hypertexte visité" xfId="10695" builtinId="9" hidden="1"/>
    <cellStyle name="Lien hypertexte visité" xfId="13767" builtinId="9" hidden="1"/>
    <cellStyle name="Lien hypertexte visité" xfId="8886" builtinId="9" hidden="1"/>
    <cellStyle name="Lien hypertexte visité" xfId="10934" builtinId="9" hidden="1"/>
    <cellStyle name="Lien hypertexte visité" xfId="13046" builtinId="9" hidden="1"/>
    <cellStyle name="Lien hypertexte visité" xfId="15673" builtinId="9" hidden="1"/>
    <cellStyle name="Lien hypertexte visité" xfId="19864" builtinId="9" hidden="1"/>
    <cellStyle name="Lien hypertexte visité" xfId="24064" builtinId="9" hidden="1"/>
    <cellStyle name="Lien hypertexte visité" xfId="21066" builtinId="9" hidden="1"/>
    <cellStyle name="Lien hypertexte visité" xfId="18650" builtinId="9" hidden="1"/>
    <cellStyle name="Lien hypertexte visité" xfId="18305" builtinId="9" hidden="1"/>
    <cellStyle name="Lien hypertexte visité" xfId="15041" builtinId="9" hidden="1"/>
    <cellStyle name="Lien hypertexte visité" xfId="23946" builtinId="9" hidden="1"/>
    <cellStyle name="Lien hypertexte visité" xfId="13590" builtinId="9" hidden="1"/>
    <cellStyle name="Lien hypertexte visité" xfId="14503" builtinId="9" hidden="1"/>
    <cellStyle name="Lien hypertexte visité" xfId="5286" builtinId="9" hidden="1"/>
    <cellStyle name="Lien hypertexte visité" xfId="5348" builtinId="9" hidden="1"/>
    <cellStyle name="Lien hypertexte visité" xfId="14615" builtinId="9" hidden="1"/>
    <cellStyle name="Lien hypertexte visité" xfId="7235" builtinId="9" hidden="1"/>
    <cellStyle name="Lien hypertexte visité" xfId="9876" builtinId="9" hidden="1"/>
    <cellStyle name="Lien hypertexte visité" xfId="12580" builtinId="9" hidden="1"/>
    <cellStyle name="Lien hypertexte visité" xfId="16053" builtinId="9" hidden="1"/>
    <cellStyle name="Lien hypertexte visité" xfId="21284" builtinId="9" hidden="1"/>
    <cellStyle name="Lien hypertexte visité" xfId="6877" builtinId="9" hidden="1"/>
    <cellStyle name="Lien hypertexte visité" xfId="4361" builtinId="9" hidden="1"/>
    <cellStyle name="Lien hypertexte visité" xfId="17851" builtinId="9" hidden="1"/>
    <cellStyle name="Lien hypertexte visité" xfId="12038" builtinId="9" hidden="1"/>
    <cellStyle name="Lien hypertexte visité" xfId="5262" builtinId="9" hidden="1"/>
    <cellStyle name="Lien hypertexte visité" xfId="12285" builtinId="9" hidden="1"/>
    <cellStyle name="Lien hypertexte visité" xfId="10476" builtinId="9" hidden="1"/>
    <cellStyle name="Lien hypertexte visité" xfId="7071" builtinId="9" hidden="1"/>
    <cellStyle name="Lien hypertexte visité" xfId="10001" builtinId="9" hidden="1"/>
    <cellStyle name="Lien hypertexte visité" xfId="21916" builtinId="9" hidden="1"/>
    <cellStyle name="Lien hypertexte visité" xfId="13504" builtinId="9" hidden="1"/>
    <cellStyle name="Lien hypertexte visité" xfId="7370" builtinId="9" hidden="1"/>
    <cellStyle name="Lien hypertexte visité" xfId="11355" builtinId="9" hidden="1"/>
    <cellStyle name="Lien hypertexte visité" xfId="9483" builtinId="9" hidden="1"/>
    <cellStyle name="Lien hypertexte visité" xfId="5370" builtinId="9" hidden="1"/>
    <cellStyle name="Lien hypertexte visité" xfId="13375" builtinId="9" hidden="1"/>
    <cellStyle name="Lien hypertexte visité" xfId="2424" builtinId="9" hidden="1"/>
    <cellStyle name="Lien hypertexte visité" xfId="9645" builtinId="9" hidden="1"/>
    <cellStyle name="Lien hypertexte visité" xfId="22644" builtinId="9" hidden="1"/>
    <cellStyle name="Lien hypertexte visité" xfId="7643" builtinId="9" hidden="1"/>
    <cellStyle name="Lien hypertexte visité" xfId="4431" builtinId="9" hidden="1"/>
    <cellStyle name="Lien hypertexte visité" xfId="4592" builtinId="9" hidden="1"/>
    <cellStyle name="Lien hypertexte visité" xfId="11889" builtinId="9" hidden="1"/>
    <cellStyle name="Lien hypertexte visité" xfId="23790" builtinId="9" hidden="1"/>
    <cellStyle name="Lien hypertexte visité" xfId="12712" builtinId="9" hidden="1"/>
    <cellStyle name="Lien hypertexte visité" xfId="23804" builtinId="9" hidden="1"/>
    <cellStyle name="Lien hypertexte visité" xfId="9104" builtinId="9" hidden="1"/>
    <cellStyle name="Lien hypertexte visité" xfId="8193" builtinId="9" hidden="1"/>
    <cellStyle name="Lien hypertexte visité" xfId="13180" builtinId="9" hidden="1"/>
    <cellStyle name="Lien hypertexte visité" xfId="13165" builtinId="9" hidden="1"/>
    <cellStyle name="Lien hypertexte visité" xfId="15429" builtinId="9" hidden="1"/>
    <cellStyle name="Lien hypertexte visité" xfId="4219" builtinId="9" hidden="1"/>
    <cellStyle name="Lien hypertexte visité" xfId="7952" builtinId="9" hidden="1"/>
    <cellStyle name="Lien hypertexte visité" xfId="7000" builtinId="9" hidden="1"/>
    <cellStyle name="Lien hypertexte visité" xfId="14169" builtinId="9" hidden="1"/>
    <cellStyle name="Lien hypertexte visité" xfId="20748" builtinId="9" hidden="1"/>
    <cellStyle name="Lien hypertexte visité" xfId="10296" builtinId="9" hidden="1"/>
    <cellStyle name="Lien hypertexte visité" xfId="13129" builtinId="9" hidden="1"/>
    <cellStyle name="Lien hypertexte visité" xfId="11465" builtinId="9" hidden="1"/>
    <cellStyle name="Lien hypertexte visité" xfId="23118" builtinId="9" hidden="1"/>
    <cellStyle name="Lien hypertexte visité" xfId="13152" builtinId="9" hidden="1"/>
    <cellStyle name="Lien hypertexte visité" xfId="9848" builtinId="9" hidden="1"/>
    <cellStyle name="Lien hypertexte visité" xfId="12304" builtinId="9" hidden="1"/>
    <cellStyle name="Lien hypertexte visité" xfId="14877" builtinId="9" hidden="1"/>
    <cellStyle name="Lien hypertexte visité" xfId="19756" builtinId="9" hidden="1"/>
    <cellStyle name="Lien hypertexte visité" xfId="24606" builtinId="9" hidden="1"/>
    <cellStyle name="Lien hypertexte visité" xfId="19822" builtinId="9" hidden="1"/>
    <cellStyle name="Lien hypertexte visité" xfId="14927" builtinId="9" hidden="1"/>
    <cellStyle name="Lien hypertexte visité" xfId="12273" builtinId="9" hidden="1"/>
    <cellStyle name="Lien hypertexte visité" xfId="9881" builtinId="9" hidden="1"/>
    <cellStyle name="Lien hypertexte visité" xfId="7448" builtinId="9" hidden="1"/>
    <cellStyle name="Lien hypertexte visité" xfId="4992" builtinId="9" hidden="1"/>
    <cellStyle name="Lien hypertexte visité" xfId="2602" builtinId="9" hidden="1"/>
    <cellStyle name="Lien hypertexte visité" xfId="8688" builtinId="9" hidden="1"/>
    <cellStyle name="Lien hypertexte visité" xfId="5039" builtinId="9" hidden="1"/>
    <cellStyle name="Lien hypertexte visité" xfId="1448" builtinId="9" hidden="1"/>
    <cellStyle name="Lien hypertexte visité" xfId="3381" builtinId="9" hidden="1"/>
    <cellStyle name="Lien hypertexte visité" xfId="7067" builtinId="9" hidden="1"/>
    <cellStyle name="Lien hypertexte visité" xfId="10652" builtinId="9" hidden="1"/>
    <cellStyle name="Lien hypertexte visité" xfId="14300" builtinId="9" hidden="1"/>
    <cellStyle name="Lien hypertexte visité" xfId="21428" builtinId="9" hidden="1"/>
    <cellStyle name="Lien hypertexte visité" xfId="20630" builtinId="9" hidden="1"/>
    <cellStyle name="Lien hypertexte visité" xfId="13901" builtinId="9" hidden="1"/>
    <cellStyle name="Lien hypertexte visité" xfId="10253" builtinId="9" hidden="1"/>
    <cellStyle name="Lien hypertexte visité" xfId="6668" builtinId="9" hidden="1"/>
    <cellStyle name="Lien hypertexte visité" xfId="2982" builtinId="9" hidden="1"/>
    <cellStyle name="Lien hypertexte visité" xfId="1848" builtinId="9" hidden="1"/>
    <cellStyle name="Lien hypertexte visité" xfId="5438" builtinId="9" hidden="1"/>
    <cellStyle name="Lien hypertexte visité" xfId="9087" builtinId="9" hidden="1"/>
    <cellStyle name="Lien hypertexte visité" xfId="12767" builtinId="9" hidden="1"/>
    <cellStyle name="Lien hypertexte visité" xfId="8510" builtinId="9" hidden="1"/>
    <cellStyle name="Lien hypertexte visité" xfId="9027" builtinId="9" hidden="1"/>
    <cellStyle name="Lien hypertexte visité" xfId="5882" builtinId="9" hidden="1"/>
    <cellStyle name="Lien hypertexte visité" xfId="2804" builtinId="9" hidden="1"/>
    <cellStyle name="Lien hypertexte visité" xfId="12899" builtinId="9" hidden="1"/>
    <cellStyle name="Lien hypertexte visité" xfId="9963" builtinId="9" hidden="1"/>
    <cellStyle name="Lien hypertexte visité" xfId="14931" builtinId="9" hidden="1"/>
    <cellStyle name="Lien hypertexte visité" xfId="13195" builtinId="9" hidden="1"/>
    <cellStyle name="Lien hypertexte visité" xfId="10875" builtinId="9" hidden="1"/>
    <cellStyle name="Lien hypertexte visité" xfId="3228" builtinId="9" hidden="1"/>
    <cellStyle name="Lien hypertexte visité" xfId="3717" builtinId="9" hidden="1"/>
    <cellStyle name="Lien hypertexte visité" xfId="6858" builtinId="9" hidden="1"/>
    <cellStyle name="Lien hypertexte visité" xfId="1826" builtinId="9" hidden="1"/>
    <cellStyle name="Lien hypertexte visité" xfId="12841" builtinId="9" hidden="1"/>
    <cellStyle name="Lien hypertexte visité" xfId="16077" builtinId="9" hidden="1"/>
    <cellStyle name="Lien hypertexte visité" xfId="10288" builtinId="9" hidden="1"/>
    <cellStyle name="Lien hypertexte visité" xfId="13960" builtinId="9" hidden="1"/>
    <cellStyle name="Lien hypertexte visité" xfId="20716" builtinId="9" hidden="1"/>
    <cellStyle name="Lien hypertexte visité" xfId="21342" builtinId="9" hidden="1"/>
    <cellStyle name="Lien hypertexte visité" xfId="14265" builtinId="9" hidden="1"/>
    <cellStyle name="Lien hypertexte visité" xfId="10593" builtinId="9" hidden="1"/>
    <cellStyle name="Lien hypertexte visité" xfId="7008" builtinId="9" hidden="1"/>
    <cellStyle name="Lien hypertexte visité" xfId="3338" builtinId="9" hidden="1"/>
    <cellStyle name="Lien hypertexte visité" xfId="7968" builtinId="9" hidden="1"/>
    <cellStyle name="Lien hypertexte visité" xfId="2585" builtinId="9" hidden="1"/>
    <cellStyle name="Lien hypertexte visité" xfId="4075" builtinId="9" hidden="1"/>
    <cellStyle name="Lien hypertexte visité" xfId="9580" builtinId="9" hidden="1"/>
    <cellStyle name="Lien hypertexte visité" xfId="15397" builtinId="9" hidden="1"/>
    <cellStyle name="Lien hypertexte visité" xfId="22838" builtinId="9" hidden="1"/>
    <cellStyle name="Lien hypertexte visité" xfId="13181" builtinId="9" hidden="1"/>
    <cellStyle name="Lien hypertexte visité" xfId="7804" builtinId="9" hidden="1"/>
    <cellStyle name="Lien hypertexte visité" xfId="2294" builtinId="9" hidden="1"/>
    <cellStyle name="Lien hypertexte visité" xfId="4366" builtinId="9" hidden="1"/>
    <cellStyle name="Lien hypertexte visité" xfId="9743" builtinId="9" hidden="1"/>
    <cellStyle name="Lien hypertexte visité" xfId="15979" builtinId="9" hidden="1"/>
    <cellStyle name="Lien hypertexte visité" xfId="11442" builtinId="9" hidden="1"/>
    <cellStyle name="Lien hypertexte visité" xfId="15537" builtinId="9" hidden="1"/>
    <cellStyle name="Lien hypertexte visité" xfId="22856" builtinId="9" hidden="1"/>
    <cellStyle name="Lien hypertexte visité" xfId="19026" builtinId="9" hidden="1"/>
    <cellStyle name="Lien hypertexte visité" xfId="15649" builtinId="9" hidden="1"/>
    <cellStyle name="Lien hypertexte visité" xfId="5109" builtinId="9" hidden="1"/>
    <cellStyle name="Lien hypertexte visité" xfId="7946" builtinId="9" hidden="1"/>
    <cellStyle name="Lien hypertexte visité" xfId="1915" builtinId="9" hidden="1"/>
    <cellStyle name="Lien hypertexte visité" xfId="3808" builtinId="9" hidden="1"/>
    <cellStyle name="Lien hypertexte visité" xfId="7389" builtinId="9" hidden="1"/>
    <cellStyle name="Lien hypertexte visité" xfId="4317" builtinId="9" hidden="1"/>
    <cellStyle name="Lien hypertexte visité" xfId="14711" builtinId="9" hidden="1"/>
    <cellStyle name="Lien hypertexte visité" xfId="419" builtinId="9" hidden="1"/>
    <cellStyle name="Lien hypertexte visité" xfId="9062" builtinId="9" hidden="1"/>
    <cellStyle name="Lien hypertexte visité" xfId="4625" builtinId="9" hidden="1"/>
    <cellStyle name="Lien hypertexte visité" xfId="15713" builtinId="9" hidden="1"/>
    <cellStyle name="Lien hypertexte visité" xfId="18131" builtinId="9" hidden="1"/>
    <cellStyle name="Lien hypertexte visité" xfId="24386" builtinId="9" hidden="1"/>
    <cellStyle name="Lien hypertexte visité" xfId="18616" builtinId="9" hidden="1"/>
    <cellStyle name="Lien hypertexte visité" xfId="13458" builtinId="9" hidden="1"/>
    <cellStyle name="Lien hypertexte visité" xfId="10322" builtinId="9" hidden="1"/>
    <cellStyle name="Lien hypertexte visité" xfId="18810" builtinId="9" hidden="1"/>
    <cellStyle name="Lien hypertexte visité" xfId="2003" builtinId="9" hidden="1"/>
    <cellStyle name="Lien hypertexte visité" xfId="1691" builtinId="9" hidden="1"/>
    <cellStyle name="Lien hypertexte visité" xfId="5577" builtinId="9" hidden="1"/>
    <cellStyle name="Lien hypertexte visité" xfId="6977" builtinId="9" hidden="1"/>
    <cellStyle name="Lien hypertexte visité" xfId="2731" builtinId="9" hidden="1"/>
    <cellStyle name="Lien hypertexte visité" xfId="8282" builtinId="9" hidden="1"/>
    <cellStyle name="Lien hypertexte visité" xfId="9690" builtinId="9" hidden="1"/>
    <cellStyle name="Lien hypertexte visité" xfId="4893" builtinId="9" hidden="1"/>
    <cellStyle name="Lien hypertexte visité" xfId="7838" builtinId="9" hidden="1"/>
    <cellStyle name="Lien hypertexte visité" xfId="7713" builtinId="9" hidden="1"/>
    <cellStyle name="Lien hypertexte visité" xfId="3487" builtinId="9" hidden="1"/>
    <cellStyle name="Lien hypertexte visité" xfId="953" builtinId="9" hidden="1"/>
    <cellStyle name="Lien hypertexte visité" xfId="6433" builtinId="9" hidden="1"/>
    <cellStyle name="Lien hypertexte visité" xfId="9318" builtinId="9" hidden="1"/>
    <cellStyle name="Lien hypertexte visité" xfId="12350" builtinId="9" hidden="1"/>
    <cellStyle name="Lien hypertexte visité" xfId="16457" builtinId="9" hidden="1"/>
    <cellStyle name="Lien hypertexte visité" xfId="22664" builtinId="9" hidden="1"/>
    <cellStyle name="Lien hypertexte visité" xfId="20330" builtinId="9" hidden="1"/>
    <cellStyle name="Lien hypertexte visité" xfId="22352" builtinId="9" hidden="1"/>
    <cellStyle name="Lien hypertexte visité" xfId="9034" builtinId="9" hidden="1"/>
    <cellStyle name="Lien hypertexte visité" xfId="6361" builtinId="9" hidden="1"/>
    <cellStyle name="Lien hypertexte visité" xfId="6558" builtinId="9" hidden="1"/>
    <cellStyle name="Lien hypertexte visité" xfId="10989" builtinId="9" hidden="1"/>
    <cellStyle name="Lien hypertexte visité" xfId="11772" builtinId="9" hidden="1"/>
    <cellStyle name="Lien hypertexte visité" xfId="5775" builtinId="9" hidden="1"/>
    <cellStyle name="Lien hypertexte visité" xfId="9137" builtinId="9" hidden="1"/>
    <cellStyle name="Lien hypertexte visité" xfId="23644" builtinId="9" hidden="1"/>
    <cellStyle name="Lien hypertexte visité" xfId="10912" builtinId="9" hidden="1"/>
    <cellStyle name="Lien hypertexte visité" xfId="9993" builtinId="9" hidden="1"/>
    <cellStyle name="Lien hypertexte visité" xfId="21884" builtinId="9" hidden="1"/>
    <cellStyle name="Lien hypertexte visité" xfId="9384" builtinId="9" hidden="1"/>
    <cellStyle name="Lien hypertexte visité" xfId="13008" builtinId="9" hidden="1"/>
    <cellStyle name="Lien hypertexte visité" xfId="18780" builtinId="9" hidden="1"/>
    <cellStyle name="Lien hypertexte visité" xfId="23150" builtinId="9" hidden="1"/>
    <cellStyle name="Lien hypertexte visité" xfId="15919" builtinId="9" hidden="1"/>
    <cellStyle name="Lien hypertexte visité" xfId="11569" builtinId="9" hidden="1"/>
    <cellStyle name="Lien hypertexte visité" xfId="7921" builtinId="9" hidden="1"/>
    <cellStyle name="Lien hypertexte visité" xfId="4288" builtinId="9" hidden="1"/>
    <cellStyle name="Lien hypertexte visité" xfId="77" builtinId="9" hidden="1"/>
    <cellStyle name="Lien hypertexte visité" xfId="3951" builtinId="9" hidden="1"/>
    <cellStyle name="Lien hypertexte visité" xfId="2645" builtinId="9" hidden="1"/>
    <cellStyle name="Lien hypertexte visité" xfId="8124" builtinId="9" hidden="1"/>
    <cellStyle name="Lien hypertexte visité" xfId="13596" builtinId="9" hidden="1"/>
    <cellStyle name="Lien hypertexte visité" xfId="23540" builtinId="9" hidden="1"/>
    <cellStyle name="Lien hypertexte visité" xfId="14759" builtinId="9" hidden="1"/>
    <cellStyle name="Lien hypertexte visité" xfId="9165" builtinId="9" hidden="1"/>
    <cellStyle name="Lien hypertexte visité" xfId="3727" builtinId="9" hidden="1"/>
    <cellStyle name="Lien hypertexte visité" xfId="2904" builtinId="9" hidden="1"/>
    <cellStyle name="Lien hypertexte visité" xfId="8383" builtinId="9" hidden="1"/>
    <cellStyle name="Lien hypertexte visité" xfId="13823" builtinId="9" hidden="1"/>
    <cellStyle name="Lien hypertexte visité" xfId="503" builtinId="9" hidden="1"/>
    <cellStyle name="Lien hypertexte visité" xfId="4970" builtinId="9" hidden="1"/>
    <cellStyle name="Lien hypertexte visité" xfId="5218" builtinId="9" hidden="1"/>
    <cellStyle name="Lien hypertexte visité" xfId="14323" builtinId="9" hidden="1"/>
    <cellStyle name="Lien hypertexte visité" xfId="15443" builtinId="9" hidden="1"/>
    <cellStyle name="Lien hypertexte visité" xfId="11731" builtinId="9" hidden="1"/>
    <cellStyle name="Lien hypertexte visité" xfId="3084" builtinId="9" hidden="1"/>
    <cellStyle name="Lien hypertexte visité" xfId="7770" builtinId="9" hidden="1"/>
    <cellStyle name="Lien hypertexte visité" xfId="10665" builtinId="9" hidden="1"/>
    <cellStyle name="Lien hypertexte visité" xfId="12096" builtinId="9" hidden="1"/>
    <cellStyle name="Lien hypertexte visité" xfId="13232" builtinId="9" hidden="1"/>
    <cellStyle name="Lien hypertexte visité" xfId="22860" builtinId="9" hidden="1"/>
    <cellStyle name="Lien hypertexte visité" xfId="15471" builtinId="9" hidden="1"/>
    <cellStyle name="Lien hypertexte visité" xfId="9529" builtinId="9" hidden="1"/>
    <cellStyle name="Lien hypertexte visité" xfId="4064" builtinId="9" hidden="1"/>
    <cellStyle name="Lien hypertexte visité" xfId="6367" builtinId="9" hidden="1"/>
    <cellStyle name="Lien hypertexte visité" xfId="2981" builtinId="9" hidden="1"/>
    <cellStyle name="Lien hypertexte visité" xfId="11180" builtinId="9" hidden="1"/>
    <cellStyle name="Lien hypertexte visité" xfId="24212" builtinId="9" hidden="1"/>
    <cellStyle name="Lien hypertexte visité" xfId="11581" builtinId="9" hidden="1"/>
    <cellStyle name="Lien hypertexte visité" xfId="3382" builtinId="9" hidden="1"/>
    <cellStyle name="Lien hypertexte visité" xfId="5966" builtinId="9" hidden="1"/>
    <cellStyle name="Lien hypertexte visité" xfId="14159" builtinId="9" hidden="1"/>
    <cellStyle name="Lien hypertexte visité" xfId="12510" builtinId="9" hidden="1"/>
    <cellStyle name="Lien hypertexte visité" xfId="21408" builtinId="9" hidden="1"/>
    <cellStyle name="Lien hypertexte visité" xfId="18490" builtinId="9" hidden="1"/>
    <cellStyle name="Lien hypertexte visité" xfId="4485" builtinId="9" hidden="1"/>
    <cellStyle name="Lien hypertexte visité" xfId="2523" builtinId="9" hidden="1"/>
    <cellStyle name="Lien hypertexte visité" xfId="1763" builtinId="9" hidden="1"/>
    <cellStyle name="Lien hypertexte visité" xfId="6477" builtinId="9" hidden="1"/>
    <cellStyle name="Lien hypertexte visité" xfId="16183" builtinId="9" hidden="1"/>
    <cellStyle name="Lien hypertexte visité" xfId="9877" builtinId="9" hidden="1"/>
    <cellStyle name="Lien hypertexte visité" xfId="4420" builtinId="9" hidden="1"/>
    <cellStyle name="Lien hypertexte visité" xfId="2192" builtinId="9" hidden="1"/>
    <cellStyle name="Lien hypertexte visité" xfId="7670" builtinId="9" hidden="1"/>
    <cellStyle name="Lien hypertexte visité" xfId="13127" builtinId="9" hidden="1"/>
    <cellStyle name="Lien hypertexte visité" xfId="9998" builtinId="9" hidden="1"/>
    <cellStyle name="Lien hypertexte visité" xfId="13646" builtinId="9" hidden="1"/>
    <cellStyle name="Lien hypertexte visité" xfId="20032" builtinId="9" hidden="1"/>
    <cellStyle name="Lien hypertexte visité" xfId="21922" builtinId="9" hidden="1"/>
    <cellStyle name="Lien hypertexte visité" xfId="23920" builtinId="9" hidden="1"/>
    <cellStyle name="Lien hypertexte visité" xfId="23450" builtinId="9" hidden="1"/>
    <cellStyle name="Lien hypertexte visité" xfId="13334" builtinId="9" hidden="1"/>
    <cellStyle name="Lien hypertexte visité" xfId="7206" builtinId="9" hidden="1"/>
    <cellStyle name="Lien hypertexte visité" xfId="10341" builtinId="9" hidden="1"/>
    <cellStyle name="Lien hypertexte visité" xfId="8004" builtinId="9" hidden="1"/>
    <cellStyle name="Lien hypertexte visité" xfId="12692" builtinId="9" hidden="1"/>
    <cellStyle name="Lien hypertexte visité" xfId="20196" builtinId="9" hidden="1"/>
    <cellStyle name="Lien hypertexte visité" xfId="19654" builtinId="9" hidden="1"/>
    <cellStyle name="Lien hypertexte visité" xfId="885" builtinId="9" hidden="1"/>
    <cellStyle name="Lien hypertexte visité" xfId="4499" builtinId="9" hidden="1"/>
    <cellStyle name="Lien hypertexte visité" xfId="3722" builtinId="9" hidden="1"/>
    <cellStyle name="Lien hypertexte visité" xfId="7848" builtinId="9" hidden="1"/>
    <cellStyle name="Lien hypertexte visité" xfId="5143" builtinId="9" hidden="1"/>
    <cellStyle name="Lien hypertexte visité" xfId="2093" builtinId="9" hidden="1"/>
    <cellStyle name="Lien hypertexte visité" xfId="9604" builtinId="9" hidden="1"/>
    <cellStyle name="Lien hypertexte visité" xfId="24420" builtinId="9" hidden="1"/>
    <cellStyle name="Lien hypertexte visité" xfId="15061" builtinId="9" hidden="1"/>
    <cellStyle name="Lien hypertexte visité" xfId="10100" builtinId="9" hidden="1"/>
    <cellStyle name="Lien hypertexte visité" xfId="5427" builtinId="9" hidden="1"/>
    <cellStyle name="Lien hypertexte visité" xfId="1562" builtinId="9" hidden="1"/>
    <cellStyle name="Lien hypertexte visité" xfId="5375" builtinId="9" hidden="1"/>
    <cellStyle name="Lien hypertexte visité" xfId="1220" builtinId="9" hidden="1"/>
    <cellStyle name="Lien hypertexte visité" xfId="6731" builtinId="9" hidden="1"/>
    <cellStyle name="Lien hypertexte visité" xfId="12172" builtinId="9" hidden="1"/>
    <cellStyle name="Lien hypertexte visité" xfId="20692" builtinId="9" hidden="1"/>
    <cellStyle name="Lien hypertexte visité" xfId="17543" builtinId="9" hidden="1"/>
    <cellStyle name="Lien hypertexte visité" xfId="10589" builtinId="9" hidden="1"/>
    <cellStyle name="Lien hypertexte visité" xfId="5148" builtinId="9" hidden="1"/>
    <cellStyle name="Lien hypertexte visité" xfId="1512" builtinId="9" hidden="1"/>
    <cellStyle name="Lien hypertexte visité" xfId="6958" builtinId="9" hidden="1"/>
    <cellStyle name="Lien hypertexte visité" xfId="12399" builtinId="9" hidden="1"/>
    <cellStyle name="Lien hypertexte visité" xfId="9542" builtinId="9" hidden="1"/>
    <cellStyle name="Lien hypertexte visité" xfId="13170" builtinId="9" hidden="1"/>
    <cellStyle name="Lien hypertexte visité" xfId="19064" builtinId="9" hidden="1"/>
    <cellStyle name="Lien hypertexte visité" xfId="22826" builtinId="9" hidden="1"/>
    <cellStyle name="Lien hypertexte visité" xfId="22458" builtinId="9" hidden="1"/>
    <cellStyle name="Lien hypertexte visité" xfId="9770" builtinId="9" hidden="1"/>
    <cellStyle name="Lien hypertexte visité" xfId="6625" builtinId="9" hidden="1"/>
    <cellStyle name="Lien hypertexte visité" xfId="3051" builtinId="9" hidden="1"/>
    <cellStyle name="Lien hypertexte visité" xfId="713" builtinId="9" hidden="1"/>
    <cellStyle name="Lien hypertexte visité" xfId="2383" builtinId="9" hidden="1"/>
    <cellStyle name="Lien hypertexte visité" xfId="5909" builtinId="9" hidden="1"/>
    <cellStyle name="Lien hypertexte visité" xfId="18502" builtinId="9" hidden="1"/>
    <cellStyle name="Lien hypertexte visité" xfId="12853" builtinId="9" hidden="1"/>
    <cellStyle name="Lien hypertexte visité" xfId="9221" builtinId="9" hidden="1"/>
    <cellStyle name="Lien hypertexte visité" xfId="5588" builtinId="9" hidden="1"/>
    <cellStyle name="Lien hypertexte visité" xfId="1918" builtinId="9" hidden="1"/>
    <cellStyle name="Lien hypertexte visité" xfId="2864" builtinId="9" hidden="1"/>
    <cellStyle name="Lien hypertexte visité" xfId="6486" builtinId="9" hidden="1"/>
    <cellStyle name="Lien hypertexte visité" xfId="10167" builtinId="9" hidden="1"/>
    <cellStyle name="Lien hypertexte visité" xfId="13783" builtinId="9" hidden="1"/>
    <cellStyle name="Lien hypertexte visité" xfId="9218" builtinId="9" hidden="1"/>
    <cellStyle name="Lien hypertexte visité" xfId="11662" builtinId="9" hidden="1"/>
    <cellStyle name="Lien hypertexte visité" xfId="14082" builtinId="9" hidden="1"/>
    <cellStyle name="Lien hypertexte visité" xfId="18472" builtinId="9" hidden="1"/>
    <cellStyle name="Lien hypertexte visité" xfId="23360" builtinId="9" hidden="1"/>
    <cellStyle name="Lien hypertexte visité" xfId="21026" builtinId="9" hidden="1"/>
    <cellStyle name="Lien hypertexte visité" xfId="20570" builtinId="9" hidden="1"/>
    <cellStyle name="Lien hypertexte visité" xfId="14234" builtinId="9" hidden="1"/>
    <cellStyle name="Lien hypertexte visité" xfId="17907" builtinId="9" hidden="1"/>
    <cellStyle name="Lien hypertexte visité" xfId="16849" builtinId="9" hidden="1"/>
    <cellStyle name="Lien hypertexte visité" xfId="8342" builtinId="9" hidden="1"/>
    <cellStyle name="Lien hypertexte visité" xfId="5222" builtinId="9" hidden="1"/>
    <cellStyle name="Lien hypertexte visité" xfId="3424" builtinId="9" hidden="1"/>
    <cellStyle name="Lien hypertexte visité" xfId="20274" builtinId="9" hidden="1"/>
    <cellStyle name="Lien hypertexte visité" xfId="20234" builtinId="9" hidden="1"/>
    <cellStyle name="Lien hypertexte visité" xfId="14478" builtinId="9" hidden="1"/>
    <cellStyle name="Lien hypertexte visité" xfId="14391" builtinId="9" hidden="1"/>
    <cellStyle name="Lien hypertexte visité" xfId="3456" builtinId="9" hidden="1"/>
    <cellStyle name="Lien hypertexte visité" xfId="8629" builtinId="9" hidden="1"/>
    <cellStyle name="Lien hypertexte visité" xfId="5397" builtinId="9" hidden="1"/>
    <cellStyle name="Lien hypertexte visité" xfId="3531" builtinId="9" hidden="1"/>
    <cellStyle name="Lien hypertexte visité" xfId="23184" builtinId="9" hidden="1"/>
    <cellStyle name="Lien hypertexte visité" xfId="13766" builtinId="9" hidden="1"/>
    <cellStyle name="Lien hypertexte visité" xfId="7855" builtinId="9" hidden="1"/>
    <cellStyle name="Lien hypertexte visité" xfId="9693" builtinId="9" hidden="1"/>
    <cellStyle name="Lien hypertexte visité" xfId="13068" builtinId="9" hidden="1"/>
    <cellStyle name="Lien hypertexte visité" xfId="4479" builtinId="9" hidden="1"/>
    <cellStyle name="Lien hypertexte visité" xfId="4282" builtinId="9" hidden="1"/>
    <cellStyle name="Lien hypertexte visité" xfId="6954" builtinId="9" hidden="1"/>
    <cellStyle name="Lien hypertexte visité" xfId="311" builtinId="9" hidden="1"/>
    <cellStyle name="Lien hypertexte visité" xfId="10089" builtinId="9" hidden="1"/>
    <cellStyle name="Lien hypertexte visité" xfId="24334" builtinId="9" hidden="1"/>
    <cellStyle name="Lien hypertexte visité" xfId="10240" builtinId="9" hidden="1"/>
    <cellStyle name="Lien hypertexte visité" xfId="11504" builtinId="9" hidden="1"/>
    <cellStyle name="Lien hypertexte visité" xfId="14717" builtinId="9" hidden="1"/>
    <cellStyle name="Lien hypertexte visité" xfId="20940" builtinId="9" hidden="1"/>
    <cellStyle name="Lien hypertexte visité" xfId="22062" builtinId="9" hidden="1"/>
    <cellStyle name="Lien hypertexte visité" xfId="15855" builtinId="9" hidden="1"/>
    <cellStyle name="Lien hypertexte visité" xfId="12065" builtinId="9" hidden="1"/>
    <cellStyle name="Lien hypertexte visité" xfId="8913" builtinId="9" hidden="1"/>
    <cellStyle name="Lien hypertexte visité" xfId="5792" builtinId="9" hidden="1"/>
    <cellStyle name="Lien hypertexte visité" xfId="2674" builtinId="9" hidden="1"/>
    <cellStyle name="Lien hypertexte visité" xfId="20588" builtinId="9" hidden="1"/>
    <cellStyle name="Lien hypertexte visité" xfId="6802" builtinId="9" hidden="1"/>
    <cellStyle name="Lien hypertexte visité" xfId="14275" builtinId="9" hidden="1"/>
    <cellStyle name="Lien hypertexte visité" xfId="16403" builtinId="9" hidden="1"/>
    <cellStyle name="Lien hypertexte visité" xfId="12979" builtinId="9" hidden="1"/>
    <cellStyle name="Lien hypertexte visité" xfId="10043" builtinId="9" hidden="1"/>
    <cellStyle name="Lien hypertexte visité" xfId="12363" builtinId="9" hidden="1"/>
    <cellStyle name="Lien hypertexte visité" xfId="1604" builtinId="9" hidden="1"/>
    <cellStyle name="Lien hypertexte visité" xfId="4402" builtinId="9" hidden="1"/>
    <cellStyle name="Lien hypertexte visité" xfId="1980" builtinId="9" hidden="1"/>
    <cellStyle name="Lien hypertexte visité" xfId="12811" builtinId="9" hidden="1"/>
    <cellStyle name="Lien hypertexte visité" xfId="7835" builtinId="9" hidden="1"/>
    <cellStyle name="Lien hypertexte visité" xfId="5458" builtinId="9" hidden="1"/>
    <cellStyle name="Lien hypertexte visité" xfId="8171" builtinId="9" hidden="1"/>
    <cellStyle name="Lien hypertexte visité" xfId="3976" builtinId="9" hidden="1"/>
    <cellStyle name="Lien hypertexte visité" xfId="9227" builtinId="9" hidden="1"/>
    <cellStyle name="Lien hypertexte visité" xfId="6554" builtinId="9" hidden="1"/>
    <cellStyle name="Lien hypertexte visité" xfId="11547" builtinId="9" hidden="1"/>
    <cellStyle name="Lien hypertexte visité" xfId="2780" builtinId="9" hidden="1"/>
    <cellStyle name="Lien hypertexte visité" xfId="3076" builtinId="9" hidden="1"/>
    <cellStyle name="Lien hypertexte visité" xfId="731" builtinId="9" hidden="1"/>
    <cellStyle name="Lien hypertexte visité" xfId="3877" builtinId="9" hidden="1"/>
    <cellStyle name="Lien hypertexte visité" xfId="11307" builtinId="9" hidden="1"/>
    <cellStyle name="Lien hypertexte visité" xfId="14203" builtinId="9" hidden="1"/>
    <cellStyle name="Lien hypertexte visité" xfId="16323" builtinId="9" hidden="1"/>
    <cellStyle name="Lien hypertexte visité" xfId="13019" builtinId="9" hidden="1"/>
    <cellStyle name="Lien hypertexte visité" xfId="10115" builtinId="9" hidden="1"/>
    <cellStyle name="Lien hypertexte visité" xfId="22588" builtinId="9" hidden="1"/>
    <cellStyle name="Lien hypertexte visité" xfId="11681" builtinId="9" hidden="1"/>
    <cellStyle name="Lien hypertexte visité" xfId="4088" builtinId="9" hidden="1"/>
    <cellStyle name="Lien hypertexte visité" xfId="7200" builtinId="9" hidden="1"/>
    <cellStyle name="Lien hypertexte visité" xfId="10361" builtinId="9" hidden="1"/>
    <cellStyle name="Lien hypertexte visité" xfId="13473" builtinId="9" hidden="1"/>
    <cellStyle name="Lien hypertexte visité" xfId="18654" builtinId="9" hidden="1"/>
    <cellStyle name="Lien hypertexte visité" xfId="24348" builtinId="9" hidden="1"/>
    <cellStyle name="Lien hypertexte visité" xfId="18141" builtinId="9" hidden="1"/>
    <cellStyle name="Lien hypertexte visité" xfId="13208" builtinId="9" hidden="1"/>
    <cellStyle name="Lien hypertexte visité" xfId="10096" builtinId="9" hidden="1"/>
    <cellStyle name="Lien hypertexte visité" xfId="14669" builtinId="9" hidden="1"/>
    <cellStyle name="Lien hypertexte visité" xfId="15903" builtinId="9" hidden="1"/>
    <cellStyle name="Lien hypertexte visité" xfId="5864" builtinId="9" hidden="1"/>
    <cellStyle name="Lien hypertexte visité" xfId="8411" builtinId="9" hidden="1"/>
    <cellStyle name="Lien hypertexte visité" xfId="5746" builtinId="9" hidden="1"/>
    <cellStyle name="Lien hypertexte visité" xfId="3068" builtinId="9" hidden="1"/>
    <cellStyle name="Lien hypertexte visité" xfId="4107" builtinId="9" hidden="1"/>
    <cellStyle name="Lien hypertexte visité" xfId="22774" builtinId="9" hidden="1"/>
    <cellStyle name="Lien hypertexte visité" xfId="2262" builtinId="9" hidden="1"/>
    <cellStyle name="Lien hypertexte visité" xfId="12543" builtinId="9" hidden="1"/>
    <cellStyle name="Lien hypertexte visité" xfId="8486" builtinId="9" hidden="1"/>
    <cellStyle name="Lien hypertexte visité" xfId="9139" builtinId="9" hidden="1"/>
    <cellStyle name="Lien hypertexte visité" xfId="6066" builtinId="9" hidden="1"/>
    <cellStyle name="Lien hypertexte visité" xfId="2836" builtinId="9" hidden="1"/>
    <cellStyle name="Lien hypertexte visité" xfId="8803" builtinId="9" hidden="1"/>
    <cellStyle name="Lien hypertexte visité" xfId="10131" builtinId="9" hidden="1"/>
    <cellStyle name="Lien hypertexte visité" xfId="14995" builtinId="9" hidden="1"/>
    <cellStyle name="Lien hypertexte visité" xfId="13099" builtinId="9" hidden="1"/>
    <cellStyle name="Lien hypertexte visité" xfId="10707" builtinId="9" hidden="1"/>
    <cellStyle name="Lien hypertexte visité" xfId="3484" builtinId="9" hidden="1"/>
    <cellStyle name="Lien hypertexte visité" xfId="3597" builtinId="9" hidden="1"/>
    <cellStyle name="Lien hypertexte visité" xfId="5467" builtinId="9" hidden="1"/>
    <cellStyle name="Lien hypertexte visité" xfId="4795" builtinId="9" hidden="1"/>
    <cellStyle name="Lien hypertexte visité" xfId="3931" builtinId="9" hidden="1"/>
    <cellStyle name="Lien hypertexte visité" xfId="3253" builtinId="9" hidden="1"/>
    <cellStyle name="Lien hypertexte visité" xfId="1717" builtinId="9" hidden="1"/>
    <cellStyle name="Lien hypertexte visité" xfId="541" builtinId="9" hidden="1"/>
    <cellStyle name="Lien hypertexte visité" xfId="1093" builtinId="9" hidden="1"/>
    <cellStyle name="Lien hypertexte visité" xfId="1833" builtinId="9" hidden="1"/>
    <cellStyle name="Lien hypertexte visité" xfId="2665" builtinId="9" hidden="1"/>
    <cellStyle name="Lien hypertexte visité" xfId="3369" builtinId="9" hidden="1"/>
    <cellStyle name="Lien hypertexte visité" xfId="4207" builtinId="9" hidden="1"/>
    <cellStyle name="Lien hypertexte visité" xfId="5743" builtinId="9" hidden="1"/>
    <cellStyle name="Lien hypertexte visité" xfId="6607" builtinId="9" hidden="1"/>
    <cellStyle name="Lien hypertexte visité" xfId="7279" builtinId="9" hidden="1"/>
    <cellStyle name="Lien hypertexte visité" xfId="8144" builtinId="9" hidden="1"/>
    <cellStyle name="Lien hypertexte visité" xfId="8816" builtinId="9" hidden="1"/>
    <cellStyle name="Lien hypertexte visité" xfId="455" builtinId="9" hidden="1"/>
    <cellStyle name="Lien hypertexte visité" xfId="1257" builtinId="9" hidden="1"/>
    <cellStyle name="Lien hypertexte visité" xfId="2410" builtinId="9" hidden="1"/>
    <cellStyle name="Lien hypertexte visité" xfId="2858" builtinId="9" hidden="1"/>
    <cellStyle name="Lien hypertexte visité" xfId="3434" builtinId="9" hidden="1"/>
    <cellStyle name="Lien hypertexte visité" xfId="3892" builtinId="9" hidden="1"/>
    <cellStyle name="Lien hypertexte visité" xfId="4464" builtinId="9" hidden="1"/>
    <cellStyle name="Lien hypertexte visité" xfId="4912" builtinId="9" hidden="1"/>
    <cellStyle name="Lien hypertexte visité" xfId="5488" builtinId="9" hidden="1"/>
    <cellStyle name="Lien hypertexte visité" xfId="6512" builtinId="9" hidden="1"/>
    <cellStyle name="Lien hypertexte visité" xfId="7064" builtinId="9" hidden="1"/>
    <cellStyle name="Lien hypertexte visité" xfId="7536" builtinId="9" hidden="1"/>
    <cellStyle name="Lien hypertexte visité" xfId="8089" builtinId="9" hidden="1"/>
    <cellStyle name="Lien hypertexte visité" xfId="8561" builtinId="9" hidden="1"/>
    <cellStyle name="Lien hypertexte visité" xfId="9113" builtinId="9" hidden="1"/>
    <cellStyle name="Lien hypertexte visité" xfId="9689" builtinId="9" hidden="1"/>
    <cellStyle name="Lien hypertexte visité" xfId="10713" builtinId="9" hidden="1"/>
    <cellStyle name="Lien hypertexte visité" xfId="11161" builtinId="9" hidden="1"/>
    <cellStyle name="Lien hypertexte visité" xfId="11737" builtinId="9" hidden="1"/>
    <cellStyle name="Lien hypertexte visité" xfId="12185" builtinId="9" hidden="1"/>
    <cellStyle name="Lien hypertexte visité" xfId="12761" builtinId="9" hidden="1"/>
    <cellStyle name="Lien hypertexte visité" xfId="13337" builtinId="9" hidden="1"/>
    <cellStyle name="Lien hypertexte visité" xfId="13785" builtinId="9" hidden="1"/>
    <cellStyle name="Lien hypertexte visité" xfId="15103" builtinId="9" hidden="1"/>
    <cellStyle name="Lien hypertexte visité" xfId="16255" builtinId="9" hidden="1"/>
    <cellStyle name="Lien hypertexte visité" xfId="17151" builtinId="9" hidden="1"/>
    <cellStyle name="Lien hypertexte visité" xfId="18303" builtinId="9" hidden="1"/>
    <cellStyle name="Lien hypertexte visité" xfId="19390" builtinId="9" hidden="1"/>
    <cellStyle name="Lien hypertexte visité" xfId="20334" builtinId="9" hidden="1"/>
    <cellStyle name="Lien hypertexte visité" xfId="21438" builtinId="9" hidden="1"/>
    <cellStyle name="Lien hypertexte visité" xfId="23486" builtinId="9" hidden="1"/>
    <cellStyle name="Lien hypertexte visité" xfId="24430" builtinId="9" hidden="1"/>
    <cellStyle name="Lien hypertexte visité" xfId="23692" builtinId="9" hidden="1"/>
    <cellStyle name="Lien hypertexte visité" xfId="22540" builtinId="9" hidden="1"/>
    <cellStyle name="Lien hypertexte visité" xfId="21644" builtinId="9" hidden="1"/>
    <cellStyle name="Lien hypertexte visité" xfId="20492" builtinId="9" hidden="1"/>
    <cellStyle name="Lien hypertexte visité" xfId="19596" builtinId="9" hidden="1"/>
    <cellStyle name="Lien hypertexte visité" xfId="17565" builtinId="9" hidden="1"/>
    <cellStyle name="Lien hypertexte visité" xfId="16413" builtinId="9" hidden="1"/>
    <cellStyle name="Lien hypertexte visité" xfId="15261" builtinId="9" hidden="1"/>
    <cellStyle name="Lien hypertexte visité" xfId="14440" builtinId="9" hidden="1"/>
    <cellStyle name="Lien hypertexte visité" xfId="13864" builtinId="9" hidden="1"/>
    <cellStyle name="Lien hypertexte visité" xfId="13416" builtinId="9" hidden="1"/>
    <cellStyle name="Lien hypertexte visité" xfId="12840" builtinId="9" hidden="1"/>
    <cellStyle name="Lien hypertexte visité" xfId="11816" builtinId="9" hidden="1"/>
    <cellStyle name="Lien hypertexte visité" xfId="11256" builtinId="9" hidden="1"/>
    <cellStyle name="Lien hypertexte visité" xfId="10792" builtinId="9" hidden="1"/>
    <cellStyle name="Lien hypertexte visité" xfId="10232" builtinId="9" hidden="1"/>
    <cellStyle name="Lien hypertexte visité" xfId="9768" builtinId="9" hidden="1"/>
    <cellStyle name="Lien hypertexte visité" xfId="9208" builtinId="9" hidden="1"/>
    <cellStyle name="Lien hypertexte visité" xfId="9184" builtinId="9" hidden="1"/>
    <cellStyle name="Lien hypertexte visité" xfId="12576" builtinId="9" hidden="1"/>
    <cellStyle name="Lien hypertexte visité" xfId="13920" builtinId="9" hidden="1"/>
    <cellStyle name="Lien hypertexte visité" xfId="16781" builtinId="9" hidden="1"/>
    <cellStyle name="Lien hypertexte visité" xfId="19452" builtinId="9" hidden="1"/>
    <cellStyle name="Lien hypertexte visité" xfId="22908" builtinId="9" hidden="1"/>
    <cellStyle name="Lien hypertexte visité" xfId="23630" builtinId="9" hidden="1"/>
    <cellStyle name="Lien hypertexte visité" xfId="20174" builtinId="9" hidden="1"/>
    <cellStyle name="Lien hypertexte visité" xfId="14281" builtinId="9" hidden="1"/>
    <cellStyle name="Lien hypertexte visité" xfId="12553" builtinId="9" hidden="1"/>
    <cellStyle name="Lien hypertexte visité" xfId="11209" builtinId="9" hidden="1"/>
    <cellStyle name="Lien hypertexte visité" xfId="9481" builtinId="9" hidden="1"/>
    <cellStyle name="Lien hypertexte visité" xfId="8137" builtinId="9" hidden="1"/>
    <cellStyle name="Lien hypertexte visité" xfId="6408" builtinId="9" hidden="1"/>
    <cellStyle name="Lien hypertexte visité" xfId="11337" builtinId="9" hidden="1"/>
    <cellStyle name="Lien hypertexte visité" xfId="22652" builtinId="9" hidden="1"/>
    <cellStyle name="Lien hypertexte visité" xfId="14496" builtinId="9" hidden="1"/>
    <cellStyle name="Lien hypertexte visité" xfId="9376" builtinId="9" hidden="1"/>
    <cellStyle name="Lien hypertexte visité" xfId="10040" builtinId="9" hidden="1"/>
    <cellStyle name="Lien hypertexte visité" xfId="11752" builtinId="9" hidden="1"/>
    <cellStyle name="Lien hypertexte visité" xfId="13456" builtinId="9" hidden="1"/>
    <cellStyle name="Lien hypertexte visité" xfId="15133" builtinId="9" hidden="1"/>
    <cellStyle name="Lien hypertexte visité" xfId="21260" builtinId="9" hidden="1"/>
    <cellStyle name="Lien hypertexte visité" xfId="24558" builtinId="9" hidden="1"/>
    <cellStyle name="Lien hypertexte visité" xfId="21822" builtinId="9" hidden="1"/>
    <cellStyle name="Lien hypertexte visité" xfId="18414" builtinId="9" hidden="1"/>
    <cellStyle name="Lien hypertexte visité" xfId="15023" builtinId="9" hidden="1"/>
    <cellStyle name="Lien hypertexte visité" xfId="13401" builtinId="9" hidden="1"/>
    <cellStyle name="Lien hypertexte visité" xfId="11697" builtinId="9" hidden="1"/>
    <cellStyle name="Lien hypertexte visité" xfId="8625" builtinId="9" hidden="1"/>
    <cellStyle name="Lien hypertexte visité" xfId="7256" builtinId="9" hidden="1"/>
    <cellStyle name="Lien hypertexte visité" xfId="5552" builtinId="9" hidden="1"/>
    <cellStyle name="Lien hypertexte visité" xfId="3843" builtinId="9" hidden="1"/>
    <cellStyle name="Lien hypertexte visité" xfId="2474" builtinId="9" hidden="1"/>
    <cellStyle name="Lien hypertexte visité" xfId="359" builtinId="9" hidden="1"/>
    <cellStyle name="Lien hypertexte visité" xfId="7567" builtinId="9" hidden="1"/>
    <cellStyle name="Lien hypertexte visité" xfId="2953" builtinId="9" hidden="1"/>
    <cellStyle name="Lien hypertexte visité" xfId="349" builtinId="9" hidden="1"/>
    <cellStyle name="Lien hypertexte visité" xfId="3317" builtinId="9" hidden="1"/>
    <cellStyle name="Lien hypertexte visité" xfId="5371" builtinId="9" hidden="1"/>
    <cellStyle name="Lien hypertexte visité" xfId="7932" builtinId="9" hidden="1"/>
    <cellStyle name="Lien hypertexte visité" xfId="9980" builtinId="9" hidden="1"/>
    <cellStyle name="Lien hypertexte visité" xfId="12540" builtinId="9" hidden="1"/>
    <cellStyle name="Lien hypertexte visité" xfId="19764" builtinId="9" hidden="1"/>
    <cellStyle name="Lien hypertexte visité" xfId="24342" builtinId="9" hidden="1"/>
    <cellStyle name="Lien hypertexte visité" xfId="20246" builtinId="9" hidden="1"/>
    <cellStyle name="Lien hypertexte visité" xfId="15143" builtinId="9" hidden="1"/>
    <cellStyle name="Lien hypertexte visité" xfId="12781" builtinId="9" hidden="1"/>
    <cellStyle name="Lien hypertexte visité" xfId="10221" builtinId="9" hidden="1"/>
    <cellStyle name="Lien hypertexte visité" xfId="8173" builtinId="9" hidden="1"/>
    <cellStyle name="Lien hypertexte visité" xfId="3046" builtinId="9" hidden="1"/>
    <cellStyle name="Lien hypertexte visité" xfId="831" builtinId="9" hidden="1"/>
    <cellStyle name="Lien hypertexte visité" xfId="2712" builtinId="9" hidden="1"/>
    <cellStyle name="Lien hypertexte visité" xfId="4766" builtinId="9" hidden="1"/>
    <cellStyle name="Lien hypertexte visité" xfId="7326" builtinId="9" hidden="1"/>
    <cellStyle name="Lien hypertexte visité" xfId="9375" builtinId="9" hidden="1"/>
    <cellStyle name="Lien hypertexte visité" xfId="11935" builtinId="9" hidden="1"/>
    <cellStyle name="Lien hypertexte visité" xfId="8638" builtinId="9" hidden="1"/>
    <cellStyle name="Lien hypertexte visité" xfId="6981" builtinId="9" hidden="1"/>
    <cellStyle name="Lien hypertexte visité" xfId="6653" builtinId="9" hidden="1"/>
    <cellStyle name="Lien hypertexte visité" xfId="6233" builtinId="9" hidden="1"/>
    <cellStyle name="Lien hypertexte visité" xfId="5905" builtinId="9" hidden="1"/>
    <cellStyle name="Lien hypertexte visité" xfId="5485" builtinId="9" hidden="1"/>
    <cellStyle name="Lien hypertexte visité" xfId="5061" builtinId="9" hidden="1"/>
    <cellStyle name="Lien hypertexte visité" xfId="4313" builtinId="9" hidden="1"/>
    <cellStyle name="Lien hypertexte visité" xfId="3985" builtinId="9" hidden="1"/>
    <cellStyle name="Lien hypertexte visité" xfId="9482" builtinId="9" hidden="1"/>
    <cellStyle name="Lien hypertexte visité" xfId="10634" builtinId="9" hidden="1"/>
    <cellStyle name="Lien hypertexte visité" xfId="12106" builtinId="9" hidden="1"/>
    <cellStyle name="Lien hypertexte visité" xfId="13578" builtinId="9" hidden="1"/>
    <cellStyle name="Lien hypertexte visité" xfId="14945" builtinId="9" hidden="1"/>
    <cellStyle name="Lien hypertexte visité" xfId="20304" builtinId="9" hidden="1"/>
    <cellStyle name="Lien hypertexte visité" xfId="23120" builtinId="9" hidden="1"/>
    <cellStyle name="Lien hypertexte visité" xfId="23674" builtinId="9" hidden="1"/>
    <cellStyle name="Lien hypertexte visité" xfId="20730" builtinId="9" hidden="1"/>
    <cellStyle name="Lien hypertexte visité" xfId="17931" builtinId="9" hidden="1"/>
    <cellStyle name="Lien hypertexte visité" xfId="17915" builtinId="9" hidden="1"/>
    <cellStyle name="Lien hypertexte visité" xfId="18882" builtinId="9" hidden="1"/>
    <cellStyle name="Lien hypertexte visité" xfId="20626" builtinId="9" hidden="1"/>
    <cellStyle name="Lien hypertexte visité" xfId="21394" builtinId="9" hidden="1"/>
    <cellStyle name="Lien hypertexte visité" xfId="22378" builtinId="9" hidden="1"/>
    <cellStyle name="Lien hypertexte visité" xfId="23362" builtinId="9" hidden="1"/>
    <cellStyle name="Lien hypertexte visité" xfId="24130" builtinId="9" hidden="1"/>
    <cellStyle name="Lien hypertexte visité" xfId="24120" builtinId="9" hidden="1"/>
    <cellStyle name="Lien hypertexte visité" xfId="23352" builtinId="9" hidden="1"/>
    <cellStyle name="Lien hypertexte visité" xfId="21600" builtinId="9" hidden="1"/>
    <cellStyle name="Lien hypertexte visité" xfId="20616" builtinId="9" hidden="1"/>
    <cellStyle name="Lien hypertexte visité" xfId="19640" builtinId="9" hidden="1"/>
    <cellStyle name="Lien hypertexte visité" xfId="18872" builtinId="9" hidden="1"/>
    <cellStyle name="Lien hypertexte visité" xfId="17905" builtinId="9" hidden="1"/>
    <cellStyle name="Lien hypertexte visité" xfId="17137" builtinId="9" hidden="1"/>
    <cellStyle name="Lien hypertexte visité" xfId="16153" builtinId="9" hidden="1"/>
    <cellStyle name="Lien hypertexte visité" xfId="14462" builtinId="9" hidden="1"/>
    <cellStyle name="Lien hypertexte visité" xfId="11359" builtinId="9" hidden="1"/>
    <cellStyle name="Lien hypertexte visité" xfId="14079" builtinId="9" hidden="1"/>
    <cellStyle name="Lien hypertexte visité" xfId="8830" builtinId="9" hidden="1"/>
    <cellStyle name="Lien hypertexte visité" xfId="9427" builtinId="9" hidden="1"/>
    <cellStyle name="Lien hypertexte visité" xfId="7090" builtinId="9" hidden="1"/>
    <cellStyle name="Lien hypertexte visité" xfId="4746" builtinId="9" hidden="1"/>
    <cellStyle name="Lien hypertexte visité" xfId="6754" builtinId="9" hidden="1"/>
    <cellStyle name="Lien hypertexte visité" xfId="11091" builtinId="9" hidden="1"/>
    <cellStyle name="Lien hypertexte visité" xfId="14131" builtinId="9" hidden="1"/>
    <cellStyle name="Lien hypertexte visité" xfId="16435" builtinId="9" hidden="1"/>
    <cellStyle name="Lien hypertexte visité" xfId="15827" builtinId="9" hidden="1"/>
    <cellStyle name="Lien hypertexte visité" xfId="9747" builtinId="9" hidden="1"/>
    <cellStyle name="Lien hypertexte visité" xfId="11931" builtinId="9" hidden="1"/>
    <cellStyle name="Lien hypertexte visité" xfId="3308" builtinId="9" hidden="1"/>
    <cellStyle name="Lien hypertexte visité" xfId="5650" builtinId="9" hidden="1"/>
    <cellStyle name="Lien hypertexte visité" xfId="7995" builtinId="9" hidden="1"/>
    <cellStyle name="Lien hypertexte visité" xfId="3234" builtinId="9" hidden="1"/>
    <cellStyle name="Lien hypertexte visité" xfId="11433" builtinId="9" hidden="1"/>
    <cellStyle name="Lien hypertexte visité" xfId="24508" builtinId="9" hidden="1"/>
    <cellStyle name="Lien hypertexte visité" xfId="11328" builtinId="9" hidden="1"/>
    <cellStyle name="Lien hypertexte visité" xfId="13488" builtinId="9" hidden="1"/>
    <cellStyle name="Lien hypertexte visité" xfId="17917" builtinId="9" hidden="1"/>
    <cellStyle name="Lien hypertexte visité" xfId="23372" builtinId="9" hidden="1"/>
    <cellStyle name="Lien hypertexte visité" xfId="20398" builtinId="9" hidden="1"/>
    <cellStyle name="Lien hypertexte visité" xfId="14959" builtinId="9" hidden="1"/>
    <cellStyle name="Lien hypertexte visité" xfId="12001" builtinId="9" hidden="1"/>
    <cellStyle name="Lien hypertexte visité" xfId="9273" builtinId="9" hidden="1"/>
    <cellStyle name="Lien hypertexte visité" xfId="3811" builtinId="9" hidden="1"/>
    <cellStyle name="Lien hypertexte visité" xfId="983" builtinId="9" hidden="1"/>
    <cellStyle name="Lien hypertexte visité" xfId="5983" builtinId="9" hidden="1"/>
    <cellStyle name="Lien hypertexte visité" xfId="1881" builtinId="9" hidden="1"/>
    <cellStyle name="Lien hypertexte visité" xfId="3365" builtinId="9" hidden="1"/>
    <cellStyle name="Lien hypertexte visité" xfId="7467" builtinId="9" hidden="1"/>
    <cellStyle name="Lien hypertexte visité" xfId="11564" builtinId="9" hidden="1"/>
    <cellStyle name="Lien hypertexte visité" xfId="24246" builtinId="9" hidden="1"/>
    <cellStyle name="Lien hypertexte visité" xfId="16071" builtinId="9" hidden="1"/>
    <cellStyle name="Lien hypertexte visité" xfId="11197" builtinId="9" hidden="1"/>
    <cellStyle name="Lien hypertexte visité" xfId="7100" builtinId="9" hidden="1"/>
    <cellStyle name="Lien hypertexte visité" xfId="2998" builtinId="9" hidden="1"/>
    <cellStyle name="Lien hypertexte visité" xfId="2248" builtinId="9" hidden="1"/>
    <cellStyle name="Lien hypertexte visité" xfId="6350" builtinId="9" hidden="1"/>
    <cellStyle name="Lien hypertexte visité" xfId="14571" builtinId="9" hidden="1"/>
    <cellStyle name="Lien hypertexte visité" xfId="10034" builtinId="9" hidden="1"/>
    <cellStyle name="Lien hypertexte visité" xfId="12766" builtinId="9" hidden="1"/>
    <cellStyle name="Lien hypertexte visité" xfId="16473" builtinId="9" hidden="1"/>
    <cellStyle name="Lien hypertexte visité" xfId="21920" builtinId="9" hidden="1"/>
    <cellStyle name="Lien hypertexte visité" xfId="21842" builtinId="9" hidden="1"/>
    <cellStyle name="Lien hypertexte visité" xfId="20026" builtinId="9" hidden="1"/>
    <cellStyle name="Lien hypertexte visité" xfId="4705" builtinId="9" hidden="1"/>
    <cellStyle name="Lien hypertexte visité" xfId="7045" builtinId="9" hidden="1"/>
    <cellStyle name="Lien hypertexte visité" xfId="2727" builtinId="9" hidden="1"/>
    <cellStyle name="Lien hypertexte visité" xfId="1049" builtinId="9" hidden="1"/>
    <cellStyle name="Lien hypertexte visité" xfId="1563" builtinId="9" hidden="1"/>
    <cellStyle name="Lien hypertexte visité" xfId="5545" builtinId="9" hidden="1"/>
    <cellStyle name="Lien hypertexte visité" xfId="6257" builtinId="9" hidden="1"/>
    <cellStyle name="Lien hypertexte visité" xfId="15671" builtinId="9" hidden="1"/>
    <cellStyle name="Lien hypertexte visité" xfId="12357" builtinId="9" hidden="1"/>
    <cellStyle name="Lien hypertexte visité" xfId="9621" builtinId="9" hidden="1"/>
    <cellStyle name="Lien hypertexte visité" xfId="6900" builtinId="9" hidden="1"/>
    <cellStyle name="Lien hypertexte visité" xfId="4164" builtinId="9" hidden="1"/>
    <cellStyle name="Lien hypertexte visité" xfId="1421" builtinId="9" hidden="1"/>
    <cellStyle name="Lien hypertexte visité" xfId="2448" builtinId="9" hidden="1"/>
    <cellStyle name="Lien hypertexte visité" xfId="7927" builtinId="9" hidden="1"/>
    <cellStyle name="Lien hypertexte visité" xfId="10647" builtinId="9" hidden="1"/>
    <cellStyle name="Lien hypertexte visité" xfId="13383" builtinId="9" hidden="1"/>
    <cellStyle name="Lien hypertexte visité" xfId="8354" builtinId="9" hidden="1"/>
    <cellStyle name="Lien hypertexte visité" xfId="10166" builtinId="9" hidden="1"/>
    <cellStyle name="Lien hypertexte visité" xfId="11990" builtinId="9" hidden="1"/>
    <cellStyle name="Lien hypertexte visité" xfId="13814" builtinId="9" hidden="1"/>
    <cellStyle name="Lien hypertexte visité" xfId="20376" builtinId="9" hidden="1"/>
    <cellStyle name="Lien hypertexte visité" xfId="24024" builtinId="9" hidden="1"/>
    <cellStyle name="Lien hypertexte visité" xfId="21578" builtinId="9" hidden="1"/>
    <cellStyle name="Lien hypertexte visité" xfId="17947" builtinId="9" hidden="1"/>
    <cellStyle name="Lien hypertexte visité" xfId="22896" builtinId="9" hidden="1"/>
    <cellStyle name="Lien hypertexte visité" xfId="13274" builtinId="9" hidden="1"/>
    <cellStyle name="Lien hypertexte visité" xfId="20378" builtinId="9" hidden="1"/>
    <cellStyle name="Lien hypertexte visité" xfId="12822" builtinId="9" hidden="1"/>
    <cellStyle name="Lien hypertexte visité" xfId="14747" builtinId="9" hidden="1"/>
    <cellStyle name="Lien hypertexte visité" xfId="6438" builtinId="9" hidden="1"/>
    <cellStyle name="Lien hypertexte visité" xfId="2910" builtinId="9" hidden="1"/>
    <cellStyle name="Lien hypertexte visité" xfId="11109" builtinId="9" hidden="1"/>
    <cellStyle name="Lien hypertexte visité" xfId="5875" builtinId="9" hidden="1"/>
    <cellStyle name="Lien hypertexte visité" xfId="8228" builtinId="9" hidden="1"/>
    <cellStyle name="Lien hypertexte visité" xfId="12900" builtinId="9" hidden="1"/>
    <cellStyle name="Lien hypertexte visité" xfId="15989" builtinId="9" hidden="1"/>
    <cellStyle name="Lien hypertexte visité" xfId="20644" builtinId="9" hidden="1"/>
    <cellStyle name="Lien hypertexte visité" xfId="23910" builtinId="9" hidden="1"/>
    <cellStyle name="Lien hypertexte visité" xfId="19238" builtinId="9" hidden="1"/>
    <cellStyle name="Lien hypertexte visité" xfId="6403" builtinId="9" hidden="1"/>
    <cellStyle name="Lien hypertexte visité" xfId="469" builtinId="9" hidden="1"/>
    <cellStyle name="Lien hypertexte visité" xfId="4707" builtinId="9" hidden="1"/>
    <cellStyle name="Lien hypertexte visité" xfId="4727" builtinId="9" hidden="1"/>
    <cellStyle name="Lien hypertexte visité" xfId="7303" builtinId="9" hidden="1"/>
    <cellStyle name="Lien hypertexte visité" xfId="7447" builtinId="9" hidden="1"/>
    <cellStyle name="Lien hypertexte visité" xfId="8040" builtinId="9" hidden="1"/>
    <cellStyle name="Lien hypertexte visité" xfId="3233" builtinId="9" hidden="1"/>
    <cellStyle name="Lien hypertexte visité" xfId="5351" builtinId="9" hidden="1"/>
    <cellStyle name="Lien hypertexte visité" xfId="1885" builtinId="9" hidden="1"/>
    <cellStyle name="Lien hypertexte visité" xfId="1456" builtinId="9" hidden="1"/>
    <cellStyle name="Lien hypertexte visité" xfId="11140" builtinId="9" hidden="1"/>
    <cellStyle name="Lien hypertexte visité" xfId="20582" builtinId="9" hidden="1"/>
    <cellStyle name="Lien hypertexte visité" xfId="23972" builtinId="9" hidden="1"/>
    <cellStyle name="Lien hypertexte visité" xfId="19300" builtinId="9" hidden="1"/>
    <cellStyle name="Lien hypertexte visité" xfId="14613" builtinId="9" hidden="1"/>
    <cellStyle name="Lien hypertexte visité" xfId="9892" builtinId="9" hidden="1"/>
    <cellStyle name="Lien hypertexte visité" xfId="7539" builtinId="9" hidden="1"/>
    <cellStyle name="Lien hypertexte visité" xfId="5203" builtinId="9" hidden="1"/>
    <cellStyle name="Lien hypertexte visité" xfId="8741" builtinId="9" hidden="1"/>
    <cellStyle name="Lien hypertexte visité" xfId="1393" builtinId="9" hidden="1"/>
    <cellStyle name="Lien hypertexte visité" xfId="7872" builtinId="9" hidden="1"/>
    <cellStyle name="Lien hypertexte visité" xfId="5119" builtinId="9" hidden="1"/>
    <cellStyle name="Lien hypertexte visité" xfId="1476" builtinId="9" hidden="1"/>
    <cellStyle name="Lien hypertexte visité" xfId="4235" builtinId="9" hidden="1"/>
    <cellStyle name="Lien hypertexte visité" xfId="6987" builtinId="9" hidden="1"/>
    <cellStyle name="Lien hypertexte visité" xfId="9676" builtinId="9" hidden="1"/>
    <cellStyle name="Lien hypertexte visité" xfId="12428" builtinId="9" hidden="1"/>
    <cellStyle name="Lien hypertexte visité" xfId="15845" builtinId="9" hidden="1"/>
    <cellStyle name="Lien hypertexte visité" xfId="21204" builtinId="9" hidden="1"/>
    <cellStyle name="Lien hypertexte visité" xfId="17031" builtinId="9" hidden="1"/>
    <cellStyle name="Lien hypertexte visité" xfId="13085" builtinId="9" hidden="1"/>
    <cellStyle name="Lien hypertexte visité" xfId="10333" builtinId="9" hidden="1"/>
    <cellStyle name="Lien hypertexte visité" xfId="7580" builtinId="9" hidden="1"/>
    <cellStyle name="Lien hypertexte visité" xfId="4892" builtinId="9" hidden="1"/>
    <cellStyle name="Lien hypertexte visité" xfId="2134" builtinId="9" hidden="1"/>
    <cellStyle name="Lien hypertexte visité" xfId="1768" builtinId="9" hidden="1"/>
    <cellStyle name="Lien hypertexte visité" xfId="7214" builtinId="9" hidden="1"/>
    <cellStyle name="Lien hypertexte visité" xfId="9967" builtinId="9" hidden="1"/>
    <cellStyle name="Lien hypertexte visité" xfId="12655" builtinId="9" hidden="1"/>
    <cellStyle name="Lien hypertexte visité" xfId="16299" builtinId="9" hidden="1"/>
    <cellStyle name="Lien hypertexte visité" xfId="9714" builtinId="9" hidden="1"/>
    <cellStyle name="Lien hypertexte visité" xfId="11506" builtinId="9" hidden="1"/>
    <cellStyle name="Lien hypertexte visité" xfId="13342" builtinId="9" hidden="1"/>
    <cellStyle name="Lien hypertexte visité" xfId="19400" builtinId="9" hidden="1"/>
    <cellStyle name="Lien hypertexte visité" xfId="23072" builtinId="9" hidden="1"/>
    <cellStyle name="Lien hypertexte visité" xfId="22482" builtinId="9" hidden="1"/>
    <cellStyle name="Lien hypertexte visité" xfId="18898" builtinId="9" hidden="1"/>
    <cellStyle name="Lien hypertexte visité" xfId="23482" builtinId="9" hidden="1"/>
    <cellStyle name="Lien hypertexte visité" xfId="14753" builtinId="9" hidden="1"/>
    <cellStyle name="Lien hypertexte visité" xfId="9258" builtinId="9" hidden="1"/>
    <cellStyle name="Lien hypertexte visité" xfId="6773" builtinId="9" hidden="1"/>
    <cellStyle name="Lien hypertexte visité" xfId="7561" builtinId="9" hidden="1"/>
    <cellStyle name="Lien hypertexte visité" xfId="3187" builtinId="9" hidden="1"/>
    <cellStyle name="Lien hypertexte visité" xfId="2031" builtinId="9" hidden="1"/>
    <cellStyle name="Lien hypertexte visité" xfId="1362" builtinId="9" hidden="1"/>
    <cellStyle name="Lien hypertexte visité" xfId="3720" builtinId="9" hidden="1"/>
    <cellStyle name="Lien hypertexte visité" xfId="2247" builtinId="9" hidden="1"/>
    <cellStyle name="Lien hypertexte visité" xfId="5761" builtinId="9" hidden="1"/>
    <cellStyle name="Lien hypertexte visité" xfId="4189" builtinId="9" hidden="1"/>
    <cellStyle name="Lien hypertexte visité" xfId="18167" builtinId="9" hidden="1"/>
    <cellStyle name="Lien hypertexte visité" xfId="14519" builtinId="9" hidden="1"/>
    <cellStyle name="Lien hypertexte visité" xfId="12677" builtinId="9" hidden="1"/>
    <cellStyle name="Lien hypertexte visité" xfId="10885" builtinId="9" hidden="1"/>
    <cellStyle name="Lien hypertexte visité" xfId="9045" builtinId="9" hidden="1"/>
    <cellStyle name="Lien hypertexte visité" xfId="5428" builtinId="9" hidden="1"/>
    <cellStyle name="Lien hypertexte visité" xfId="3583" builtinId="9" hidden="1"/>
    <cellStyle name="Lien hypertexte visité" xfId="1742" builtinId="9" hidden="1"/>
    <cellStyle name="Lien hypertexte visité" xfId="1199" builtinId="9" hidden="1"/>
    <cellStyle name="Lien hypertexte visité" xfId="3024" builtinId="9" hidden="1"/>
    <cellStyle name="Lien hypertexte visité" xfId="4870" builtinId="9" hidden="1"/>
    <cellStyle name="Lien hypertexte visité" xfId="6662" builtinId="9" hidden="1"/>
    <cellStyle name="Lien hypertexte visité" xfId="10327" builtinId="9" hidden="1"/>
    <cellStyle name="Lien hypertexte visité" xfId="12119" builtinId="9" hidden="1"/>
    <cellStyle name="Lien hypertexte visité" xfId="13959" builtinId="9" hidden="1"/>
    <cellStyle name="Lien hypertexte visité" xfId="17083" builtinId="9" hidden="1"/>
    <cellStyle name="Lien hypertexte visité" xfId="9334" builtinId="9" hidden="1"/>
    <cellStyle name="Lien hypertexte visité" xfId="10550" builtinId="9" hidden="1"/>
    <cellStyle name="Lien hypertexte visité" xfId="11778" builtinId="9" hidden="1"/>
    <cellStyle name="Lien hypertexte visité" xfId="14198" builtinId="9" hidden="1"/>
    <cellStyle name="Lien hypertexte visité" xfId="16313" builtinId="9" hidden="1"/>
    <cellStyle name="Lien hypertexte visité" xfId="18688" builtinId="9" hidden="1"/>
    <cellStyle name="Lien hypertexte visité" xfId="21144" builtinId="9" hidden="1"/>
    <cellStyle name="Lien hypertexte visité" xfId="23592" builtinId="9" hidden="1"/>
    <cellStyle name="Lien hypertexte visité" xfId="23242" builtinId="9" hidden="1"/>
    <cellStyle name="Lien hypertexte visité" xfId="20810" builtinId="9" hidden="1"/>
    <cellStyle name="Lien hypertexte visité" xfId="21274" builtinId="9" hidden="1"/>
    <cellStyle name="Lien hypertexte visité" xfId="20592" builtinId="9" hidden="1"/>
    <cellStyle name="Lien hypertexte visité" xfId="13914" builtinId="9" hidden="1"/>
    <cellStyle name="Lien hypertexte visité" xfId="14138" builtinId="9" hidden="1"/>
    <cellStyle name="Lien hypertexte visité" xfId="18570" builtinId="9" hidden="1"/>
    <cellStyle name="Lien hypertexte visité" xfId="23320" builtinId="9" hidden="1"/>
    <cellStyle name="Lien hypertexte visité" xfId="16169" builtinId="9" hidden="1"/>
    <cellStyle name="Lien hypertexte visité" xfId="16667" builtinId="9" hidden="1"/>
    <cellStyle name="Lien hypertexte visité" xfId="10215" builtinId="9" hidden="1"/>
    <cellStyle name="Lien hypertexte visité" xfId="4710" builtinId="9" hidden="1"/>
    <cellStyle name="Lien hypertexte visité" xfId="1950" builtinId="9" hidden="1"/>
    <cellStyle name="Lien hypertexte visité" xfId="4966" builtinId="9" hidden="1"/>
    <cellStyle name="Lien hypertexte visité" xfId="11842" builtinId="9" hidden="1"/>
    <cellStyle name="Lien hypertexte visité" xfId="18243" builtinId="9" hidden="1"/>
    <cellStyle name="Lien hypertexte visité" xfId="20914" builtinId="9" hidden="1"/>
    <cellStyle name="Lien hypertexte visité" xfId="21032" builtinId="9" hidden="1"/>
    <cellStyle name="Lien hypertexte visité" xfId="14134" builtinId="9" hidden="1"/>
    <cellStyle name="Lien hypertexte visité" xfId="10498" builtinId="9" hidden="1"/>
    <cellStyle name="Lien hypertexte visité" xfId="13879" builtinId="9" hidden="1"/>
    <cellStyle name="Lien hypertexte visité" xfId="8407" builtinId="9" hidden="1"/>
    <cellStyle name="Lien hypertexte visité" xfId="2944" builtinId="9" hidden="1"/>
    <cellStyle name="Lien hypertexte visité" xfId="9141" builtinId="9" hidden="1"/>
    <cellStyle name="Lien hypertexte visité" xfId="14679" builtinId="9" hidden="1"/>
    <cellStyle name="Lien hypertexte visité" xfId="5837" builtinId="9" hidden="1"/>
    <cellStyle name="Lien hypertexte visité" xfId="3792" builtinId="9" hidden="1"/>
    <cellStyle name="Lien hypertexte visité" xfId="3119" builtinId="9" hidden="1"/>
    <cellStyle name="Lien hypertexte visité" xfId="5125" builtinId="9" hidden="1"/>
    <cellStyle name="Lien hypertexte visité" xfId="22970" builtinId="9" hidden="1"/>
    <cellStyle name="Lien hypertexte visité" xfId="13254" builtinId="9" hidden="1"/>
    <cellStyle name="Lien hypertexte visité" xfId="16043" builtinId="9" hidden="1"/>
    <cellStyle name="Lien hypertexte visité" xfId="7086" builtinId="9" hidden="1"/>
    <cellStyle name="Lien hypertexte visité" xfId="287" builtinId="9" hidden="1"/>
    <cellStyle name="Lien hypertexte visité" xfId="3496" builtinId="9" hidden="1"/>
    <cellStyle name="Lien hypertexte visité" xfId="6062" builtinId="9" hidden="1"/>
    <cellStyle name="Lien hypertexte visité" xfId="8623" builtinId="9" hidden="1"/>
    <cellStyle name="Lien hypertexte visité" xfId="14255" builtinId="9" hidden="1"/>
    <cellStyle name="Lien hypertexte visité" xfId="8818" builtinId="9" hidden="1"/>
    <cellStyle name="Lien hypertexte visité" xfId="10866" builtinId="9" hidden="1"/>
    <cellStyle name="Lien hypertexte visité" xfId="12574" builtinId="9" hidden="1"/>
    <cellStyle name="Lien hypertexte visité" xfId="14278" builtinId="9" hidden="1"/>
    <cellStyle name="Lien hypertexte visité" xfId="18137" builtinId="9" hidden="1"/>
    <cellStyle name="Lien hypertexte visité" xfId="21536" builtinId="9" hidden="1"/>
    <cellStyle name="Lien hypertexte visité" xfId="20178" builtinId="9" hidden="1"/>
    <cellStyle name="Lien hypertexte visité" xfId="18874" builtinId="9" hidden="1"/>
    <cellStyle name="Lien hypertexte visité" xfId="20112" builtinId="9" hidden="1"/>
    <cellStyle name="Lien hypertexte visité" xfId="11178" builtinId="9" hidden="1"/>
    <cellStyle name="Lien hypertexte visité" xfId="4541" builtinId="9" hidden="1"/>
    <cellStyle name="Lien hypertexte visité" xfId="6005" builtinId="9" hidden="1"/>
    <cellStyle name="Lien hypertexte visité" xfId="7761" builtinId="9" hidden="1"/>
    <cellStyle name="Lien hypertexte visité" xfId="3652" builtinId="9" hidden="1"/>
    <cellStyle name="Lien hypertexte visité" xfId="401" builtinId="9" hidden="1"/>
    <cellStyle name="Lien hypertexte visité" xfId="1711" builtinId="9" hidden="1"/>
    <cellStyle name="Lien hypertexte visité" xfId="2963" builtinId="9" hidden="1"/>
    <cellStyle name="Lien hypertexte visité" xfId="7886" builtinId="9" hidden="1"/>
    <cellStyle name="Lien hypertexte visité" xfId="6421" builtinId="9" hidden="1"/>
    <cellStyle name="Lien hypertexte visité" xfId="4957" builtinId="9" hidden="1"/>
    <cellStyle name="Lien hypertexte visité" xfId="16055" builtinId="9" hidden="1"/>
    <cellStyle name="Lien hypertexte visité" xfId="13573" builtinId="9" hidden="1"/>
    <cellStyle name="Lien hypertexte visité" xfId="11525" builtinId="9" hidden="1"/>
    <cellStyle name="Lien hypertexte visité" xfId="9813" builtinId="9" hidden="1"/>
    <cellStyle name="Lien hypertexte visité" xfId="8117" builtinId="9" hidden="1"/>
    <cellStyle name="Lien hypertexte visité" xfId="6068" builtinId="9" hidden="1"/>
    <cellStyle name="Lien hypertexte visité" xfId="4356" builtinId="9" hidden="1"/>
    <cellStyle name="Lien hypertexte visité" xfId="65" builtinId="9" hidden="1"/>
    <cellStyle name="Lien hypertexte visité" xfId="2256" builtinId="9" hidden="1"/>
    <cellStyle name="Lien hypertexte visité" xfId="3974" builtinId="9" hidden="1"/>
    <cellStyle name="Lien hypertexte visité" xfId="6022" builtinId="9" hidden="1"/>
    <cellStyle name="Lien hypertexte visité" xfId="7734" builtinId="9" hidden="1"/>
    <cellStyle name="Lien hypertexte visité" xfId="9431" builtinId="9" hidden="1"/>
    <cellStyle name="Lien hypertexte visité" xfId="11479" builtinId="9" hidden="1"/>
    <cellStyle name="Lien hypertexte visité" xfId="15291" builtinId="9" hidden="1"/>
    <cellStyle name="Lien hypertexte visité" xfId="8910" builtinId="9" hidden="1"/>
    <cellStyle name="Lien hypertexte visité" xfId="10038" builtinId="9" hidden="1"/>
    <cellStyle name="Lien hypertexte visité" xfId="11182" builtinId="9" hidden="1"/>
    <cellStyle name="Lien hypertexte visité" xfId="12546" builtinId="9" hidden="1"/>
    <cellStyle name="Lien hypertexte visité" xfId="13686" builtinId="9" hidden="1"/>
    <cellStyle name="Lien hypertexte visité" xfId="15121" builtinId="9" hidden="1"/>
    <cellStyle name="Lien hypertexte visité" xfId="20120" builtinId="9" hidden="1"/>
    <cellStyle name="Lien hypertexte visité" xfId="22400" builtinId="9" hidden="1"/>
    <cellStyle name="Lien hypertexte visité" xfId="24098" builtinId="9" hidden="1"/>
    <cellStyle name="Lien hypertexte visité" xfId="21834" builtinId="9" hidden="1"/>
    <cellStyle name="Lien hypertexte visité" xfId="19554" builtinId="9" hidden="1"/>
    <cellStyle name="Lien hypertexte visité" xfId="18714" builtinId="9" hidden="1"/>
    <cellStyle name="Lien hypertexte visité" xfId="23664" builtinId="9" hidden="1"/>
    <cellStyle name="Lien hypertexte visité" xfId="11610" builtinId="9" hidden="1"/>
    <cellStyle name="Lien hypertexte visité" xfId="22682" builtinId="9" hidden="1"/>
    <cellStyle name="Lien hypertexte visité" xfId="22322" builtinId="9" hidden="1"/>
    <cellStyle name="Lien hypertexte visité" xfId="18712" builtinId="9" hidden="1"/>
    <cellStyle name="Lien hypertexte visité" xfId="13206" builtinId="9" hidden="1"/>
    <cellStyle name="Lien hypertexte visité" xfId="9794" builtinId="9" hidden="1"/>
    <cellStyle name="Lien hypertexte visité" xfId="12135" builtinId="9" hidden="1"/>
    <cellStyle name="Lien hypertexte visité" xfId="1888" builtinId="9" hidden="1"/>
    <cellStyle name="Lien hypertexte visité" xfId="4260" builtinId="9" hidden="1"/>
    <cellStyle name="Lien hypertexte visité" xfId="2590" builtinId="9" hidden="1"/>
    <cellStyle name="Lien hypertexte visité" xfId="687" builtinId="9" hidden="1"/>
    <cellStyle name="Lien hypertexte visité" xfId="2272" builtinId="9" hidden="1"/>
    <cellStyle name="Lien hypertexte visité" xfId="4070" builtinId="9" hidden="1"/>
    <cellStyle name="Lien hypertexte visité" xfId="5734" builtinId="9" hidden="1"/>
    <cellStyle name="Lien hypertexte visité" xfId="9447" builtinId="9" hidden="1"/>
    <cellStyle name="Lien hypertexte visité" xfId="11239" builtinId="9" hidden="1"/>
    <cellStyle name="Lien hypertexte visité" xfId="13287" builtinId="9" hidden="1"/>
    <cellStyle name="Lien hypertexte visité" xfId="15387" builtinId="9" hidden="1"/>
    <cellStyle name="Lien hypertexte visité" xfId="8686" builtinId="9" hidden="1"/>
    <cellStyle name="Lien hypertexte visité" xfId="10050" builtinId="9" hidden="1"/>
    <cellStyle name="Lien hypertexte visité" xfId="11246" builtinId="9" hidden="1"/>
    <cellStyle name="Lien hypertexte visité" xfId="13718" builtinId="9" hidden="1"/>
    <cellStyle name="Lien hypertexte visité" xfId="15145" builtinId="9" hidden="1"/>
    <cellStyle name="Lien hypertexte visité" xfId="17529" builtinId="9" hidden="1"/>
    <cellStyle name="Lien hypertexte visité" xfId="20248" builtinId="9" hidden="1"/>
    <cellStyle name="Lien hypertexte visité" xfId="22464" builtinId="9" hidden="1"/>
    <cellStyle name="Lien hypertexte visité" xfId="24546" builtinId="9" hidden="1"/>
    <cellStyle name="Lien hypertexte visité" xfId="21810" builtinId="9" hidden="1"/>
    <cellStyle name="Lien hypertexte visité" xfId="17579" builtinId="9" hidden="1"/>
    <cellStyle name="Lien hypertexte visité" xfId="23472" builtinId="9" hidden="1"/>
    <cellStyle name="Lien hypertexte visité" xfId="16833" builtinId="9" hidden="1"/>
    <cellStyle name="Lien hypertexte visité" xfId="12090" builtinId="9" hidden="1"/>
    <cellStyle name="Lien hypertexte visité" xfId="12378" builtinId="9" hidden="1"/>
    <cellStyle name="Lien hypertexte visité" xfId="13466" builtinId="9" hidden="1"/>
    <cellStyle name="Lien hypertexte visité" xfId="14657" builtinId="9" hidden="1"/>
    <cellStyle name="Lien hypertexte visité" xfId="19760" builtinId="9" hidden="1"/>
    <cellStyle name="Lien hypertexte visité" xfId="22000" builtinId="9" hidden="1"/>
    <cellStyle name="Lien hypertexte visité" xfId="24538" builtinId="9" hidden="1"/>
    <cellStyle name="Lien hypertexte visité" xfId="22298" builtinId="9" hidden="1"/>
    <cellStyle name="Lien hypertexte visité" xfId="19930" builtinId="9" hidden="1"/>
    <cellStyle name="Lien hypertexte visité" xfId="17347" builtinId="9" hidden="1"/>
    <cellStyle name="Lien hypertexte visité" xfId="18099" builtinId="9" hidden="1"/>
    <cellStyle name="Lien hypertexte visité" xfId="19722" builtinId="9" hidden="1"/>
    <cellStyle name="Lien hypertexte visité" xfId="20514" builtinId="9" hidden="1"/>
    <cellStyle name="Lien hypertexte visité" xfId="21258" builtinId="9" hidden="1"/>
    <cellStyle name="Lien hypertexte visité" xfId="22178" builtinId="9" hidden="1"/>
    <cellStyle name="Lien hypertexte visité" xfId="22898" builtinId="9" hidden="1"/>
    <cellStyle name="Lien hypertexte visité" xfId="23714" builtinId="9" hidden="1"/>
    <cellStyle name="Lien hypertexte visité" xfId="24610" builtinId="9" hidden="1"/>
    <cellStyle name="Lien hypertexte visité" xfId="23128" builtinId="9" hidden="1"/>
    <cellStyle name="Lien hypertexte visité" xfId="22232" builtinId="9" hidden="1"/>
    <cellStyle name="Lien hypertexte visité" xfId="21416" builtinId="9" hidden="1"/>
    <cellStyle name="Lien hypertexte visité" xfId="20696" builtinId="9" hidden="1"/>
    <cellStyle name="Lien hypertexte visité" xfId="19776" builtinId="9" hidden="1"/>
    <cellStyle name="Lien hypertexte visité" xfId="19032" builtinId="9" hidden="1"/>
    <cellStyle name="Lien hypertexte visité" xfId="18257" builtinId="9" hidden="1"/>
    <cellStyle name="Lien hypertexte visité" xfId="16617" builtinId="9" hidden="1"/>
    <cellStyle name="Lien hypertexte visité" xfId="15865" builtinId="9" hidden="1"/>
    <cellStyle name="Lien hypertexte visité" xfId="14953" builtinId="9" hidden="1"/>
    <cellStyle name="Lien hypertexte visité" xfId="14338" builtinId="9" hidden="1"/>
    <cellStyle name="Lien hypertexte visité" xfId="13966" builtinId="9" hidden="1"/>
    <cellStyle name="Lien hypertexte visité" xfId="13518" builtinId="9" hidden="1"/>
    <cellStyle name="Lien hypertexte visité" xfId="13142" builtinId="9" hidden="1"/>
    <cellStyle name="Lien hypertexte visité" xfId="12290" builtinId="9" hidden="1"/>
    <cellStyle name="Lien hypertexte visité" xfId="11918" builtinId="9" hidden="1"/>
    <cellStyle name="Lien hypertexte visité" xfId="11554" builtinId="9" hidden="1"/>
    <cellStyle name="Lien hypertexte visité" xfId="11094" builtinId="9" hidden="1"/>
    <cellStyle name="Lien hypertexte visité" xfId="10702" builtinId="9" hidden="1"/>
    <cellStyle name="Lien hypertexte visité" xfId="10326" builtinId="9" hidden="1"/>
    <cellStyle name="Lien hypertexte visité" xfId="9870" builtinId="9" hidden="1"/>
    <cellStyle name="Lien hypertexte visité" xfId="9102" builtinId="9" hidden="1"/>
    <cellStyle name="Lien hypertexte visité" xfId="8654" builtinId="9" hidden="1"/>
    <cellStyle name="Lien hypertexte visité" xfId="8278" builtinId="9" hidden="1"/>
    <cellStyle name="Lien hypertexte visité" xfId="16379" builtinId="9" hidden="1"/>
    <cellStyle name="Lien hypertexte visité" xfId="15035" builtinId="9" hidden="1"/>
    <cellStyle name="Lien hypertexte visité" xfId="14167" builtinId="9" hidden="1"/>
    <cellStyle name="Lien hypertexte visité" xfId="13623" builtinId="9" hidden="1"/>
    <cellStyle name="Lien hypertexte visité" xfId="12375" builtinId="9" hidden="1"/>
    <cellStyle name="Lien hypertexte visité" xfId="11783" builtinId="9" hidden="1"/>
    <cellStyle name="Lien hypertexte visité" xfId="11095" builtinId="9" hidden="1"/>
    <cellStyle name="Lien hypertexte visité" xfId="10551" builtinId="9" hidden="1"/>
    <cellStyle name="Lien hypertexte visité" xfId="9991" builtinId="9" hidden="1"/>
    <cellStyle name="Lien hypertexte visité" xfId="9303" builtinId="9" hidden="1"/>
    <cellStyle name="Lien hypertexte visité" xfId="8711" builtinId="9" hidden="1"/>
    <cellStyle name="Lien hypertexte visité" xfId="7478" builtinId="9" hidden="1"/>
    <cellStyle name="Lien hypertexte visité" xfId="6918" builtinId="9" hidden="1"/>
    <cellStyle name="Lien hypertexte visité" xfId="6326" builtinId="9" hidden="1"/>
    <cellStyle name="Lien hypertexte visité" xfId="5638" builtinId="9" hidden="1"/>
    <cellStyle name="Lien hypertexte visité" xfId="5078" builtinId="9" hidden="1"/>
    <cellStyle name="Lien hypertexte visité" xfId="4534" builtinId="9" hidden="1"/>
    <cellStyle name="Lien hypertexte visité" xfId="3849" builtinId="9" hidden="1"/>
    <cellStyle name="Lien hypertexte visité" xfId="2688" builtinId="9" hidden="1"/>
    <cellStyle name="Lien hypertexte visité" xfId="2000" builtinId="9" hidden="1"/>
    <cellStyle name="Lien hypertexte visité" xfId="1455" builtinId="9" hidden="1"/>
    <cellStyle name="Lien hypertexte visité" xfId="531" builtinId="9" hidden="1"/>
    <cellStyle name="Lien hypertexte visité" xfId="783" builtinId="9" hidden="1"/>
    <cellStyle name="Lien hypertexte visité" xfId="1534" builtinId="9" hidden="1"/>
    <cellStyle name="Lien hypertexte visité" xfId="2094" builtinId="9" hidden="1"/>
    <cellStyle name="Lien hypertexte visité" xfId="3374" builtinId="9" hidden="1"/>
    <cellStyle name="Lien hypertexte visité" xfId="1155" builtinId="9" hidden="1"/>
    <cellStyle name="Lien hypertexte visité" xfId="4612" builtinId="9" hidden="1"/>
    <cellStyle name="Lien hypertexte visité" xfId="5172" builtinId="9" hidden="1"/>
    <cellStyle name="Lien hypertexte visité" xfId="5764" builtinId="9" hidden="1"/>
    <cellStyle name="Lien hypertexte visité" xfId="6452" builtinId="9" hidden="1"/>
    <cellStyle name="Lien hypertexte visité" xfId="6996" builtinId="9" hidden="1"/>
    <cellStyle name="Lien hypertexte visité" xfId="8245" builtinId="9" hidden="1"/>
    <cellStyle name="Lien hypertexte visité" xfId="8837" builtinId="9" hidden="1"/>
    <cellStyle name="Lien hypertexte visité" xfId="9397" builtinId="9" hidden="1"/>
    <cellStyle name="Lien hypertexte visité" xfId="10069" builtinId="9" hidden="1"/>
    <cellStyle name="Lien hypertexte visité" xfId="10629" builtinId="9" hidden="1"/>
    <cellStyle name="Lien hypertexte visité" xfId="11221" builtinId="9" hidden="1"/>
    <cellStyle name="Lien hypertexte visité" xfId="11909" builtinId="9" hidden="1"/>
    <cellStyle name="Lien hypertexte visité" xfId="13013" builtinId="9" hidden="1"/>
    <cellStyle name="Lien hypertexte visité" xfId="13701" builtinId="9" hidden="1"/>
    <cellStyle name="Lien hypertexte visité" xfId="14293" builtinId="9" hidden="1"/>
    <cellStyle name="Lien hypertexte visité" xfId="15191" builtinId="9" hidden="1"/>
    <cellStyle name="Lien hypertexte visité" xfId="16567" builtinId="9" hidden="1"/>
    <cellStyle name="Lien hypertexte visité" xfId="17655" builtinId="9" hidden="1"/>
    <cellStyle name="Lien hypertexte visité" xfId="18854" builtinId="9" hidden="1"/>
    <cellStyle name="Lien hypertexte visité" xfId="4005" builtinId="9" hidden="1"/>
    <cellStyle name="Lien hypertexte visité" xfId="4481" builtinId="9" hidden="1"/>
    <cellStyle name="Lien hypertexte visité" xfId="5069" builtinId="9" hidden="1"/>
    <cellStyle name="Lien hypertexte visité" xfId="5581" builtinId="9" hidden="1"/>
    <cellStyle name="Lien hypertexte visité" xfId="6053" builtinId="9" hidden="1"/>
    <cellStyle name="Lien hypertexte visité" xfId="6641" builtinId="9" hidden="1"/>
    <cellStyle name="Lien hypertexte visité" xfId="7117" builtinId="9" hidden="1"/>
    <cellStyle name="Lien hypertexte visité" xfId="8214" builtinId="9" hidden="1"/>
    <cellStyle name="Lien hypertexte visité" xfId="4905" builtinId="9" hidden="1"/>
    <cellStyle name="Lien hypertexte visité" xfId="2519" builtinId="9" hidden="1"/>
    <cellStyle name="Lien hypertexte visité" xfId="3063" builtinId="9" hidden="1"/>
    <cellStyle name="Lien hypertexte visité" xfId="3543" builtinId="9" hidden="1"/>
    <cellStyle name="Lien hypertexte visité" xfId="2947" builtinId="9" hidden="1"/>
    <cellStyle name="Lien hypertexte visité" xfId="1911" builtinId="9" hidden="1"/>
    <cellStyle name="Lien hypertexte visité" xfId="433" builtinId="9" hidden="1"/>
    <cellStyle name="Lien hypertexte visité" xfId="625" builtinId="9" hidden="1"/>
    <cellStyle name="Lien hypertexte visité" xfId="2195" builtinId="9" hidden="1"/>
    <cellStyle name="Lien hypertexte visité" xfId="1767" builtinId="9" hidden="1"/>
    <cellStyle name="Lien hypertexte visité" xfId="3844" builtinId="9" hidden="1"/>
    <cellStyle name="Lien hypertexte visité" xfId="3359" builtinId="9" hidden="1"/>
    <cellStyle name="Lien hypertexte visité" xfId="2915" builtinId="9" hidden="1"/>
    <cellStyle name="Lien hypertexte visité" xfId="6025" builtinId="9" hidden="1"/>
    <cellStyle name="Lien hypertexte visité" xfId="8018" builtinId="9" hidden="1"/>
    <cellStyle name="Lien hypertexte visité" xfId="7429" builtinId="9" hidden="1"/>
    <cellStyle name="Lien hypertexte visité" xfId="6957" builtinId="9" hidden="1"/>
    <cellStyle name="Lien hypertexte visité" xfId="6481" builtinId="9" hidden="1"/>
    <cellStyle name="Lien hypertexte visité" xfId="5893" builtinId="9" hidden="1"/>
    <cellStyle name="Lien hypertexte visité" xfId="5381" builtinId="9" hidden="1"/>
    <cellStyle name="Lien hypertexte visité" xfId="4321" builtinId="9" hidden="1"/>
    <cellStyle name="Lien hypertexte visité" xfId="8490" builtinId="9" hidden="1"/>
    <cellStyle name="Lien hypertexte visité" xfId="10282" builtinId="9" hidden="1"/>
    <cellStyle name="Lien hypertexte visité" xfId="12330" builtinId="9" hidden="1"/>
    <cellStyle name="Lien hypertexte visité" xfId="13994" builtinId="9" hidden="1"/>
    <cellStyle name="Lien hypertexte visité" xfId="16801" builtinId="9" hidden="1"/>
    <cellStyle name="Lien hypertexte visité" xfId="20880" builtinId="9" hidden="1"/>
    <cellStyle name="Lien hypertexte visité" xfId="21434" builtinId="9" hidden="1"/>
    <cellStyle name="Lien hypertexte visité" xfId="17355" builtinId="9" hidden="1"/>
    <cellStyle name="Lien hypertexte visité" xfId="18386" builtinId="9" hidden="1"/>
    <cellStyle name="Lien hypertexte visité" xfId="19586" builtinId="9" hidden="1"/>
    <cellStyle name="Lien hypertexte visité" xfId="20946" builtinId="9" hidden="1"/>
    <cellStyle name="Lien hypertexte visité" xfId="22058" builtinId="9" hidden="1"/>
    <cellStyle name="Lien hypertexte visité" xfId="23170" builtinId="9" hidden="1"/>
    <cellStyle name="Lien hypertexte visité" xfId="23496" builtinId="9" hidden="1"/>
    <cellStyle name="Lien hypertexte visité" xfId="22392" builtinId="9" hidden="1"/>
    <cellStyle name="Lien hypertexte visité" xfId="21024" builtinId="9" hidden="1"/>
    <cellStyle name="Lien hypertexte visité" xfId="19912" builtinId="9" hidden="1"/>
    <cellStyle name="Lien hypertexte visité" xfId="18720" builtinId="9" hidden="1"/>
    <cellStyle name="Lien hypertexte visité" xfId="17369" builtinId="9" hidden="1"/>
    <cellStyle name="Lien hypertexte visité" xfId="16265" builtinId="9" hidden="1"/>
    <cellStyle name="Lien hypertexte visité" xfId="14150" builtinId="9" hidden="1"/>
    <cellStyle name="Lien hypertexte visité" xfId="13554" builtinId="9" hidden="1"/>
    <cellStyle name="Lien hypertexte visité" xfId="12998" builtinId="9" hidden="1"/>
    <cellStyle name="Lien hypertexte visité" xfId="12318" builtinId="9" hidden="1"/>
    <cellStyle name="Lien hypertexte visité" xfId="11762" builtinId="9" hidden="1"/>
    <cellStyle name="Lien hypertexte visité" xfId="11166" builtinId="9" hidden="1"/>
    <cellStyle name="Lien hypertexte visité" xfId="10482" builtinId="9" hidden="1"/>
    <cellStyle name="Lien hypertexte visité" xfId="9374" builtinId="9" hidden="1"/>
    <cellStyle name="Lien hypertexte visité" xfId="8690" builtinId="9" hidden="1"/>
    <cellStyle name="Lien hypertexte visité" xfId="16939" builtinId="9" hidden="1"/>
    <cellStyle name="Lien hypertexte visité" xfId="15275" builtinId="9" hidden="1"/>
    <cellStyle name="Lien hypertexte visité" xfId="13871" builtinId="9" hidden="1"/>
    <cellStyle name="Lien hypertexte visité" xfId="13039" builtinId="9" hidden="1"/>
    <cellStyle name="Lien hypertexte visité" xfId="12143" builtinId="9" hidden="1"/>
    <cellStyle name="Lien hypertexte visité" xfId="10287" builtinId="9" hidden="1"/>
    <cellStyle name="Lien hypertexte visité" xfId="9455" builtinId="9" hidden="1"/>
    <cellStyle name="Lien hypertexte visité" xfId="8431" builtinId="9" hidden="1"/>
    <cellStyle name="Lien hypertexte visité" xfId="7534" builtinId="9" hidden="1"/>
    <cellStyle name="Lien hypertexte visité" xfId="6702" builtinId="9" hidden="1"/>
    <cellStyle name="Lien hypertexte visité" xfId="5678" builtinId="9" hidden="1"/>
    <cellStyle name="Lien hypertexte visité" xfId="4846" builtinId="9" hidden="1"/>
    <cellStyle name="Lien hypertexte visité" xfId="2920" builtinId="9" hidden="1"/>
    <cellStyle name="Lien hypertexte visité" xfId="2088" builtinId="9" hidden="1"/>
    <cellStyle name="Lien hypertexte visité" xfId="1255" builtinId="9" hidden="1"/>
    <cellStyle name="Lien hypertexte visité" xfId="671" builtinId="9" hidden="1"/>
    <cellStyle name="Lien hypertexte visité" xfId="1814" builtinId="9" hidden="1"/>
    <cellStyle name="Lien hypertexte visité" xfId="2646" builtinId="9" hidden="1"/>
    <cellStyle name="Lien hypertexte visité" xfId="3678" builtinId="9" hidden="1"/>
    <cellStyle name="Lien hypertexte visité" xfId="5404" builtinId="9" hidden="1"/>
    <cellStyle name="Lien hypertexte visité" xfId="6428" builtinId="9" hidden="1"/>
    <cellStyle name="Lien hypertexte visité" xfId="7260" builtinId="9" hidden="1"/>
    <cellStyle name="Lien hypertexte visité" xfId="8093" builtinId="9" hidden="1"/>
    <cellStyle name="Lien hypertexte visité" xfId="9117" builtinId="9" hidden="1"/>
    <cellStyle name="Lien hypertexte visité" xfId="10013" builtinId="9" hidden="1"/>
    <cellStyle name="Lien hypertexte visité" xfId="10845" builtinId="9" hidden="1"/>
    <cellStyle name="Lien hypertexte visité" xfId="12701" builtinId="9" hidden="1"/>
    <cellStyle name="Lien hypertexte visité" xfId="13597" builtinId="9" hidden="1"/>
    <cellStyle name="Lien hypertexte visité" xfId="14727" builtinId="9" hidden="1"/>
    <cellStyle name="Lien hypertexte visité" xfId="16391" builtinId="9" hidden="1"/>
    <cellStyle name="Lien hypertexte visité" xfId="18055" builtinId="9" hidden="1"/>
    <cellStyle name="Lien hypertexte visité" xfId="20086" builtinId="9" hidden="1"/>
    <cellStyle name="Lien hypertexte visité" xfId="21878" builtinId="9" hidden="1"/>
    <cellStyle name="Lien hypertexte visité" xfId="23636" builtinId="9" hidden="1"/>
    <cellStyle name="Lien hypertexte visité" xfId="21972" builtinId="9" hidden="1"/>
    <cellStyle name="Lien hypertexte visité" xfId="20180" builtinId="9" hidden="1"/>
    <cellStyle name="Lien hypertexte visité" xfId="18149" builtinId="9" hidden="1"/>
    <cellStyle name="Lien hypertexte visité" xfId="16485" builtinId="9" hidden="1"/>
    <cellStyle name="Lien hypertexte visité" xfId="14821" builtinId="9" hidden="1"/>
    <cellStyle name="Lien hypertexte visité" xfId="13644" builtinId="9" hidden="1"/>
    <cellStyle name="Lien hypertexte visité" xfId="11916" builtinId="9" hidden="1"/>
    <cellStyle name="Lien hypertexte visité" xfId="10892" builtinId="9" hidden="1"/>
    <cellStyle name="Lien hypertexte visité" xfId="10060" builtinId="9" hidden="1"/>
    <cellStyle name="Lien hypertexte visité" xfId="9164" builtinId="9" hidden="1"/>
    <cellStyle name="Lien hypertexte visité" xfId="8140" builtinId="9" hidden="1"/>
    <cellStyle name="Lien hypertexte visité" xfId="7307" builtinId="9" hidden="1"/>
    <cellStyle name="Lien hypertexte visité" xfId="6475" builtinId="9" hidden="1"/>
    <cellStyle name="Lien hypertexte visité" xfId="4555" builtinId="9" hidden="1"/>
    <cellStyle name="Lien hypertexte visité" xfId="3726" builtinId="9" hidden="1"/>
    <cellStyle name="Lien hypertexte visité" xfId="2693" builtinId="9" hidden="1"/>
    <cellStyle name="Lien hypertexte visité" xfId="1861" builtinId="9" hidden="1"/>
    <cellStyle name="Lien hypertexte visité" xfId="765" builtinId="9" hidden="1"/>
    <cellStyle name="Lien hypertexte visité" xfId="1208" builtinId="9" hidden="1"/>
    <cellStyle name="Lien hypertexte visité" xfId="2041" builtinId="9" hidden="1"/>
    <cellStyle name="Lien hypertexte visité" xfId="3907" builtinId="9" hidden="1"/>
    <cellStyle name="Lien hypertexte visité" xfId="4799" builtinId="9" hidden="1"/>
    <cellStyle name="Lien hypertexte visité" xfId="5631" builtinId="9" hidden="1"/>
    <cellStyle name="Lien hypertexte visité" xfId="6655" builtinId="9" hidden="1"/>
    <cellStyle name="Lien hypertexte visité" xfId="7487" builtinId="9" hidden="1"/>
    <cellStyle name="Lien hypertexte visité" xfId="8384" builtinId="9" hidden="1"/>
    <cellStyle name="Lien hypertexte visité" xfId="89" builtinId="9" hidden="1"/>
    <cellStyle name="Lien hypertexte visité" xfId="1738" builtinId="9" hidden="1"/>
    <cellStyle name="Lien hypertexte visité" xfId="5156" builtinId="9" hidden="1"/>
    <cellStyle name="Lien hypertexte visité" xfId="7716" builtinId="9" hidden="1"/>
    <cellStyle name="Lien hypertexte visité" xfId="10277" builtinId="9" hidden="1"/>
    <cellStyle name="Lien hypertexte visité" xfId="13349" builtinId="9" hidden="1"/>
    <cellStyle name="Lien hypertexte visité" xfId="17303" builtinId="9" hidden="1"/>
    <cellStyle name="Lien hypertexte visité" xfId="5651" builtinId="9" hidden="1"/>
    <cellStyle name="Lien hypertexte visité" xfId="7251" builtinId="9" hidden="1"/>
    <cellStyle name="Lien hypertexte visité" xfId="7988" builtinId="9" hidden="1"/>
    <cellStyle name="Lien hypertexte visité" xfId="8868" builtinId="9" hidden="1"/>
    <cellStyle name="Lien hypertexte visité" xfId="9588" builtinId="9" hidden="1"/>
    <cellStyle name="Lien hypertexte visité" xfId="10324" builtinId="9" hidden="1"/>
    <cellStyle name="Lien hypertexte visité" xfId="11204" builtinId="9" hidden="1"/>
    <cellStyle name="Lien hypertexte visité" xfId="11940" builtinId="9" hidden="1"/>
    <cellStyle name="Lien hypertexte visité" xfId="13540" builtinId="9" hidden="1"/>
    <cellStyle name="Lien hypertexte visité" xfId="14276" builtinId="9" hidden="1"/>
    <cellStyle name="Lien hypertexte visité" xfId="15509" builtinId="9" hidden="1"/>
    <cellStyle name="Lien hypertexte visité" xfId="17269" builtinId="9" hidden="1"/>
    <cellStyle name="Lien hypertexte visité" xfId="18692" builtinId="9" hidden="1"/>
    <cellStyle name="Lien hypertexte visité" xfId="20164" builtinId="9" hidden="1"/>
    <cellStyle name="Lien hypertexte visité" xfId="21924" builtinId="9" hidden="1"/>
    <cellStyle name="Lien hypertexte visité" xfId="24390" builtinId="9" hidden="1"/>
    <cellStyle name="Lien hypertexte visité" xfId="22630" builtinId="9" hidden="1"/>
    <cellStyle name="Lien hypertexte visité" xfId="21158" builtinId="9" hidden="1"/>
    <cellStyle name="Lien hypertexte visité" xfId="19686" builtinId="9" hidden="1"/>
    <cellStyle name="Lien hypertexte visité" xfId="22084" builtinId="9" hidden="1"/>
    <cellStyle name="Lien hypertexte visité" xfId="13188" builtinId="9" hidden="1"/>
    <cellStyle name="Lien hypertexte visité" xfId="8068" builtinId="9" hidden="1"/>
    <cellStyle name="Lien hypertexte visité" xfId="1729" builtinId="9" hidden="1"/>
    <cellStyle name="Lien hypertexte visité" xfId="917" builtinId="9" hidden="1"/>
    <cellStyle name="Lien hypertexte visité" xfId="685" builtinId="9" hidden="1"/>
    <cellStyle name="Lien hypertexte visité" xfId="1613" builtinId="9" hidden="1"/>
    <cellStyle name="Lien hypertexte visité" xfId="2285" builtinId="9" hidden="1"/>
    <cellStyle name="Lien hypertexte visité" xfId="3117" builtinId="9" hidden="1"/>
    <cellStyle name="Lien hypertexte visité" xfId="3798" builtinId="9" hidden="1"/>
    <cellStyle name="Lien hypertexte visité" xfId="3325" builtinId="9" hidden="1"/>
    <cellStyle name="Lien hypertexte visité" xfId="5607" builtinId="9" hidden="1"/>
    <cellStyle name="Lien hypertexte visité" xfId="4951" builtinId="9" hidden="1"/>
    <cellStyle name="Lien hypertexte visité" xfId="4151" builtinId="9" hidden="1"/>
    <cellStyle name="Lien hypertexte visité" xfId="3489" builtinId="9" hidden="1"/>
    <cellStyle name="Lien hypertexte visité" xfId="3201" builtinId="9" hidden="1"/>
    <cellStyle name="Lien hypertexte visité" xfId="6727" builtinId="9" hidden="1"/>
    <cellStyle name="Lien hypertexte visité" xfId="7655" builtinId="9" hidden="1"/>
    <cellStyle name="Lien hypertexte visité" xfId="8760" builtinId="9" hidden="1"/>
    <cellStyle name="Lien hypertexte visité" xfId="8264" builtinId="9" hidden="1"/>
    <cellStyle name="Lien hypertexte visité" xfId="7832" builtinId="9" hidden="1"/>
    <cellStyle name="Lien hypertexte visité" xfId="6391" builtinId="9" hidden="1"/>
    <cellStyle name="Lien hypertexte visité" xfId="7047" builtinId="9" hidden="1"/>
    <cellStyle name="Lien hypertexte visité" xfId="3009" builtinId="9" hidden="1"/>
    <cellStyle name="Lien hypertexte visité" xfId="4471" builtinId="9" hidden="1"/>
    <cellStyle name="Lien hypertexte visité" xfId="5127" builtinId="9" hidden="1"/>
    <cellStyle name="Lien hypertexte visité" xfId="5927" builtinId="9" hidden="1"/>
    <cellStyle name="Lien hypertexte visité" xfId="4979" builtinId="9" hidden="1"/>
    <cellStyle name="Lien hypertexte visité" xfId="4291" builtinId="9" hidden="1"/>
    <cellStyle name="Lien hypertexte visité" xfId="3469" builtinId="9" hidden="1"/>
    <cellStyle name="Lien hypertexte visité" xfId="2781" builtinId="9" hidden="1"/>
    <cellStyle name="Lien hypertexte visité" xfId="1292" builtinId="9" hidden="1"/>
    <cellStyle name="Lien hypertexte visité" xfId="145" builtinId="9" hidden="1"/>
    <cellStyle name="Lien hypertexte visité" xfId="1232" builtinId="9" hidden="1"/>
    <cellStyle name="Lien hypertexte visité" xfId="2049" builtinId="9" hidden="1"/>
    <cellStyle name="Lien hypertexte visité" xfId="2737" builtinId="9" hidden="1"/>
    <cellStyle name="Lien hypertexte visité" xfId="9476" builtinId="9" hidden="1"/>
    <cellStyle name="Lien hypertexte visité" xfId="16725" builtinId="9" hidden="1"/>
    <cellStyle name="Lien hypertexte visité" xfId="20102" builtinId="9" hidden="1"/>
    <cellStyle name="Lien hypertexte visité" xfId="21862" builtinId="9" hidden="1"/>
    <cellStyle name="Lien hypertexte visité" xfId="23334" builtinId="9" hidden="1"/>
    <cellStyle name="Lien hypertexte visité" xfId="24452" builtinId="9" hidden="1"/>
    <cellStyle name="Lien hypertexte visité" xfId="22692" builtinId="9" hidden="1"/>
    <cellStyle name="Lien hypertexte visité" xfId="21220" builtinId="9" hidden="1"/>
    <cellStyle name="Lien hypertexte visité" xfId="19748" builtinId="9" hidden="1"/>
    <cellStyle name="Lien hypertexte visité" xfId="16565" builtinId="9" hidden="1"/>
    <cellStyle name="Lien hypertexte visité" xfId="15093" builtinId="9" hidden="1"/>
    <cellStyle name="Lien hypertexte visité" xfId="13924" builtinId="9" hidden="1"/>
    <cellStyle name="Lien hypertexte visité" xfId="13204" builtinId="9" hidden="1"/>
    <cellStyle name="Lien hypertexte visité" xfId="12468" builtinId="9" hidden="1"/>
    <cellStyle name="Lien hypertexte visité" xfId="11588" builtinId="9" hidden="1"/>
    <cellStyle name="Lien hypertexte visité" xfId="10852" builtinId="9" hidden="1"/>
    <cellStyle name="Lien hypertexte visité" xfId="9252" builtinId="9" hidden="1"/>
    <cellStyle name="Lien hypertexte visité" xfId="8516" builtinId="9" hidden="1"/>
    <cellStyle name="Lien hypertexte visité" xfId="7779" builtinId="9" hidden="1"/>
    <cellStyle name="Lien hypertexte visité" xfId="6899" builtinId="9" hidden="1"/>
    <cellStyle name="Lien hypertexte visité" xfId="6179" builtinId="9" hidden="1"/>
    <cellStyle name="Lien hypertexte visité" xfId="5443" builtinId="9" hidden="1"/>
    <cellStyle name="Lien hypertexte visité" xfId="14871" builtinId="9" hidden="1"/>
    <cellStyle name="Lien hypertexte visité" xfId="9573" builtinId="9" hidden="1"/>
    <cellStyle name="Lien hypertexte visité" xfId="6500" builtinId="9" hidden="1"/>
    <cellStyle name="Lien hypertexte visité" xfId="3940" builtinId="9" hidden="1"/>
    <cellStyle name="Lien hypertexte visité" xfId="1373" builtinId="9" hidden="1"/>
    <cellStyle name="Lien hypertexte visité" xfId="2848" builtinId="9" hidden="1"/>
    <cellStyle name="Lien hypertexte visité" xfId="5414" builtinId="9" hidden="1"/>
    <cellStyle name="Lien hypertexte visité" xfId="7975" builtinId="9" hidden="1"/>
    <cellStyle name="Lien hypertexte visité" xfId="13607" builtinId="9" hidden="1"/>
    <cellStyle name="Lien hypertexte visité" xfId="8386" builtinId="9" hidden="1"/>
    <cellStyle name="Lien hypertexte visité" xfId="10434" builtinId="9" hidden="1"/>
    <cellStyle name="Lien hypertexte visité" xfId="12142" builtinId="9" hidden="1"/>
    <cellStyle name="Lien hypertexte visité" xfId="13846" builtinId="9" hidden="1"/>
    <cellStyle name="Lien hypertexte visité" xfId="17273" builtinId="9" hidden="1"/>
    <cellStyle name="Lien hypertexte visité" xfId="20672" builtinId="9" hidden="1"/>
    <cellStyle name="Lien hypertexte visité" xfId="21042" builtinId="9" hidden="1"/>
    <cellStyle name="Lien hypertexte visité" xfId="17651" builtinId="9" hidden="1"/>
    <cellStyle name="Lien hypertexte visité" xfId="22704" builtinId="9" hidden="1"/>
    <cellStyle name="Lien hypertexte visité" xfId="12474" builtinId="9" hidden="1"/>
    <cellStyle name="Lien hypertexte visité" xfId="12570" builtinId="9" hidden="1"/>
    <cellStyle name="Lien hypertexte visité" xfId="14298" builtinId="9" hidden="1"/>
    <cellStyle name="Lien hypertexte visité" xfId="18177" builtinId="9" hidden="1"/>
    <cellStyle name="Lien hypertexte visité" xfId="24282" builtinId="9" hidden="1"/>
    <cellStyle name="Lien hypertexte visité" xfId="20186" builtinId="9" hidden="1"/>
    <cellStyle name="Lien hypertexte visité" xfId="17499" builtinId="9" hidden="1"/>
    <cellStyle name="Lien hypertexte visité" xfId="18610" builtinId="9" hidden="1"/>
    <cellStyle name="Lien hypertexte visité" xfId="19978" builtinId="9" hidden="1"/>
    <cellStyle name="Lien hypertexte visité" xfId="21106" builtinId="9" hidden="1"/>
    <cellStyle name="Lien hypertexte visité" xfId="22258" builtinId="9" hidden="1"/>
    <cellStyle name="Lien hypertexte visité" xfId="24472" builtinId="9" hidden="1"/>
    <cellStyle name="Lien hypertexte visité" xfId="23336" builtinId="9" hidden="1"/>
    <cellStyle name="Lien hypertexte visité" xfId="21976" builtinId="9" hidden="1"/>
    <cellStyle name="Lien hypertexte visité" xfId="20824" builtinId="9" hidden="1"/>
    <cellStyle name="Lien hypertexte visité" xfId="19688" builtinId="9" hidden="1"/>
    <cellStyle name="Lien hypertexte visité" xfId="18328" builtinId="9" hidden="1"/>
    <cellStyle name="Lien hypertexte visité" xfId="17209" builtinId="9" hidden="1"/>
    <cellStyle name="Lien hypertexte visité" xfId="14697" builtinId="9" hidden="1"/>
    <cellStyle name="Lien hypertexte visité" xfId="14038" builtinId="9" hidden="1"/>
    <cellStyle name="Lien hypertexte visité" xfId="13474" builtinId="9" hidden="1"/>
    <cellStyle name="Lien hypertexte visité" xfId="12790" builtinId="9" hidden="1"/>
    <cellStyle name="Lien hypertexte visité" xfId="12214" builtinId="9" hidden="1"/>
    <cellStyle name="Lien hypertexte visité" xfId="11650" builtinId="9" hidden="1"/>
    <cellStyle name="Lien hypertexte visité" xfId="10966" builtinId="9" hidden="1"/>
    <cellStyle name="Lien hypertexte visité" xfId="9826" builtinId="9" hidden="1"/>
    <cellStyle name="Lien hypertexte visité" xfId="9142" builtinId="9" hidden="1"/>
    <cellStyle name="Lien hypertexte visité" xfId="8578" builtinId="9" hidden="1"/>
    <cellStyle name="Lien hypertexte visité" xfId="16699" builtinId="9" hidden="1"/>
    <cellStyle name="Lien hypertexte visité" xfId="14651" builtinId="9" hidden="1"/>
    <cellStyle name="Lien hypertexte visité" xfId="13719" builtinId="9" hidden="1"/>
    <cellStyle name="Lien hypertexte visité" xfId="12871" builtinId="9" hidden="1"/>
    <cellStyle name="Lien hypertexte visité" xfId="10999" builtinId="9" hidden="1"/>
    <cellStyle name="Lien hypertexte visité" xfId="10135" builtinId="9" hidden="1"/>
    <cellStyle name="Lien hypertexte visité" xfId="9111" builtinId="9" hidden="1"/>
    <cellStyle name="Lien hypertexte visité" xfId="8263" builtinId="9" hidden="1"/>
    <cellStyle name="Lien hypertexte visité" xfId="7414" builtinId="9" hidden="1"/>
    <cellStyle name="Lien hypertexte visité" xfId="6390" builtinId="9" hidden="1"/>
    <cellStyle name="Lien hypertexte visité" xfId="5526" builtinId="9" hidden="1"/>
    <cellStyle name="Lien hypertexte visité" xfId="3649" builtinId="9" hidden="1"/>
    <cellStyle name="Lien hypertexte visité" xfId="2800" builtinId="9" hidden="1"/>
    <cellStyle name="Lien hypertexte visité" xfId="1936" builtinId="9" hidden="1"/>
    <cellStyle name="Lien hypertexte visité" xfId="659" builtinId="9" hidden="1"/>
    <cellStyle name="Lien hypertexte visité" xfId="1007" builtinId="9" hidden="1"/>
    <cellStyle name="Lien hypertexte visité" xfId="1934" builtinId="9" hidden="1"/>
    <cellStyle name="Lien hypertexte visité" xfId="2958" builtinId="9" hidden="1"/>
    <cellStyle name="Lien hypertexte visité" xfId="4676" builtinId="9" hidden="1"/>
    <cellStyle name="Lien hypertexte visité" xfId="5700" builtinId="9" hidden="1"/>
    <cellStyle name="Lien hypertexte visité" xfId="6548" builtinId="9" hidden="1"/>
    <cellStyle name="Lien hypertexte visité" xfId="7412" builtinId="9" hidden="1"/>
    <cellStyle name="Lien hypertexte visité" xfId="8437" builtinId="9" hidden="1"/>
    <cellStyle name="Lien hypertexte visité" xfId="9285" builtinId="9" hidden="1"/>
    <cellStyle name="Lien hypertexte visité" xfId="10133" builtinId="9" hidden="1"/>
    <cellStyle name="Lien hypertexte visité" xfId="12021" builtinId="9" hidden="1"/>
    <cellStyle name="Lien hypertexte visité" xfId="12869" builtinId="9" hidden="1"/>
    <cellStyle name="Lien hypertexte visité" xfId="13893" builtinId="9" hidden="1"/>
    <cellStyle name="Lien hypertexte visité" xfId="14967" builtinId="9" hidden="1"/>
    <cellStyle name="Lien hypertexte visité" xfId="16695" builtinId="9" hidden="1"/>
    <cellStyle name="Lien hypertexte visité" xfId="18726" builtinId="9" hidden="1"/>
    <cellStyle name="Lien hypertexte visité" xfId="9274" builtinId="9" hidden="1"/>
    <cellStyle name="Lien hypertexte visité" xfId="5233" builtinId="9" hidden="1"/>
    <cellStyle name="Lien hypertexte visité" xfId="5965" builtinId="9" hidden="1"/>
    <cellStyle name="Lien hypertexte visité" xfId="6693" builtinId="9" hidden="1"/>
    <cellStyle name="Lien hypertexte visité" xfId="7573" builtinId="9" hidden="1"/>
    <cellStyle name="Lien hypertexte visité" xfId="7593" builtinId="9" hidden="1"/>
    <cellStyle name="Lien hypertexte visité" xfId="2399" builtinId="9" hidden="1"/>
    <cellStyle name="Lien hypertexte visité" xfId="3219" builtinId="9" hidden="1"/>
    <cellStyle name="Lien hypertexte visité" xfId="1959" builtinId="9" hidden="1"/>
    <cellStyle name="Lien hypertexte visité" xfId="873" builtinId="9" hidden="1"/>
    <cellStyle name="Lien hypertexte visité" xfId="1366" builtinId="9" hidden="1"/>
    <cellStyle name="Lien hypertexte visité" xfId="1883" builtinId="9" hidden="1"/>
    <cellStyle name="Lien hypertexte visité" xfId="3691" builtinId="9" hidden="1"/>
    <cellStyle name="Lien hypertexte visité" xfId="2999" builtinId="9" hidden="1"/>
    <cellStyle name="Lien hypertexte visité" xfId="2319" builtinId="9" hidden="1"/>
    <cellStyle name="Lien hypertexte visité" xfId="7341" builtinId="9" hidden="1"/>
    <cellStyle name="Lien hypertexte visité" xfId="6609" builtinId="9" hidden="1"/>
    <cellStyle name="Lien hypertexte visité" xfId="5729" builtinId="9" hidden="1"/>
    <cellStyle name="Lien hypertexte visité" xfId="4997" builtinId="9" hidden="1"/>
    <cellStyle name="Lien hypertexte visité" xfId="4269" builtinId="9" hidden="1"/>
    <cellStyle name="Lien hypertexte visité" xfId="10090" builtinId="9" hidden="1"/>
    <cellStyle name="Lien hypertexte visité" xfId="12650" builtinId="9" hidden="1"/>
    <cellStyle name="Lien hypertexte visité" xfId="22032" builtinId="9" hidden="1"/>
    <cellStyle name="Lien hypertexte visité" xfId="22074" builtinId="9" hidden="1"/>
    <cellStyle name="Lien hypertexte visité" xfId="17427" builtinId="9" hidden="1"/>
    <cellStyle name="Lien hypertexte visité" xfId="19458" builtinId="9" hidden="1"/>
    <cellStyle name="Lien hypertexte visité" xfId="21162" builtinId="9" hidden="1"/>
    <cellStyle name="Lien hypertexte visité" xfId="22866" builtinId="9" hidden="1"/>
    <cellStyle name="Lien hypertexte visité" xfId="24312" builtinId="9" hidden="1"/>
    <cellStyle name="Lien hypertexte visité" xfId="20896" builtinId="9" hidden="1"/>
    <cellStyle name="Lien hypertexte visité" xfId="18848" builtinId="9" hidden="1"/>
    <cellStyle name="Lien hypertexte visité" xfId="17161" builtinId="9" hidden="1"/>
    <cellStyle name="Lien hypertexte visité" xfId="15449" builtinId="9" hidden="1"/>
    <cellStyle name="Lien hypertexte visité" xfId="13958" builtinId="9" hidden="1"/>
    <cellStyle name="Lien hypertexte visité" xfId="13106" builtinId="9" hidden="1"/>
    <cellStyle name="Lien hypertexte visité" xfId="12254" builtinId="9" hidden="1"/>
    <cellStyle name="Lien hypertexte visité" xfId="10374" builtinId="9" hidden="1"/>
    <cellStyle name="Lien hypertexte visité" xfId="9522" builtinId="9" hidden="1"/>
    <cellStyle name="Lien hypertexte visité" xfId="8498" builtinId="9" hidden="1"/>
    <cellStyle name="Lien hypertexte visité" xfId="15595" builtinId="9" hidden="1"/>
    <cellStyle name="Lien hypertexte visité" xfId="13775" builtinId="9" hidden="1"/>
    <cellStyle name="Lien hypertexte visité" xfId="12239" builtinId="9" hidden="1"/>
    <cellStyle name="Lien hypertexte visité" xfId="10959" builtinId="9" hidden="1"/>
    <cellStyle name="Lien hypertexte visité" xfId="8143" builtinId="9" hidden="1"/>
    <cellStyle name="Lien hypertexte visité" xfId="6862" builtinId="9" hidden="1"/>
    <cellStyle name="Lien hypertexte visité" xfId="5582" builtinId="9" hidden="1"/>
    <cellStyle name="Lien hypertexte visité" xfId="4046" builtinId="9" hidden="1"/>
    <cellStyle name="Lien hypertexte visité" xfId="2760" builtinId="9" hidden="1"/>
    <cellStyle name="Lien hypertexte visité" xfId="1479" builtinId="9" hidden="1"/>
    <cellStyle name="Lien hypertexte visité" xfId="1205" builtinId="9" hidden="1"/>
    <cellStyle name="Lien hypertexte visité" xfId="3775" builtinId="9" hidden="1"/>
    <cellStyle name="Lien hypertexte visité" xfId="5308" builtinId="9" hidden="1"/>
    <cellStyle name="Lien hypertexte visité" xfId="6588" builtinId="9" hidden="1"/>
    <cellStyle name="Lien hypertexte visité" xfId="7869" builtinId="9" hidden="1"/>
    <cellStyle name="Lien hypertexte visité" xfId="9405" builtinId="9" hidden="1"/>
    <cellStyle name="Lien hypertexte visité" xfId="10685" builtinId="9" hidden="1"/>
    <cellStyle name="Lien hypertexte visité" xfId="11965" builtinId="9" hidden="1"/>
    <cellStyle name="Lien hypertexte visité" xfId="15047" builtinId="9" hidden="1"/>
    <cellStyle name="Lien hypertexte visité" xfId="17607" builtinId="9" hidden="1"/>
    <cellStyle name="Lien hypertexte visité" xfId="20662" builtinId="9" hidden="1"/>
    <cellStyle name="Lien hypertexte visité" xfId="23222" builtinId="9" hidden="1"/>
    <cellStyle name="Lien hypertexte visité" xfId="23444" builtinId="9" hidden="1"/>
    <cellStyle name="Lien hypertexte visité" xfId="20372" builtinId="9" hidden="1"/>
    <cellStyle name="Lien hypertexte visité" xfId="17829" builtinId="9" hidden="1"/>
    <cellStyle name="Lien hypertexte visité" xfId="13356" builtinId="9" hidden="1"/>
    <cellStyle name="Lien hypertexte visité" xfId="12076" builtinId="9" hidden="1"/>
    <cellStyle name="Lien hypertexte visité" xfId="10796" builtinId="9" hidden="1"/>
    <cellStyle name="Lien hypertexte visité" xfId="9260" builtinId="9" hidden="1"/>
    <cellStyle name="Lien hypertexte visité" xfId="7980" builtinId="9" hidden="1"/>
    <cellStyle name="Lien hypertexte visité" xfId="6699" builtinId="9" hidden="1"/>
    <cellStyle name="Lien hypertexte visité" xfId="5163" builtinId="9" hidden="1"/>
    <cellStyle name="Lien hypertexte visité" xfId="2597" builtinId="9" hidden="1"/>
    <cellStyle name="Lien hypertexte visité" xfId="957" builtinId="9" hidden="1"/>
    <cellStyle name="Lien hypertexte visité" xfId="1368" builtinId="9" hidden="1"/>
    <cellStyle name="Lien hypertexte visité" xfId="2649" builtinId="9" hidden="1"/>
    <cellStyle name="Lien hypertexte visité" xfId="4191" builtinId="9" hidden="1"/>
    <cellStyle name="Lien hypertexte visité" xfId="5471" builtinId="9" hidden="1"/>
    <cellStyle name="Lien hypertexte visité" xfId="6751" builtinId="9" hidden="1"/>
    <cellStyle name="Lien hypertexte visité" xfId="295" builtinId="9" hidden="1"/>
    <cellStyle name="Lien hypertexte visité" xfId="1586" builtinId="9" hidden="1"/>
    <cellStyle name="Lien hypertexte visité" xfId="2610" builtinId="9" hidden="1"/>
    <cellStyle name="Lien hypertexte visité" xfId="3466" builtinId="9" hidden="1"/>
    <cellStyle name="Lien hypertexte visité" xfId="4320" builtinId="9" hidden="1"/>
    <cellStyle name="Lien hypertexte visité" xfId="5344" builtinId="9" hidden="1"/>
    <cellStyle name="Lien hypertexte visité" xfId="6200" builtinId="9" hidden="1"/>
    <cellStyle name="Lien hypertexte visité" xfId="8081" builtinId="9" hidden="1"/>
    <cellStyle name="Lien hypertexte visité" xfId="8929" builtinId="9" hidden="1"/>
    <cellStyle name="Lien hypertexte visité" xfId="9785" builtinId="9" hidden="1"/>
    <cellStyle name="Lien hypertexte visité" xfId="10809" builtinId="9" hidden="1"/>
    <cellStyle name="Lien hypertexte visité" xfId="11665" builtinId="9" hidden="1"/>
    <cellStyle name="Lien hypertexte visité" xfId="12513" builtinId="9" hidden="1"/>
    <cellStyle name="Lien hypertexte visité" xfId="13537" builtinId="9" hidden="1"/>
    <cellStyle name="Lien hypertexte visité" xfId="15983" builtinId="9" hidden="1"/>
    <cellStyle name="Lien hypertexte visité" xfId="18031" builtinId="9" hidden="1"/>
    <cellStyle name="Lien hypertexte visité" xfId="19710" builtinId="9" hidden="1"/>
    <cellStyle name="Lien hypertexte visité" xfId="21422" builtinId="9" hidden="1"/>
    <cellStyle name="Lien hypertexte visité" xfId="23470" builtinId="9" hidden="1"/>
    <cellStyle name="Lien hypertexte visité" xfId="24044" builtinId="9" hidden="1"/>
    <cellStyle name="Lien hypertexte visité" xfId="22348" builtinId="9" hidden="1"/>
    <cellStyle name="Lien hypertexte visité" xfId="18588" builtinId="9" hidden="1"/>
    <cellStyle name="Lien hypertexte visité" xfId="16893" builtinId="9" hidden="1"/>
    <cellStyle name="Lien hypertexte visité" xfId="14845" builtinId="9" hidden="1"/>
    <cellStyle name="Lien hypertexte visité" xfId="13832" builtinId="9" hidden="1"/>
    <cellStyle name="Lien hypertexte visité" xfId="12976" builtinId="9" hidden="1"/>
    <cellStyle name="Lien hypertexte visité" xfId="11952" builtinId="9" hidden="1"/>
    <cellStyle name="Lien hypertexte visité" xfId="11096" builtinId="9" hidden="1"/>
    <cellStyle name="Lien hypertexte visité" xfId="9224" builtinId="9" hidden="1"/>
    <cellStyle name="Lien hypertexte visité" xfId="10304" builtinId="9" hidden="1"/>
    <cellStyle name="Lien hypertexte visité" xfId="12864" builtinId="9" hidden="1"/>
    <cellStyle name="Lien hypertexte visité" xfId="17357" builtinId="9" hidden="1"/>
    <cellStyle name="Lien hypertexte visité" xfId="22460" builtinId="9" hidden="1"/>
    <cellStyle name="Lien hypertexte visité" xfId="21646" builtinId="9" hidden="1"/>
    <cellStyle name="Lien hypertexte visité" xfId="15519" builtinId="9" hidden="1"/>
    <cellStyle name="Lien hypertexte visité" xfId="9897" builtinId="9" hidden="1"/>
    <cellStyle name="Lien hypertexte visité" xfId="6824" builtinId="9" hidden="1"/>
    <cellStyle name="Lien hypertexte visité" xfId="4264" builtinId="9" hidden="1"/>
    <cellStyle name="Lien hypertexte visité" xfId="1698" builtinId="9" hidden="1"/>
    <cellStyle name="Lien hypertexte visité" xfId="9019" builtinId="9" hidden="1"/>
    <cellStyle name="Lien hypertexte visité" xfId="8283" builtinId="9" hidden="1"/>
    <cellStyle name="Lien hypertexte visité" xfId="7554" builtinId="9" hidden="1"/>
    <cellStyle name="Lien hypertexte visité" xfId="5946" builtinId="9" hidden="1"/>
    <cellStyle name="Lien hypertexte visité" xfId="5210" builtinId="9" hidden="1"/>
    <cellStyle name="Lien hypertexte visité" xfId="4338" builtinId="9" hidden="1"/>
    <cellStyle name="Lien hypertexte visité" xfId="6674" builtinId="9" hidden="1"/>
    <cellStyle name="Lien hypertexte visité" xfId="12457" builtinId="9" hidden="1"/>
    <cellStyle name="Lien hypertexte visité" xfId="10248" builtinId="9" hidden="1"/>
    <cellStyle name="Lien hypertexte visité" xfId="20300" builtinId="9" hidden="1"/>
    <cellStyle name="Lien hypertexte visité" xfId="14393" builtinId="9" hidden="1"/>
    <cellStyle name="Lien hypertexte visité" xfId="7056" builtinId="9" hidden="1"/>
    <cellStyle name="Lien hypertexte visité" xfId="8288" builtinId="9" hidden="1"/>
    <cellStyle name="Lien hypertexte visité" xfId="3887" builtinId="9" hidden="1"/>
    <cellStyle name="Lien hypertexte visité" xfId="15269" builtinId="9" hidden="1"/>
    <cellStyle name="Lien hypertexte visité" xfId="13501" builtinId="9" hidden="1"/>
    <cellStyle name="Lien hypertexte visité" xfId="2486" builtinId="9" hidden="1"/>
    <cellStyle name="Lien hypertexte visité" xfId="9679" builtinId="9" hidden="1"/>
    <cellStyle name="Lien hypertexte visité" xfId="11230" builtinId="9" hidden="1"/>
    <cellStyle name="Lien hypertexte visité" xfId="22600" builtinId="9" hidden="1"/>
    <cellStyle name="Lien hypertexte visité" xfId="15905" builtinId="9" hidden="1"/>
    <cellStyle name="Lien hypertexte visité" xfId="8070" builtinId="9" hidden="1"/>
    <cellStyle name="Lien hypertexte visité" xfId="3909" builtinId="9" hidden="1"/>
    <cellStyle name="Lien hypertexte visité" xfId="4353" builtinId="9" hidden="1"/>
    <cellStyle name="Lien hypertexte visité" xfId="11157" builtinId="9" hidden="1"/>
    <cellStyle name="Lien hypertexte visité" xfId="3831" builtinId="9" hidden="1"/>
    <cellStyle name="Lien hypertexte visité" xfId="4678" builtinId="9" hidden="1"/>
    <cellStyle name="Lien hypertexte visité" xfId="11847" builtinId="9" hidden="1"/>
    <cellStyle name="Lien hypertexte visité" xfId="10402" builtinId="9" hidden="1"/>
    <cellStyle name="Lien hypertexte visité" xfId="16057" builtinId="9" hidden="1"/>
    <cellStyle name="Lien hypertexte visité" xfId="23626" builtinId="9" hidden="1"/>
    <cellStyle name="Lien hypertexte visité" xfId="21552" builtinId="9" hidden="1"/>
    <cellStyle name="Lien hypertexte visité" xfId="24088" builtinId="9" hidden="1"/>
    <cellStyle name="Lien hypertexte visité" xfId="11047" builtinId="9" hidden="1"/>
    <cellStyle name="Lien hypertexte visité" xfId="12133" builtinId="9" hidden="1"/>
    <cellStyle name="Lien hypertexte visité" xfId="10132" builtinId="9" hidden="1"/>
    <cellStyle name="Lien hypertexte visité" xfId="18037" builtinId="9" hidden="1"/>
    <cellStyle name="Lien hypertexte visité" xfId="22278" builtinId="9" hidden="1"/>
    <cellStyle name="Lien hypertexte visité" xfId="2109" builtinId="9" hidden="1"/>
    <cellStyle name="Lien hypertexte visité" xfId="3818" builtinId="9" hidden="1"/>
    <cellStyle name="Lien hypertexte visité" xfId="6087" builtinId="9" hidden="1"/>
    <cellStyle name="Lien hypertexte visité" xfId="4483" builtinId="9" hidden="1"/>
    <cellStyle name="Lien hypertexte visité" xfId="2401" builtinId="9" hidden="1"/>
    <cellStyle name="Lien hypertexte visité" xfId="23396" builtinId="9" hidden="1"/>
    <cellStyle name="Lien hypertexte visité" xfId="12660" builtinId="9" hidden="1"/>
    <cellStyle name="Lien hypertexte visité" xfId="6515" builtinId="9" hidden="1"/>
    <cellStyle name="Lien hypertexte visité" xfId="1177" builtinId="9" hidden="1"/>
    <cellStyle name="Lien hypertexte visité" xfId="2873" builtinId="9" hidden="1"/>
    <cellStyle name="Lien hypertexte visité" xfId="5451" builtinId="9" hidden="1"/>
    <cellStyle name="Lien hypertexte visité" xfId="12748" builtinId="9" hidden="1"/>
    <cellStyle name="Lien hypertexte visité" xfId="23542" builtinId="9" hidden="1"/>
    <cellStyle name="Lien hypertexte visité" xfId="11869" builtinId="9" hidden="1"/>
    <cellStyle name="Lien hypertexte visité" xfId="4508" builtinId="9" hidden="1"/>
    <cellStyle name="Lien hypertexte visité" xfId="3950" builtinId="9" hidden="1"/>
    <cellStyle name="Lien hypertexte visité" xfId="11119" builtinId="9" hidden="1"/>
    <cellStyle name="Lien hypertexte visité" xfId="9926" builtinId="9" hidden="1"/>
    <cellStyle name="Lien hypertexte visité" xfId="15153" builtinId="9" hidden="1"/>
    <cellStyle name="Lien hypertexte visité" xfId="24530" builtinId="9" hidden="1"/>
    <cellStyle name="Lien hypertexte visité" xfId="24464" builtinId="9" hidden="1"/>
    <cellStyle name="Lien hypertexte visité" xfId="4909" builtinId="9" hidden="1"/>
    <cellStyle name="Lien hypertexte visité" xfId="2367" builtinId="9" hidden="1"/>
    <cellStyle name="Lien hypertexte visité" xfId="1166" builtinId="9" hidden="1"/>
    <cellStyle name="Lien hypertexte visité" xfId="7629" builtinId="9" hidden="1"/>
    <cellStyle name="Lien hypertexte visité" xfId="9594" builtinId="9" hidden="1"/>
    <cellStyle name="Lien hypertexte visité" xfId="12469" builtinId="9" hidden="1"/>
    <cellStyle name="Lien hypertexte visité" xfId="7556" builtinId="9" hidden="1"/>
    <cellStyle name="Lien hypertexte visité" xfId="2766" builtinId="9" hidden="1"/>
    <cellStyle name="Lien hypertexte visité" xfId="3248" builtinId="9" hidden="1"/>
    <cellStyle name="Lien hypertexte visité" xfId="8151" builtinId="9" hidden="1"/>
    <cellStyle name="Lien hypertexte visité" xfId="12935" builtinId="9" hidden="1"/>
    <cellStyle name="Lien hypertexte visité" xfId="9506" builtinId="9" hidden="1"/>
    <cellStyle name="Lien hypertexte visité" xfId="12750" builtinId="9" hidden="1"/>
    <cellStyle name="Lien hypertexte visité" xfId="17337" builtinId="9" hidden="1"/>
    <cellStyle name="Lien hypertexte visité" xfId="23872" builtinId="9" hidden="1"/>
    <cellStyle name="Lien hypertexte visité" xfId="18802" builtinId="9" hidden="1"/>
    <cellStyle name="Lien hypertexte visité" xfId="17409" builtinId="9" hidden="1"/>
    <cellStyle name="Lien hypertexte visité" xfId="19426" builtinId="9" hidden="1"/>
    <cellStyle name="Lien hypertexte visité" xfId="12354" builtinId="9" hidden="1"/>
    <cellStyle name="Lien hypertexte visité" xfId="7782" builtinId="9" hidden="1"/>
    <cellStyle name="Lien hypertexte visité" xfId="7014" builtinId="9" hidden="1"/>
    <cellStyle name="Lien hypertexte visité" xfId="16897" builtinId="9" hidden="1"/>
    <cellStyle name="Lien hypertexte visité" xfId="17849" builtinId="9" hidden="1"/>
    <cellStyle name="Lien hypertexte visité" xfId="13191" builtinId="9" hidden="1"/>
    <cellStyle name="Lien hypertexte visité" xfId="2638" builtinId="9" hidden="1"/>
    <cellStyle name="Lien hypertexte visité" xfId="10746" builtinId="9" hidden="1"/>
    <cellStyle name="Lien hypertexte visité" xfId="2575" builtinId="9" hidden="1"/>
    <cellStyle name="Lien hypertexte visité" xfId="24274" builtinId="9" hidden="1"/>
    <cellStyle name="Lien hypertexte visité" xfId="11695" builtinId="9" hidden="1"/>
    <cellStyle name="Lien hypertexte visité" xfId="22904" builtinId="9" hidden="1"/>
    <cellStyle name="Lien hypertexte visité" xfId="3668" builtinId="9" hidden="1"/>
    <cellStyle name="Lien hypertexte visité" xfId="20976" builtinId="9" hidden="1"/>
    <cellStyle name="Lien hypertexte visité" xfId="11670" builtinId="9" hidden="1"/>
    <cellStyle name="Lien hypertexte visité" xfId="18354" builtinId="9" hidden="1"/>
    <cellStyle name="Lien hypertexte visité" xfId="12974" builtinId="9" hidden="1"/>
    <cellStyle name="Lien hypertexte visité" xfId="8503" builtinId="9" hidden="1"/>
    <cellStyle name="Lien hypertexte visité" xfId="7220" builtinId="9" hidden="1"/>
    <cellStyle name="Lien hypertexte visité" xfId="7333" builtinId="9" hidden="1"/>
    <cellStyle name="Lien hypertexte visité" xfId="5201" builtinId="9" hidden="1"/>
    <cellStyle name="Lien hypertexte visité" xfId="15833" builtinId="9" hidden="1"/>
    <cellStyle name="Lien hypertexte visité" xfId="4462" builtinId="9" hidden="1"/>
    <cellStyle name="Lien hypertexte visité" xfId="22518" builtinId="9" hidden="1"/>
    <cellStyle name="Lien hypertexte visité" xfId="2361" builtinId="9" hidden="1"/>
    <cellStyle name="Lien hypertexte visité" xfId="12228" builtinId="9" hidden="1"/>
    <cellStyle name="Lien hypertexte visité" xfId="4067" builtinId="9" hidden="1"/>
    <cellStyle name="Lien hypertexte visité" xfId="2509" builtinId="9" hidden="1"/>
    <cellStyle name="Lien hypertexte visité" xfId="10564" builtinId="9" hidden="1"/>
    <cellStyle name="Lien hypertexte visité" xfId="22040" builtinId="9" hidden="1"/>
    <cellStyle name="Lien hypertexte visité" xfId="16745" builtinId="9" hidden="1"/>
    <cellStyle name="Lien hypertexte visité" xfId="5190" builtinId="9" hidden="1"/>
    <cellStyle name="Lien hypertexte visité" xfId="8250" builtinId="9" hidden="1"/>
    <cellStyle name="Lien hypertexte visité" xfId="13674" builtinId="9" hidden="1"/>
    <cellStyle name="Lien hypertexte visité" xfId="10447" builtinId="9" hidden="1"/>
    <cellStyle name="Lien hypertexte visité" xfId="16805" builtinId="9" hidden="1"/>
    <cellStyle name="Lien hypertexte visité" xfId="6544" builtinId="9" hidden="1"/>
    <cellStyle name="Lien hypertexte visité" xfId="10760" builtinId="9" hidden="1"/>
    <cellStyle name="Lien hypertexte visité" xfId="763" builtinId="9" hidden="1"/>
    <cellStyle name="Lien hypertexte visité" xfId="2404" builtinId="9" hidden="1"/>
    <cellStyle name="Lien hypertexte visité" xfId="15345" builtinId="9" hidden="1"/>
    <cellStyle name="Lien hypertexte visité" xfId="22368" builtinId="9" hidden="1"/>
    <cellStyle name="Lien hypertexte visité" xfId="19650" builtinId="9" hidden="1"/>
    <cellStyle name="Lien hypertexte visité" xfId="17889" builtinId="9" hidden="1"/>
    <cellStyle name="Lien hypertexte visité" xfId="4733" builtinId="9" hidden="1"/>
    <cellStyle name="Lien hypertexte visité" xfId="14495" builtinId="9" hidden="1"/>
    <cellStyle name="Lien hypertexte visité" xfId="5612" builtinId="9" hidden="1"/>
    <cellStyle name="Lien hypertexte visité" xfId="14661" builtinId="9" hidden="1"/>
    <cellStyle name="Lien hypertexte visité" xfId="5007" builtinId="9" hidden="1"/>
    <cellStyle name="Lien hypertexte visité" xfId="10329" builtinId="9" hidden="1"/>
    <cellStyle name="Lien hypertexte visité" xfId="18524" builtinId="9" hidden="1"/>
    <cellStyle name="Lien hypertexte visité" xfId="16351" builtinId="9" hidden="1"/>
    <cellStyle name="Lien hypertexte visité" xfId="16735" builtinId="9" hidden="1"/>
    <cellStyle name="Lien hypertexte visité" xfId="10848" builtinId="9" hidden="1"/>
    <cellStyle name="Lien hypertexte visité" xfId="12392" builtinId="9" hidden="1"/>
    <cellStyle name="Lien hypertexte visité" xfId="18444" builtinId="9" hidden="1"/>
    <cellStyle name="Lien hypertexte visité" xfId="22382" builtinId="9" hidden="1"/>
    <cellStyle name="Lien hypertexte visité" xfId="14361" builtinId="9" hidden="1"/>
    <cellStyle name="Lien hypertexte visité" xfId="10137" builtinId="9" hidden="1"/>
    <cellStyle name="Lien hypertexte visité" xfId="6040" builtinId="9" hidden="1"/>
    <cellStyle name="Lien hypertexte visité" xfId="1834" builtinId="9" hidden="1"/>
    <cellStyle name="Lien hypertexte visité" xfId="4911" builtinId="9" hidden="1"/>
    <cellStyle name="Lien hypertexte visité" xfId="2389" builtinId="9" hidden="1"/>
    <cellStyle name="Lien hypertexte visité" xfId="7625" builtinId="9" hidden="1"/>
    <cellStyle name="Lien hypertexte visité" xfId="5449" builtinId="9" hidden="1"/>
    <cellStyle name="Lien hypertexte visité" xfId="2291" builtinId="9" hidden="1"/>
    <cellStyle name="Lien hypertexte visité" xfId="2651" builtinId="9" hidden="1"/>
    <cellStyle name="Lien hypertexte visité" xfId="2939" builtinId="9" hidden="1"/>
    <cellStyle name="Lien hypertexte visité" xfId="3231" builtinId="9" hidden="1"/>
    <cellStyle name="Lien hypertexte visité" xfId="3539" builtinId="9" hidden="1"/>
    <cellStyle name="Lien hypertexte visité" xfId="3905" builtinId="9" hidden="1"/>
    <cellStyle name="Lien hypertexte visité" xfId="1575" builtinId="9" hidden="1"/>
    <cellStyle name="Lien hypertexte visité" xfId="2204" builtinId="9" hidden="1"/>
    <cellStyle name="Lien hypertexte visité" xfId="1310" builtinId="9" hidden="1"/>
    <cellStyle name="Lien hypertexte visité" xfId="897" builtinId="9" hidden="1"/>
    <cellStyle name="Lien hypertexte visité" xfId="345" builtinId="9" hidden="1"/>
    <cellStyle name="Lien hypertexte visité" xfId="1370" builtinId="9" hidden="1"/>
    <cellStyle name="Lien hypertexte visité" xfId="1025" builtinId="9" hidden="1"/>
    <cellStyle name="Lien hypertexte visité" xfId="1983" builtinId="9" hidden="1"/>
    <cellStyle name="Lien hypertexte visité" xfId="1703" builtinId="9" hidden="1"/>
    <cellStyle name="Lien hypertexte visité" xfId="3331" builtinId="9" hidden="1"/>
    <cellStyle name="Lien hypertexte visité" xfId="3679" builtinId="9" hidden="1"/>
    <cellStyle name="Lien hypertexte visité" xfId="3363" builtinId="9" hidden="1"/>
    <cellStyle name="Lien hypertexte visité" xfId="6141" builtinId="9" hidden="1"/>
    <cellStyle name="Lien hypertexte visité" xfId="10698" builtinId="9" hidden="1"/>
    <cellStyle name="Lien hypertexte visité" xfId="23248" builtinId="9" hidden="1"/>
    <cellStyle name="Lien hypertexte visité" xfId="19858" builtinId="9" hidden="1"/>
    <cellStyle name="Lien hypertexte visité" xfId="17097" builtinId="9" hidden="1"/>
    <cellStyle name="Lien hypertexte visité" xfId="13074" builtinId="9" hidden="1"/>
    <cellStyle name="Lien hypertexte visité" xfId="10342" builtinId="9" hidden="1"/>
    <cellStyle name="Lien hypertexte visité" xfId="9574" builtinId="9" hidden="1"/>
    <cellStyle name="Lien hypertexte visité" xfId="9958" builtinId="9" hidden="1"/>
    <cellStyle name="Lien hypertexte visité" xfId="10366" builtinId="9" hidden="1"/>
    <cellStyle name="Lien hypertexte visité" xfId="10750" builtinId="9" hidden="1"/>
    <cellStyle name="Lien hypertexte visité" xfId="11238" builtinId="9" hidden="1"/>
    <cellStyle name="Lien hypertexte visité" xfId="11622" builtinId="9" hidden="1"/>
    <cellStyle name="Lien hypertexte visité" xfId="12006" builtinId="9" hidden="1"/>
    <cellStyle name="Lien hypertexte visité" xfId="12414" builtinId="9" hidden="1"/>
    <cellStyle name="Lien hypertexte visité" xfId="12882" builtinId="9" hidden="1"/>
    <cellStyle name="Lien hypertexte visité" xfId="13286" builtinId="9" hidden="1"/>
    <cellStyle name="Lien hypertexte visité" xfId="13670" builtinId="9" hidden="1"/>
    <cellStyle name="Lien hypertexte visité" xfId="14162" builtinId="9" hidden="1"/>
    <cellStyle name="Lien hypertexte visité" xfId="5557" builtinId="9" hidden="1"/>
    <cellStyle name="Lien hypertexte visité" xfId="3608" builtinId="9" hidden="1"/>
    <cellStyle name="Lien hypertexte visité" xfId="7709" builtinId="9" hidden="1"/>
    <cellStyle name="Lien hypertexte visité" xfId="4621" builtinId="9" hidden="1"/>
    <cellStyle name="Lien hypertexte visité" xfId="2851" builtinId="9" hidden="1"/>
    <cellStyle name="Lien hypertexte visité" xfId="6473" builtinId="9" hidden="1"/>
    <cellStyle name="Lien hypertexte visité" xfId="23176" builtinId="9" hidden="1"/>
    <cellStyle name="Lien hypertexte visité" xfId="22408" builtinId="9" hidden="1"/>
    <cellStyle name="Lien hypertexte visité" xfId="21640" builtinId="9" hidden="1"/>
    <cellStyle name="Lien hypertexte visité" xfId="20664" builtinId="9" hidden="1"/>
    <cellStyle name="Lien hypertexte visité" xfId="19896" builtinId="9" hidden="1"/>
    <cellStyle name="Lien hypertexte visité" xfId="19080" builtinId="9" hidden="1"/>
    <cellStyle name="Lien hypertexte visité" xfId="18319" builtinId="9" hidden="1"/>
    <cellStyle name="Lien hypertexte visité" xfId="17561" builtinId="9" hidden="1"/>
    <cellStyle name="Lien hypertexte visité" xfId="16793" builtinId="9" hidden="1"/>
    <cellStyle name="Lien hypertexte visité" xfId="15001" builtinId="9" hidden="1"/>
    <cellStyle name="Lien hypertexte visité" xfId="14374" builtinId="9" hidden="1"/>
    <cellStyle name="Lien hypertexte visité" xfId="13990" builtinId="9" hidden="1"/>
    <cellStyle name="Lien hypertexte visité" xfId="13606" builtinId="9" hidden="1"/>
    <cellStyle name="Lien hypertexte visité" xfId="13202" builtinId="9" hidden="1"/>
    <cellStyle name="Lien hypertexte visité" xfId="12818" builtinId="9" hidden="1"/>
    <cellStyle name="Lien hypertexte visité" xfId="12434" builtinId="9" hidden="1"/>
    <cellStyle name="Lien hypertexte visité" xfId="12030" builtinId="9" hidden="1"/>
    <cellStyle name="Lien hypertexte visité" xfId="11558" builtinId="9" hidden="1"/>
    <cellStyle name="Lien hypertexte visité" xfId="11154" builtinId="9" hidden="1"/>
    <cellStyle name="Lien hypertexte visité" xfId="10770" builtinId="9" hidden="1"/>
    <cellStyle name="Lien hypertexte visité" xfId="10386" builtinId="9" hidden="1"/>
    <cellStyle name="Lien hypertexte visité" xfId="9982" builtinId="9" hidden="1"/>
    <cellStyle name="Lien hypertexte visité" xfId="9598" builtinId="9" hidden="1"/>
    <cellStyle name="Lien hypertexte visité" xfId="9490" builtinId="9" hidden="1"/>
    <cellStyle name="Lien hypertexte visité" xfId="16753" builtinId="9" hidden="1"/>
    <cellStyle name="Lien hypertexte visité" xfId="22200" builtinId="9" hidden="1"/>
    <cellStyle name="Lien hypertexte visité" xfId="21570" builtinId="9" hidden="1"/>
    <cellStyle name="Lien hypertexte visité" xfId="20858" builtinId="9" hidden="1"/>
    <cellStyle name="Lien hypertexte visité" xfId="13258" builtinId="9" hidden="1"/>
    <cellStyle name="Lien hypertexte visité" xfId="4825" builtinId="9" hidden="1"/>
    <cellStyle name="Lien hypertexte visité" xfId="7165" builtinId="9" hidden="1"/>
    <cellStyle name="Lien hypertexte visité" xfId="3499" builtinId="9" hidden="1"/>
    <cellStyle name="Lien hypertexte visité" xfId="3868" builtinId="9" hidden="1"/>
    <cellStyle name="Lien hypertexte visité" xfId="1539" builtinId="9" hidden="1"/>
    <cellStyle name="Lien hypertexte visité" xfId="1819" builtinId="9" hidden="1"/>
    <cellStyle name="Lien hypertexte visité" xfId="2099" builtinId="9" hidden="1"/>
    <cellStyle name="Lien hypertexte visité" xfId="1226" builtinId="9" hidden="1"/>
    <cellStyle name="Lien hypertexte visité" xfId="729" builtinId="9" hidden="1"/>
    <cellStyle name="Lien hypertexte visité" xfId="265" builtinId="9" hidden="1"/>
    <cellStyle name="Lien hypertexte visité" xfId="1194" builtinId="9" hidden="1"/>
    <cellStyle name="Lien hypertexte visité" xfId="2087" builtinId="9" hidden="1"/>
    <cellStyle name="Lien hypertexte visité" xfId="1807" builtinId="9" hidden="1"/>
    <cellStyle name="Lien hypertexte visité" xfId="1527" builtinId="9" hidden="1"/>
    <cellStyle name="Lien hypertexte visité" xfId="3856" builtinId="9" hidden="1"/>
    <cellStyle name="Lien hypertexte visité" xfId="13586" builtinId="9" hidden="1"/>
    <cellStyle name="Lien hypertexte visité" xfId="8842" builtinId="9" hidden="1"/>
    <cellStyle name="Lien hypertexte visité" xfId="9994" builtinId="9" hidden="1"/>
    <cellStyle name="Lien hypertexte visité" xfId="11146" builtinId="9" hidden="1"/>
    <cellStyle name="Lien hypertexte visité" xfId="12362" builtinId="9" hidden="1"/>
    <cellStyle name="Lien hypertexte visité" xfId="13514" builtinId="9" hidden="1"/>
    <cellStyle name="Lien hypertexte visité" xfId="14817" builtinId="9" hidden="1"/>
    <cellStyle name="Lien hypertexte visité" xfId="17249" builtinId="9" hidden="1"/>
    <cellStyle name="Lien hypertexte visité" xfId="19536" builtinId="9" hidden="1"/>
    <cellStyle name="Lien hypertexte visité" xfId="21840" builtinId="9" hidden="1"/>
    <cellStyle name="Lien hypertexte visité" xfId="22138" builtinId="9" hidden="1"/>
    <cellStyle name="Lien hypertexte visité" xfId="19706" builtinId="9" hidden="1"/>
    <cellStyle name="Lien hypertexte visité" xfId="17419" builtinId="9" hidden="1"/>
    <cellStyle name="Lien hypertexte visité" xfId="18043" builtinId="9" hidden="1"/>
    <cellStyle name="Lien hypertexte visité" xfId="18794" builtinId="9" hidden="1"/>
    <cellStyle name="Lien hypertexte visité" xfId="19602" builtinId="9" hidden="1"/>
    <cellStyle name="Lien hypertexte visité" xfId="20370" builtinId="9" hidden="1"/>
    <cellStyle name="Lien hypertexte visité" xfId="21138" builtinId="9" hidden="1"/>
    <cellStyle name="Lien hypertexte visité" xfId="21954" builtinId="9" hidden="1"/>
    <cellStyle name="Lien hypertexte visité" xfId="22722" builtinId="9" hidden="1"/>
    <cellStyle name="Lien hypertexte visité" xfId="23490" builtinId="9" hidden="1"/>
    <cellStyle name="Lien hypertexte visité" xfId="24258" builtinId="9" hidden="1"/>
    <cellStyle name="Lien hypertexte visité" xfId="24160" builtinId="9" hidden="1"/>
    <cellStyle name="Lien hypertexte visité" xfId="17291" builtinId="9" hidden="1"/>
    <cellStyle name="Lien hypertexte visité" xfId="7185" builtinId="9" hidden="1"/>
    <cellStyle name="Lien hypertexte visité" xfId="6509" builtinId="9" hidden="1"/>
    <cellStyle name="Lien hypertexte visité" xfId="6177" builtinId="9" hidden="1"/>
    <cellStyle name="Lien hypertexte visité" xfId="5829" builtinId="9" hidden="1"/>
    <cellStyle name="Lien hypertexte visité" xfId="5501" builtinId="9" hidden="1"/>
    <cellStyle name="Lien hypertexte visité" xfId="5173" builtinId="9" hidden="1"/>
    <cellStyle name="Lien hypertexte visité" xfId="4845" builtinId="9" hidden="1"/>
    <cellStyle name="Lien hypertexte visité" xfId="4497" builtinId="9" hidden="1"/>
    <cellStyle name="Lien hypertexte visité" xfId="4165" builtinId="9" hidden="1"/>
    <cellStyle name="Lien hypertexte visité" xfId="8522" builtinId="9" hidden="1"/>
    <cellStyle name="Lien hypertexte visité" xfId="6174" builtinId="9" hidden="1"/>
    <cellStyle name="Lien hypertexte visité" xfId="8223" builtinId="9" hidden="1"/>
    <cellStyle name="Lien hypertexte visité" xfId="10271" builtinId="9" hidden="1"/>
    <cellStyle name="Lien hypertexte visité" xfId="12319" builtinId="9" hidden="1"/>
    <cellStyle name="Lien hypertexte visité" xfId="14367" builtinId="9" hidden="1"/>
    <cellStyle name="Lien hypertexte visité" xfId="1638" builtinId="9" hidden="1"/>
    <cellStyle name="Lien hypertexte visité" xfId="3609" builtinId="9" hidden="1"/>
    <cellStyle name="Lien hypertexte visité" xfId="4204" builtinId="9" hidden="1"/>
    <cellStyle name="Lien hypertexte visité" xfId="6764" builtinId="9" hidden="1"/>
    <cellStyle name="Lien hypertexte visité" xfId="7788" builtinId="9" hidden="1"/>
    <cellStyle name="Lien hypertexte visité" xfId="6252" builtinId="9" hidden="1"/>
    <cellStyle name="Lien hypertexte visité" xfId="3694" builtinId="9" hidden="1"/>
    <cellStyle name="Lien hypertexte visité" xfId="4126" builtinId="9" hidden="1"/>
    <cellStyle name="Lien hypertexte visité" xfId="2072" builtinId="9" hidden="1"/>
    <cellStyle name="Lien hypertexte visité" xfId="1087" builtinId="9" hidden="1"/>
    <cellStyle name="Lien hypertexte visité" xfId="15243" builtinId="9" hidden="1"/>
    <cellStyle name="Lien hypertexte visité" xfId="12831" builtinId="9" hidden="1"/>
    <cellStyle name="Lien hypertexte visité" xfId="10783" builtinId="9" hidden="1"/>
    <cellStyle name="Lien hypertexte visité" xfId="8735" builtinId="9" hidden="1"/>
    <cellStyle name="Lien hypertexte visité" xfId="6686" builtinId="9" hidden="1"/>
    <cellStyle name="Lien hypertexte visité" xfId="4638" builtinId="9" hidden="1"/>
    <cellStyle name="Lien hypertexte visité" xfId="4421" builtinId="9" hidden="1"/>
    <cellStyle name="Lien hypertexte visité" xfId="4753" builtinId="9" hidden="1"/>
    <cellStyle name="Lien hypertexte visité" xfId="5081" builtinId="9" hidden="1"/>
    <cellStyle name="Lien hypertexte visité" xfId="5429" builtinId="9" hidden="1"/>
    <cellStyle name="Lien hypertexte visité" xfId="5757" builtinId="9" hidden="1"/>
    <cellStyle name="Lien hypertexte visité" xfId="6085" builtinId="9" hidden="1"/>
    <cellStyle name="Lien hypertexte visité" xfId="6417" builtinId="9" hidden="1"/>
    <cellStyle name="Lien hypertexte visité" xfId="6765" builtinId="9" hidden="1"/>
    <cellStyle name="Lien hypertexte visité" xfId="7093" builtinId="9" hidden="1"/>
    <cellStyle name="Lien hypertexte visité" xfId="8550" builtinId="9" hidden="1"/>
    <cellStyle name="Lien hypertexte visité" xfId="23992" builtinId="9" hidden="1"/>
    <cellStyle name="Lien hypertexte visité" xfId="24466" builtinId="9" hidden="1"/>
    <cellStyle name="Lien hypertexte visité" xfId="23698" builtinId="9" hidden="1"/>
    <cellStyle name="Lien hypertexte visité" xfId="22890" builtinId="9" hidden="1"/>
    <cellStyle name="Lien hypertexte visité" xfId="22122" builtinId="9" hidden="1"/>
    <cellStyle name="Lien hypertexte visité" xfId="20586" builtinId="9" hidden="1"/>
    <cellStyle name="Lien hypertexte visité" xfId="19778" builtinId="9" hidden="1"/>
    <cellStyle name="Lien hypertexte visité" xfId="19010" builtinId="9" hidden="1"/>
    <cellStyle name="Lien hypertexte visité" xfId="18259" builtinId="9" hidden="1"/>
    <cellStyle name="Lien hypertexte visité" xfId="17443" builtinId="9" hidden="1"/>
    <cellStyle name="Lien hypertexte visité" xfId="19194" builtinId="9" hidden="1"/>
    <cellStyle name="Lien hypertexte visité" xfId="21498" builtinId="9" hidden="1"/>
    <cellStyle name="Lien hypertexte visité" xfId="24442" builtinId="9" hidden="1"/>
    <cellStyle name="Lien hypertexte visité" xfId="22480" builtinId="9" hidden="1"/>
    <cellStyle name="Lien hypertexte visité" xfId="20048" builtinId="9" hidden="1"/>
    <cellStyle name="Lien hypertexte visité" xfId="17761" builtinId="9" hidden="1"/>
    <cellStyle name="Lien hypertexte visité" xfId="15457" builtinId="9" hidden="1"/>
    <cellStyle name="Lien hypertexte visité" xfId="13834" builtinId="9" hidden="1"/>
    <cellStyle name="Lien hypertexte visité" xfId="12618" builtinId="9" hidden="1"/>
    <cellStyle name="Lien hypertexte visité" xfId="11466" builtinId="9" hidden="1"/>
    <cellStyle name="Lien hypertexte visité" xfId="9098" builtinId="9" hidden="1"/>
    <cellStyle name="Lien hypertexte visité" xfId="11750" builtinId="9" hidden="1"/>
    <cellStyle name="Lien hypertexte visité" xfId="3768" builtinId="9" hidden="1"/>
    <cellStyle name="Lien hypertexte visité" xfId="1442" builtinId="9" hidden="1"/>
    <cellStyle name="Lien hypertexte visité" xfId="1743" builtinId="9" hidden="1"/>
    <cellStyle name="Lien hypertexte visité" xfId="2023" builtinId="9" hidden="1"/>
    <cellStyle name="Lien hypertexte visité" xfId="1097" builtinId="9" hidden="1"/>
    <cellStyle name="Lien hypertexte visité" xfId="1406" builtinId="9" hidden="1"/>
    <cellStyle name="Lien hypertexte visité" xfId="417" builtinId="9" hidden="1"/>
    <cellStyle name="Lien hypertexte visité" xfId="857" builtinId="9" hidden="1"/>
    <cellStyle name="Lien hypertexte visité" xfId="1290" builtinId="9" hidden="1"/>
    <cellStyle name="Lien hypertexte visité" xfId="2183" builtinId="9" hidden="1"/>
    <cellStyle name="Lien hypertexte visité" xfId="1903" builtinId="9" hidden="1"/>
    <cellStyle name="Lien hypertexte visité" xfId="1623" builtinId="9" hidden="1"/>
    <cellStyle name="Lien hypertexte visité" xfId="3588" builtinId="9" hidden="1"/>
    <cellStyle name="Lien hypertexte visité" xfId="3279" builtinId="9" hidden="1"/>
    <cellStyle name="Lien hypertexte visité" xfId="5409" builtinId="9" hidden="1"/>
    <cellStyle name="Lien hypertexte visité" xfId="11210" builtinId="9" hidden="1"/>
    <cellStyle name="Lien hypertexte visité" xfId="24272" builtinId="9" hidden="1"/>
    <cellStyle name="Lien hypertexte visité" xfId="20202" builtinId="9" hidden="1"/>
    <cellStyle name="Lien hypertexte visité" xfId="23560" builtinId="9" hidden="1"/>
    <cellStyle name="Lien hypertexte visité" xfId="18121" builtinId="9" hidden="1"/>
    <cellStyle name="Lien hypertexte visité" xfId="12902" builtinId="9" hidden="1"/>
    <cellStyle name="Lien hypertexte visité" xfId="10174" builtinId="9" hidden="1"/>
    <cellStyle name="Lien hypertexte visité" xfId="9510" builtinId="9" hidden="1"/>
    <cellStyle name="Lien hypertexte visité" xfId="9894" builtinId="9" hidden="1"/>
    <cellStyle name="Lien hypertexte visité" xfId="10278" builtinId="9" hidden="1"/>
    <cellStyle name="Lien hypertexte visité" xfId="10662" builtinId="9" hidden="1"/>
    <cellStyle name="Lien hypertexte visité" xfId="11070" builtinId="9" hidden="1"/>
    <cellStyle name="Lien hypertexte visité" xfId="11454" builtinId="9" hidden="1"/>
    <cellStyle name="Lien hypertexte visité" xfId="12326" builtinId="9" hidden="1"/>
    <cellStyle name="Lien hypertexte visité" xfId="12710" builtinId="9" hidden="1"/>
    <cellStyle name="Lien hypertexte visité" xfId="13118" builtinId="9" hidden="1"/>
    <cellStyle name="Lien hypertexte visité" xfId="13502" builtinId="9" hidden="1"/>
    <cellStyle name="Lien hypertexte visité" xfId="13886" builtinId="9" hidden="1"/>
    <cellStyle name="Lien hypertexte visité" xfId="14290" builtinId="9" hidden="1"/>
    <cellStyle name="Lien hypertexte visité" xfId="14833" builtinId="9" hidden="1"/>
    <cellStyle name="Lien hypertexte visité" xfId="15817" builtinId="9" hidden="1"/>
    <cellStyle name="Lien hypertexte visité" xfId="16585" builtinId="9" hidden="1"/>
    <cellStyle name="Lien hypertexte visité" xfId="17353" builtinId="9" hidden="1"/>
    <cellStyle name="Lien hypertexte visité" xfId="18161" builtinId="9" hidden="1"/>
    <cellStyle name="Lien hypertexte visité" xfId="18912" builtinId="9" hidden="1"/>
    <cellStyle name="Lien hypertexte visité" xfId="19680" builtinId="9" hidden="1"/>
    <cellStyle name="Lien hypertexte visité" xfId="20448" builtinId="9" hidden="1"/>
    <cellStyle name="Lien hypertexte visité" xfId="21256" builtinId="9" hidden="1"/>
    <cellStyle name="Lien hypertexte visité" xfId="23008" builtinId="9" hidden="1"/>
    <cellStyle name="Lien hypertexte visité" xfId="3043" builtinId="9" hidden="1"/>
    <cellStyle name="Lien hypertexte visité" xfId="7657" builtinId="9" hidden="1"/>
    <cellStyle name="Lien hypertexte visité" xfId="10202" builtinId="9" hidden="1"/>
    <cellStyle name="Lien hypertexte visité" xfId="2303" builtinId="9" hidden="1"/>
    <cellStyle name="Lien hypertexte visité" xfId="2447" builtinId="9" hidden="1"/>
    <cellStyle name="Lien hypertexte visité" xfId="1555" builtinId="9" hidden="1"/>
    <cellStyle name="Lien hypertexte visité" xfId="10942" builtinId="9" hidden="1"/>
    <cellStyle name="Lien hypertexte visité" xfId="14246" builtinId="9" hidden="1"/>
    <cellStyle name="Lien hypertexte visité" xfId="13778" builtinId="9" hidden="1"/>
    <cellStyle name="Lien hypertexte visité" xfId="13374" builtinId="9" hidden="1"/>
    <cellStyle name="Lien hypertexte visité" xfId="12990" builtinId="9" hidden="1"/>
    <cellStyle name="Lien hypertexte visité" xfId="12606" builtinId="9" hidden="1"/>
    <cellStyle name="Lien hypertexte visité" xfId="12114" builtinId="9" hidden="1"/>
    <cellStyle name="Lien hypertexte visité" xfId="11730" builtinId="9" hidden="1"/>
    <cellStyle name="Lien hypertexte visité" xfId="10834" builtinId="9" hidden="1"/>
    <cellStyle name="Lien hypertexte visité" xfId="10450" builtinId="9" hidden="1"/>
    <cellStyle name="Lien hypertexte visité" xfId="10066" builtinId="9" hidden="1"/>
    <cellStyle name="Lien hypertexte visité" xfId="9682" builtinId="9" hidden="1"/>
    <cellStyle name="Lien hypertexte visité" xfId="9662" builtinId="9" hidden="1"/>
    <cellStyle name="Lien hypertexte visité" xfId="12390" builtinId="9" hidden="1"/>
    <cellStyle name="Lien hypertexte visité" xfId="15729" builtinId="9" hidden="1"/>
    <cellStyle name="Lien hypertexte visité" xfId="21176" builtinId="9" hidden="1"/>
    <cellStyle name="Lien hypertexte visité" xfId="21226" builtinId="9" hidden="1"/>
    <cellStyle name="Lien hypertexte visité" xfId="21882" builtinId="9" hidden="1"/>
    <cellStyle name="Lien hypertexte visité" xfId="12746" builtinId="9" hidden="1"/>
    <cellStyle name="Lien hypertexte visité" xfId="4973" builtinId="9" hidden="1"/>
    <cellStyle name="Lien hypertexte visité" xfId="3295" builtinId="9" hidden="1"/>
    <cellStyle name="Lien hypertexte visité" xfId="3584" builtinId="9" hidden="1"/>
    <cellStyle name="Lien hypertexte visité" xfId="3557" builtinId="9" hidden="1"/>
    <cellStyle name="Lien hypertexte visité" xfId="1919" builtinId="9" hidden="1"/>
    <cellStyle name="Lien hypertexte visité" xfId="2199" builtinId="9" hidden="1"/>
    <cellStyle name="Lien hypertexte visité" xfId="1306" builtinId="9" hidden="1"/>
    <cellStyle name="Lien hypertexte visité" xfId="481" builtinId="9" hidden="1"/>
    <cellStyle name="Lien hypertexte visité" xfId="521" builtinId="9" hidden="1"/>
    <cellStyle name="Lien hypertexte visité" xfId="1390" builtinId="9" hidden="1"/>
    <cellStyle name="Lien hypertexte visité" xfId="1065" builtinId="9" hidden="1"/>
    <cellStyle name="Lien hypertexte visité" xfId="1923" builtinId="9" hidden="1"/>
    <cellStyle name="Lien hypertexte visité" xfId="1643" builtinId="9" hidden="1"/>
    <cellStyle name="Lien hypertexte visité" xfId="3267" builtinId="9" hidden="1"/>
    <cellStyle name="Lien hypertexte visité" xfId="3683" builtinId="9" hidden="1"/>
    <cellStyle name="Lien hypertexte visité" xfId="3315" builtinId="9" hidden="1"/>
    <cellStyle name="Lien hypertexte visité" xfId="3027" builtinId="9" hidden="1"/>
    <cellStyle name="Lien hypertexte visité" xfId="2735" builtinId="9" hidden="1"/>
    <cellStyle name="Lien hypertexte visité" xfId="2359" builtinId="9" hidden="1"/>
    <cellStyle name="Lien hypertexte visité" xfId="7113" builtinId="9" hidden="1"/>
    <cellStyle name="Lien hypertexte visité" xfId="8062" builtinId="9" hidden="1"/>
    <cellStyle name="Lien hypertexte visité" xfId="7677" builtinId="9" hidden="1"/>
    <cellStyle name="Lien hypertexte visité" xfId="7365" builtinId="9" hidden="1"/>
    <cellStyle name="Lien hypertexte visité" xfId="3519" builtinId="9" hidden="1"/>
    <cellStyle name="Lien hypertexte visité" xfId="3379" builtinId="9" hidden="1"/>
    <cellStyle name="Lien hypertexte visité" xfId="6741" builtinId="9" hidden="1"/>
    <cellStyle name="Lien hypertexte visité" xfId="7033" builtinId="9" hidden="1"/>
    <cellStyle name="Lien hypertexte visité" xfId="7345" builtinId="9" hidden="1"/>
    <cellStyle name="Lien hypertexte visité" xfId="7637" builtinId="9" hidden="1"/>
    <cellStyle name="Lien hypertexte visité" xfId="8022" builtinId="9" hidden="1"/>
    <cellStyle name="Lien hypertexte visité" xfId="7529" builtinId="9" hidden="1"/>
    <cellStyle name="Lien hypertexte visité" xfId="5353" builtinId="9" hidden="1"/>
    <cellStyle name="Lien hypertexte visité" xfId="2375" builtinId="9" hidden="1"/>
    <cellStyle name="Lien hypertexte visité" xfId="2647" builtinId="9" hidden="1"/>
    <cellStyle name="Lien hypertexte visité" xfId="3211" builtinId="9" hidden="1"/>
    <cellStyle name="Lien hypertexte visité" xfId="4929" builtinId="9" hidden="1"/>
    <cellStyle name="Lien hypertexte visité" xfId="5221" builtinId="9" hidden="1"/>
    <cellStyle name="Lien hypertexte visité" xfId="5533" builtinId="9" hidden="1"/>
    <cellStyle name="Lien hypertexte visité" xfId="5825" builtinId="9" hidden="1"/>
    <cellStyle name="Lien hypertexte visité" xfId="6193" builtinId="9" hidden="1"/>
    <cellStyle name="Lien hypertexte visité" xfId="3961" builtinId="9" hidden="1"/>
    <cellStyle name="Lien hypertexte visité" xfId="4253" builtinId="9" hidden="1"/>
    <cellStyle name="Lien hypertexte visité" xfId="4545" builtinId="9" hidden="1"/>
    <cellStyle name="Lien hypertexte visité" xfId="9050" builtinId="9" hidden="1"/>
    <cellStyle name="Lien hypertexte visité" xfId="10138" builtinId="9" hidden="1"/>
    <cellStyle name="Lien hypertexte visité" xfId="11226" builtinId="9" hidden="1"/>
    <cellStyle name="Lien hypertexte visité" xfId="10458" builtinId="9" hidden="1"/>
    <cellStyle name="Lien hypertexte visité" xfId="9370" builtinId="9" hidden="1"/>
    <cellStyle name="Lien hypertexte visité" xfId="4529" builtinId="9" hidden="1"/>
    <cellStyle name="Lien hypertexte visité" xfId="8410" builtinId="9" hidden="1"/>
    <cellStyle name="Lien hypertexte visité" xfId="6101" builtinId="9" hidden="1"/>
    <cellStyle name="Lien hypertexte visité" xfId="5809" builtinId="9" hidden="1"/>
    <cellStyle name="Lien hypertexte visité" xfId="5517" builtinId="9" hidden="1"/>
    <cellStyle name="Lien hypertexte visité" xfId="5133" builtinId="9" hidden="1"/>
    <cellStyle name="Lien hypertexte visité" xfId="4837" builtinId="9" hidden="1"/>
    <cellStyle name="Lien hypertexte visité" xfId="3191" builtinId="9" hidden="1"/>
    <cellStyle name="Lien hypertexte visité" xfId="2919" builtinId="9" hidden="1"/>
    <cellStyle name="Lien hypertexte visité" xfId="2559" builtinId="9" hidden="1"/>
    <cellStyle name="Lien hypertexte visité" xfId="2271" builtinId="9" hidden="1"/>
    <cellStyle name="Lien hypertexte visité" xfId="5481" builtinId="9" hidden="1"/>
    <cellStyle name="Lien hypertexte visité" xfId="8170" builtinId="9" hidden="1"/>
    <cellStyle name="Lien hypertexte visité" xfId="7930" builtinId="9" hidden="1"/>
    <cellStyle name="Lien hypertexte visité" xfId="7617" builtinId="9" hidden="1"/>
    <cellStyle name="Lien hypertexte visité" xfId="7325" builtinId="9" hidden="1"/>
    <cellStyle name="Lien hypertexte visité" xfId="6649" builtinId="9" hidden="1"/>
    <cellStyle name="Lien hypertexte visité" xfId="3658" builtinId="9" hidden="1"/>
    <cellStyle name="Lien hypertexte visité" xfId="3247" builtinId="9" hidden="1"/>
    <cellStyle name="Lien hypertexte visité" xfId="7457" builtinId="9" hidden="1"/>
    <cellStyle name="Lien hypertexte visité" xfId="7769" builtinId="9" hidden="1"/>
    <cellStyle name="Lien hypertexte visité" xfId="8082" builtinId="9" hidden="1"/>
    <cellStyle name="Lien hypertexte visité" xfId="6985" builtinId="9" hidden="1"/>
    <cellStyle name="Lien hypertexte visité" xfId="4169" builtinId="9" hidden="1"/>
    <cellStyle name="Lien hypertexte visité" xfId="2463" builtinId="9" hidden="1"/>
    <cellStyle name="Lien hypertexte visité" xfId="2751" builtinId="9" hidden="1"/>
    <cellStyle name="Lien hypertexte visité" xfId="3111" builtinId="9" hidden="1"/>
    <cellStyle name="Lien hypertexte visité" xfId="3403" builtinId="9" hidden="1"/>
    <cellStyle name="Lien hypertexte visité" xfId="3700" builtinId="9" hidden="1"/>
    <cellStyle name="Lien hypertexte visité" xfId="19848" builtinId="9" hidden="1"/>
    <cellStyle name="Lien hypertexte visité" xfId="23146" builtinId="9" hidden="1"/>
    <cellStyle name="Lien hypertexte visité" xfId="13322" builtinId="9" hidden="1"/>
    <cellStyle name="Lien hypertexte visité" xfId="5153" builtinId="9" hidden="1"/>
    <cellStyle name="Lien hypertexte visité" xfId="13983" builtinId="9" hidden="1"/>
    <cellStyle name="Lien hypertexte visité" xfId="3559" builtinId="9" hidden="1"/>
    <cellStyle name="Lien hypertexte visité" xfId="23860" builtinId="9" hidden="1"/>
    <cellStyle name="Lien hypertexte visité" xfId="2805" builtinId="9" hidden="1"/>
    <cellStyle name="Lien hypertexte visité" xfId="4184" builtinId="9" hidden="1"/>
    <cellStyle name="Lien hypertexte visité" xfId="15695" builtinId="9" hidden="1"/>
    <cellStyle name="Lien hypertexte visité" xfId="13112" builtinId="9" hidden="1"/>
    <cellStyle name="Lien hypertexte visité" xfId="10313" builtinId="9" hidden="1"/>
    <cellStyle name="Lien hypertexte visité" xfId="17503" builtinId="9" hidden="1"/>
    <cellStyle name="Lien hypertexte visité" xfId="12256" builtinId="9" hidden="1"/>
    <cellStyle name="Lien hypertexte visité" xfId="11368" builtinId="9" hidden="1"/>
    <cellStyle name="Lien hypertexte visité" xfId="15517" builtinId="9" hidden="1"/>
    <cellStyle name="Lien hypertexte visité" xfId="22748" builtinId="9" hidden="1"/>
    <cellStyle name="Lien hypertexte visité" xfId="13209" builtinId="9" hidden="1"/>
    <cellStyle name="Lien hypertexte visité" xfId="9585" builtinId="9" hidden="1"/>
    <cellStyle name="Lien hypertexte visité" xfId="5936" builtinId="9" hidden="1"/>
    <cellStyle name="Lien hypertexte visité" xfId="2282" builtinId="9" hidden="1"/>
    <cellStyle name="Lien hypertexte visité" xfId="6447" builtinId="9" hidden="1"/>
    <cellStyle name="Lien hypertexte visité" xfId="773" builtinId="9" hidden="1"/>
    <cellStyle name="Lien hypertexte visité" xfId="5659" builtinId="9" hidden="1"/>
    <cellStyle name="Lien hypertexte visité" xfId="11100" builtinId="9" hidden="1"/>
    <cellStyle name="Lien hypertexte visité" xfId="18612" builtinId="9" hidden="1"/>
    <cellStyle name="Lien hypertexte visité" xfId="19670" builtinId="9" hidden="1"/>
    <cellStyle name="Lien hypertexte visité" xfId="11661" builtinId="9" hidden="1"/>
    <cellStyle name="Lien hypertexte visité" xfId="6188" builtinId="9" hidden="1"/>
    <cellStyle name="Lien hypertexte visité" xfId="255" builtinId="9" hidden="1"/>
    <cellStyle name="Lien hypertexte visité" xfId="5886" builtinId="9" hidden="1"/>
    <cellStyle name="Lien hypertexte visité" xfId="8959" builtinId="9" hidden="1"/>
    <cellStyle name="Lien hypertexte visité" xfId="7422" builtinId="9" hidden="1"/>
    <cellStyle name="Lien hypertexte visité" xfId="6590" builtinId="9" hidden="1"/>
    <cellStyle name="Lien hypertexte visité" xfId="5726" builtinId="9" hidden="1"/>
    <cellStyle name="Lien hypertexte visité" xfId="5054" builtinId="9" hidden="1"/>
    <cellStyle name="Lien hypertexte visité" xfId="4190" builtinId="9" hidden="1"/>
    <cellStyle name="Lien hypertexte visité" xfId="3512" builtinId="9" hidden="1"/>
    <cellStyle name="Lien hypertexte visité" xfId="2648" builtinId="9" hidden="1"/>
    <cellStyle name="Lien hypertexte visité" xfId="1976" builtinId="9" hidden="1"/>
    <cellStyle name="Lien hypertexte visité" xfId="1059" builtinId="9" hidden="1"/>
    <cellStyle name="Lien hypertexte visité" xfId="639" builtinId="9" hidden="1"/>
    <cellStyle name="Lien hypertexte visité" xfId="1574" builtinId="9" hidden="1"/>
    <cellStyle name="Lien hypertexte visité" xfId="2438" builtinId="9" hidden="1"/>
    <cellStyle name="Lien hypertexte visité" xfId="3110" builtinId="9" hidden="1"/>
    <cellStyle name="Lien hypertexte visité" xfId="3980" builtinId="9" hidden="1"/>
    <cellStyle name="Lien hypertexte visité" xfId="4652" builtinId="9" hidden="1"/>
    <cellStyle name="Lien hypertexte visité" xfId="6348" builtinId="9" hidden="1"/>
    <cellStyle name="Lien hypertexte visité" xfId="7052" builtinId="9" hidden="1"/>
    <cellStyle name="Lien hypertexte visité" xfId="7885" builtinId="9" hidden="1"/>
    <cellStyle name="Lien hypertexte visité" xfId="8589" builtinId="9" hidden="1"/>
    <cellStyle name="Lien hypertexte visité" xfId="9421" builtinId="9" hidden="1"/>
    <cellStyle name="Lien hypertexte visité" xfId="10125" builtinId="9" hidden="1"/>
    <cellStyle name="Lien hypertexte visité" xfId="10957" builtinId="9" hidden="1"/>
    <cellStyle name="Lien hypertexte visité" xfId="11821" builtinId="9" hidden="1"/>
    <cellStyle name="Lien hypertexte visité" xfId="12493" builtinId="9" hidden="1"/>
    <cellStyle name="Lien hypertexte visité" xfId="13357" builtinId="9" hidden="1"/>
    <cellStyle name="Lien hypertexte visité" xfId="14029" builtinId="9" hidden="1"/>
    <cellStyle name="Lien hypertexte visité" xfId="15271" builtinId="9" hidden="1"/>
    <cellStyle name="Lien hypertexte visité" xfId="16615" builtinId="9" hidden="1"/>
    <cellStyle name="Lien hypertexte visité" xfId="18326" builtinId="9" hidden="1"/>
    <cellStyle name="Lien hypertexte visité" xfId="20054" builtinId="9" hidden="1"/>
    <cellStyle name="Lien hypertexte visité" xfId="23126" builtinId="9" hidden="1"/>
    <cellStyle name="Lien hypertexte visité" xfId="24470" builtinId="9" hidden="1"/>
    <cellStyle name="Lien hypertexte visité" xfId="23028" builtinId="9" hidden="1"/>
    <cellStyle name="Lien hypertexte visité" xfId="21684" builtinId="9" hidden="1"/>
    <cellStyle name="Lien hypertexte visité" xfId="19956" builtinId="9" hidden="1"/>
    <cellStyle name="Lien hypertexte visité" xfId="18309" builtinId="9" hidden="1"/>
    <cellStyle name="Lien hypertexte visité" xfId="16901" builtinId="9" hidden="1"/>
    <cellStyle name="Lien hypertexte visité" xfId="15237" builtinId="9" hidden="1"/>
    <cellStyle name="Lien hypertexte visité" xfId="14172" builtinId="9" hidden="1"/>
    <cellStyle name="Lien hypertexte visité" xfId="13340" builtinId="9" hidden="1"/>
    <cellStyle name="Lien hypertexte visité" xfId="12636" builtinId="9" hidden="1"/>
    <cellStyle name="Lien hypertexte visité" xfId="11804" builtinId="9" hidden="1"/>
    <cellStyle name="Lien hypertexte visité" xfId="10940" builtinId="9" hidden="1"/>
    <cellStyle name="Lien hypertexte visité" xfId="10268" builtinId="9" hidden="1"/>
    <cellStyle name="Lien hypertexte visité" xfId="9404" builtinId="9" hidden="1"/>
    <cellStyle name="Lien hypertexte visité" xfId="7868" builtinId="9" hidden="1"/>
    <cellStyle name="Lien hypertexte visité" xfId="7195" builtinId="9" hidden="1"/>
    <cellStyle name="Lien hypertexte visité" xfId="6331" builtinId="9" hidden="1"/>
    <cellStyle name="Lien hypertexte visité" xfId="8732" builtinId="9" hidden="1"/>
    <cellStyle name="Lien hypertexte visité" xfId="21398" builtinId="9" hidden="1"/>
    <cellStyle name="Lien hypertexte visité" xfId="5516" builtinId="9" hidden="1"/>
    <cellStyle name="Lien hypertexte visité" xfId="8127" builtinId="9" hidden="1"/>
    <cellStyle name="Lien hypertexte visité" xfId="19182" builtinId="9" hidden="1"/>
    <cellStyle name="Lien hypertexte visité" xfId="18426" builtinId="9" hidden="1"/>
    <cellStyle name="Lien hypertexte visité" xfId="6941" builtinId="9" hidden="1"/>
    <cellStyle name="Lien hypertexte visité" xfId="4237" builtinId="9" hidden="1"/>
    <cellStyle name="Lien hypertexte visité" xfId="2935" builtinId="9" hidden="1"/>
    <cellStyle name="Lien hypertexte visité" xfId="4937" builtinId="9" hidden="1"/>
    <cellStyle name="Lien hypertexte visité" xfId="1639" builtinId="9" hidden="1"/>
    <cellStyle name="Lien hypertexte visité" xfId="11326" builtinId="9" hidden="1"/>
    <cellStyle name="Lien hypertexte visité" xfId="22240" builtinId="9" hidden="1"/>
    <cellStyle name="Lien hypertexte visité" xfId="11942" builtinId="9" hidden="1"/>
    <cellStyle name="Lien hypertexte visité" xfId="3636" builtinId="9" hidden="1"/>
    <cellStyle name="Lien hypertexte visité" xfId="10314" builtinId="9" hidden="1"/>
    <cellStyle name="Lien hypertexte visité" xfId="21354" builtinId="9" hidden="1"/>
    <cellStyle name="Lien hypertexte visité" xfId="4077" builtinId="9" hidden="1"/>
    <cellStyle name="Lien hypertexte visité" xfId="1560" builtinId="9" hidden="1"/>
    <cellStyle name="Lien hypertexte visité" xfId="6837" builtinId="9" hidden="1"/>
    <cellStyle name="Lien hypertexte visité" xfId="24144" builtinId="9" hidden="1"/>
    <cellStyle name="Lien hypertexte visité" xfId="673" builtinId="9" hidden="1"/>
    <cellStyle name="Lien hypertexte visité" xfId="12222" builtinId="9" hidden="1"/>
    <cellStyle name="Lien hypertexte visité" xfId="15985" builtinId="9" hidden="1"/>
    <cellStyle name="Lien hypertexte visité" xfId="12498" builtinId="9" hidden="1"/>
    <cellStyle name="Lien hypertexte visité" xfId="22536" builtinId="9" hidden="1"/>
    <cellStyle name="Lien hypertexte visité" xfId="1855" builtinId="9" hidden="1"/>
    <cellStyle name="Lien hypertexte visité" xfId="17615" builtinId="9" hidden="1"/>
    <cellStyle name="Lien hypertexte visité" xfId="16463" builtinId="9" hidden="1"/>
    <cellStyle name="Lien hypertexte visité" xfId="15311" builtinId="9" hidden="1"/>
    <cellStyle name="Lien hypertexte visité" xfId="14465" builtinId="9" hidden="1"/>
    <cellStyle name="Lien hypertexte visité" xfId="13889" builtinId="9" hidden="1"/>
    <cellStyle name="Lien hypertexte visité" xfId="13441" builtinId="9" hidden="1"/>
    <cellStyle name="Lien hypertexte visité" xfId="12865" builtinId="9" hidden="1"/>
    <cellStyle name="Lien hypertexte visité" xfId="12417" builtinId="9" hidden="1"/>
    <cellStyle name="Lien hypertexte visité" xfId="11841" builtinId="9" hidden="1"/>
    <cellStyle name="Lien hypertexte visité" xfId="11289" builtinId="9" hidden="1"/>
    <cellStyle name="Lien hypertexte visité" xfId="10817" builtinId="9" hidden="1"/>
    <cellStyle name="Lien hypertexte visité" xfId="9793" builtinId="9" hidden="1"/>
    <cellStyle name="Lien hypertexte visité" xfId="9241" builtinId="9" hidden="1"/>
    <cellStyle name="Lien hypertexte visité" xfId="8769" builtinId="9" hidden="1"/>
    <cellStyle name="Lien hypertexte visité" xfId="8217" builtinId="9" hidden="1"/>
    <cellStyle name="Lien hypertexte visité" xfId="7640" builtinId="9" hidden="1"/>
    <cellStyle name="Lien hypertexte visité" xfId="7192" builtinId="9" hidden="1"/>
    <cellStyle name="Lien hypertexte visité" xfId="6616" builtinId="9" hidden="1"/>
    <cellStyle name="Lien hypertexte visité" xfId="6168" builtinId="9" hidden="1"/>
    <cellStyle name="Lien hypertexte visité" xfId="5592" builtinId="9" hidden="1"/>
    <cellStyle name="Lien hypertexte visité" xfId="5144" builtinId="9" hidden="1"/>
    <cellStyle name="Lien hypertexte visité" xfId="4568" builtinId="9" hidden="1"/>
    <cellStyle name="Lien hypertexte visité" xfId="3992" builtinId="9" hidden="1"/>
    <cellStyle name="Lien hypertexte visité" xfId="3538" builtinId="9" hidden="1"/>
    <cellStyle name="Lien hypertexte visité" xfId="2962" builtinId="9" hidden="1"/>
    <cellStyle name="Lien hypertexte visité" xfId="2514" builtinId="9" hidden="1"/>
    <cellStyle name="Lien hypertexte visité" xfId="1938" builtinId="9" hidden="1"/>
    <cellStyle name="Lien hypertexte visité" xfId="1489" builtinId="9" hidden="1"/>
    <cellStyle name="Lien hypertexte visité" xfId="663" builtinId="9" hidden="1"/>
    <cellStyle name="Lien hypertexte visité" xfId="411" builtinId="9" hidden="1"/>
    <cellStyle name="Lien hypertexte visité" xfId="8304" builtinId="9" hidden="1"/>
    <cellStyle name="Lien hypertexte visité" xfId="7471" builtinId="9" hidden="1"/>
    <cellStyle name="Lien hypertexte visité" xfId="6767" builtinId="9" hidden="1"/>
    <cellStyle name="Lien hypertexte visité" xfId="5935" builtinId="9" hidden="1"/>
    <cellStyle name="Lien hypertexte visité" xfId="5231" builtinId="9" hidden="1"/>
    <cellStyle name="Lien hypertexte visité" xfId="4399" builtinId="9" hidden="1"/>
    <cellStyle name="Lien hypertexte visité" xfId="3529" builtinId="9" hidden="1"/>
    <cellStyle name="Lien hypertexte visité" xfId="2857" builtinId="9" hidden="1"/>
    <cellStyle name="Lien hypertexte visité" xfId="1993" builtinId="9" hidden="1"/>
    <cellStyle name="Lien hypertexte visité" xfId="1320" builtinId="9" hidden="1"/>
    <cellStyle name="Lien hypertexte visité" xfId="169" builtinId="9" hidden="1"/>
    <cellStyle name="Lien hypertexte visité" xfId="1364" builtinId="9" hidden="1"/>
    <cellStyle name="Lien hypertexte visité" xfId="3093" builtinId="9" hidden="1"/>
    <cellStyle name="Lien hypertexte visité" xfId="3774" builtinId="9" hidden="1"/>
    <cellStyle name="Lien hypertexte visité" xfId="4635" builtinId="9" hidden="1"/>
    <cellStyle name="Lien hypertexte visité" xfId="5307" builtinId="9" hidden="1"/>
    <cellStyle name="Lien hypertexte visité" xfId="6171" builtinId="9" hidden="1"/>
    <cellStyle name="Lien hypertexte visité" xfId="6843" builtinId="9" hidden="1"/>
    <cellStyle name="Lien hypertexte visité" xfId="7707" builtinId="9" hidden="1"/>
    <cellStyle name="Lien hypertexte visité" xfId="8540" builtinId="9" hidden="1"/>
    <cellStyle name="Lien hypertexte visité" xfId="9244" builtinId="9" hidden="1"/>
    <cellStyle name="Lien hypertexte visité" xfId="10076" builtinId="9" hidden="1"/>
    <cellStyle name="Lien hypertexte visité" xfId="10780" builtinId="9" hidden="1"/>
    <cellStyle name="Lien hypertexte visité" xfId="11612" builtinId="9" hidden="1"/>
    <cellStyle name="Lien hypertexte visité" xfId="12316" builtinId="9" hidden="1"/>
    <cellStyle name="Lien hypertexte visité" xfId="13148" builtinId="9" hidden="1"/>
    <cellStyle name="Lien hypertexte visité" xfId="14012" builtinId="9" hidden="1"/>
    <cellStyle name="Lien hypertexte visité" xfId="14853" builtinId="9" hidden="1"/>
    <cellStyle name="Lien hypertexte visité" xfId="16581" builtinId="9" hidden="1"/>
    <cellStyle name="Lien hypertexte visité" xfId="17925" builtinId="9" hidden="1"/>
    <cellStyle name="Lien hypertexte visité" xfId="19636" builtinId="9" hidden="1"/>
    <cellStyle name="Lien hypertexte visité" xfId="20980" builtinId="9" hidden="1"/>
    <cellStyle name="Lien hypertexte visité" xfId="22708" builtinId="9" hidden="1"/>
    <cellStyle name="Lien hypertexte visité" xfId="24436" builtinId="9" hidden="1"/>
    <cellStyle name="Lien hypertexte visité" xfId="23446" builtinId="9" hidden="1"/>
    <cellStyle name="Lien hypertexte visité" xfId="21718" builtinId="9" hidden="1"/>
    <cellStyle name="Lien hypertexte visité" xfId="20374" builtinId="9" hidden="1"/>
    <cellStyle name="Lien hypertexte visité" xfId="18646" builtinId="9" hidden="1"/>
    <cellStyle name="Lien hypertexte visité" xfId="17319" builtinId="9" hidden="1"/>
    <cellStyle name="Lien hypertexte visité" xfId="15591" builtinId="9" hidden="1"/>
    <cellStyle name="Lien hypertexte visité" xfId="14221" builtinId="9" hidden="1"/>
    <cellStyle name="Lien hypertexte visité" xfId="13517" builtinId="9" hidden="1"/>
    <cellStyle name="Lien hypertexte visité" xfId="12685" builtinId="9" hidden="1"/>
    <cellStyle name="Lien hypertexte visité" xfId="11149" builtinId="9" hidden="1"/>
    <cellStyle name="Lien hypertexte visité" xfId="10445" builtinId="9" hidden="1"/>
    <cellStyle name="Lien hypertexte visité" xfId="9613" builtinId="9" hidden="1"/>
    <cellStyle name="Lien hypertexte visité" xfId="8749" builtinId="9" hidden="1"/>
    <cellStyle name="Lien hypertexte visité" xfId="8077" builtinId="9" hidden="1"/>
    <cellStyle name="Lien hypertexte visité" xfId="7212" builtinId="9" hidden="1"/>
    <cellStyle name="Lien hypertexte visité" xfId="6540" builtinId="9" hidden="1"/>
    <cellStyle name="Lien hypertexte visité" xfId="5676" builtinId="9" hidden="1"/>
    <cellStyle name="Lien hypertexte visité" xfId="5004" builtinId="9" hidden="1"/>
    <cellStyle name="Lien hypertexte visité" xfId="4140" builtinId="9" hidden="1"/>
    <cellStyle name="Lien hypertexte visité" xfId="3270" builtinId="9" hidden="1"/>
    <cellStyle name="Lien hypertexte visité" xfId="2598" builtinId="9" hidden="1"/>
    <cellStyle name="Lien hypertexte visité" xfId="1734" builtinId="9" hidden="1"/>
    <cellStyle name="Lien hypertexte visité" xfId="959" builtinId="9" hidden="1"/>
    <cellStyle name="Lien hypertexte visité" xfId="739" builtinId="9" hidden="1"/>
    <cellStyle name="Lien hypertexte visité" xfId="1624" builtinId="9" hidden="1"/>
    <cellStyle name="Lien hypertexte visité" xfId="2488" builtinId="9" hidden="1"/>
    <cellStyle name="Lien hypertexte visité" xfId="3320" builtinId="9" hidden="1"/>
    <cellStyle name="Lien hypertexte visité" xfId="4030" builtinId="9" hidden="1"/>
    <cellStyle name="Lien hypertexte visité" xfId="4862" builtinId="9" hidden="1"/>
    <cellStyle name="Lien hypertexte visité" xfId="5566" builtinId="9" hidden="1"/>
    <cellStyle name="Lien hypertexte visité" xfId="6398" builtinId="9" hidden="1"/>
    <cellStyle name="Lien hypertexte visité" xfId="7102" builtinId="9" hidden="1"/>
    <cellStyle name="Lien hypertexte visité" xfId="7935" builtinId="9" hidden="1"/>
    <cellStyle name="Lien hypertexte visité" xfId="8799" builtinId="9" hidden="1"/>
    <cellStyle name="Lien hypertexte visité" xfId="7262" builtinId="9" hidden="1"/>
    <cellStyle name="Lien hypertexte visité" xfId="1784" builtinId="9" hidden="1"/>
    <cellStyle name="Lien hypertexte visité" xfId="4812" builtinId="9" hidden="1"/>
    <cellStyle name="Lien hypertexte visité" xfId="10285" builtinId="9" hidden="1"/>
    <cellStyle name="Lien hypertexte visité" xfId="16999" builtinId="9" hidden="1"/>
    <cellStyle name="Lien hypertexte visité" xfId="21364" builtinId="9" hidden="1"/>
    <cellStyle name="Lien hypertexte visité" xfId="7003" builtinId="9" hidden="1"/>
    <cellStyle name="Lien hypertexte visité" xfId="1557" builtinId="9" hidden="1"/>
    <cellStyle name="Lien hypertexte visité" xfId="5071" builtinId="9" hidden="1"/>
    <cellStyle name="Lien hypertexte visité" xfId="1385" builtinId="9" hidden="1"/>
    <cellStyle name="Lien hypertexte visité" xfId="5016" builtinId="9" hidden="1"/>
    <cellStyle name="Lien hypertexte visité" xfId="8665" builtinId="9" hidden="1"/>
    <cellStyle name="Lien hypertexte visité" xfId="12313" builtinId="9" hidden="1"/>
    <cellStyle name="Lien hypertexte visité" xfId="17359" builtinId="9" hidden="1"/>
    <cellStyle name="Lien hypertexte visité" xfId="24588" builtinId="9" hidden="1"/>
    <cellStyle name="Lien hypertexte visité" xfId="17309" builtinId="9" hidden="1"/>
    <cellStyle name="Lien hypertexte visité" xfId="12280" builtinId="9" hidden="1"/>
    <cellStyle name="Lien hypertexte visité" xfId="9504" builtinId="9" hidden="1"/>
    <cellStyle name="Lien hypertexte visité" xfId="22862" builtinId="9" hidden="1"/>
    <cellStyle name="Lien hypertexte visité" xfId="7817" builtinId="9" hidden="1"/>
    <cellStyle name="Lien hypertexte visité" xfId="10384" builtinId="9" hidden="1"/>
    <cellStyle name="Lien hypertexte visité" xfId="21150" builtinId="9" hidden="1"/>
    <cellStyle name="Lien hypertexte visité" xfId="6912" builtinId="9" hidden="1"/>
    <cellStyle name="Lien hypertexte visité" xfId="2441" builtinId="9" hidden="1"/>
    <cellStyle name="Lien hypertexte visité" xfId="15685" builtinId="9" hidden="1"/>
    <cellStyle name="Lien hypertexte visité" xfId="7660" builtinId="9" hidden="1"/>
    <cellStyle name="Lien hypertexte visité" xfId="9887" builtinId="9" hidden="1"/>
    <cellStyle name="Lien hypertexte visité" xfId="5813" builtinId="9" hidden="1"/>
    <cellStyle name="Lien hypertexte visité" xfId="10954" builtinId="9" hidden="1"/>
    <cellStyle name="Lien hypertexte visité" xfId="23162" builtinId="9" hidden="1"/>
    <cellStyle name="Lien hypertexte visité" xfId="21610" builtinId="9" hidden="1"/>
    <cellStyle name="Lien hypertexte visité" xfId="21384" builtinId="9" hidden="1"/>
    <cellStyle name="Lien hypertexte visité" xfId="15177" builtinId="9" hidden="1"/>
    <cellStyle name="Lien hypertexte visité" xfId="3471" builtinId="9" hidden="1"/>
    <cellStyle name="Lien hypertexte visité" xfId="3179" builtinId="9" hidden="1"/>
    <cellStyle name="Lien hypertexte visité" xfId="2823" builtinId="9" hidden="1"/>
    <cellStyle name="Lien hypertexte visité" xfId="2531" builtinId="9" hidden="1"/>
    <cellStyle name="Lien hypertexte visité" xfId="5833" builtinId="9" hidden="1"/>
    <cellStyle name="Lien hypertexte visité" xfId="8154" builtinId="9" hidden="1"/>
    <cellStyle name="Lien hypertexte visité" xfId="7842" builtinId="9" hidden="1"/>
    <cellStyle name="Lien hypertexte visité" xfId="7533" builtinId="9" hidden="1"/>
    <cellStyle name="Lien hypertexte visité" xfId="4297" builtinId="9" hidden="1"/>
    <cellStyle name="Lien hypertexte visité" xfId="2119" builtinId="9" hidden="1"/>
    <cellStyle name="Lien hypertexte visité" xfId="6557" builtinId="9" hidden="1"/>
    <cellStyle name="Lien hypertexte visité" xfId="6869" builtinId="9" hidden="1"/>
    <cellStyle name="Lien hypertexte visité" xfId="7253" builtinId="9" hidden="1"/>
    <cellStyle name="Lien hypertexte visité" xfId="7545" builtinId="9" hidden="1"/>
    <cellStyle name="Lien hypertexte visité" xfId="7858" builtinId="9" hidden="1"/>
    <cellStyle name="Lien hypertexte visité" xfId="8150" builtinId="9" hidden="1"/>
    <cellStyle name="Lien hypertexte visité" xfId="5993" builtinId="9" hidden="1"/>
    <cellStyle name="Lien hypertexte visité" xfId="3945" builtinId="9" hidden="1"/>
    <cellStyle name="Lien hypertexte visité" xfId="2491" builtinId="9" hidden="1"/>
    <cellStyle name="Lien hypertexte visité" xfId="2767" builtinId="9" hidden="1"/>
    <cellStyle name="Lien hypertexte visité" xfId="3123" builtinId="9" hidden="1"/>
    <cellStyle name="Lien hypertexte visité" xfId="4765" builtinId="9" hidden="1"/>
    <cellStyle name="Lien hypertexte visité" xfId="5057" builtinId="9" hidden="1"/>
    <cellStyle name="Lien hypertexte visité" xfId="5441" builtinId="9" hidden="1"/>
    <cellStyle name="Lien hypertexte visité" xfId="5733" builtinId="9" hidden="1"/>
    <cellStyle name="Lien hypertexte visité" xfId="6029" builtinId="9" hidden="1"/>
    <cellStyle name="Lien hypertexte visité" xfId="6321" builtinId="9" hidden="1"/>
    <cellStyle name="Lien hypertexte visité" xfId="4161" builtinId="9" hidden="1"/>
    <cellStyle name="Lien hypertexte visité" xfId="4453" builtinId="9" hidden="1"/>
    <cellStyle name="Lien hypertexte visité" xfId="9626" builtinId="9" hidden="1"/>
    <cellStyle name="Lien hypertexte visité" xfId="8602" builtinId="9" hidden="1"/>
    <cellStyle name="Lien hypertexte visité" xfId="11098" builtinId="9" hidden="1"/>
    <cellStyle name="Lien hypertexte visité" xfId="9882" builtinId="9" hidden="1"/>
    <cellStyle name="Lien hypertexte visité" xfId="8794" builtinId="9" hidden="1"/>
    <cellStyle name="Lien hypertexte visité" xfId="9818" builtinId="9" hidden="1"/>
    <cellStyle name="Lien hypertexte visité" xfId="4033" builtinId="9" hidden="1"/>
    <cellStyle name="Lien hypertexte visité" xfId="6265" builtinId="9" hidden="1"/>
    <cellStyle name="Lien hypertexte visité" xfId="5901" builtinId="9" hidden="1"/>
    <cellStyle name="Lien hypertexte visité" xfId="5605" builtinId="9" hidden="1"/>
    <cellStyle name="Lien hypertexte visité" xfId="5297" builtinId="9" hidden="1"/>
    <cellStyle name="Lien hypertexte visité" xfId="5005" builtinId="9" hidden="1"/>
    <cellStyle name="Lien hypertexte visité" xfId="7745" builtinId="9" hidden="1"/>
    <cellStyle name="Lien hypertexte visité" xfId="3003" builtinId="9" hidden="1"/>
    <cellStyle name="Lien hypertexte visité" xfId="2715" builtinId="9" hidden="1"/>
    <cellStyle name="Lien hypertexte visité" xfId="2443" builtinId="9" hidden="1"/>
    <cellStyle name="Lien hypertexte visité" xfId="4841" builtinId="9" hidden="1"/>
    <cellStyle name="Lien hypertexte visité" xfId="6889" builtinId="9" hidden="1"/>
    <cellStyle name="Lien hypertexte visité" xfId="8094" builtinId="9" hidden="1"/>
    <cellStyle name="Lien hypertexte visité" xfId="7801" builtinId="9" hidden="1"/>
    <cellStyle name="Lien hypertexte visité" xfId="7417" builtinId="9" hidden="1"/>
    <cellStyle name="Lien hypertexte visité" xfId="7105" builtinId="9" hidden="1"/>
    <cellStyle name="Lien hypertexte visité" xfId="6813" builtinId="9" hidden="1"/>
    <cellStyle name="Lien hypertexte visité" xfId="6429" builtinId="9" hidden="1"/>
    <cellStyle name="Lien hypertexte visité" xfId="1991" builtinId="9" hidden="1"/>
    <cellStyle name="Lien hypertexte visité" xfId="7277" builtinId="9" hidden="1"/>
    <cellStyle name="Lien hypertexte visité" xfId="7585" builtinId="9" hidden="1"/>
    <cellStyle name="Lien hypertexte visité" xfId="7990" builtinId="9" hidden="1"/>
    <cellStyle name="Lien hypertexte visité" xfId="4325" builtinId="9" hidden="1"/>
    <cellStyle name="Lien hypertexte visité" xfId="2239" builtinId="9" hidden="1"/>
    <cellStyle name="Lien hypertexte visité" xfId="12476" builtinId="9" hidden="1"/>
    <cellStyle name="Lien hypertexte visité" xfId="11981" builtinId="9" hidden="1"/>
    <cellStyle name="Lien hypertexte visité" xfId="2229" builtinId="9" hidden="1"/>
    <cellStyle name="Lien hypertexte visité" xfId="10265" builtinId="9" hidden="1"/>
    <cellStyle name="Lien hypertexte visité" xfId="12447" builtinId="9" hidden="1"/>
    <cellStyle name="Lien hypertexte visité" xfId="10399" builtinId="9" hidden="1"/>
    <cellStyle name="Lien hypertexte visité" xfId="7839" builtinId="9" hidden="1"/>
    <cellStyle name="Lien hypertexte visité" xfId="5278" builtinId="9" hidden="1"/>
    <cellStyle name="Lien hypertexte visité" xfId="3224" builtinId="9" hidden="1"/>
    <cellStyle name="Lien hypertexte visité" xfId="163" builtinId="9" hidden="1"/>
    <cellStyle name="Lien hypertexte visité" xfId="2534" builtinId="9" hidden="1"/>
    <cellStyle name="Lien hypertexte visité" xfId="5100" builtinId="9" hidden="1"/>
    <cellStyle name="Lien hypertexte visité" xfId="7148" builtinId="9" hidden="1"/>
    <cellStyle name="Lien hypertexte visité" xfId="9709" builtinId="9" hidden="1"/>
    <cellStyle name="Lien hypertexte visité" xfId="12269" builtinId="9" hidden="1"/>
    <cellStyle name="Lien hypertexte visité" xfId="14317" builtinId="9" hidden="1"/>
    <cellStyle name="Lien hypertexte visité" xfId="19222" builtinId="9" hidden="1"/>
    <cellStyle name="Lien hypertexte visité" xfId="23318" builtinId="9" hidden="1"/>
    <cellStyle name="Lien hypertexte visité" xfId="20788" builtinId="9" hidden="1"/>
    <cellStyle name="Lien hypertexte visité" xfId="16709" builtinId="9" hidden="1"/>
    <cellStyle name="Lien hypertexte visité" xfId="13052" builtinId="9" hidden="1"/>
    <cellStyle name="Lien hypertexte visité" xfId="10492" builtinId="9" hidden="1"/>
    <cellStyle name="Lien hypertexte visité" xfId="8444" builtinId="9" hidden="1"/>
    <cellStyle name="Lien hypertexte visité" xfId="5883" builtinId="9" hidden="1"/>
    <cellStyle name="Lien hypertexte visité" xfId="3838" builtinId="9" hidden="1"/>
    <cellStyle name="Lien hypertexte visité" xfId="1268" builtinId="9" hidden="1"/>
    <cellStyle name="Lien hypertexte visité" xfId="1929" builtinId="9" hidden="1"/>
    <cellStyle name="Lien hypertexte visité" xfId="4495" builtinId="9" hidden="1"/>
    <cellStyle name="Lien hypertexte visité" xfId="7055" builtinId="9" hidden="1"/>
    <cellStyle name="Lien hypertexte visité" xfId="283" builtinId="9" hidden="1"/>
    <cellStyle name="Lien hypertexte visité" xfId="2130" builtinId="9" hidden="1"/>
    <cellStyle name="Lien hypertexte visité" xfId="3498" builtinId="9" hidden="1"/>
    <cellStyle name="Lien hypertexte visité" xfId="5208" builtinId="9" hidden="1"/>
    <cellStyle name="Lien hypertexte visité" xfId="6576" builtinId="9" hidden="1"/>
    <cellStyle name="Lien hypertexte visité" xfId="8281" builtinId="9" hidden="1"/>
    <cellStyle name="Lien hypertexte visité" xfId="9985" builtinId="9" hidden="1"/>
    <cellStyle name="Lien hypertexte visité" xfId="11353" builtinId="9" hidden="1"/>
    <cellStyle name="Lien hypertexte visité" xfId="13057" builtinId="9" hidden="1"/>
    <cellStyle name="Lien hypertexte visité" xfId="14425" builtinId="9" hidden="1"/>
    <cellStyle name="Lien hypertexte visité" xfId="17743" builtinId="9" hidden="1"/>
    <cellStyle name="Lien hypertexte visité" xfId="20462" builtinId="9" hidden="1"/>
    <cellStyle name="Lien hypertexte visité" xfId="23870" builtinId="9" hidden="1"/>
    <cellStyle name="Lien hypertexte visité" xfId="21932" builtinId="9" hidden="1"/>
    <cellStyle name="Lien hypertexte visité" xfId="15805" builtinId="9" hidden="1"/>
    <cellStyle name="Lien hypertexte visité" xfId="13800" builtinId="9" hidden="1"/>
    <cellStyle name="Lien hypertexte visité" xfId="12088" builtinId="9" hidden="1"/>
    <cellStyle name="Lien hypertexte visité" xfId="10728" builtinId="9" hidden="1"/>
    <cellStyle name="Lien hypertexte visité" xfId="9016" builtinId="9" hidden="1"/>
    <cellStyle name="Lien hypertexte visité" xfId="13472" builtinId="9" hidden="1"/>
    <cellStyle name="Lien hypertexte visité" xfId="20604" builtinId="9" hidden="1"/>
    <cellStyle name="Lien hypertexte visité" xfId="18382" builtinId="9" hidden="1"/>
    <cellStyle name="Lien hypertexte visité" xfId="12361" builtinId="9" hidden="1"/>
    <cellStyle name="Lien hypertexte visité" xfId="7240" builtinId="9" hidden="1"/>
    <cellStyle name="Lien hypertexte visité" xfId="7432" builtinId="9" hidden="1"/>
    <cellStyle name="Lien hypertexte visité" xfId="9161" builtinId="9" hidden="1"/>
    <cellStyle name="Lien hypertexte visité" xfId="10889" builtinId="9" hidden="1"/>
    <cellStyle name="Lien hypertexte visité" xfId="12233" builtinId="9" hidden="1"/>
    <cellStyle name="Lien hypertexte visité" xfId="13961" builtinId="9" hidden="1"/>
    <cellStyle name="Lien hypertexte visité" xfId="16095" builtinId="9" hidden="1"/>
    <cellStyle name="Lien hypertexte visité" xfId="19534" builtinId="9" hidden="1"/>
    <cellStyle name="Lien hypertexte visité" xfId="22222" builtinId="9" hidden="1"/>
    <cellStyle name="Lien hypertexte visité" xfId="23548" builtinId="9" hidden="1"/>
    <cellStyle name="Lien hypertexte visité" xfId="20220" builtinId="9" hidden="1"/>
    <cellStyle name="Lien hypertexte visité" xfId="17421" builtinId="9" hidden="1"/>
    <cellStyle name="Lien hypertexte visité" xfId="14304" builtinId="9" hidden="1"/>
    <cellStyle name="Lien hypertexte visité" xfId="12896" builtinId="9" hidden="1"/>
    <cellStyle name="Lien hypertexte visité" xfId="11232" builtinId="9" hidden="1"/>
    <cellStyle name="Lien hypertexte visité" xfId="9824" builtinId="9" hidden="1"/>
    <cellStyle name="Lien hypertexte visité" xfId="9080" builtinId="9" hidden="1"/>
    <cellStyle name="Lien hypertexte visité" xfId="9656" builtinId="9" hidden="1"/>
    <cellStyle name="Lien hypertexte visité" xfId="10104" builtinId="9" hidden="1"/>
    <cellStyle name="Lien hypertexte visité" xfId="10680" builtinId="9" hidden="1"/>
    <cellStyle name="Lien hypertexte visité" xfId="11128" builtinId="9" hidden="1"/>
    <cellStyle name="Lien hypertexte visité" xfId="11704" builtinId="9" hidden="1"/>
    <cellStyle name="Lien hypertexte visité" xfId="12152" builtinId="9" hidden="1"/>
    <cellStyle name="Lien hypertexte visité" xfId="12728" builtinId="9" hidden="1"/>
    <cellStyle name="Lien hypertexte visité" xfId="13304" builtinId="9" hidden="1"/>
    <cellStyle name="Lien hypertexte visité" xfId="13752" builtinId="9" hidden="1"/>
    <cellStyle name="Lien hypertexte visité" xfId="14328" builtinId="9" hidden="1"/>
    <cellStyle name="Lien hypertexte visité" xfId="15037" builtinId="9" hidden="1"/>
    <cellStyle name="Lien hypertexte visité" xfId="16189" builtinId="9" hidden="1"/>
    <cellStyle name="Lien hypertexte visité" xfId="17085" builtinId="9" hidden="1"/>
    <cellStyle name="Lien hypertexte visité" xfId="18237" builtinId="9" hidden="1"/>
    <cellStyle name="Lien hypertexte visité" xfId="19340" builtinId="9" hidden="1"/>
    <cellStyle name="Lien hypertexte visité" xfId="20268" builtinId="9" hidden="1"/>
    <cellStyle name="Lien hypertexte visité" xfId="21388" builtinId="9" hidden="1"/>
    <cellStyle name="Lien hypertexte visité" xfId="22316" builtinId="9" hidden="1"/>
    <cellStyle name="Lien hypertexte visité" xfId="23436" builtinId="9" hidden="1"/>
    <cellStyle name="Lien hypertexte visité" xfId="24364" builtinId="9" hidden="1"/>
    <cellStyle name="Lien hypertexte visité" xfId="23742" builtinId="9" hidden="1"/>
    <cellStyle name="Lien hypertexte visité" xfId="22590" builtinId="9" hidden="1"/>
    <cellStyle name="Lien hypertexte visité" xfId="21694" builtinId="9" hidden="1"/>
    <cellStyle name="Lien hypertexte visité" xfId="20542" builtinId="9" hidden="1"/>
    <cellStyle name="Lien hypertexte visité" xfId="19646" builtinId="9" hidden="1"/>
    <cellStyle name="Lien hypertexte visité" xfId="18494" builtinId="9" hidden="1"/>
    <cellStyle name="Lien hypertexte visité" xfId="19212" builtinId="9" hidden="1"/>
    <cellStyle name="Lien hypertexte visité" xfId="6216" builtinId="9" hidden="1"/>
    <cellStyle name="Lien hypertexte visité" xfId="15051" builtinId="9" hidden="1"/>
    <cellStyle name="Lien hypertexte visité" xfId="12031" builtinId="9" hidden="1"/>
    <cellStyle name="Lien hypertexte visité" xfId="9311" builtinId="9" hidden="1"/>
    <cellStyle name="Lien hypertexte visité" xfId="14961" builtinId="9" hidden="1"/>
    <cellStyle name="Lien hypertexte visité" xfId="15945" builtinId="9" hidden="1"/>
    <cellStyle name="Lien hypertexte visité" xfId="16921" builtinId="9" hidden="1"/>
    <cellStyle name="Lien hypertexte visité" xfId="17689" builtinId="9" hidden="1"/>
    <cellStyle name="Lien hypertexte visité" xfId="18656" builtinId="9" hidden="1"/>
    <cellStyle name="Lien hypertexte visité" xfId="19424" builtinId="9" hidden="1"/>
    <cellStyle name="Lien hypertexte visité" xfId="20408" builtinId="9" hidden="1"/>
    <cellStyle name="Lien hypertexte visité" xfId="21216" builtinId="9" hidden="1"/>
    <cellStyle name="Lien hypertexte visité" xfId="22152" builtinId="9" hidden="1"/>
    <cellStyle name="Lien hypertexte visité" xfId="23136" builtinId="9" hidden="1"/>
    <cellStyle name="Lien hypertexte visité" xfId="23944" builtinId="9" hidden="1"/>
    <cellStyle name="Lien hypertexte visité" xfId="24338" builtinId="9" hidden="1"/>
    <cellStyle name="Lien hypertexte visité" xfId="23530" builtinId="9" hidden="1"/>
    <cellStyle name="Lien hypertexte visité" xfId="22546" builtinId="9" hidden="1"/>
    <cellStyle name="Lien hypertexte visité" xfId="21778" builtinId="9" hidden="1"/>
    <cellStyle name="Lien hypertexte visité" xfId="20802" builtinId="9" hidden="1"/>
    <cellStyle name="Lien hypertexte visité" xfId="19818" builtinId="9" hidden="1"/>
    <cellStyle name="Lien hypertexte visité" xfId="19050" builtinId="9" hidden="1"/>
    <cellStyle name="Lien hypertexte visité" xfId="18083" builtinId="9" hidden="1"/>
    <cellStyle name="Lien hypertexte visité" xfId="17315" builtinId="9" hidden="1"/>
    <cellStyle name="Lien hypertexte visité" xfId="20218" builtinId="9" hidden="1"/>
    <cellStyle name="Lien hypertexte visité" xfId="22522" builtinId="9" hidden="1"/>
    <cellStyle name="Lien hypertexte visité" xfId="23760" builtinId="9" hidden="1"/>
    <cellStyle name="Lien hypertexte visité" xfId="20816" builtinId="9" hidden="1"/>
    <cellStyle name="Lien hypertexte visité" xfId="18512" builtinId="9" hidden="1"/>
    <cellStyle name="Lien hypertexte visité" xfId="15585" builtinId="9" hidden="1"/>
    <cellStyle name="Lien hypertexte visité" xfId="13898" builtinId="9" hidden="1"/>
    <cellStyle name="Lien hypertexte visité" xfId="12426" builtinId="9" hidden="1"/>
    <cellStyle name="Lien hypertexte visité" xfId="11274" builtinId="9" hidden="1"/>
    <cellStyle name="Lien hypertexte visité" xfId="9802" builtinId="9" hidden="1"/>
    <cellStyle name="Lien hypertexte visité" xfId="8330" builtinId="9" hidden="1"/>
    <cellStyle name="Lien hypertexte visité" xfId="4221" builtinId="9" hidden="1"/>
    <cellStyle name="Lien hypertexte visité" xfId="4641" builtinId="9" hidden="1"/>
    <cellStyle name="Lien hypertexte visité" xfId="4989" builtinId="9" hidden="1"/>
    <cellStyle name="Lien hypertexte visité" xfId="5393" builtinId="9" hidden="1"/>
    <cellStyle name="Lien hypertexte visité" xfId="5741" builtinId="9" hidden="1"/>
    <cellStyle name="Lien hypertexte visité" xfId="6161" builtinId="9" hidden="1"/>
    <cellStyle name="Lien hypertexte visité" xfId="6561" builtinId="9" hidden="1"/>
    <cellStyle name="Lien hypertexte visité" xfId="6909" builtinId="9" hidden="1"/>
    <cellStyle name="Lien hypertexte visité" xfId="8978" builtinId="9" hidden="1"/>
    <cellStyle name="Lien hypertexte visité" xfId="15499" builtinId="9" hidden="1"/>
    <cellStyle name="Lien hypertexte visité" xfId="19276" builtinId="9" hidden="1"/>
    <cellStyle name="Lien hypertexte visité" xfId="14168" builtinId="9" hidden="1"/>
    <cellStyle name="Lien hypertexte visité" xfId="11440" builtinId="9" hidden="1"/>
    <cellStyle name="Lien hypertexte visité" xfId="9280" builtinId="9" hidden="1"/>
    <cellStyle name="Lien hypertexte visité" xfId="20412" builtinId="9" hidden="1"/>
    <cellStyle name="Lien hypertexte visité" xfId="13481" builtinId="9" hidden="1"/>
    <cellStyle name="Lien hypertexte visité" xfId="5288" builtinId="9" hidden="1"/>
    <cellStyle name="Lien hypertexte visité" xfId="8579" builtinId="9" hidden="1"/>
    <cellStyle name="Lien hypertexte visité" xfId="6234" builtinId="9" hidden="1"/>
    <cellStyle name="Lien hypertexte visité" xfId="3902" builtinId="9" hidden="1"/>
    <cellStyle name="Lien hypertexte visité" xfId="1548" builtinId="9" hidden="1"/>
    <cellStyle name="Lien hypertexte visité" xfId="12483" builtinId="9" hidden="1"/>
    <cellStyle name="Lien hypertexte visité" xfId="10299" builtinId="9" hidden="1"/>
    <cellStyle name="Lien hypertexte visité" xfId="13363" builtinId="9" hidden="1"/>
    <cellStyle name="Lien hypertexte visité" xfId="17011" builtinId="9" hidden="1"/>
    <cellStyle name="Lien hypertexte visité" xfId="13595" builtinId="9" hidden="1"/>
    <cellStyle name="Lien hypertexte visité" xfId="10547" builtinId="9" hidden="1"/>
    <cellStyle name="Lien hypertexte visité" xfId="12731" builtinId="9" hidden="1"/>
    <cellStyle name="Lien hypertexte visité" xfId="1812" builtinId="9" hidden="1"/>
    <cellStyle name="Lien hypertexte visité" xfId="4162" builtinId="9" hidden="1"/>
    <cellStyle name="Lien hypertexte visité" xfId="6506" builtinId="9" hidden="1"/>
    <cellStyle name="Lien hypertexte visité" xfId="8843" builtinId="9" hidden="1"/>
    <cellStyle name="Lien hypertexte visité" xfId="4395" builtinId="9" hidden="1"/>
    <cellStyle name="Lien hypertexte visité" xfId="549" builtinId="9" hidden="1"/>
    <cellStyle name="Lien hypertexte visité" xfId="4959" builtinId="9" hidden="1"/>
    <cellStyle name="Lien hypertexte visité" xfId="347" builtinId="9" hidden="1"/>
    <cellStyle name="Lien hypertexte visité" xfId="3122" builtinId="9" hidden="1"/>
    <cellStyle name="Lien hypertexte visité" xfId="5856" builtinId="9" hidden="1"/>
    <cellStyle name="Lien hypertexte visité" xfId="8593" builtinId="9" hidden="1"/>
    <cellStyle name="Lien hypertexte visité" xfId="11321" builtinId="9" hidden="1"/>
    <cellStyle name="Lien hypertexte visité" xfId="14049" builtinId="9" hidden="1"/>
    <cellStyle name="Lien hypertexte visité" xfId="19038" builtinId="9" hidden="1"/>
    <cellStyle name="Lien hypertexte visité" xfId="24494" builtinId="9" hidden="1"/>
    <cellStyle name="Lien hypertexte visité" xfId="10173" builtinId="9" hidden="1"/>
    <cellStyle name="Lien hypertexte visité" xfId="14269" builtinId="9" hidden="1"/>
    <cellStyle name="Lien hypertexte visité" xfId="22198" builtinId="9" hidden="1"/>
    <cellStyle name="Lien hypertexte visité" xfId="18836" builtinId="9" hidden="1"/>
    <cellStyle name="Lien hypertexte visité" xfId="12588" builtinId="9" hidden="1"/>
    <cellStyle name="Lien hypertexte visité" xfId="8492" builtinId="9" hidden="1"/>
    <cellStyle name="Lien hypertexte visité" xfId="3272" builtinId="9" hidden="1"/>
    <cellStyle name="Lien hypertexte visité" xfId="1974" builtinId="9" hidden="1"/>
    <cellStyle name="Lien hypertexte visité" xfId="6076" builtinId="9" hidden="1"/>
    <cellStyle name="Lien hypertexte visité" xfId="7374" builtinId="9" hidden="1"/>
    <cellStyle name="Lien hypertexte visité" xfId="11471"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F81BD"/>
      <color rgb="FF2CAB42"/>
      <color rgb="FF0432FF"/>
      <color rgb="FFDDDDDD"/>
      <color rgb="FF573EEF"/>
      <color rgb="FF3E0D81"/>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36738</xdr:colOff>
      <xdr:row>2</xdr:row>
      <xdr:rowOff>10433</xdr:rowOff>
    </xdr:from>
    <xdr:to>
      <xdr:col>2</xdr:col>
      <xdr:colOff>583447</xdr:colOff>
      <xdr:row>2</xdr:row>
      <xdr:rowOff>975634</xdr:rowOff>
    </xdr:to>
    <xdr:pic>
      <xdr:nvPicPr>
        <xdr:cNvPr id="19" name="Image 1">
          <a:extLst>
            <a:ext uri="{FF2B5EF4-FFF2-40B4-BE49-F238E27FC236}">
              <a16:creationId xmlns:a16="http://schemas.microsoft.com/office/drawing/2014/main" id="{6852CCBE-301D-CF4E-97C4-5696134B2E56}"/>
            </a:ext>
          </a:extLst>
        </xdr:cNvPr>
        <xdr:cNvPicPr>
          <a:picLocks noChangeAspect="1"/>
        </xdr:cNvPicPr>
      </xdr:nvPicPr>
      <xdr:blipFill>
        <a:blip xmlns:r="http://schemas.openxmlformats.org/officeDocument/2006/relationships" r:embed="rId1"/>
        <a:stretch>
          <a:fillRect/>
        </a:stretch>
      </xdr:blipFill>
      <xdr:spPr>
        <a:xfrm>
          <a:off x="687613" y="359683"/>
          <a:ext cx="3734409" cy="965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7</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tabColor rgb="FF92D050"/>
  </sheetPr>
  <dimension ref="A3:G72"/>
  <sheetViews>
    <sheetView tabSelected="1" zoomScaleNormal="100" workbookViewId="0"/>
  </sheetViews>
  <sheetFormatPr baseColWidth="10" defaultColWidth="11.42578125" defaultRowHeight="12.75"/>
  <cols>
    <col min="1" max="1" width="7.28515625" customWidth="1"/>
    <col min="2" max="2" width="35.85546875" customWidth="1"/>
    <col min="3" max="3" width="17" customWidth="1"/>
    <col min="4" max="4" width="85.140625" customWidth="1"/>
  </cols>
  <sheetData>
    <row r="3" spans="2:7" ht="80.099999999999994" customHeight="1">
      <c r="B3" s="796"/>
      <c r="C3" s="796"/>
    </row>
    <row r="4" spans="2:7" ht="36" customHeight="1">
      <c r="B4" s="798" t="s">
        <v>0</v>
      </c>
      <c r="C4" s="798"/>
      <c r="D4" s="798"/>
    </row>
    <row r="5" spans="2:7" ht="38.1" customHeight="1">
      <c r="B5" s="797"/>
      <c r="C5" s="797"/>
      <c r="D5" s="797"/>
    </row>
    <row r="6" spans="2:7" ht="13.5" thickBot="1">
      <c r="B6" s="90"/>
      <c r="C6" s="86"/>
      <c r="D6" s="86"/>
    </row>
    <row r="7" spans="2:7" ht="56.1" customHeight="1" thickTop="1" thickBot="1">
      <c r="B7" s="464" t="s">
        <v>1</v>
      </c>
      <c r="C7" s="465" t="s">
        <v>2</v>
      </c>
      <c r="D7" s="466" t="s">
        <v>3</v>
      </c>
      <c r="E7" s="78"/>
      <c r="F7" s="78"/>
      <c r="G7" s="78"/>
    </row>
    <row r="8" spans="2:7" ht="44.1" customHeight="1" thickTop="1">
      <c r="B8" s="817" t="s">
        <v>4</v>
      </c>
      <c r="C8" s="820" t="s">
        <v>5</v>
      </c>
      <c r="D8" s="641" t="s">
        <v>6</v>
      </c>
      <c r="E8" s="555"/>
      <c r="F8" s="78"/>
      <c r="G8" s="78"/>
    </row>
    <row r="9" spans="2:7" ht="44.1" customHeight="1">
      <c r="B9" s="818"/>
      <c r="C9" s="821"/>
      <c r="D9" s="757" t="s">
        <v>7</v>
      </c>
      <c r="E9" s="78"/>
      <c r="F9" s="78"/>
      <c r="G9" s="78"/>
    </row>
    <row r="10" spans="2:7" ht="44.1" customHeight="1">
      <c r="B10" s="818"/>
      <c r="C10" s="821"/>
      <c r="D10" s="757" t="s">
        <v>8</v>
      </c>
      <c r="E10" s="78"/>
      <c r="F10" s="78"/>
      <c r="G10" s="78"/>
    </row>
    <row r="11" spans="2:7" ht="44.1" customHeight="1">
      <c r="B11" s="818"/>
      <c r="C11" s="821"/>
      <c r="D11" s="757" t="s">
        <v>9</v>
      </c>
      <c r="E11" s="78"/>
      <c r="F11" s="78"/>
      <c r="G11" s="78"/>
    </row>
    <row r="12" spans="2:7" ht="44.1" customHeight="1">
      <c r="B12" s="818"/>
      <c r="C12" s="821"/>
      <c r="D12" s="758" t="s">
        <v>10</v>
      </c>
      <c r="E12" s="78"/>
      <c r="F12" s="78"/>
      <c r="G12" s="78"/>
    </row>
    <row r="13" spans="2:7" ht="44.1" customHeight="1" thickBot="1">
      <c r="B13" s="819"/>
      <c r="C13" s="822"/>
      <c r="D13" s="759" t="s">
        <v>11</v>
      </c>
      <c r="E13" s="78"/>
      <c r="F13" s="78"/>
      <c r="G13" s="78"/>
    </row>
    <row r="14" spans="2:7" ht="44.1" customHeight="1" thickTop="1" thickBot="1">
      <c r="B14" s="564" t="s">
        <v>12</v>
      </c>
      <c r="C14" s="563" t="s">
        <v>13</v>
      </c>
      <c r="D14" s="628" t="s">
        <v>14</v>
      </c>
      <c r="E14" s="78"/>
      <c r="F14" s="78"/>
      <c r="G14" s="78"/>
    </row>
    <row r="15" spans="2:7" ht="32.25" thickTop="1">
      <c r="B15" s="817" t="s">
        <v>15</v>
      </c>
      <c r="C15" s="820" t="s">
        <v>16</v>
      </c>
      <c r="D15" s="562" t="s">
        <v>17</v>
      </c>
      <c r="E15" s="78"/>
      <c r="F15" s="78"/>
      <c r="G15" s="78"/>
    </row>
    <row r="16" spans="2:7" ht="31.5">
      <c r="B16" s="818"/>
      <c r="C16" s="821"/>
      <c r="D16" s="556" t="s">
        <v>18</v>
      </c>
      <c r="E16" s="78"/>
      <c r="F16" s="78"/>
      <c r="G16" s="78"/>
    </row>
    <row r="17" spans="1:7" ht="31.5">
      <c r="B17" s="818"/>
      <c r="C17" s="821"/>
      <c r="D17" s="554" t="s">
        <v>19</v>
      </c>
      <c r="E17" s="555"/>
      <c r="F17" s="78"/>
      <c r="G17" s="78"/>
    </row>
    <row r="18" spans="1:7" ht="31.5">
      <c r="B18" s="818"/>
      <c r="C18" s="821"/>
      <c r="D18" s="554" t="s">
        <v>20</v>
      </c>
      <c r="E18" s="78"/>
      <c r="F18" s="78"/>
      <c r="G18" s="78"/>
    </row>
    <row r="19" spans="1:7" ht="31.5">
      <c r="B19" s="818"/>
      <c r="C19" s="821"/>
      <c r="D19" s="557" t="s">
        <v>21</v>
      </c>
      <c r="E19" s="78"/>
      <c r="F19" s="78"/>
      <c r="G19" s="78"/>
    </row>
    <row r="20" spans="1:7" ht="40.5">
      <c r="B20" s="818"/>
      <c r="C20" s="821"/>
      <c r="D20" s="560" t="s">
        <v>22</v>
      </c>
      <c r="E20" s="78"/>
      <c r="F20" s="78"/>
      <c r="G20" s="78"/>
    </row>
    <row r="21" spans="1:7" ht="32.25" thickBot="1">
      <c r="B21" s="819"/>
      <c r="C21" s="822"/>
      <c r="D21" s="561" t="s">
        <v>23</v>
      </c>
      <c r="E21" s="78"/>
      <c r="F21" s="78"/>
      <c r="G21" s="78"/>
    </row>
    <row r="22" spans="1:7" ht="35.1" customHeight="1" thickTop="1">
      <c r="B22" s="811" t="s">
        <v>24</v>
      </c>
      <c r="C22" s="814" t="s">
        <v>25</v>
      </c>
      <c r="D22" s="331" t="s">
        <v>26</v>
      </c>
      <c r="E22" s="78"/>
      <c r="F22" s="78"/>
      <c r="G22" s="78"/>
    </row>
    <row r="23" spans="1:7" ht="32.1" customHeight="1">
      <c r="B23" s="812"/>
      <c r="C23" s="815"/>
      <c r="D23" s="332" t="s">
        <v>27</v>
      </c>
      <c r="E23" s="78"/>
      <c r="F23" s="78"/>
      <c r="G23" s="78"/>
    </row>
    <row r="24" spans="1:7" ht="48" customHeight="1">
      <c r="B24" s="812"/>
      <c r="C24" s="815"/>
      <c r="D24" s="295" t="s">
        <v>28</v>
      </c>
      <c r="E24" s="78"/>
      <c r="F24" s="78"/>
      <c r="G24" s="78"/>
    </row>
    <row r="25" spans="1:7" ht="42">
      <c r="B25" s="812"/>
      <c r="C25" s="815"/>
      <c r="D25" s="332" t="s">
        <v>29</v>
      </c>
      <c r="E25" s="78"/>
      <c r="F25" s="78"/>
      <c r="G25" s="78"/>
    </row>
    <row r="26" spans="1:7" ht="31.5">
      <c r="B26" s="812"/>
      <c r="C26" s="815"/>
      <c r="D26" s="333" t="s">
        <v>30</v>
      </c>
      <c r="E26" s="78"/>
      <c r="F26" s="78"/>
      <c r="G26" s="78"/>
    </row>
    <row r="27" spans="1:7" ht="31.5">
      <c r="B27" s="812"/>
      <c r="C27" s="815"/>
      <c r="D27" s="333" t="s">
        <v>31</v>
      </c>
      <c r="E27" s="78"/>
      <c r="F27" s="78"/>
      <c r="G27" s="78"/>
    </row>
    <row r="28" spans="1:7" ht="27.95" customHeight="1">
      <c r="B28" s="812"/>
      <c r="C28" s="815"/>
      <c r="D28" s="334" t="s">
        <v>32</v>
      </c>
      <c r="E28" s="301"/>
    </row>
    <row r="29" spans="1:7" ht="42.75" thickBot="1">
      <c r="A29" s="302"/>
      <c r="B29" s="813"/>
      <c r="C29" s="816"/>
      <c r="D29" s="299" t="s">
        <v>33</v>
      </c>
      <c r="E29" s="301"/>
    </row>
    <row r="30" spans="1:7" ht="143.25" thickTop="1">
      <c r="B30" s="805" t="s">
        <v>34</v>
      </c>
      <c r="C30" s="808" t="s">
        <v>35</v>
      </c>
      <c r="D30" s="300" t="s">
        <v>36</v>
      </c>
      <c r="E30" s="78"/>
      <c r="F30" s="78"/>
      <c r="G30" s="78"/>
    </row>
    <row r="31" spans="1:7" ht="42">
      <c r="B31" s="806"/>
      <c r="C31" s="809"/>
      <c r="D31" s="290" t="s">
        <v>37</v>
      </c>
      <c r="E31" s="78"/>
      <c r="F31" s="78"/>
      <c r="G31" s="78"/>
    </row>
    <row r="32" spans="1:7" ht="32.25" thickBot="1">
      <c r="B32" s="807"/>
      <c r="C32" s="810"/>
      <c r="D32" s="299" t="s">
        <v>38</v>
      </c>
      <c r="E32" s="78"/>
      <c r="F32" s="78"/>
      <c r="G32" s="78"/>
    </row>
    <row r="33" spans="2:7" ht="42.75" thickTop="1">
      <c r="B33" s="805" t="s">
        <v>39</v>
      </c>
      <c r="C33" s="808" t="s">
        <v>40</v>
      </c>
      <c r="D33" s="298" t="s">
        <v>41</v>
      </c>
      <c r="E33" s="78"/>
      <c r="F33" s="78"/>
      <c r="G33" s="78"/>
    </row>
    <row r="34" spans="2:7" ht="42">
      <c r="B34" s="806"/>
      <c r="C34" s="809"/>
      <c r="D34" s="295" t="s">
        <v>42</v>
      </c>
      <c r="E34" s="78"/>
      <c r="F34" s="78"/>
      <c r="G34" s="78"/>
    </row>
    <row r="35" spans="2:7" ht="42">
      <c r="B35" s="806"/>
      <c r="C35" s="809"/>
      <c r="D35" s="290" t="s">
        <v>43</v>
      </c>
      <c r="E35" s="78"/>
      <c r="F35" s="78"/>
      <c r="G35" s="78"/>
    </row>
    <row r="36" spans="2:7" ht="32.25" thickBot="1">
      <c r="B36" s="807"/>
      <c r="C36" s="810"/>
      <c r="D36" s="299" t="s">
        <v>44</v>
      </c>
      <c r="E36" s="78"/>
      <c r="F36" s="78"/>
      <c r="G36" s="78"/>
    </row>
    <row r="37" spans="2:7" ht="42.75" thickTop="1">
      <c r="B37" s="805" t="s">
        <v>45</v>
      </c>
      <c r="C37" s="808" t="s">
        <v>46</v>
      </c>
      <c r="D37" s="298" t="s">
        <v>47</v>
      </c>
      <c r="E37" s="78"/>
      <c r="F37" s="78"/>
      <c r="G37" s="78"/>
    </row>
    <row r="38" spans="2:7" ht="31.5">
      <c r="B38" s="806"/>
      <c r="C38" s="809"/>
      <c r="D38" s="291" t="s">
        <v>48</v>
      </c>
      <c r="E38" s="78"/>
      <c r="F38" s="78"/>
      <c r="G38" s="78"/>
    </row>
    <row r="39" spans="2:7" ht="42" customHeight="1">
      <c r="B39" s="806"/>
      <c r="C39" s="809"/>
      <c r="D39" s="290" t="s">
        <v>49</v>
      </c>
      <c r="E39" s="78"/>
      <c r="F39" s="78"/>
      <c r="G39" s="78"/>
    </row>
    <row r="40" spans="2:7" ht="44.1" customHeight="1">
      <c r="B40" s="806"/>
      <c r="C40" s="809"/>
      <c r="D40" s="290" t="s">
        <v>50</v>
      </c>
      <c r="E40" s="78"/>
      <c r="F40" s="78"/>
      <c r="G40" s="78"/>
    </row>
    <row r="41" spans="2:7" ht="42" customHeight="1">
      <c r="B41" s="806"/>
      <c r="C41" s="809"/>
      <c r="D41" s="290" t="s">
        <v>51</v>
      </c>
      <c r="E41" s="78"/>
      <c r="F41" s="78"/>
      <c r="G41" s="78"/>
    </row>
    <row r="42" spans="2:7" ht="42" customHeight="1">
      <c r="B42" s="806"/>
      <c r="C42" s="809"/>
      <c r="D42" s="289" t="s">
        <v>52</v>
      </c>
      <c r="E42" s="78"/>
      <c r="F42" s="78"/>
      <c r="G42" s="78"/>
    </row>
    <row r="43" spans="2:7" ht="42" customHeight="1">
      <c r="B43" s="806"/>
      <c r="C43" s="809"/>
      <c r="D43" s="293" t="s">
        <v>53</v>
      </c>
      <c r="E43" s="78"/>
      <c r="F43" s="78"/>
      <c r="G43" s="78"/>
    </row>
    <row r="44" spans="2:7" ht="45.95" customHeight="1" thickBot="1">
      <c r="B44" s="807"/>
      <c r="C44" s="810"/>
      <c r="D44" s="296" t="s">
        <v>54</v>
      </c>
      <c r="E44" s="78"/>
      <c r="F44" s="78"/>
      <c r="G44" s="78"/>
    </row>
    <row r="45" spans="2:7" ht="36" customHeight="1" thickTop="1">
      <c r="B45" s="805" t="s">
        <v>55</v>
      </c>
      <c r="C45" s="802" t="s">
        <v>56</v>
      </c>
      <c r="D45" s="297" t="s">
        <v>57</v>
      </c>
      <c r="E45" s="78"/>
      <c r="F45" s="78"/>
      <c r="G45" s="78"/>
    </row>
    <row r="46" spans="2:7" ht="39.950000000000003" customHeight="1">
      <c r="B46" s="800"/>
      <c r="C46" s="803"/>
      <c r="D46" s="293" t="s">
        <v>58</v>
      </c>
      <c r="E46" s="78"/>
      <c r="F46" s="78"/>
      <c r="G46" s="78"/>
    </row>
    <row r="47" spans="2:7" ht="35.1" customHeight="1">
      <c r="B47" s="800"/>
      <c r="C47" s="803"/>
      <c r="D47" s="293" t="s">
        <v>59</v>
      </c>
      <c r="E47" s="78"/>
      <c r="F47" s="78"/>
      <c r="G47" s="78"/>
    </row>
    <row r="48" spans="2:7" ht="41.1" customHeight="1" thickBot="1">
      <c r="B48" s="825"/>
      <c r="C48" s="804"/>
      <c r="D48" s="296" t="s">
        <v>38</v>
      </c>
      <c r="E48" s="78"/>
      <c r="F48" s="78"/>
      <c r="G48" s="78"/>
    </row>
    <row r="49" spans="2:4" ht="41.1" customHeight="1" thickTop="1">
      <c r="B49" s="799" t="s">
        <v>60</v>
      </c>
      <c r="C49" s="802" t="s">
        <v>61</v>
      </c>
      <c r="D49" s="297" t="s">
        <v>62</v>
      </c>
    </row>
    <row r="50" spans="2:4" ht="27.95" customHeight="1">
      <c r="B50" s="800"/>
      <c r="C50" s="803"/>
      <c r="D50" s="293" t="s">
        <v>63</v>
      </c>
    </row>
    <row r="51" spans="2:4" ht="32.1" customHeight="1" thickBot="1">
      <c r="B51" s="801"/>
      <c r="C51" s="804"/>
      <c r="D51" s="296" t="s">
        <v>64</v>
      </c>
    </row>
    <row r="52" spans="2:4" ht="42.95" customHeight="1" thickTop="1">
      <c r="B52" s="805" t="s">
        <v>65</v>
      </c>
      <c r="C52" s="802" t="s">
        <v>66</v>
      </c>
      <c r="D52" s="297" t="s">
        <v>67</v>
      </c>
    </row>
    <row r="53" spans="2:4" ht="42" customHeight="1">
      <c r="B53" s="800"/>
      <c r="C53" s="803"/>
      <c r="D53" s="293" t="s">
        <v>68</v>
      </c>
    </row>
    <row r="54" spans="2:4" ht="42">
      <c r="B54" s="800"/>
      <c r="C54" s="803"/>
      <c r="D54" s="293" t="s">
        <v>69</v>
      </c>
    </row>
    <row r="55" spans="2:4" ht="42">
      <c r="B55" s="800"/>
      <c r="C55" s="803"/>
      <c r="D55" s="293" t="s">
        <v>70</v>
      </c>
    </row>
    <row r="56" spans="2:4" ht="42">
      <c r="B56" s="800"/>
      <c r="C56" s="803"/>
      <c r="D56" s="293" t="s">
        <v>71</v>
      </c>
    </row>
    <row r="57" spans="2:4" ht="21">
      <c r="B57" s="800"/>
      <c r="C57" s="803"/>
      <c r="D57" s="293" t="s">
        <v>72</v>
      </c>
    </row>
    <row r="58" spans="2:4" ht="21.75" thickBot="1">
      <c r="B58" s="825"/>
      <c r="C58" s="826"/>
      <c r="D58" s="296" t="s">
        <v>73</v>
      </c>
    </row>
    <row r="59" spans="2:4" ht="21.75" thickTop="1">
      <c r="B59" s="805" t="s">
        <v>74</v>
      </c>
      <c r="C59" s="808" t="s">
        <v>75</v>
      </c>
      <c r="D59" s="297" t="s">
        <v>76</v>
      </c>
    </row>
    <row r="60" spans="2:4" ht="42">
      <c r="B60" s="806"/>
      <c r="C60" s="809"/>
      <c r="D60" s="293" t="s">
        <v>77</v>
      </c>
    </row>
    <row r="61" spans="2:4" ht="21">
      <c r="B61" s="806"/>
      <c r="C61" s="809"/>
      <c r="D61" s="293" t="s">
        <v>78</v>
      </c>
    </row>
    <row r="62" spans="2:4" ht="21">
      <c r="B62" s="806"/>
      <c r="C62" s="809"/>
      <c r="D62" s="293" t="s">
        <v>79</v>
      </c>
    </row>
    <row r="63" spans="2:4" ht="21">
      <c r="B63" s="806"/>
      <c r="C63" s="809"/>
      <c r="D63" s="293" t="s">
        <v>80</v>
      </c>
    </row>
    <row r="64" spans="2:4" ht="21">
      <c r="B64" s="806"/>
      <c r="C64" s="809"/>
      <c r="D64" s="293" t="s">
        <v>81</v>
      </c>
    </row>
    <row r="65" spans="2:4" ht="21">
      <c r="B65" s="806"/>
      <c r="C65" s="809"/>
      <c r="D65" s="293" t="s">
        <v>82</v>
      </c>
    </row>
    <row r="66" spans="2:4" ht="21">
      <c r="B66" s="806"/>
      <c r="C66" s="809"/>
      <c r="D66" s="293" t="s">
        <v>83</v>
      </c>
    </row>
    <row r="67" spans="2:4" ht="42">
      <c r="B67" s="806"/>
      <c r="C67" s="809"/>
      <c r="D67" s="293" t="s">
        <v>84</v>
      </c>
    </row>
    <row r="68" spans="2:4" ht="21">
      <c r="B68" s="806"/>
      <c r="C68" s="809"/>
      <c r="D68" s="293" t="s">
        <v>85</v>
      </c>
    </row>
    <row r="69" spans="2:4" ht="42">
      <c r="B69" s="806"/>
      <c r="C69" s="809"/>
      <c r="D69" s="292" t="s">
        <v>86</v>
      </c>
    </row>
    <row r="70" spans="2:4" ht="42">
      <c r="B70" s="806"/>
      <c r="C70" s="809"/>
      <c r="D70" s="292" t="s">
        <v>87</v>
      </c>
    </row>
    <row r="71" spans="2:4" ht="42.75" thickBot="1">
      <c r="B71" s="823"/>
      <c r="C71" s="824"/>
      <c r="D71" s="294" t="s">
        <v>88</v>
      </c>
    </row>
    <row r="72" spans="2:4" ht="13.5" thickTop="1"/>
  </sheetData>
  <mergeCells count="23">
    <mergeCell ref="C8:C13"/>
    <mergeCell ref="B59:B71"/>
    <mergeCell ref="C59:C71"/>
    <mergeCell ref="B45:B48"/>
    <mergeCell ref="C45:C48"/>
    <mergeCell ref="B52:B58"/>
    <mergeCell ref="C52:C58"/>
    <mergeCell ref="B3:C3"/>
    <mergeCell ref="B5:D5"/>
    <mergeCell ref="B4:D4"/>
    <mergeCell ref="B49:B51"/>
    <mergeCell ref="C49:C51"/>
    <mergeCell ref="B37:B44"/>
    <mergeCell ref="C37:C44"/>
    <mergeCell ref="C33:C36"/>
    <mergeCell ref="B33:B36"/>
    <mergeCell ref="B30:B32"/>
    <mergeCell ref="C30:C32"/>
    <mergeCell ref="B22:B29"/>
    <mergeCell ref="C22:C29"/>
    <mergeCell ref="B15:B21"/>
    <mergeCell ref="C15:C21"/>
    <mergeCell ref="B8:B13"/>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U2540"/>
  <sheetViews>
    <sheetView showRuler="0" zoomScaleNormal="100"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10.7109375" defaultRowHeight="12.75"/>
  <cols>
    <col min="1" max="1" width="53.85546875" style="86" customWidth="1"/>
    <col min="2" max="2" width="97.42578125" style="1" customWidth="1"/>
    <col min="3" max="3" width="14" style="31" bestFit="1" customWidth="1"/>
    <col min="4" max="4" width="10" style="30" bestFit="1" customWidth="1"/>
    <col min="5" max="5" width="15.7109375" style="1" bestFit="1" customWidth="1"/>
    <col min="6" max="6" width="14.140625" style="26" bestFit="1" customWidth="1"/>
    <col min="7" max="7" width="20.85546875" style="22" bestFit="1" customWidth="1"/>
    <col min="8" max="8" width="19.140625" style="87" customWidth="1"/>
    <col min="9" max="9" width="16.5703125" style="285" customWidth="1"/>
    <col min="10" max="10" width="15.28515625" style="285" customWidth="1"/>
    <col min="11" max="11" width="20.42578125" style="20" customWidth="1"/>
    <col min="12" max="12" width="14.7109375" style="107" customWidth="1"/>
    <col min="13" max="13" width="39.28515625" style="287" customWidth="1"/>
    <col min="14" max="14" width="10.7109375" style="247" customWidth="1"/>
    <col min="15" max="15" width="6.85546875" style="93" customWidth="1"/>
    <col min="16" max="16" width="9.140625" style="153" customWidth="1"/>
    <col min="17" max="17" width="9.7109375" style="153" customWidth="1"/>
    <col min="18" max="18" width="9.42578125" style="153" customWidth="1"/>
    <col min="19" max="19" width="9" style="153" customWidth="1"/>
    <col min="20" max="20" width="48.140625" style="86" customWidth="1"/>
    <col min="21" max="21" width="110" style="1" customWidth="1"/>
    <col min="22" max="22" width="10.7109375" style="31" customWidth="1"/>
    <col min="23" max="23" width="11" style="25" customWidth="1"/>
    <col min="24" max="24" width="13.42578125" style="22" customWidth="1"/>
    <col min="25" max="25" width="11.85546875" style="26" customWidth="1"/>
    <col min="26" max="26" width="13.85546875" style="22" bestFit="1" customWidth="1"/>
    <col min="27" max="27" width="16.28515625" style="87" customWidth="1"/>
    <col min="28" max="29" width="10.7109375" style="20"/>
    <col min="30" max="30" width="15.28515625" style="20" customWidth="1"/>
    <col min="31" max="31" width="7.5703125" style="31" customWidth="1"/>
    <col min="32" max="32" width="39.28515625" style="287" customWidth="1"/>
    <col min="33" max="33" width="10.7109375" style="93"/>
    <col min="34" max="34" width="6.85546875" style="93" bestFit="1" customWidth="1"/>
    <col min="35" max="35" width="9.140625" style="153" customWidth="1"/>
    <col min="36" max="36" width="9.7109375" style="153" customWidth="1"/>
    <col min="37" max="37" width="9.42578125" style="153" customWidth="1"/>
    <col min="38" max="38" width="9" style="153" customWidth="1"/>
    <col min="39" max="39" width="7.140625" style="94" customWidth="1"/>
    <col min="40" max="16384" width="10.7109375" style="1"/>
  </cols>
  <sheetData>
    <row r="1" spans="1:39" ht="26.1" customHeight="1">
      <c r="A1" s="236"/>
      <c r="B1" s="11"/>
      <c r="C1" s="36"/>
      <c r="D1" s="37"/>
      <c r="E1" s="20"/>
      <c r="P1" s="204" t="s">
        <v>89</v>
      </c>
      <c r="Q1" s="204" t="s">
        <v>90</v>
      </c>
      <c r="R1" s="204" t="s">
        <v>91</v>
      </c>
      <c r="S1" s="379" t="s">
        <v>92</v>
      </c>
      <c r="U1" s="11"/>
      <c r="V1" s="36"/>
      <c r="W1" s="37"/>
      <c r="X1" s="20"/>
      <c r="AB1" s="285"/>
      <c r="AC1" s="285"/>
      <c r="AE1" s="107"/>
      <c r="AI1" s="204" t="s">
        <v>89</v>
      </c>
      <c r="AJ1" s="204" t="s">
        <v>90</v>
      </c>
      <c r="AK1" s="204" t="s">
        <v>91</v>
      </c>
      <c r="AL1" s="379" t="s">
        <v>92</v>
      </c>
    </row>
    <row r="2" spans="1:39" ht="26.1" customHeight="1">
      <c r="A2" s="428" t="s">
        <v>93</v>
      </c>
      <c r="B2" s="827" t="s">
        <v>94</v>
      </c>
      <c r="C2" s="827"/>
      <c r="D2" s="827"/>
      <c r="E2" s="827"/>
      <c r="F2" s="827"/>
      <c r="G2" s="827"/>
      <c r="H2" s="827"/>
      <c r="I2" s="827"/>
      <c r="J2" s="827"/>
      <c r="K2" s="827"/>
      <c r="L2" s="828"/>
      <c r="P2" s="205">
        <v>0.20130874728773931</v>
      </c>
      <c r="Q2" s="205">
        <v>0.10462145617787387</v>
      </c>
      <c r="R2" s="205">
        <v>7.5983449177791346E-2</v>
      </c>
      <c r="S2" s="240">
        <v>6.5568882698771341E-2</v>
      </c>
      <c r="T2" s="428" t="s">
        <v>93</v>
      </c>
      <c r="U2" s="827" t="s">
        <v>94</v>
      </c>
      <c r="V2" s="827"/>
      <c r="W2" s="827"/>
      <c r="X2" s="827"/>
      <c r="Y2" s="827"/>
      <c r="Z2" s="827"/>
      <c r="AA2" s="827"/>
      <c r="AB2" s="827"/>
      <c r="AC2" s="827"/>
      <c r="AD2" s="827"/>
      <c r="AE2" s="828"/>
      <c r="AG2" s="247"/>
      <c r="AI2" s="205">
        <v>0.20130874728773931</v>
      </c>
      <c r="AJ2" s="205">
        <v>0.10462145617787387</v>
      </c>
      <c r="AK2" s="205">
        <v>7.5983449177791346E-2</v>
      </c>
      <c r="AL2" s="240">
        <v>6.5568882698771341E-2</v>
      </c>
    </row>
    <row r="3" spans="1:39" s="106" customFormat="1" ht="42" customHeight="1">
      <c r="A3" s="835" t="s">
        <v>2984</v>
      </c>
      <c r="B3" s="836"/>
      <c r="C3" s="836"/>
      <c r="D3" s="836"/>
      <c r="E3" s="836"/>
      <c r="F3" s="836"/>
      <c r="G3" s="836"/>
      <c r="H3" s="836"/>
      <c r="I3" s="836"/>
      <c r="J3" s="836"/>
      <c r="K3" s="836"/>
      <c r="L3" s="837"/>
      <c r="M3" s="829" t="s">
        <v>95</v>
      </c>
      <c r="N3" s="833" t="s">
        <v>96</v>
      </c>
      <c r="O3" s="833" t="s">
        <v>97</v>
      </c>
      <c r="P3" s="831" t="s">
        <v>98</v>
      </c>
      <c r="Q3" s="831"/>
      <c r="R3" s="831"/>
      <c r="S3" s="832"/>
      <c r="T3" s="835" t="s">
        <v>99</v>
      </c>
      <c r="U3" s="836"/>
      <c r="V3" s="836"/>
      <c r="W3" s="836"/>
      <c r="X3" s="836"/>
      <c r="Y3" s="836"/>
      <c r="Z3" s="836"/>
      <c r="AA3" s="836"/>
      <c r="AB3" s="836"/>
      <c r="AC3" s="836"/>
      <c r="AD3" s="836"/>
      <c r="AE3" s="837"/>
      <c r="AF3" s="829" t="s">
        <v>95</v>
      </c>
      <c r="AG3" s="833" t="s">
        <v>96</v>
      </c>
      <c r="AH3" s="833" t="s">
        <v>97</v>
      </c>
      <c r="AI3" s="831" t="s">
        <v>98</v>
      </c>
      <c r="AJ3" s="831"/>
      <c r="AK3" s="831"/>
      <c r="AL3" s="832"/>
      <c r="AM3" s="627"/>
    </row>
    <row r="4" spans="1:39" s="591" customFormat="1" ht="57.95" customHeight="1">
      <c r="A4" s="598" t="s">
        <v>100</v>
      </c>
      <c r="B4" s="599" t="s">
        <v>101</v>
      </c>
      <c r="C4" s="600" t="s">
        <v>102</v>
      </c>
      <c r="D4" s="601" t="s">
        <v>103</v>
      </c>
      <c r="E4" s="602" t="s">
        <v>104</v>
      </c>
      <c r="F4" s="603" t="s">
        <v>105</v>
      </c>
      <c r="G4" s="604" t="s">
        <v>106</v>
      </c>
      <c r="H4" s="605" t="s">
        <v>107</v>
      </c>
      <c r="I4" s="606" t="s">
        <v>108</v>
      </c>
      <c r="J4" s="606" t="s">
        <v>109</v>
      </c>
      <c r="K4" s="602" t="s">
        <v>110</v>
      </c>
      <c r="L4" s="602" t="s">
        <v>111</v>
      </c>
      <c r="M4" s="830"/>
      <c r="N4" s="834"/>
      <c r="O4" s="834"/>
      <c r="P4" s="608">
        <v>12</v>
      </c>
      <c r="Q4" s="608">
        <v>24</v>
      </c>
      <c r="R4" s="608">
        <v>36</v>
      </c>
      <c r="S4" s="609">
        <v>48</v>
      </c>
      <c r="T4" s="598" t="s">
        <v>100</v>
      </c>
      <c r="U4" s="599" t="s">
        <v>101</v>
      </c>
      <c r="V4" s="600" t="s">
        <v>102</v>
      </c>
      <c r="W4" s="601" t="s">
        <v>103</v>
      </c>
      <c r="X4" s="602" t="s">
        <v>104</v>
      </c>
      <c r="Y4" s="603" t="s">
        <v>105</v>
      </c>
      <c r="Z4" s="604" t="s">
        <v>106</v>
      </c>
      <c r="AA4" s="605" t="s">
        <v>107</v>
      </c>
      <c r="AB4" s="606" t="s">
        <v>108</v>
      </c>
      <c r="AC4" s="606" t="s">
        <v>109</v>
      </c>
      <c r="AD4" s="602" t="s">
        <v>110</v>
      </c>
      <c r="AE4" s="602" t="s">
        <v>111</v>
      </c>
      <c r="AF4" s="830"/>
      <c r="AG4" s="834"/>
      <c r="AH4" s="834"/>
      <c r="AI4" s="608">
        <v>12</v>
      </c>
      <c r="AJ4" s="608">
        <v>24</v>
      </c>
      <c r="AK4" s="608">
        <v>36</v>
      </c>
      <c r="AL4" s="609">
        <v>48</v>
      </c>
      <c r="AM4" s="607"/>
    </row>
    <row r="5" spans="1:39" s="372" customFormat="1" ht="35.1" customHeight="1">
      <c r="A5" s="448" t="s">
        <v>112</v>
      </c>
      <c r="B5" s="549" t="s">
        <v>113</v>
      </c>
      <c r="C5" s="440"/>
      <c r="D5" s="441"/>
      <c r="E5" s="441"/>
      <c r="F5" s="442"/>
      <c r="G5" s="443"/>
      <c r="H5" s="444"/>
      <c r="I5" s="445"/>
      <c r="J5" s="445"/>
      <c r="K5" s="443"/>
      <c r="L5" s="446"/>
      <c r="M5" s="629"/>
      <c r="N5" s="447"/>
      <c r="O5" s="446"/>
      <c r="P5" s="446"/>
      <c r="Q5" s="446"/>
      <c r="R5" s="446"/>
      <c r="S5" s="446"/>
      <c r="T5" s="448" t="s">
        <v>114</v>
      </c>
      <c r="U5" s="549" t="s">
        <v>115</v>
      </c>
      <c r="V5" s="440"/>
      <c r="W5" s="441"/>
      <c r="X5" s="441"/>
      <c r="Y5" s="442"/>
      <c r="Z5" s="443"/>
      <c r="AA5" s="444"/>
      <c r="AB5" s="445"/>
      <c r="AC5" s="445"/>
      <c r="AD5" s="443"/>
      <c r="AE5" s="446"/>
      <c r="AF5" s="629"/>
      <c r="AG5" s="447"/>
      <c r="AH5" s="446"/>
      <c r="AI5" s="446"/>
      <c r="AJ5" s="446"/>
      <c r="AK5" s="446"/>
      <c r="AL5" s="446"/>
      <c r="AM5" s="373"/>
    </row>
    <row r="6" spans="1:39" s="90" customFormat="1">
      <c r="A6" s="223" t="s">
        <v>116</v>
      </c>
      <c r="B6" s="52" t="s">
        <v>117</v>
      </c>
      <c r="C6" s="53">
        <v>1</v>
      </c>
      <c r="D6" s="54" t="s">
        <v>118</v>
      </c>
      <c r="E6" s="62">
        <v>998.87</v>
      </c>
      <c r="F6" s="66">
        <f>rv_mba_mg</f>
        <v>0.17599999999999999</v>
      </c>
      <c r="G6" s="70">
        <f>E6-(E6*F6)</f>
        <v>823.06888000000004</v>
      </c>
      <c r="H6" s="70" t="s">
        <v>119</v>
      </c>
      <c r="I6" s="63">
        <v>57.6</v>
      </c>
      <c r="J6" s="63">
        <f>G6+I6</f>
        <v>880.66888000000006</v>
      </c>
      <c r="K6" s="63" t="s">
        <v>120</v>
      </c>
      <c r="L6" s="63">
        <v>0.3</v>
      </c>
      <c r="M6" s="630" t="s">
        <v>121</v>
      </c>
      <c r="N6" s="383" t="s">
        <v>122</v>
      </c>
      <c r="O6" s="384" t="s">
        <v>123</v>
      </c>
      <c r="P6" s="90">
        <f t="shared" ref="P6:S13" si="0">+IF($J6&lt;&gt;"",P$2*$J6,"")</f>
        <v>177.28634900809644</v>
      </c>
      <c r="Q6" s="90">
        <f t="shared" si="0"/>
        <v>92.136860636137271</v>
      </c>
      <c r="R6" s="90">
        <f t="shared" si="0"/>
        <v>66.916259085942428</v>
      </c>
      <c r="S6" s="90">
        <f t="shared" si="0"/>
        <v>57.744474489178337</v>
      </c>
      <c r="T6" s="223" t="s">
        <v>116</v>
      </c>
      <c r="U6" s="52" t="s">
        <v>117</v>
      </c>
      <c r="V6" s="53">
        <v>1</v>
      </c>
      <c r="W6" s="54" t="s">
        <v>118</v>
      </c>
      <c r="X6" s="62">
        <v>998.87</v>
      </c>
      <c r="Y6" s="66">
        <v>0.17599999999999999</v>
      </c>
      <c r="Z6" s="70">
        <v>823.06888000000004</v>
      </c>
      <c r="AA6" s="70" t="s">
        <v>119</v>
      </c>
      <c r="AB6" s="63">
        <v>57.6</v>
      </c>
      <c r="AC6" s="63">
        <v>880.66888000000006</v>
      </c>
      <c r="AD6" s="63" t="s">
        <v>120</v>
      </c>
      <c r="AE6" s="63">
        <v>0.3</v>
      </c>
      <c r="AF6" s="630" t="s">
        <v>121</v>
      </c>
      <c r="AG6" s="383" t="s">
        <v>122</v>
      </c>
      <c r="AH6" s="384" t="s">
        <v>123</v>
      </c>
      <c r="AI6" s="90">
        <v>177.28634900809644</v>
      </c>
      <c r="AJ6" s="90">
        <v>92.136860636137271</v>
      </c>
      <c r="AK6" s="90">
        <v>66.916259085942428</v>
      </c>
      <c r="AL6" s="90">
        <v>57.744474489178337</v>
      </c>
      <c r="AM6" s="382"/>
    </row>
    <row r="7" spans="1:39">
      <c r="A7" s="221" t="s">
        <v>124</v>
      </c>
      <c r="B7" s="69" t="s">
        <v>125</v>
      </c>
      <c r="C7" s="23">
        <v>1</v>
      </c>
      <c r="D7" s="25" t="s">
        <v>118</v>
      </c>
      <c r="E7" s="31">
        <v>191.67</v>
      </c>
      <c r="F7" s="57">
        <f>rv_mba_mg_cto</f>
        <v>0.17599999999999999</v>
      </c>
      <c r="G7" s="24">
        <f>E7-(E7*F7)</f>
        <v>157.93608</v>
      </c>
      <c r="H7" s="68"/>
      <c r="I7" s="56"/>
      <c r="J7" s="56"/>
      <c r="K7" s="14"/>
      <c r="L7" s="56"/>
      <c r="M7" s="631" t="s">
        <v>121</v>
      </c>
      <c r="N7" s="359" t="s">
        <v>122</v>
      </c>
      <c r="O7" s="363" t="s">
        <v>123</v>
      </c>
      <c r="P7" s="1" t="str">
        <f t="shared" si="0"/>
        <v/>
      </c>
      <c r="Q7" s="1" t="str">
        <f t="shared" si="0"/>
        <v/>
      </c>
      <c r="R7" s="1" t="str">
        <f t="shared" si="0"/>
        <v/>
      </c>
      <c r="S7" s="1" t="str">
        <f t="shared" si="0"/>
        <v/>
      </c>
      <c r="T7" s="221" t="s">
        <v>124</v>
      </c>
      <c r="U7" s="69" t="s">
        <v>125</v>
      </c>
      <c r="V7" s="23">
        <v>1</v>
      </c>
      <c r="W7" s="25" t="s">
        <v>118</v>
      </c>
      <c r="X7" s="31">
        <v>191.67</v>
      </c>
      <c r="Y7" s="57">
        <v>0.17599999999999999</v>
      </c>
      <c r="Z7" s="24">
        <v>157.93608</v>
      </c>
      <c r="AA7" s="68"/>
      <c r="AB7" s="56"/>
      <c r="AC7" s="56"/>
      <c r="AD7" s="14"/>
      <c r="AE7" s="56"/>
      <c r="AF7" s="631" t="s">
        <v>121</v>
      </c>
      <c r="AG7" s="359" t="s">
        <v>122</v>
      </c>
      <c r="AH7" s="363" t="s">
        <v>123</v>
      </c>
      <c r="AI7" s="1" t="s">
        <v>126</v>
      </c>
      <c r="AJ7" s="1" t="s">
        <v>126</v>
      </c>
      <c r="AK7" s="1" t="s">
        <v>126</v>
      </c>
      <c r="AL7" s="1" t="s">
        <v>126</v>
      </c>
      <c r="AM7" s="374"/>
    </row>
    <row r="8" spans="1:39">
      <c r="A8" s="221" t="s">
        <v>127</v>
      </c>
      <c r="B8" s="69" t="s">
        <v>128</v>
      </c>
      <c r="C8" s="23">
        <v>1</v>
      </c>
      <c r="D8" s="25" t="s">
        <v>118</v>
      </c>
      <c r="E8" s="31">
        <v>191.67</v>
      </c>
      <c r="F8" s="57">
        <f>rv_mba_mg_cto</f>
        <v>0.17599999999999999</v>
      </c>
      <c r="G8" s="24">
        <f>E8-(E8*F8)</f>
        <v>157.93608</v>
      </c>
      <c r="H8" s="68"/>
      <c r="I8" s="56"/>
      <c r="J8" s="56"/>
      <c r="K8" s="14"/>
      <c r="L8" s="56"/>
      <c r="M8" s="631" t="s">
        <v>121</v>
      </c>
      <c r="N8" s="359" t="s">
        <v>122</v>
      </c>
      <c r="O8" s="363" t="s">
        <v>123</v>
      </c>
      <c r="P8" s="1" t="str">
        <f t="shared" si="0"/>
        <v/>
      </c>
      <c r="Q8" s="1" t="str">
        <f t="shared" si="0"/>
        <v/>
      </c>
      <c r="R8" s="1" t="str">
        <f t="shared" si="0"/>
        <v/>
      </c>
      <c r="S8" s="1" t="str">
        <f t="shared" si="0"/>
        <v/>
      </c>
      <c r="T8" s="221" t="s">
        <v>127</v>
      </c>
      <c r="U8" s="69" t="s">
        <v>128</v>
      </c>
      <c r="V8" s="23">
        <v>1</v>
      </c>
      <c r="W8" s="25" t="s">
        <v>118</v>
      </c>
      <c r="X8" s="31">
        <v>191.67</v>
      </c>
      <c r="Y8" s="57">
        <v>0.17599999999999999</v>
      </c>
      <c r="Z8" s="24">
        <v>157.93608</v>
      </c>
      <c r="AA8" s="68"/>
      <c r="AB8" s="56"/>
      <c r="AC8" s="56"/>
      <c r="AD8" s="14"/>
      <c r="AE8" s="56"/>
      <c r="AF8" s="631" t="s">
        <v>121</v>
      </c>
      <c r="AG8" s="359" t="s">
        <v>122</v>
      </c>
      <c r="AH8" s="363" t="s">
        <v>123</v>
      </c>
      <c r="AI8" s="1" t="s">
        <v>126</v>
      </c>
      <c r="AJ8" s="1" t="s">
        <v>126</v>
      </c>
      <c r="AK8" s="1" t="s">
        <v>126</v>
      </c>
      <c r="AL8" s="1" t="s">
        <v>126</v>
      </c>
      <c r="AM8" s="374"/>
    </row>
    <row r="9" spans="1:39">
      <c r="A9" s="221" t="s">
        <v>129</v>
      </c>
      <c r="B9" s="69" t="s">
        <v>130</v>
      </c>
      <c r="C9" s="23">
        <v>1</v>
      </c>
      <c r="D9" s="25" t="s">
        <v>118</v>
      </c>
      <c r="E9" s="31">
        <v>383.33</v>
      </c>
      <c r="F9" s="57">
        <f>rv_mba_mg_cto</f>
        <v>0.17599999999999999</v>
      </c>
      <c r="G9" s="24">
        <f>E9-(E9*F9)</f>
        <v>315.86392000000001</v>
      </c>
      <c r="H9" s="68"/>
      <c r="I9" s="56"/>
      <c r="J9" s="56"/>
      <c r="K9" s="14"/>
      <c r="L9" s="56"/>
      <c r="M9" s="631" t="s">
        <v>121</v>
      </c>
      <c r="N9" s="359" t="s">
        <v>122</v>
      </c>
      <c r="O9" s="363" t="s">
        <v>123</v>
      </c>
      <c r="P9" s="1" t="str">
        <f t="shared" si="0"/>
        <v/>
      </c>
      <c r="Q9" s="1" t="str">
        <f t="shared" si="0"/>
        <v/>
      </c>
      <c r="R9" s="1" t="str">
        <f t="shared" si="0"/>
        <v/>
      </c>
      <c r="S9" s="1" t="str">
        <f t="shared" si="0"/>
        <v/>
      </c>
      <c r="T9" s="221" t="s">
        <v>129</v>
      </c>
      <c r="U9" s="69" t="s">
        <v>130</v>
      </c>
      <c r="V9" s="23">
        <v>1</v>
      </c>
      <c r="W9" s="25" t="s">
        <v>118</v>
      </c>
      <c r="X9" s="31">
        <v>383.33</v>
      </c>
      <c r="Y9" s="57">
        <v>0.17599999999999999</v>
      </c>
      <c r="Z9" s="24">
        <v>315.86392000000001</v>
      </c>
      <c r="AA9" s="68"/>
      <c r="AB9" s="56"/>
      <c r="AC9" s="56"/>
      <c r="AD9" s="14"/>
      <c r="AE9" s="56"/>
      <c r="AF9" s="631" t="s">
        <v>121</v>
      </c>
      <c r="AG9" s="359" t="s">
        <v>122</v>
      </c>
      <c r="AH9" s="363" t="s">
        <v>123</v>
      </c>
      <c r="AI9" s="1" t="s">
        <v>126</v>
      </c>
      <c r="AJ9" s="1" t="s">
        <v>126</v>
      </c>
      <c r="AK9" s="1" t="s">
        <v>126</v>
      </c>
      <c r="AL9" s="1" t="s">
        <v>126</v>
      </c>
      <c r="AM9" s="374"/>
    </row>
    <row r="10" spans="1:39">
      <c r="A10" s="221" t="s">
        <v>131</v>
      </c>
      <c r="B10" s="69" t="s">
        <v>132</v>
      </c>
      <c r="C10" s="23">
        <v>1</v>
      </c>
      <c r="D10" s="25" t="s">
        <v>118</v>
      </c>
      <c r="E10" s="31">
        <v>766.67</v>
      </c>
      <c r="F10" s="57">
        <f>rv_mba_mg_cto</f>
        <v>0.17599999999999999</v>
      </c>
      <c r="G10" s="24">
        <f>E10-(E10*F10)</f>
        <v>631.73608000000002</v>
      </c>
      <c r="H10" s="68"/>
      <c r="I10" s="56"/>
      <c r="J10" s="56"/>
      <c r="K10" s="14"/>
      <c r="L10" s="56"/>
      <c r="M10" s="631" t="s">
        <v>121</v>
      </c>
      <c r="N10" s="359" t="s">
        <v>122</v>
      </c>
      <c r="O10" s="363" t="s">
        <v>123</v>
      </c>
      <c r="P10" s="1" t="str">
        <f t="shared" si="0"/>
        <v/>
      </c>
      <c r="Q10" s="1" t="str">
        <f t="shared" si="0"/>
        <v/>
      </c>
      <c r="R10" s="1" t="str">
        <f t="shared" si="0"/>
        <v/>
      </c>
      <c r="S10" s="1" t="str">
        <f t="shared" si="0"/>
        <v/>
      </c>
      <c r="T10" s="221" t="s">
        <v>131</v>
      </c>
      <c r="U10" s="69" t="s">
        <v>132</v>
      </c>
      <c r="V10" s="23">
        <v>1</v>
      </c>
      <c r="W10" s="25" t="s">
        <v>118</v>
      </c>
      <c r="X10" s="31">
        <v>766.67</v>
      </c>
      <c r="Y10" s="57">
        <v>0.17599999999999999</v>
      </c>
      <c r="Z10" s="24">
        <v>631.73608000000002</v>
      </c>
      <c r="AA10" s="68"/>
      <c r="AB10" s="56"/>
      <c r="AC10" s="56"/>
      <c r="AD10" s="14"/>
      <c r="AE10" s="56"/>
      <c r="AF10" s="631" t="s">
        <v>121</v>
      </c>
      <c r="AG10" s="359" t="s">
        <v>122</v>
      </c>
      <c r="AH10" s="363" t="s">
        <v>123</v>
      </c>
      <c r="AI10" s="1" t="s">
        <v>126</v>
      </c>
      <c r="AJ10" s="1" t="s">
        <v>126</v>
      </c>
      <c r="AK10" s="1" t="s">
        <v>126</v>
      </c>
      <c r="AL10" s="1" t="s">
        <v>126</v>
      </c>
      <c r="AM10" s="374"/>
    </row>
    <row r="11" spans="1:39" s="86" customFormat="1">
      <c r="A11" s="221" t="s">
        <v>133</v>
      </c>
      <c r="B11" s="69" t="s">
        <v>134</v>
      </c>
      <c r="C11" s="23">
        <v>1</v>
      </c>
      <c r="D11" s="25" t="s">
        <v>118</v>
      </c>
      <c r="E11" s="23"/>
      <c r="F11" s="19"/>
      <c r="G11" s="24">
        <v>0</v>
      </c>
      <c r="H11" s="68"/>
      <c r="I11" s="56"/>
      <c r="J11" s="56"/>
      <c r="K11" s="14"/>
      <c r="L11" s="56"/>
      <c r="M11" s="631" t="s">
        <v>121</v>
      </c>
      <c r="N11" s="359" t="s">
        <v>122</v>
      </c>
      <c r="O11" s="363" t="s">
        <v>123</v>
      </c>
      <c r="P11" s="1" t="str">
        <f t="shared" si="0"/>
        <v/>
      </c>
      <c r="Q11" s="1" t="str">
        <f t="shared" si="0"/>
        <v/>
      </c>
      <c r="R11" s="1" t="str">
        <f t="shared" si="0"/>
        <v/>
      </c>
      <c r="S11" s="1" t="str">
        <f t="shared" si="0"/>
        <v/>
      </c>
      <c r="T11" s="221" t="s">
        <v>133</v>
      </c>
      <c r="U11" s="69" t="s">
        <v>134</v>
      </c>
      <c r="V11" s="23">
        <v>1</v>
      </c>
      <c r="W11" s="25" t="s">
        <v>118</v>
      </c>
      <c r="X11" s="23"/>
      <c r="Y11" s="19"/>
      <c r="Z11" s="24">
        <v>0</v>
      </c>
      <c r="AA11" s="68"/>
      <c r="AB11" s="56"/>
      <c r="AC11" s="56"/>
      <c r="AD11" s="14"/>
      <c r="AE11" s="56"/>
      <c r="AF11" s="631" t="s">
        <v>121</v>
      </c>
      <c r="AG11" s="359" t="s">
        <v>122</v>
      </c>
      <c r="AH11" s="363" t="s">
        <v>123</v>
      </c>
      <c r="AI11" s="1" t="s">
        <v>126</v>
      </c>
      <c r="AJ11" s="1" t="s">
        <v>126</v>
      </c>
      <c r="AK11" s="1" t="s">
        <v>126</v>
      </c>
      <c r="AL11" s="1" t="s">
        <v>126</v>
      </c>
      <c r="AM11" s="374"/>
    </row>
    <row r="12" spans="1:39" s="86" customFormat="1">
      <c r="A12" s="221" t="s">
        <v>135</v>
      </c>
      <c r="B12" s="69" t="s">
        <v>136</v>
      </c>
      <c r="C12" s="23">
        <v>1</v>
      </c>
      <c r="D12" s="24" t="s">
        <v>118</v>
      </c>
      <c r="E12" s="23"/>
      <c r="F12" s="19"/>
      <c r="G12" s="24">
        <v>0</v>
      </c>
      <c r="H12" s="68"/>
      <c r="I12" s="56"/>
      <c r="J12" s="56"/>
      <c r="K12" s="14"/>
      <c r="L12" s="56"/>
      <c r="M12" s="631" t="s">
        <v>121</v>
      </c>
      <c r="N12" s="359" t="s">
        <v>122</v>
      </c>
      <c r="O12" s="363" t="s">
        <v>123</v>
      </c>
      <c r="P12" s="1" t="str">
        <f t="shared" si="0"/>
        <v/>
      </c>
      <c r="Q12" s="1" t="str">
        <f t="shared" si="0"/>
        <v/>
      </c>
      <c r="R12" s="1" t="str">
        <f t="shared" si="0"/>
        <v/>
      </c>
      <c r="S12" s="1" t="str">
        <f t="shared" si="0"/>
        <v/>
      </c>
      <c r="T12" s="221" t="s">
        <v>135</v>
      </c>
      <c r="U12" s="69" t="s">
        <v>136</v>
      </c>
      <c r="V12" s="23">
        <v>1</v>
      </c>
      <c r="W12" s="24" t="s">
        <v>118</v>
      </c>
      <c r="X12" s="23"/>
      <c r="Y12" s="19"/>
      <c r="Z12" s="24">
        <v>0</v>
      </c>
      <c r="AA12" s="68"/>
      <c r="AB12" s="56"/>
      <c r="AC12" s="56"/>
      <c r="AD12" s="14"/>
      <c r="AE12" s="56"/>
      <c r="AF12" s="631" t="s">
        <v>121</v>
      </c>
      <c r="AG12" s="359" t="s">
        <v>122</v>
      </c>
      <c r="AH12" s="363" t="s">
        <v>123</v>
      </c>
      <c r="AI12" s="1" t="s">
        <v>126</v>
      </c>
      <c r="AJ12" s="1" t="s">
        <v>126</v>
      </c>
      <c r="AK12" s="1" t="s">
        <v>126</v>
      </c>
      <c r="AL12" s="1" t="s">
        <v>126</v>
      </c>
      <c r="AM12" s="375"/>
    </row>
    <row r="13" spans="1:39" s="86" customFormat="1">
      <c r="A13" s="221" t="s">
        <v>137</v>
      </c>
      <c r="B13" s="69" t="s">
        <v>138</v>
      </c>
      <c r="C13" s="23">
        <v>1</v>
      </c>
      <c r="D13" s="24" t="s">
        <v>118</v>
      </c>
      <c r="E13" s="23"/>
      <c r="F13" s="19"/>
      <c r="G13" s="24">
        <v>0</v>
      </c>
      <c r="H13" s="68"/>
      <c r="I13" s="56"/>
      <c r="J13" s="56"/>
      <c r="K13" s="14"/>
      <c r="L13" s="56"/>
      <c r="M13" s="631" t="s">
        <v>121</v>
      </c>
      <c r="N13" s="359" t="s">
        <v>122</v>
      </c>
      <c r="O13" s="363" t="s">
        <v>123</v>
      </c>
      <c r="P13" s="1" t="str">
        <f t="shared" si="0"/>
        <v/>
      </c>
      <c r="Q13" s="1" t="str">
        <f t="shared" si="0"/>
        <v/>
      </c>
      <c r="R13" s="1" t="str">
        <f t="shared" si="0"/>
        <v/>
      </c>
      <c r="S13" s="1" t="str">
        <f t="shared" si="0"/>
        <v/>
      </c>
      <c r="T13" s="221" t="s">
        <v>137</v>
      </c>
      <c r="U13" s="69" t="s">
        <v>138</v>
      </c>
      <c r="V13" s="23">
        <v>1</v>
      </c>
      <c r="W13" s="24" t="s">
        <v>118</v>
      </c>
      <c r="X13" s="23"/>
      <c r="Y13" s="19"/>
      <c r="Z13" s="24">
        <v>0</v>
      </c>
      <c r="AA13" s="68"/>
      <c r="AB13" s="56"/>
      <c r="AC13" s="56"/>
      <c r="AD13" s="14"/>
      <c r="AE13" s="56"/>
      <c r="AF13" s="631" t="s">
        <v>121</v>
      </c>
      <c r="AG13" s="359" t="s">
        <v>122</v>
      </c>
      <c r="AH13" s="363" t="s">
        <v>123</v>
      </c>
      <c r="AI13" s="1" t="s">
        <v>126</v>
      </c>
      <c r="AJ13" s="1" t="s">
        <v>126</v>
      </c>
      <c r="AK13" s="1" t="s">
        <v>126</v>
      </c>
      <c r="AL13" s="1" t="s">
        <v>126</v>
      </c>
      <c r="AM13" s="375"/>
    </row>
    <row r="14" spans="1:39" s="397" customFormat="1">
      <c r="A14" s="231" t="s">
        <v>119</v>
      </c>
      <c r="B14" s="58" t="s">
        <v>139</v>
      </c>
      <c r="C14" s="59">
        <v>1</v>
      </c>
      <c r="D14" s="71" t="s">
        <v>140</v>
      </c>
      <c r="E14" s="277">
        <v>69.900000000000006</v>
      </c>
      <c r="F14" s="278">
        <f>rv_mba_mg</f>
        <v>0.17599999999999999</v>
      </c>
      <c r="G14" s="279">
        <f>E14-(E14*F14)</f>
        <v>57.597600000000007</v>
      </c>
      <c r="H14" s="68"/>
      <c r="I14" s="76"/>
      <c r="J14" s="76"/>
      <c r="K14" s="56"/>
      <c r="L14" s="56"/>
      <c r="M14" s="630" t="s">
        <v>141</v>
      </c>
      <c r="N14" s="380" t="s">
        <v>142</v>
      </c>
      <c r="O14" s="381" t="s">
        <v>143</v>
      </c>
      <c r="P14" s="90" t="str">
        <f t="shared" ref="P14:S29" si="1">+IF($J14&lt;&gt;"",P$2*$J14,"")</f>
        <v/>
      </c>
      <c r="Q14" s="90" t="str">
        <f t="shared" si="1"/>
        <v/>
      </c>
      <c r="R14" s="90" t="str">
        <f t="shared" si="1"/>
        <v/>
      </c>
      <c r="S14" s="90" t="str">
        <f t="shared" si="1"/>
        <v/>
      </c>
      <c r="T14" s="231" t="s">
        <v>119</v>
      </c>
      <c r="U14" s="58" t="s">
        <v>139</v>
      </c>
      <c r="V14" s="59">
        <v>1</v>
      </c>
      <c r="W14" s="71" t="s">
        <v>140</v>
      </c>
      <c r="X14" s="277">
        <v>69.900000000000006</v>
      </c>
      <c r="Y14" s="278">
        <v>0.17599999999999999</v>
      </c>
      <c r="Z14" s="279">
        <v>57.597600000000007</v>
      </c>
      <c r="AA14" s="68"/>
      <c r="AB14" s="76"/>
      <c r="AC14" s="76"/>
      <c r="AD14" s="56"/>
      <c r="AE14" s="56"/>
      <c r="AF14" s="630" t="s">
        <v>141</v>
      </c>
      <c r="AG14" s="380" t="s">
        <v>142</v>
      </c>
      <c r="AH14" s="381" t="s">
        <v>143</v>
      </c>
      <c r="AI14" s="90" t="s">
        <v>126</v>
      </c>
      <c r="AJ14" s="90" t="s">
        <v>126</v>
      </c>
      <c r="AK14" s="90" t="s">
        <v>126</v>
      </c>
      <c r="AL14" s="90" t="s">
        <v>126</v>
      </c>
      <c r="AM14" s="382"/>
    </row>
    <row r="15" spans="1:39">
      <c r="A15" s="221" t="s">
        <v>144</v>
      </c>
      <c r="B15" s="69" t="s">
        <v>145</v>
      </c>
      <c r="C15" s="23">
        <v>1</v>
      </c>
      <c r="D15" s="30" t="s">
        <v>140</v>
      </c>
      <c r="E15" s="31"/>
      <c r="F15" s="19"/>
      <c r="G15" s="85">
        <v>18</v>
      </c>
      <c r="H15" s="85"/>
      <c r="I15" s="56"/>
      <c r="J15" s="56"/>
      <c r="K15" s="14"/>
      <c r="L15" s="56"/>
      <c r="M15" s="631" t="s">
        <v>141</v>
      </c>
      <c r="N15" s="359" t="s">
        <v>142</v>
      </c>
      <c r="O15" s="363" t="s">
        <v>143</v>
      </c>
      <c r="P15" s="1" t="str">
        <f t="shared" si="1"/>
        <v/>
      </c>
      <c r="Q15" s="1" t="str">
        <f t="shared" si="1"/>
        <v/>
      </c>
      <c r="R15" s="1" t="str">
        <f t="shared" si="1"/>
        <v/>
      </c>
      <c r="S15" s="1" t="str">
        <f t="shared" si="1"/>
        <v/>
      </c>
      <c r="T15" s="221" t="s">
        <v>144</v>
      </c>
      <c r="U15" s="69" t="s">
        <v>145</v>
      </c>
      <c r="V15" s="23">
        <v>1</v>
      </c>
      <c r="W15" s="30" t="s">
        <v>140</v>
      </c>
      <c r="X15" s="31"/>
      <c r="Y15" s="19"/>
      <c r="Z15" s="85">
        <v>18</v>
      </c>
      <c r="AA15" s="85"/>
      <c r="AB15" s="56"/>
      <c r="AC15" s="56"/>
      <c r="AD15" s="14"/>
      <c r="AE15" s="56"/>
      <c r="AF15" s="631" t="s">
        <v>141</v>
      </c>
      <c r="AG15" s="359" t="s">
        <v>142</v>
      </c>
      <c r="AH15" s="363" t="s">
        <v>143</v>
      </c>
      <c r="AI15" s="1" t="s">
        <v>126</v>
      </c>
      <c r="AJ15" s="1" t="s">
        <v>126</v>
      </c>
      <c r="AK15" s="1" t="s">
        <v>126</v>
      </c>
      <c r="AL15" s="1" t="s">
        <v>126</v>
      </c>
      <c r="AM15" s="374"/>
    </row>
    <row r="16" spans="1:39">
      <c r="A16" s="221" t="s">
        <v>146</v>
      </c>
      <c r="B16" s="69" t="s">
        <v>147</v>
      </c>
      <c r="C16" s="23">
        <v>1</v>
      </c>
      <c r="D16" s="30" t="s">
        <v>140</v>
      </c>
      <c r="E16" s="31"/>
      <c r="F16" s="19"/>
      <c r="G16" s="85">
        <v>26</v>
      </c>
      <c r="H16" s="85"/>
      <c r="I16" s="56"/>
      <c r="J16" s="56"/>
      <c r="K16" s="14"/>
      <c r="L16" s="56"/>
      <c r="M16" s="631" t="s">
        <v>141</v>
      </c>
      <c r="N16" s="359" t="s">
        <v>142</v>
      </c>
      <c r="O16" s="363" t="s">
        <v>143</v>
      </c>
      <c r="P16" s="1" t="str">
        <f t="shared" si="1"/>
        <v/>
      </c>
      <c r="Q16" s="1" t="str">
        <f t="shared" si="1"/>
        <v/>
      </c>
      <c r="R16" s="1" t="str">
        <f t="shared" si="1"/>
        <v/>
      </c>
      <c r="S16" s="1" t="str">
        <f t="shared" si="1"/>
        <v/>
      </c>
      <c r="T16" s="221" t="s">
        <v>146</v>
      </c>
      <c r="U16" s="69" t="s">
        <v>147</v>
      </c>
      <c r="V16" s="23">
        <v>1</v>
      </c>
      <c r="W16" s="30" t="s">
        <v>140</v>
      </c>
      <c r="X16" s="31"/>
      <c r="Y16" s="19"/>
      <c r="Z16" s="85">
        <v>26</v>
      </c>
      <c r="AA16" s="85"/>
      <c r="AB16" s="56"/>
      <c r="AC16" s="56"/>
      <c r="AD16" s="14"/>
      <c r="AE16" s="56"/>
      <c r="AF16" s="631" t="s">
        <v>141</v>
      </c>
      <c r="AG16" s="359" t="s">
        <v>142</v>
      </c>
      <c r="AH16" s="363" t="s">
        <v>143</v>
      </c>
      <c r="AI16" s="1" t="s">
        <v>126</v>
      </c>
      <c r="AJ16" s="1" t="s">
        <v>126</v>
      </c>
      <c r="AK16" s="1" t="s">
        <v>126</v>
      </c>
      <c r="AL16" s="1" t="s">
        <v>126</v>
      </c>
      <c r="AM16" s="374"/>
    </row>
    <row r="17" spans="1:39">
      <c r="A17" s="221" t="s">
        <v>148</v>
      </c>
      <c r="B17" s="69" t="s">
        <v>149</v>
      </c>
      <c r="C17" s="23">
        <v>1</v>
      </c>
      <c r="D17" s="30" t="s">
        <v>140</v>
      </c>
      <c r="E17" s="31"/>
      <c r="F17" s="19"/>
      <c r="G17" s="85">
        <v>37</v>
      </c>
      <c r="H17" s="85"/>
      <c r="I17" s="56"/>
      <c r="J17" s="56"/>
      <c r="K17" s="14"/>
      <c r="L17" s="56"/>
      <c r="M17" s="631" t="s">
        <v>141</v>
      </c>
      <c r="N17" s="359" t="s">
        <v>142</v>
      </c>
      <c r="O17" s="363" t="s">
        <v>143</v>
      </c>
      <c r="P17" s="1" t="str">
        <f t="shared" si="1"/>
        <v/>
      </c>
      <c r="Q17" s="1" t="str">
        <f t="shared" si="1"/>
        <v/>
      </c>
      <c r="R17" s="1" t="str">
        <f t="shared" si="1"/>
        <v/>
      </c>
      <c r="S17" s="1" t="str">
        <f t="shared" si="1"/>
        <v/>
      </c>
      <c r="T17" s="221" t="s">
        <v>148</v>
      </c>
      <c r="U17" s="69" t="s">
        <v>149</v>
      </c>
      <c r="V17" s="23">
        <v>1</v>
      </c>
      <c r="W17" s="30" t="s">
        <v>140</v>
      </c>
      <c r="X17" s="31"/>
      <c r="Y17" s="19"/>
      <c r="Z17" s="85">
        <v>37</v>
      </c>
      <c r="AA17" s="85"/>
      <c r="AB17" s="56"/>
      <c r="AC17" s="56"/>
      <c r="AD17" s="14"/>
      <c r="AE17" s="56"/>
      <c r="AF17" s="631" t="s">
        <v>141</v>
      </c>
      <c r="AG17" s="359" t="s">
        <v>142</v>
      </c>
      <c r="AH17" s="363" t="s">
        <v>143</v>
      </c>
      <c r="AI17" s="1" t="s">
        <v>126</v>
      </c>
      <c r="AJ17" s="1" t="s">
        <v>126</v>
      </c>
      <c r="AK17" s="1" t="s">
        <v>126</v>
      </c>
      <c r="AL17" s="1" t="s">
        <v>126</v>
      </c>
      <c r="AM17" s="374"/>
    </row>
    <row r="18" spans="1:39">
      <c r="A18" s="221" t="s">
        <v>150</v>
      </c>
      <c r="B18" s="69" t="s">
        <v>151</v>
      </c>
      <c r="C18" s="23">
        <v>1</v>
      </c>
      <c r="D18" s="30" t="s">
        <v>140</v>
      </c>
      <c r="E18" s="31"/>
      <c r="F18" s="19"/>
      <c r="G18" s="85">
        <v>21</v>
      </c>
      <c r="H18" s="85"/>
      <c r="I18" s="56"/>
      <c r="J18" s="56"/>
      <c r="K18" s="14"/>
      <c r="L18" s="56"/>
      <c r="M18" s="631" t="s">
        <v>141</v>
      </c>
      <c r="N18" s="359" t="s">
        <v>142</v>
      </c>
      <c r="O18" s="363" t="s">
        <v>143</v>
      </c>
      <c r="P18" s="1" t="str">
        <f t="shared" si="1"/>
        <v/>
      </c>
      <c r="Q18" s="1" t="str">
        <f t="shared" si="1"/>
        <v/>
      </c>
      <c r="R18" s="1" t="str">
        <f t="shared" si="1"/>
        <v/>
      </c>
      <c r="S18" s="1" t="str">
        <f t="shared" si="1"/>
        <v/>
      </c>
      <c r="T18" s="221" t="s">
        <v>150</v>
      </c>
      <c r="U18" s="69" t="s">
        <v>151</v>
      </c>
      <c r="V18" s="23">
        <v>1</v>
      </c>
      <c r="W18" s="30" t="s">
        <v>140</v>
      </c>
      <c r="X18" s="31"/>
      <c r="Y18" s="19"/>
      <c r="Z18" s="85">
        <v>21</v>
      </c>
      <c r="AA18" s="85"/>
      <c r="AB18" s="56"/>
      <c r="AC18" s="56"/>
      <c r="AD18" s="14"/>
      <c r="AE18" s="56"/>
      <c r="AF18" s="631" t="s">
        <v>141</v>
      </c>
      <c r="AG18" s="359" t="s">
        <v>142</v>
      </c>
      <c r="AH18" s="363" t="s">
        <v>143</v>
      </c>
      <c r="AI18" s="1" t="s">
        <v>126</v>
      </c>
      <c r="AJ18" s="1" t="s">
        <v>126</v>
      </c>
      <c r="AK18" s="1" t="s">
        <v>126</v>
      </c>
      <c r="AL18" s="1" t="s">
        <v>126</v>
      </c>
      <c r="AM18" s="374"/>
    </row>
    <row r="19" spans="1:39">
      <c r="A19" s="221" t="s">
        <v>152</v>
      </c>
      <c r="B19" s="69" t="s">
        <v>153</v>
      </c>
      <c r="C19" s="23">
        <v>1</v>
      </c>
      <c r="D19" s="30" t="s">
        <v>140</v>
      </c>
      <c r="E19" s="31"/>
      <c r="F19" s="19"/>
      <c r="G19" s="85">
        <v>46</v>
      </c>
      <c r="H19" s="85"/>
      <c r="I19" s="56"/>
      <c r="J19" s="56"/>
      <c r="K19" s="14"/>
      <c r="L19" s="56"/>
      <c r="M19" s="631" t="s">
        <v>141</v>
      </c>
      <c r="N19" s="359" t="s">
        <v>142</v>
      </c>
      <c r="O19" s="363" t="s">
        <v>143</v>
      </c>
      <c r="P19" s="1" t="str">
        <f t="shared" si="1"/>
        <v/>
      </c>
      <c r="Q19" s="1" t="str">
        <f t="shared" si="1"/>
        <v/>
      </c>
      <c r="R19" s="1" t="str">
        <f t="shared" si="1"/>
        <v/>
      </c>
      <c r="S19" s="1" t="str">
        <f t="shared" si="1"/>
        <v/>
      </c>
      <c r="T19" s="221" t="s">
        <v>152</v>
      </c>
      <c r="U19" s="69" t="s">
        <v>153</v>
      </c>
      <c r="V19" s="23">
        <v>1</v>
      </c>
      <c r="W19" s="30" t="s">
        <v>140</v>
      </c>
      <c r="X19" s="31"/>
      <c r="Y19" s="19"/>
      <c r="Z19" s="85">
        <v>46</v>
      </c>
      <c r="AA19" s="85"/>
      <c r="AB19" s="56"/>
      <c r="AC19" s="56"/>
      <c r="AD19" s="14"/>
      <c r="AE19" s="56"/>
      <c r="AF19" s="631" t="s">
        <v>141</v>
      </c>
      <c r="AG19" s="359" t="s">
        <v>142</v>
      </c>
      <c r="AH19" s="363" t="s">
        <v>143</v>
      </c>
      <c r="AI19" s="1" t="s">
        <v>126</v>
      </c>
      <c r="AJ19" s="1" t="s">
        <v>126</v>
      </c>
      <c r="AK19" s="1" t="s">
        <v>126</v>
      </c>
      <c r="AL19" s="1" t="s">
        <v>126</v>
      </c>
      <c r="AM19" s="374"/>
    </row>
    <row r="20" spans="1:39">
      <c r="A20" s="221" t="s">
        <v>154</v>
      </c>
      <c r="B20" s="69" t="s">
        <v>155</v>
      </c>
      <c r="C20" s="23">
        <v>1</v>
      </c>
      <c r="D20" s="30" t="s">
        <v>140</v>
      </c>
      <c r="E20" s="31"/>
      <c r="F20" s="19"/>
      <c r="G20" s="85">
        <v>55</v>
      </c>
      <c r="H20" s="85"/>
      <c r="I20" s="56"/>
      <c r="J20" s="56"/>
      <c r="K20" s="14"/>
      <c r="L20" s="56"/>
      <c r="M20" s="631" t="s">
        <v>141</v>
      </c>
      <c r="N20" s="359" t="s">
        <v>142</v>
      </c>
      <c r="O20" s="363" t="s">
        <v>143</v>
      </c>
      <c r="P20" s="1" t="str">
        <f t="shared" si="1"/>
        <v/>
      </c>
      <c r="Q20" s="1" t="str">
        <f t="shared" si="1"/>
        <v/>
      </c>
      <c r="R20" s="1" t="str">
        <f t="shared" si="1"/>
        <v/>
      </c>
      <c r="S20" s="1" t="str">
        <f t="shared" si="1"/>
        <v/>
      </c>
      <c r="T20" s="221" t="s">
        <v>154</v>
      </c>
      <c r="U20" s="69" t="s">
        <v>155</v>
      </c>
      <c r="V20" s="23">
        <v>1</v>
      </c>
      <c r="W20" s="30" t="s">
        <v>140</v>
      </c>
      <c r="X20" s="31"/>
      <c r="Y20" s="19"/>
      <c r="Z20" s="85">
        <v>55</v>
      </c>
      <c r="AA20" s="85"/>
      <c r="AB20" s="56"/>
      <c r="AC20" s="56"/>
      <c r="AD20" s="14"/>
      <c r="AE20" s="56"/>
      <c r="AF20" s="631" t="s">
        <v>141</v>
      </c>
      <c r="AG20" s="359" t="s">
        <v>142</v>
      </c>
      <c r="AH20" s="363" t="s">
        <v>143</v>
      </c>
      <c r="AI20" s="1" t="s">
        <v>126</v>
      </c>
      <c r="AJ20" s="1" t="s">
        <v>126</v>
      </c>
      <c r="AK20" s="1" t="s">
        <v>126</v>
      </c>
      <c r="AL20" s="1" t="s">
        <v>126</v>
      </c>
      <c r="AM20" s="374"/>
    </row>
    <row r="21" spans="1:39">
      <c r="A21" s="221" t="s">
        <v>156</v>
      </c>
      <c r="B21" s="69" t="s">
        <v>157</v>
      </c>
      <c r="C21" s="23">
        <v>1</v>
      </c>
      <c r="D21" s="30" t="s">
        <v>140</v>
      </c>
      <c r="E21" s="31"/>
      <c r="F21" s="19"/>
      <c r="G21" s="85">
        <v>62</v>
      </c>
      <c r="H21" s="85"/>
      <c r="I21" s="56"/>
      <c r="J21" s="56"/>
      <c r="K21" s="14"/>
      <c r="L21" s="56"/>
      <c r="M21" s="631" t="s">
        <v>141</v>
      </c>
      <c r="N21" s="359" t="s">
        <v>142</v>
      </c>
      <c r="O21" s="363" t="s">
        <v>143</v>
      </c>
      <c r="P21" s="1" t="str">
        <f t="shared" si="1"/>
        <v/>
      </c>
      <c r="Q21" s="1" t="str">
        <f t="shared" si="1"/>
        <v/>
      </c>
      <c r="R21" s="1" t="str">
        <f t="shared" si="1"/>
        <v/>
      </c>
      <c r="S21" s="1" t="str">
        <f t="shared" si="1"/>
        <v/>
      </c>
      <c r="T21" s="221" t="s">
        <v>156</v>
      </c>
      <c r="U21" s="69" t="s">
        <v>157</v>
      </c>
      <c r="V21" s="23">
        <v>1</v>
      </c>
      <c r="W21" s="30" t="s">
        <v>140</v>
      </c>
      <c r="X21" s="31"/>
      <c r="Y21" s="19"/>
      <c r="Z21" s="85">
        <v>62</v>
      </c>
      <c r="AA21" s="85"/>
      <c r="AB21" s="56"/>
      <c r="AC21" s="56"/>
      <c r="AD21" s="14"/>
      <c r="AE21" s="56"/>
      <c r="AF21" s="631" t="s">
        <v>141</v>
      </c>
      <c r="AG21" s="359" t="s">
        <v>142</v>
      </c>
      <c r="AH21" s="363" t="s">
        <v>143</v>
      </c>
      <c r="AI21" s="1" t="s">
        <v>126</v>
      </c>
      <c r="AJ21" s="1" t="s">
        <v>126</v>
      </c>
      <c r="AK21" s="1" t="s">
        <v>126</v>
      </c>
      <c r="AL21" s="1" t="s">
        <v>126</v>
      </c>
      <c r="AM21" s="374"/>
    </row>
    <row r="22" spans="1:39">
      <c r="A22" s="221" t="s">
        <v>158</v>
      </c>
      <c r="B22" s="69" t="s">
        <v>159</v>
      </c>
      <c r="C22" s="23">
        <v>1</v>
      </c>
      <c r="D22" s="30" t="s">
        <v>140</v>
      </c>
      <c r="E22" s="31"/>
      <c r="F22" s="19"/>
      <c r="G22" s="85">
        <v>16</v>
      </c>
      <c r="H22" s="85"/>
      <c r="I22" s="56"/>
      <c r="J22" s="56"/>
      <c r="K22" s="14"/>
      <c r="L22" s="56"/>
      <c r="M22" s="631" t="s">
        <v>141</v>
      </c>
      <c r="N22" s="359" t="s">
        <v>142</v>
      </c>
      <c r="O22" s="363" t="s">
        <v>143</v>
      </c>
      <c r="P22" s="1" t="str">
        <f t="shared" si="1"/>
        <v/>
      </c>
      <c r="Q22" s="1" t="str">
        <f t="shared" si="1"/>
        <v/>
      </c>
      <c r="R22" s="1" t="str">
        <f t="shared" si="1"/>
        <v/>
      </c>
      <c r="S22" s="1" t="str">
        <f t="shared" si="1"/>
        <v/>
      </c>
      <c r="T22" s="221" t="s">
        <v>158</v>
      </c>
      <c r="U22" s="69" t="s">
        <v>159</v>
      </c>
      <c r="V22" s="23">
        <v>1</v>
      </c>
      <c r="W22" s="30" t="s">
        <v>140</v>
      </c>
      <c r="X22" s="31"/>
      <c r="Y22" s="19"/>
      <c r="Z22" s="85">
        <v>16</v>
      </c>
      <c r="AA22" s="85"/>
      <c r="AB22" s="56"/>
      <c r="AC22" s="56"/>
      <c r="AD22" s="14"/>
      <c r="AE22" s="56"/>
      <c r="AF22" s="631" t="s">
        <v>141</v>
      </c>
      <c r="AG22" s="359" t="s">
        <v>142</v>
      </c>
      <c r="AH22" s="363" t="s">
        <v>143</v>
      </c>
      <c r="AI22" s="1" t="s">
        <v>126</v>
      </c>
      <c r="AJ22" s="1" t="s">
        <v>126</v>
      </c>
      <c r="AK22" s="1" t="s">
        <v>126</v>
      </c>
      <c r="AL22" s="1" t="s">
        <v>126</v>
      </c>
      <c r="AM22" s="374"/>
    </row>
    <row r="23" spans="1:39">
      <c r="A23" s="221" t="s">
        <v>160</v>
      </c>
      <c r="B23" s="69" t="s">
        <v>161</v>
      </c>
      <c r="C23" s="23">
        <v>1</v>
      </c>
      <c r="D23" s="30" t="s">
        <v>140</v>
      </c>
      <c r="E23" s="31"/>
      <c r="F23" s="19"/>
      <c r="G23" s="85">
        <v>39</v>
      </c>
      <c r="H23" s="85"/>
      <c r="I23" s="56"/>
      <c r="J23" s="56"/>
      <c r="K23" s="14"/>
      <c r="L23" s="56"/>
      <c r="M23" s="631" t="s">
        <v>141</v>
      </c>
      <c r="N23" s="359" t="s">
        <v>142</v>
      </c>
      <c r="O23" s="363" t="s">
        <v>143</v>
      </c>
      <c r="P23" s="1" t="str">
        <f t="shared" si="1"/>
        <v/>
      </c>
      <c r="Q23" s="1" t="str">
        <f t="shared" si="1"/>
        <v/>
      </c>
      <c r="R23" s="1" t="str">
        <f t="shared" si="1"/>
        <v/>
      </c>
      <c r="S23" s="1" t="str">
        <f t="shared" si="1"/>
        <v/>
      </c>
      <c r="T23" s="221" t="s">
        <v>160</v>
      </c>
      <c r="U23" s="69" t="s">
        <v>161</v>
      </c>
      <c r="V23" s="23">
        <v>1</v>
      </c>
      <c r="W23" s="30" t="s">
        <v>140</v>
      </c>
      <c r="X23" s="31"/>
      <c r="Y23" s="19"/>
      <c r="Z23" s="85">
        <v>39</v>
      </c>
      <c r="AA23" s="85"/>
      <c r="AB23" s="56"/>
      <c r="AC23" s="56"/>
      <c r="AD23" s="14"/>
      <c r="AE23" s="56"/>
      <c r="AF23" s="631" t="s">
        <v>141</v>
      </c>
      <c r="AG23" s="359" t="s">
        <v>142</v>
      </c>
      <c r="AH23" s="363" t="s">
        <v>143</v>
      </c>
      <c r="AI23" s="1" t="s">
        <v>126</v>
      </c>
      <c r="AJ23" s="1" t="s">
        <v>126</v>
      </c>
      <c r="AK23" s="1" t="s">
        <v>126</v>
      </c>
      <c r="AL23" s="1" t="s">
        <v>126</v>
      </c>
      <c r="AM23" s="374"/>
    </row>
    <row r="24" spans="1:39">
      <c r="A24" s="221" t="s">
        <v>162</v>
      </c>
      <c r="B24" s="69" t="s">
        <v>163</v>
      </c>
      <c r="C24" s="23">
        <v>1</v>
      </c>
      <c r="D24" s="30" t="s">
        <v>140</v>
      </c>
      <c r="E24" s="31"/>
      <c r="F24" s="19"/>
      <c r="G24" s="85">
        <v>51</v>
      </c>
      <c r="H24" s="85"/>
      <c r="I24" s="56"/>
      <c r="J24" s="56"/>
      <c r="K24" s="14"/>
      <c r="L24" s="56"/>
      <c r="M24" s="631" t="s">
        <v>141</v>
      </c>
      <c r="N24" s="359" t="s">
        <v>142</v>
      </c>
      <c r="O24" s="363" t="s">
        <v>143</v>
      </c>
      <c r="P24" s="1" t="str">
        <f t="shared" si="1"/>
        <v/>
      </c>
      <c r="Q24" s="1" t="str">
        <f t="shared" si="1"/>
        <v/>
      </c>
      <c r="R24" s="1" t="str">
        <f t="shared" si="1"/>
        <v/>
      </c>
      <c r="S24" s="1" t="str">
        <f t="shared" si="1"/>
        <v/>
      </c>
      <c r="T24" s="221" t="s">
        <v>162</v>
      </c>
      <c r="U24" s="69" t="s">
        <v>163</v>
      </c>
      <c r="V24" s="23">
        <v>1</v>
      </c>
      <c r="W24" s="30" t="s">
        <v>140</v>
      </c>
      <c r="X24" s="31"/>
      <c r="Y24" s="19"/>
      <c r="Z24" s="85">
        <v>51</v>
      </c>
      <c r="AA24" s="85"/>
      <c r="AB24" s="56"/>
      <c r="AC24" s="56"/>
      <c r="AD24" s="14"/>
      <c r="AE24" s="56"/>
      <c r="AF24" s="631" t="s">
        <v>141</v>
      </c>
      <c r="AG24" s="359" t="s">
        <v>142</v>
      </c>
      <c r="AH24" s="363" t="s">
        <v>143</v>
      </c>
      <c r="AI24" s="1" t="s">
        <v>126</v>
      </c>
      <c r="AJ24" s="1" t="s">
        <v>126</v>
      </c>
      <c r="AK24" s="1" t="s">
        <v>126</v>
      </c>
      <c r="AL24" s="1" t="s">
        <v>126</v>
      </c>
      <c r="AM24" s="374"/>
    </row>
    <row r="25" spans="1:39">
      <c r="A25" s="221" t="s">
        <v>164</v>
      </c>
      <c r="B25" s="69" t="s">
        <v>165</v>
      </c>
      <c r="C25" s="23">
        <v>1</v>
      </c>
      <c r="D25" s="30" t="s">
        <v>140</v>
      </c>
      <c r="E25" s="31"/>
      <c r="F25" s="19"/>
      <c r="G25" s="85">
        <v>68</v>
      </c>
      <c r="H25" s="85"/>
      <c r="I25" s="56"/>
      <c r="J25" s="56"/>
      <c r="K25" s="14"/>
      <c r="L25" s="56"/>
      <c r="M25" s="631" t="s">
        <v>141</v>
      </c>
      <c r="N25" s="359" t="s">
        <v>142</v>
      </c>
      <c r="O25" s="363" t="s">
        <v>143</v>
      </c>
      <c r="P25" s="1" t="str">
        <f t="shared" si="1"/>
        <v/>
      </c>
      <c r="Q25" s="1" t="str">
        <f t="shared" si="1"/>
        <v/>
      </c>
      <c r="R25" s="1" t="str">
        <f t="shared" si="1"/>
        <v/>
      </c>
      <c r="S25" s="1" t="str">
        <f t="shared" si="1"/>
        <v/>
      </c>
      <c r="T25" s="221" t="s">
        <v>164</v>
      </c>
      <c r="U25" s="69" t="s">
        <v>165</v>
      </c>
      <c r="V25" s="23">
        <v>1</v>
      </c>
      <c r="W25" s="30" t="s">
        <v>140</v>
      </c>
      <c r="X25" s="31"/>
      <c r="Y25" s="19"/>
      <c r="Z25" s="85">
        <v>68</v>
      </c>
      <c r="AA25" s="85"/>
      <c r="AB25" s="56"/>
      <c r="AC25" s="56"/>
      <c r="AD25" s="14"/>
      <c r="AE25" s="56"/>
      <c r="AF25" s="631" t="s">
        <v>141</v>
      </c>
      <c r="AG25" s="359" t="s">
        <v>142</v>
      </c>
      <c r="AH25" s="363" t="s">
        <v>143</v>
      </c>
      <c r="AI25" s="1" t="s">
        <v>126</v>
      </c>
      <c r="AJ25" s="1" t="s">
        <v>126</v>
      </c>
      <c r="AK25" s="1" t="s">
        <v>126</v>
      </c>
      <c r="AL25" s="1" t="s">
        <v>126</v>
      </c>
      <c r="AM25" s="374"/>
    </row>
    <row r="26" spans="1:39" s="75" customFormat="1">
      <c r="A26" s="222" t="s">
        <v>166</v>
      </c>
      <c r="B26" s="352" t="s">
        <v>167</v>
      </c>
      <c r="C26" s="97">
        <v>1</v>
      </c>
      <c r="D26" s="34" t="s">
        <v>140</v>
      </c>
      <c r="E26" s="35"/>
      <c r="F26" s="38"/>
      <c r="G26" s="99">
        <v>383</v>
      </c>
      <c r="H26" s="99"/>
      <c r="I26" s="98"/>
      <c r="J26" s="98"/>
      <c r="K26" s="35"/>
      <c r="L26" s="98"/>
      <c r="M26" s="631" t="s">
        <v>141</v>
      </c>
      <c r="N26" s="359" t="s">
        <v>142</v>
      </c>
      <c r="O26" s="364" t="s">
        <v>143</v>
      </c>
      <c r="P26" s="1" t="str">
        <f t="shared" si="1"/>
        <v/>
      </c>
      <c r="Q26" s="1" t="str">
        <f t="shared" si="1"/>
        <v/>
      </c>
      <c r="R26" s="1" t="str">
        <f t="shared" si="1"/>
        <v/>
      </c>
      <c r="S26" s="1" t="str">
        <f t="shared" si="1"/>
        <v/>
      </c>
      <c r="T26" s="222" t="s">
        <v>166</v>
      </c>
      <c r="U26" s="352" t="s">
        <v>167</v>
      </c>
      <c r="V26" s="97">
        <v>1</v>
      </c>
      <c r="W26" s="34" t="s">
        <v>140</v>
      </c>
      <c r="X26" s="35"/>
      <c r="Y26" s="38"/>
      <c r="Z26" s="99">
        <v>383</v>
      </c>
      <c r="AA26" s="99"/>
      <c r="AB26" s="98"/>
      <c r="AC26" s="98"/>
      <c r="AD26" s="35"/>
      <c r="AE26" s="98"/>
      <c r="AF26" s="631" t="s">
        <v>141</v>
      </c>
      <c r="AG26" s="359" t="s">
        <v>142</v>
      </c>
      <c r="AH26" s="364" t="s">
        <v>143</v>
      </c>
      <c r="AI26" s="1" t="s">
        <v>126</v>
      </c>
      <c r="AJ26" s="1" t="s">
        <v>126</v>
      </c>
      <c r="AK26" s="1" t="s">
        <v>126</v>
      </c>
      <c r="AL26" s="1" t="s">
        <v>126</v>
      </c>
      <c r="AM26" s="376"/>
    </row>
    <row r="27" spans="1:39">
      <c r="A27" s="221" t="s">
        <v>168</v>
      </c>
      <c r="B27" s="69" t="s">
        <v>169</v>
      </c>
      <c r="C27" s="23">
        <v>1</v>
      </c>
      <c r="D27" s="30" t="s">
        <v>140</v>
      </c>
      <c r="E27" s="31"/>
      <c r="F27" s="19"/>
      <c r="G27" s="85">
        <v>509</v>
      </c>
      <c r="H27" s="85"/>
      <c r="I27" s="56"/>
      <c r="J27" s="56"/>
      <c r="K27" s="14"/>
      <c r="L27" s="56"/>
      <c r="M27" s="631" t="s">
        <v>141</v>
      </c>
      <c r="N27" s="359" t="s">
        <v>142</v>
      </c>
      <c r="O27" s="363" t="s">
        <v>143</v>
      </c>
      <c r="P27" s="1" t="str">
        <f t="shared" si="1"/>
        <v/>
      </c>
      <c r="Q27" s="1" t="str">
        <f t="shared" si="1"/>
        <v/>
      </c>
      <c r="R27" s="1" t="str">
        <f t="shared" si="1"/>
        <v/>
      </c>
      <c r="S27" s="1" t="str">
        <f t="shared" si="1"/>
        <v/>
      </c>
      <c r="T27" s="221" t="s">
        <v>168</v>
      </c>
      <c r="U27" s="69" t="s">
        <v>169</v>
      </c>
      <c r="V27" s="23">
        <v>1</v>
      </c>
      <c r="W27" s="30" t="s">
        <v>140</v>
      </c>
      <c r="X27" s="31"/>
      <c r="Y27" s="19"/>
      <c r="Z27" s="85">
        <v>509</v>
      </c>
      <c r="AA27" s="85"/>
      <c r="AB27" s="56"/>
      <c r="AC27" s="56"/>
      <c r="AD27" s="14"/>
      <c r="AE27" s="56"/>
      <c r="AF27" s="631" t="s">
        <v>141</v>
      </c>
      <c r="AG27" s="359" t="s">
        <v>142</v>
      </c>
      <c r="AH27" s="363" t="s">
        <v>143</v>
      </c>
      <c r="AI27" s="1" t="s">
        <v>126</v>
      </c>
      <c r="AJ27" s="1" t="s">
        <v>126</v>
      </c>
      <c r="AK27" s="1" t="s">
        <v>126</v>
      </c>
      <c r="AL27" s="1" t="s">
        <v>126</v>
      </c>
      <c r="AM27" s="374"/>
    </row>
    <row r="28" spans="1:39">
      <c r="A28" s="221" t="s">
        <v>170</v>
      </c>
      <c r="B28" s="69" t="s">
        <v>171</v>
      </c>
      <c r="C28" s="23">
        <v>1</v>
      </c>
      <c r="D28" s="30" t="s">
        <v>140</v>
      </c>
      <c r="E28" s="31"/>
      <c r="F28" s="19"/>
      <c r="G28" s="24">
        <v>137.59</v>
      </c>
      <c r="H28" s="68"/>
      <c r="I28" s="56"/>
      <c r="J28" s="56"/>
      <c r="K28" s="14"/>
      <c r="L28" s="56"/>
      <c r="M28" s="631" t="s">
        <v>141</v>
      </c>
      <c r="N28" s="359" t="s">
        <v>142</v>
      </c>
      <c r="O28" s="363" t="s">
        <v>143</v>
      </c>
      <c r="P28" s="1" t="str">
        <f t="shared" si="1"/>
        <v/>
      </c>
      <c r="Q28" s="1" t="str">
        <f t="shared" si="1"/>
        <v/>
      </c>
      <c r="R28" s="1" t="str">
        <f t="shared" si="1"/>
        <v/>
      </c>
      <c r="S28" s="1" t="str">
        <f t="shared" si="1"/>
        <v/>
      </c>
      <c r="T28" s="221" t="s">
        <v>170</v>
      </c>
      <c r="U28" s="69" t="s">
        <v>171</v>
      </c>
      <c r="V28" s="23">
        <v>1</v>
      </c>
      <c r="W28" s="30" t="s">
        <v>140</v>
      </c>
      <c r="X28" s="31"/>
      <c r="Y28" s="19"/>
      <c r="Z28" s="24">
        <v>137.59</v>
      </c>
      <c r="AA28" s="68"/>
      <c r="AB28" s="56"/>
      <c r="AC28" s="56"/>
      <c r="AD28" s="14"/>
      <c r="AE28" s="56"/>
      <c r="AF28" s="631" t="s">
        <v>141</v>
      </c>
      <c r="AG28" s="359" t="s">
        <v>142</v>
      </c>
      <c r="AH28" s="363" t="s">
        <v>143</v>
      </c>
      <c r="AI28" s="1" t="s">
        <v>126</v>
      </c>
      <c r="AJ28" s="1" t="s">
        <v>126</v>
      </c>
      <c r="AK28" s="1" t="s">
        <v>126</v>
      </c>
      <c r="AL28" s="1" t="s">
        <v>126</v>
      </c>
      <c r="AM28" s="374"/>
    </row>
    <row r="29" spans="1:39">
      <c r="A29" s="221" t="s">
        <v>172</v>
      </c>
      <c r="B29" s="69" t="s">
        <v>173</v>
      </c>
      <c r="C29" s="23">
        <v>1</v>
      </c>
      <c r="D29" s="30" t="s">
        <v>140</v>
      </c>
      <c r="E29" s="31"/>
      <c r="F29" s="19"/>
      <c r="G29" s="24">
        <v>221.92</v>
      </c>
      <c r="H29" s="68"/>
      <c r="I29" s="56"/>
      <c r="J29" s="56"/>
      <c r="K29" s="14"/>
      <c r="L29" s="56"/>
      <c r="M29" s="631" t="s">
        <v>141</v>
      </c>
      <c r="N29" s="359" t="s">
        <v>142</v>
      </c>
      <c r="O29" s="363" t="s">
        <v>143</v>
      </c>
      <c r="P29" s="1" t="str">
        <f t="shared" si="1"/>
        <v/>
      </c>
      <c r="Q29" s="1" t="str">
        <f t="shared" si="1"/>
        <v/>
      </c>
      <c r="R29" s="1" t="str">
        <f t="shared" si="1"/>
        <v/>
      </c>
      <c r="S29" s="1" t="str">
        <f t="shared" si="1"/>
        <v/>
      </c>
      <c r="T29" s="221" t="s">
        <v>172</v>
      </c>
      <c r="U29" s="69" t="s">
        <v>173</v>
      </c>
      <c r="V29" s="23">
        <v>1</v>
      </c>
      <c r="W29" s="30" t="s">
        <v>140</v>
      </c>
      <c r="X29" s="31"/>
      <c r="Y29" s="19"/>
      <c r="Z29" s="24">
        <v>221.92</v>
      </c>
      <c r="AA29" s="68"/>
      <c r="AB29" s="56"/>
      <c r="AC29" s="56"/>
      <c r="AD29" s="14"/>
      <c r="AE29" s="56"/>
      <c r="AF29" s="631" t="s">
        <v>141</v>
      </c>
      <c r="AG29" s="359" t="s">
        <v>142</v>
      </c>
      <c r="AH29" s="363" t="s">
        <v>143</v>
      </c>
      <c r="AI29" s="1" t="s">
        <v>126</v>
      </c>
      <c r="AJ29" s="1" t="s">
        <v>126</v>
      </c>
      <c r="AK29" s="1" t="s">
        <v>126</v>
      </c>
      <c r="AL29" s="1" t="s">
        <v>126</v>
      </c>
      <c r="AM29" s="374"/>
    </row>
    <row r="30" spans="1:39" s="329" customFormat="1" ht="24.95" customHeight="1">
      <c r="A30" s="448" t="s">
        <v>174</v>
      </c>
      <c r="B30" s="549" t="s">
        <v>175</v>
      </c>
      <c r="C30" s="440"/>
      <c r="D30" s="441"/>
      <c r="E30" s="441"/>
      <c r="F30" s="442"/>
      <c r="G30" s="443"/>
      <c r="H30" s="444"/>
      <c r="I30" s="445"/>
      <c r="J30" s="445"/>
      <c r="K30" s="443"/>
      <c r="L30" s="446"/>
      <c r="M30" s="629"/>
      <c r="N30" s="447"/>
      <c r="O30" s="446"/>
      <c r="P30" s="446"/>
      <c r="Q30" s="446"/>
      <c r="R30" s="446"/>
      <c r="S30" s="446"/>
      <c r="T30" s="448" t="s">
        <v>176</v>
      </c>
      <c r="U30" s="549" t="s">
        <v>177</v>
      </c>
      <c r="V30" s="440"/>
      <c r="W30" s="441"/>
      <c r="X30" s="441"/>
      <c r="Y30" s="442"/>
      <c r="Z30" s="443"/>
      <c r="AA30" s="444"/>
      <c r="AB30" s="445"/>
      <c r="AC30" s="445"/>
      <c r="AD30" s="443"/>
      <c r="AE30" s="446"/>
      <c r="AF30" s="629"/>
      <c r="AG30" s="447"/>
      <c r="AH30" s="446"/>
      <c r="AI30" s="446"/>
      <c r="AJ30" s="446"/>
      <c r="AK30" s="446"/>
      <c r="AL30" s="446"/>
      <c r="AM30" s="373"/>
    </row>
    <row r="31" spans="1:39" s="399" customFormat="1">
      <c r="A31" s="206" t="s">
        <v>178</v>
      </c>
      <c r="B31" s="52" t="s">
        <v>179</v>
      </c>
      <c r="C31" s="53">
        <v>1</v>
      </c>
      <c r="D31" s="70" t="s">
        <v>118</v>
      </c>
      <c r="E31" s="62">
        <v>1082.2</v>
      </c>
      <c r="F31" s="66">
        <f>rv_mba_mg</f>
        <v>0.17599999999999999</v>
      </c>
      <c r="G31" s="208">
        <f t="shared" ref="G31:G42" si="2">E31-(E31*F31)</f>
        <v>891.7328</v>
      </c>
      <c r="H31" s="284" t="s">
        <v>119</v>
      </c>
      <c r="I31" s="63">
        <v>57.6</v>
      </c>
      <c r="J31" s="63">
        <f>G31+I31</f>
        <v>949.33280000000002</v>
      </c>
      <c r="K31" s="63" t="s">
        <v>120</v>
      </c>
      <c r="L31" s="63">
        <v>0.3</v>
      </c>
      <c r="M31" s="630" t="s">
        <v>180</v>
      </c>
      <c r="N31" s="380" t="s">
        <v>122</v>
      </c>
      <c r="O31" s="385" t="s">
        <v>123</v>
      </c>
      <c r="P31" s="90">
        <f t="shared" ref="P31:S32" si="3">+IF($J31&lt;&gt;"",P$2*$J31,"")</f>
        <v>191.10899672716198</v>
      </c>
      <c r="Q31" s="90">
        <f t="shared" si="3"/>
        <v>99.320579933418301</v>
      </c>
      <c r="R31" s="90">
        <f t="shared" si="3"/>
        <v>72.133580561610358</v>
      </c>
      <c r="S31" s="90">
        <f t="shared" si="3"/>
        <v>62.246691005296157</v>
      </c>
      <c r="T31" s="206" t="s">
        <v>178</v>
      </c>
      <c r="U31" s="52" t="s">
        <v>179</v>
      </c>
      <c r="V31" s="53">
        <v>1</v>
      </c>
      <c r="W31" s="70" t="s">
        <v>118</v>
      </c>
      <c r="X31" s="62">
        <v>1082.2</v>
      </c>
      <c r="Y31" s="66">
        <v>0.17599999999999999</v>
      </c>
      <c r="Z31" s="208">
        <v>891.7328</v>
      </c>
      <c r="AA31" s="284" t="s">
        <v>119</v>
      </c>
      <c r="AB31" s="63">
        <v>57.6</v>
      </c>
      <c r="AC31" s="63">
        <v>949.33280000000002</v>
      </c>
      <c r="AD31" s="63" t="s">
        <v>120</v>
      </c>
      <c r="AE31" s="63">
        <v>0.3</v>
      </c>
      <c r="AF31" s="630" t="s">
        <v>180</v>
      </c>
      <c r="AG31" s="380" t="s">
        <v>122</v>
      </c>
      <c r="AH31" s="385" t="s">
        <v>123</v>
      </c>
      <c r="AI31" s="90">
        <v>191.10899672716198</v>
      </c>
      <c r="AJ31" s="90">
        <v>99.320579933418301</v>
      </c>
      <c r="AK31" s="90">
        <v>72.133580561610358</v>
      </c>
      <c r="AL31" s="90">
        <v>62.246691005296157</v>
      </c>
      <c r="AM31" s="398"/>
    </row>
    <row r="32" spans="1:39" s="86" customFormat="1">
      <c r="A32" s="200" t="s">
        <v>181</v>
      </c>
      <c r="B32" s="69" t="s">
        <v>182</v>
      </c>
      <c r="C32" s="23">
        <v>1</v>
      </c>
      <c r="D32" s="24" t="s">
        <v>118</v>
      </c>
      <c r="E32" s="31">
        <v>100</v>
      </c>
      <c r="F32" s="227">
        <f t="shared" ref="F32:F42" si="4">rv_mba_mg_cto</f>
        <v>0.17599999999999999</v>
      </c>
      <c r="G32" s="207">
        <f t="shared" si="2"/>
        <v>82.4</v>
      </c>
      <c r="H32" s="152"/>
      <c r="I32" s="152"/>
      <c r="J32" s="152"/>
      <c r="K32" s="73"/>
      <c r="L32" s="56"/>
      <c r="M32" s="631" t="s">
        <v>180</v>
      </c>
      <c r="N32" s="359" t="s">
        <v>122</v>
      </c>
      <c r="O32" s="367" t="s">
        <v>123</v>
      </c>
      <c r="P32" s="1" t="str">
        <f t="shared" si="3"/>
        <v/>
      </c>
      <c r="Q32" s="1" t="str">
        <f t="shared" si="3"/>
        <v/>
      </c>
      <c r="R32" s="1" t="str">
        <f t="shared" si="3"/>
        <v/>
      </c>
      <c r="S32" s="1" t="str">
        <f t="shared" si="3"/>
        <v/>
      </c>
      <c r="T32" s="200" t="s">
        <v>181</v>
      </c>
      <c r="U32" s="69" t="s">
        <v>182</v>
      </c>
      <c r="V32" s="23">
        <v>1</v>
      </c>
      <c r="W32" s="24" t="s">
        <v>118</v>
      </c>
      <c r="X32" s="31">
        <v>100</v>
      </c>
      <c r="Y32" s="227">
        <v>0.17599999999999999</v>
      </c>
      <c r="Z32" s="207">
        <v>82.4</v>
      </c>
      <c r="AA32" s="152"/>
      <c r="AB32" s="152"/>
      <c r="AC32" s="152"/>
      <c r="AD32" s="73"/>
      <c r="AE32" s="56"/>
      <c r="AF32" s="631" t="s">
        <v>180</v>
      </c>
      <c r="AG32" s="359" t="s">
        <v>122</v>
      </c>
      <c r="AH32" s="367" t="s">
        <v>123</v>
      </c>
      <c r="AI32" s="1" t="s">
        <v>126</v>
      </c>
      <c r="AJ32" s="1" t="s">
        <v>126</v>
      </c>
      <c r="AK32" s="1" t="s">
        <v>126</v>
      </c>
      <c r="AL32" s="1" t="s">
        <v>126</v>
      </c>
      <c r="AM32" s="396"/>
    </row>
    <row r="33" spans="1:39" s="86" customFormat="1">
      <c r="A33" s="200" t="s">
        <v>183</v>
      </c>
      <c r="B33" s="69" t="s">
        <v>184</v>
      </c>
      <c r="C33" s="23">
        <v>1</v>
      </c>
      <c r="D33" s="24" t="s">
        <v>118</v>
      </c>
      <c r="E33" s="31">
        <v>191.67</v>
      </c>
      <c r="F33" s="227">
        <f t="shared" si="4"/>
        <v>0.17599999999999999</v>
      </c>
      <c r="G33" s="207">
        <f t="shared" si="2"/>
        <v>157.93608</v>
      </c>
      <c r="H33" s="152"/>
      <c r="I33" s="152"/>
      <c r="J33" s="152"/>
      <c r="K33" s="73"/>
      <c r="L33" s="56"/>
      <c r="M33" s="631" t="s">
        <v>180</v>
      </c>
      <c r="N33" s="359" t="s">
        <v>122</v>
      </c>
      <c r="O33" s="367" t="s">
        <v>123</v>
      </c>
      <c r="P33" s="1" t="str">
        <f t="shared" ref="P33:S42" si="5">+IF($J33&lt;&gt;"",P$2*$J33,"")</f>
        <v/>
      </c>
      <c r="Q33" s="1" t="str">
        <f t="shared" si="5"/>
        <v/>
      </c>
      <c r="R33" s="1" t="str">
        <f t="shared" si="5"/>
        <v/>
      </c>
      <c r="S33" s="1" t="str">
        <f t="shared" si="5"/>
        <v/>
      </c>
      <c r="T33" s="200" t="s">
        <v>183</v>
      </c>
      <c r="U33" s="69" t="s">
        <v>184</v>
      </c>
      <c r="V33" s="23">
        <v>1</v>
      </c>
      <c r="W33" s="24" t="s">
        <v>118</v>
      </c>
      <c r="X33" s="31">
        <v>191.67</v>
      </c>
      <c r="Y33" s="227">
        <v>0.17599999999999999</v>
      </c>
      <c r="Z33" s="207">
        <v>157.93608</v>
      </c>
      <c r="AA33" s="152"/>
      <c r="AB33" s="152"/>
      <c r="AC33" s="152"/>
      <c r="AD33" s="73"/>
      <c r="AE33" s="56"/>
      <c r="AF33" s="631" t="s">
        <v>180</v>
      </c>
      <c r="AG33" s="359" t="s">
        <v>122</v>
      </c>
      <c r="AH33" s="367" t="s">
        <v>123</v>
      </c>
      <c r="AI33" s="1" t="s">
        <v>126</v>
      </c>
      <c r="AJ33" s="1" t="s">
        <v>126</v>
      </c>
      <c r="AK33" s="1" t="s">
        <v>126</v>
      </c>
      <c r="AL33" s="1" t="s">
        <v>126</v>
      </c>
      <c r="AM33" s="396"/>
    </row>
    <row r="34" spans="1:39" s="86" customFormat="1">
      <c r="A34" s="200" t="s">
        <v>185</v>
      </c>
      <c r="B34" s="69" t="s">
        <v>186</v>
      </c>
      <c r="C34" s="23">
        <v>1</v>
      </c>
      <c r="D34" s="24" t="s">
        <v>118</v>
      </c>
      <c r="E34" s="31">
        <v>383.33</v>
      </c>
      <c r="F34" s="227">
        <f t="shared" si="4"/>
        <v>0.17599999999999999</v>
      </c>
      <c r="G34" s="207">
        <f t="shared" si="2"/>
        <v>315.86392000000001</v>
      </c>
      <c r="H34" s="152"/>
      <c r="I34" s="152"/>
      <c r="J34" s="152"/>
      <c r="K34" s="73"/>
      <c r="L34" s="56"/>
      <c r="M34" s="631" t="s">
        <v>180</v>
      </c>
      <c r="N34" s="359" t="s">
        <v>122</v>
      </c>
      <c r="O34" s="367" t="s">
        <v>123</v>
      </c>
      <c r="P34" s="1" t="str">
        <f t="shared" si="5"/>
        <v/>
      </c>
      <c r="Q34" s="1" t="str">
        <f t="shared" si="5"/>
        <v/>
      </c>
      <c r="R34" s="1" t="str">
        <f t="shared" si="5"/>
        <v/>
      </c>
      <c r="S34" s="1" t="str">
        <f t="shared" si="5"/>
        <v/>
      </c>
      <c r="T34" s="200" t="s">
        <v>185</v>
      </c>
      <c r="U34" s="69" t="s">
        <v>186</v>
      </c>
      <c r="V34" s="23">
        <v>1</v>
      </c>
      <c r="W34" s="24" t="s">
        <v>118</v>
      </c>
      <c r="X34" s="31">
        <v>383.33</v>
      </c>
      <c r="Y34" s="227">
        <v>0.17599999999999999</v>
      </c>
      <c r="Z34" s="207">
        <v>315.86392000000001</v>
      </c>
      <c r="AA34" s="152"/>
      <c r="AB34" s="152"/>
      <c r="AC34" s="152"/>
      <c r="AD34" s="73"/>
      <c r="AE34" s="56"/>
      <c r="AF34" s="631" t="s">
        <v>180</v>
      </c>
      <c r="AG34" s="359" t="s">
        <v>122</v>
      </c>
      <c r="AH34" s="367" t="s">
        <v>123</v>
      </c>
      <c r="AI34" s="1" t="s">
        <v>126</v>
      </c>
      <c r="AJ34" s="1" t="s">
        <v>126</v>
      </c>
      <c r="AK34" s="1" t="s">
        <v>126</v>
      </c>
      <c r="AL34" s="1" t="s">
        <v>126</v>
      </c>
      <c r="AM34" s="396"/>
    </row>
    <row r="35" spans="1:39" s="86" customFormat="1">
      <c r="A35" s="200" t="s">
        <v>187</v>
      </c>
      <c r="B35" s="69" t="s">
        <v>188</v>
      </c>
      <c r="C35" s="23">
        <v>1</v>
      </c>
      <c r="D35" s="24" t="s">
        <v>118</v>
      </c>
      <c r="E35" s="31">
        <v>191.67</v>
      </c>
      <c r="F35" s="227">
        <f t="shared" si="4"/>
        <v>0.17599999999999999</v>
      </c>
      <c r="G35" s="207">
        <f t="shared" si="2"/>
        <v>157.93608</v>
      </c>
      <c r="H35" s="152"/>
      <c r="I35" s="152"/>
      <c r="J35" s="152"/>
      <c r="K35" s="73"/>
      <c r="L35" s="56"/>
      <c r="M35" s="631" t="s">
        <v>180</v>
      </c>
      <c r="N35" s="359" t="s">
        <v>122</v>
      </c>
      <c r="O35" s="367" t="s">
        <v>123</v>
      </c>
      <c r="P35" s="1" t="str">
        <f t="shared" si="5"/>
        <v/>
      </c>
      <c r="Q35" s="1" t="str">
        <f t="shared" si="5"/>
        <v/>
      </c>
      <c r="R35" s="1" t="str">
        <f t="shared" si="5"/>
        <v/>
      </c>
      <c r="S35" s="1" t="str">
        <f t="shared" si="5"/>
        <v/>
      </c>
      <c r="T35" s="200" t="s">
        <v>187</v>
      </c>
      <c r="U35" s="69" t="s">
        <v>188</v>
      </c>
      <c r="V35" s="23">
        <v>1</v>
      </c>
      <c r="W35" s="24" t="s">
        <v>118</v>
      </c>
      <c r="X35" s="31">
        <v>191.67</v>
      </c>
      <c r="Y35" s="227">
        <v>0.17599999999999999</v>
      </c>
      <c r="Z35" s="207">
        <v>157.93608</v>
      </c>
      <c r="AA35" s="152"/>
      <c r="AB35" s="152"/>
      <c r="AC35" s="152"/>
      <c r="AD35" s="73"/>
      <c r="AE35" s="56"/>
      <c r="AF35" s="631" t="s">
        <v>180</v>
      </c>
      <c r="AG35" s="359" t="s">
        <v>122</v>
      </c>
      <c r="AH35" s="367" t="s">
        <v>123</v>
      </c>
      <c r="AI35" s="1" t="s">
        <v>126</v>
      </c>
      <c r="AJ35" s="1" t="s">
        <v>126</v>
      </c>
      <c r="AK35" s="1" t="s">
        <v>126</v>
      </c>
      <c r="AL35" s="1" t="s">
        <v>126</v>
      </c>
      <c r="AM35" s="396"/>
    </row>
    <row r="36" spans="1:39" s="86" customFormat="1">
      <c r="A36" s="200" t="s">
        <v>189</v>
      </c>
      <c r="B36" s="69" t="s">
        <v>190</v>
      </c>
      <c r="C36" s="23">
        <v>1</v>
      </c>
      <c r="D36" s="24" t="s">
        <v>118</v>
      </c>
      <c r="E36" s="31">
        <v>383.33</v>
      </c>
      <c r="F36" s="227">
        <f t="shared" si="4"/>
        <v>0.17599999999999999</v>
      </c>
      <c r="G36" s="207">
        <f t="shared" si="2"/>
        <v>315.86392000000001</v>
      </c>
      <c r="H36" s="152"/>
      <c r="I36" s="152"/>
      <c r="J36" s="152"/>
      <c r="K36" s="73"/>
      <c r="L36" s="56"/>
      <c r="M36" s="631" t="s">
        <v>180</v>
      </c>
      <c r="N36" s="359" t="s">
        <v>122</v>
      </c>
      <c r="O36" s="367" t="s">
        <v>123</v>
      </c>
      <c r="P36" s="1" t="str">
        <f t="shared" si="5"/>
        <v/>
      </c>
      <c r="Q36" s="1" t="str">
        <f t="shared" si="5"/>
        <v/>
      </c>
      <c r="R36" s="1" t="str">
        <f t="shared" si="5"/>
        <v/>
      </c>
      <c r="S36" s="1" t="str">
        <f t="shared" si="5"/>
        <v/>
      </c>
      <c r="T36" s="200" t="s">
        <v>189</v>
      </c>
      <c r="U36" s="69" t="s">
        <v>190</v>
      </c>
      <c r="V36" s="23">
        <v>1</v>
      </c>
      <c r="W36" s="24" t="s">
        <v>118</v>
      </c>
      <c r="X36" s="31">
        <v>383.33</v>
      </c>
      <c r="Y36" s="227">
        <v>0.17599999999999999</v>
      </c>
      <c r="Z36" s="207">
        <v>315.86392000000001</v>
      </c>
      <c r="AA36" s="152"/>
      <c r="AB36" s="152"/>
      <c r="AC36" s="152"/>
      <c r="AD36" s="73"/>
      <c r="AE36" s="56"/>
      <c r="AF36" s="631" t="s">
        <v>180</v>
      </c>
      <c r="AG36" s="359" t="s">
        <v>122</v>
      </c>
      <c r="AH36" s="367" t="s">
        <v>123</v>
      </c>
      <c r="AI36" s="1" t="s">
        <v>126</v>
      </c>
      <c r="AJ36" s="1" t="s">
        <v>126</v>
      </c>
      <c r="AK36" s="1" t="s">
        <v>126</v>
      </c>
      <c r="AL36" s="1" t="s">
        <v>126</v>
      </c>
      <c r="AM36" s="396"/>
    </row>
    <row r="37" spans="1:39" s="86" customFormat="1">
      <c r="A37" s="200" t="s">
        <v>191</v>
      </c>
      <c r="B37" s="69" t="s">
        <v>192</v>
      </c>
      <c r="C37" s="23">
        <v>1</v>
      </c>
      <c r="D37" s="24" t="s">
        <v>118</v>
      </c>
      <c r="E37" s="31">
        <v>766.67</v>
      </c>
      <c r="F37" s="227">
        <f t="shared" si="4"/>
        <v>0.17599999999999999</v>
      </c>
      <c r="G37" s="207">
        <f t="shared" si="2"/>
        <v>631.73608000000002</v>
      </c>
      <c r="H37" s="152"/>
      <c r="I37" s="152"/>
      <c r="J37" s="152"/>
      <c r="K37" s="73"/>
      <c r="L37" s="56"/>
      <c r="M37" s="631" t="s">
        <v>180</v>
      </c>
      <c r="N37" s="359" t="s">
        <v>122</v>
      </c>
      <c r="O37" s="367" t="s">
        <v>123</v>
      </c>
      <c r="P37" s="1" t="str">
        <f t="shared" si="5"/>
        <v/>
      </c>
      <c r="Q37" s="1" t="str">
        <f t="shared" si="5"/>
        <v/>
      </c>
      <c r="R37" s="1" t="str">
        <f t="shared" si="5"/>
        <v/>
      </c>
      <c r="S37" s="1" t="str">
        <f t="shared" si="5"/>
        <v/>
      </c>
      <c r="T37" s="200" t="s">
        <v>191</v>
      </c>
      <c r="U37" s="69" t="s">
        <v>192</v>
      </c>
      <c r="V37" s="23">
        <v>1</v>
      </c>
      <c r="W37" s="24" t="s">
        <v>118</v>
      </c>
      <c r="X37" s="31">
        <v>766.67</v>
      </c>
      <c r="Y37" s="227">
        <v>0.17599999999999999</v>
      </c>
      <c r="Z37" s="207">
        <v>631.73608000000002</v>
      </c>
      <c r="AA37" s="152"/>
      <c r="AB37" s="152"/>
      <c r="AC37" s="152"/>
      <c r="AD37" s="73"/>
      <c r="AE37" s="56"/>
      <c r="AF37" s="631" t="s">
        <v>180</v>
      </c>
      <c r="AG37" s="359" t="s">
        <v>122</v>
      </c>
      <c r="AH37" s="367" t="s">
        <v>123</v>
      </c>
      <c r="AI37" s="1" t="s">
        <v>126</v>
      </c>
      <c r="AJ37" s="1" t="s">
        <v>126</v>
      </c>
      <c r="AK37" s="1" t="s">
        <v>126</v>
      </c>
      <c r="AL37" s="1" t="s">
        <v>126</v>
      </c>
      <c r="AM37" s="396"/>
    </row>
    <row r="38" spans="1:39" s="86" customFormat="1">
      <c r="A38" s="200" t="s">
        <v>193</v>
      </c>
      <c r="B38" s="69" t="s">
        <v>194</v>
      </c>
      <c r="C38" s="23">
        <v>1</v>
      </c>
      <c r="D38" s="24" t="s">
        <v>118</v>
      </c>
      <c r="E38" s="31">
        <v>16.670000000000002</v>
      </c>
      <c r="F38" s="227">
        <f t="shared" si="4"/>
        <v>0.17599999999999999</v>
      </c>
      <c r="G38" s="207">
        <f t="shared" si="2"/>
        <v>13.736080000000001</v>
      </c>
      <c r="H38" s="152"/>
      <c r="I38" s="149"/>
      <c r="J38" s="149"/>
      <c r="K38" s="64"/>
      <c r="L38" s="72"/>
      <c r="M38" s="631" t="s">
        <v>180</v>
      </c>
      <c r="N38" s="359" t="s">
        <v>122</v>
      </c>
      <c r="O38" s="367" t="s">
        <v>123</v>
      </c>
      <c r="P38" s="1" t="str">
        <f t="shared" si="5"/>
        <v/>
      </c>
      <c r="Q38" s="1" t="str">
        <f t="shared" si="5"/>
        <v/>
      </c>
      <c r="R38" s="1" t="str">
        <f t="shared" si="5"/>
        <v/>
      </c>
      <c r="S38" s="1" t="str">
        <f t="shared" si="5"/>
        <v/>
      </c>
      <c r="T38" s="200" t="s">
        <v>193</v>
      </c>
      <c r="U38" s="69" t="s">
        <v>194</v>
      </c>
      <c r="V38" s="23">
        <v>1</v>
      </c>
      <c r="W38" s="24" t="s">
        <v>118</v>
      </c>
      <c r="X38" s="31">
        <v>16.670000000000002</v>
      </c>
      <c r="Y38" s="227">
        <v>0.17599999999999999</v>
      </c>
      <c r="Z38" s="207">
        <v>13.736080000000001</v>
      </c>
      <c r="AA38" s="152"/>
      <c r="AB38" s="149"/>
      <c r="AC38" s="149"/>
      <c r="AD38" s="64"/>
      <c r="AE38" s="72"/>
      <c r="AF38" s="631" t="s">
        <v>180</v>
      </c>
      <c r="AG38" s="359" t="s">
        <v>122</v>
      </c>
      <c r="AH38" s="367" t="s">
        <v>123</v>
      </c>
      <c r="AI38" s="1" t="s">
        <v>126</v>
      </c>
      <c r="AJ38" s="1" t="s">
        <v>126</v>
      </c>
      <c r="AK38" s="1" t="s">
        <v>126</v>
      </c>
      <c r="AL38" s="1" t="s">
        <v>126</v>
      </c>
      <c r="AM38" s="396"/>
    </row>
    <row r="39" spans="1:39" s="86" customFormat="1">
      <c r="A39" s="200" t="s">
        <v>195</v>
      </c>
      <c r="B39" s="238" t="s">
        <v>196</v>
      </c>
      <c r="C39" s="23">
        <v>1</v>
      </c>
      <c r="D39" s="24" t="s">
        <v>118</v>
      </c>
      <c r="E39" s="31">
        <v>16.670000000000002</v>
      </c>
      <c r="F39" s="227">
        <f t="shared" si="4"/>
        <v>0.17599999999999999</v>
      </c>
      <c r="G39" s="207">
        <f t="shared" si="2"/>
        <v>13.736080000000001</v>
      </c>
      <c r="H39" s="152"/>
      <c r="I39" s="152"/>
      <c r="J39" s="152"/>
      <c r="K39" s="73"/>
      <c r="L39" s="56"/>
      <c r="M39" s="631" t="s">
        <v>180</v>
      </c>
      <c r="N39" s="359" t="s">
        <v>122</v>
      </c>
      <c r="O39" s="367" t="s">
        <v>123</v>
      </c>
      <c r="P39" s="1" t="str">
        <f t="shared" si="5"/>
        <v/>
      </c>
      <c r="Q39" s="1" t="str">
        <f t="shared" si="5"/>
        <v/>
      </c>
      <c r="R39" s="1" t="str">
        <f t="shared" si="5"/>
        <v/>
      </c>
      <c r="S39" s="1" t="str">
        <f t="shared" si="5"/>
        <v/>
      </c>
      <c r="T39" s="200" t="s">
        <v>195</v>
      </c>
      <c r="U39" s="238" t="s">
        <v>196</v>
      </c>
      <c r="V39" s="23">
        <v>1</v>
      </c>
      <c r="W39" s="24" t="s">
        <v>118</v>
      </c>
      <c r="X39" s="31">
        <v>16.670000000000002</v>
      </c>
      <c r="Y39" s="227">
        <v>0.17599999999999999</v>
      </c>
      <c r="Z39" s="207">
        <v>13.736080000000001</v>
      </c>
      <c r="AA39" s="152"/>
      <c r="AB39" s="152"/>
      <c r="AC39" s="152"/>
      <c r="AD39" s="73"/>
      <c r="AE39" s="56"/>
      <c r="AF39" s="631" t="s">
        <v>180</v>
      </c>
      <c r="AG39" s="359" t="s">
        <v>122</v>
      </c>
      <c r="AH39" s="367" t="s">
        <v>123</v>
      </c>
      <c r="AI39" s="1" t="s">
        <v>126</v>
      </c>
      <c r="AJ39" s="1" t="s">
        <v>126</v>
      </c>
      <c r="AK39" s="1" t="s">
        <v>126</v>
      </c>
      <c r="AL39" s="1" t="s">
        <v>126</v>
      </c>
      <c r="AM39" s="396"/>
    </row>
    <row r="40" spans="1:39" s="86" customFormat="1">
      <c r="A40" s="200" t="s">
        <v>197</v>
      </c>
      <c r="B40" s="69" t="s">
        <v>198</v>
      </c>
      <c r="C40" s="23">
        <v>1</v>
      </c>
      <c r="D40" s="24" t="s">
        <v>118</v>
      </c>
      <c r="E40" s="31">
        <v>0</v>
      </c>
      <c r="F40" s="227">
        <f t="shared" si="4"/>
        <v>0.17599999999999999</v>
      </c>
      <c r="G40" s="207">
        <f t="shared" si="2"/>
        <v>0</v>
      </c>
      <c r="H40" s="152"/>
      <c r="I40" s="152"/>
      <c r="J40" s="152"/>
      <c r="K40" s="73"/>
      <c r="L40" s="56"/>
      <c r="M40" s="631" t="s">
        <v>180</v>
      </c>
      <c r="N40" s="359" t="s">
        <v>122</v>
      </c>
      <c r="O40" s="367" t="s">
        <v>123</v>
      </c>
      <c r="P40" s="1" t="str">
        <f t="shared" si="5"/>
        <v/>
      </c>
      <c r="Q40" s="1" t="str">
        <f t="shared" si="5"/>
        <v/>
      </c>
      <c r="R40" s="1" t="str">
        <f t="shared" si="5"/>
        <v/>
      </c>
      <c r="S40" s="1" t="str">
        <f t="shared" si="5"/>
        <v/>
      </c>
      <c r="T40" s="200" t="s">
        <v>197</v>
      </c>
      <c r="U40" s="69" t="s">
        <v>198</v>
      </c>
      <c r="V40" s="23">
        <v>1</v>
      </c>
      <c r="W40" s="24" t="s">
        <v>118</v>
      </c>
      <c r="X40" s="31">
        <v>0</v>
      </c>
      <c r="Y40" s="227">
        <v>0.17599999999999999</v>
      </c>
      <c r="Z40" s="207">
        <v>0</v>
      </c>
      <c r="AA40" s="152"/>
      <c r="AB40" s="152"/>
      <c r="AC40" s="152"/>
      <c r="AD40" s="73"/>
      <c r="AE40" s="56"/>
      <c r="AF40" s="631" t="s">
        <v>180</v>
      </c>
      <c r="AG40" s="359" t="s">
        <v>122</v>
      </c>
      <c r="AH40" s="367" t="s">
        <v>123</v>
      </c>
      <c r="AI40" s="1" t="s">
        <v>126</v>
      </c>
      <c r="AJ40" s="1" t="s">
        <v>126</v>
      </c>
      <c r="AK40" s="1" t="s">
        <v>126</v>
      </c>
      <c r="AL40" s="1" t="s">
        <v>126</v>
      </c>
      <c r="AM40" s="396"/>
    </row>
    <row r="41" spans="1:39" s="86" customFormat="1">
      <c r="A41" s="200" t="s">
        <v>199</v>
      </c>
      <c r="B41" s="69" t="s">
        <v>200</v>
      </c>
      <c r="C41" s="23">
        <v>1</v>
      </c>
      <c r="D41" s="24" t="s">
        <v>118</v>
      </c>
      <c r="E41" s="31">
        <v>0</v>
      </c>
      <c r="F41" s="227">
        <f t="shared" si="4"/>
        <v>0.17599999999999999</v>
      </c>
      <c r="G41" s="207">
        <f t="shared" si="2"/>
        <v>0</v>
      </c>
      <c r="H41" s="152"/>
      <c r="I41" s="152"/>
      <c r="J41" s="152"/>
      <c r="K41" s="73"/>
      <c r="L41" s="56"/>
      <c r="M41" s="631" t="s">
        <v>180</v>
      </c>
      <c r="N41" s="359" t="s">
        <v>122</v>
      </c>
      <c r="O41" s="367" t="s">
        <v>123</v>
      </c>
      <c r="P41" s="1" t="str">
        <f t="shared" si="5"/>
        <v/>
      </c>
      <c r="Q41" s="1" t="str">
        <f t="shared" si="5"/>
        <v/>
      </c>
      <c r="R41" s="1" t="str">
        <f t="shared" si="5"/>
        <v/>
      </c>
      <c r="S41" s="1" t="str">
        <f t="shared" si="5"/>
        <v/>
      </c>
      <c r="T41" s="200" t="s">
        <v>199</v>
      </c>
      <c r="U41" s="69" t="s">
        <v>200</v>
      </c>
      <c r="V41" s="23">
        <v>1</v>
      </c>
      <c r="W41" s="24" t="s">
        <v>118</v>
      </c>
      <c r="X41" s="31">
        <v>0</v>
      </c>
      <c r="Y41" s="227">
        <v>0.17599999999999999</v>
      </c>
      <c r="Z41" s="207">
        <v>0</v>
      </c>
      <c r="AA41" s="152"/>
      <c r="AB41" s="152"/>
      <c r="AC41" s="152"/>
      <c r="AD41" s="73"/>
      <c r="AE41" s="56"/>
      <c r="AF41" s="631" t="s">
        <v>180</v>
      </c>
      <c r="AG41" s="359" t="s">
        <v>122</v>
      </c>
      <c r="AH41" s="367" t="s">
        <v>123</v>
      </c>
      <c r="AI41" s="1" t="s">
        <v>126</v>
      </c>
      <c r="AJ41" s="1" t="s">
        <v>126</v>
      </c>
      <c r="AK41" s="1" t="s">
        <v>126</v>
      </c>
      <c r="AL41" s="1" t="s">
        <v>126</v>
      </c>
      <c r="AM41" s="396"/>
    </row>
    <row r="42" spans="1:39" s="86" customFormat="1">
      <c r="A42" s="200" t="s">
        <v>201</v>
      </c>
      <c r="B42" s="69" t="s">
        <v>202</v>
      </c>
      <c r="C42" s="23">
        <v>1</v>
      </c>
      <c r="D42" s="24" t="s">
        <v>118</v>
      </c>
      <c r="E42" s="31">
        <v>0</v>
      </c>
      <c r="F42" s="227">
        <f t="shared" si="4"/>
        <v>0.17599999999999999</v>
      </c>
      <c r="G42" s="207">
        <f t="shared" si="2"/>
        <v>0</v>
      </c>
      <c r="H42" s="152"/>
      <c r="I42" s="152"/>
      <c r="J42" s="152"/>
      <c r="K42" s="73"/>
      <c r="L42" s="56"/>
      <c r="M42" s="631" t="s">
        <v>180</v>
      </c>
      <c r="N42" s="359" t="s">
        <v>122</v>
      </c>
      <c r="O42" s="367" t="s">
        <v>123</v>
      </c>
      <c r="P42" s="1" t="str">
        <f t="shared" si="5"/>
        <v/>
      </c>
      <c r="Q42" s="1" t="str">
        <f t="shared" si="5"/>
        <v/>
      </c>
      <c r="R42" s="1" t="str">
        <f t="shared" si="5"/>
        <v/>
      </c>
      <c r="S42" s="1" t="str">
        <f t="shared" si="5"/>
        <v/>
      </c>
      <c r="T42" s="200" t="s">
        <v>201</v>
      </c>
      <c r="U42" s="69" t="s">
        <v>202</v>
      </c>
      <c r="V42" s="23">
        <v>1</v>
      </c>
      <c r="W42" s="24" t="s">
        <v>118</v>
      </c>
      <c r="X42" s="31">
        <v>0</v>
      </c>
      <c r="Y42" s="227">
        <v>0.17599999999999999</v>
      </c>
      <c r="Z42" s="207">
        <v>0</v>
      </c>
      <c r="AA42" s="152"/>
      <c r="AB42" s="152"/>
      <c r="AC42" s="152"/>
      <c r="AD42" s="73"/>
      <c r="AE42" s="56"/>
      <c r="AF42" s="631" t="s">
        <v>180</v>
      </c>
      <c r="AG42" s="359" t="s">
        <v>122</v>
      </c>
      <c r="AH42" s="367" t="s">
        <v>123</v>
      </c>
      <c r="AI42" s="1" t="s">
        <v>126</v>
      </c>
      <c r="AJ42" s="1" t="s">
        <v>126</v>
      </c>
      <c r="AK42" s="1" t="s">
        <v>126</v>
      </c>
      <c r="AL42" s="1" t="s">
        <v>126</v>
      </c>
      <c r="AM42" s="396"/>
    </row>
    <row r="43" spans="1:39" s="399" customFormat="1">
      <c r="A43" s="231" t="s">
        <v>119</v>
      </c>
      <c r="B43" s="58" t="s">
        <v>139</v>
      </c>
      <c r="C43" s="59">
        <v>1</v>
      </c>
      <c r="D43" s="71" t="s">
        <v>140</v>
      </c>
      <c r="E43" s="277">
        <v>69.900000000000006</v>
      </c>
      <c r="F43" s="278">
        <f>rv_mba_mg</f>
        <v>0.17599999999999999</v>
      </c>
      <c r="G43" s="279">
        <f t="shared" ref="G43" si="6">E43-(E43*F43)</f>
        <v>57.597600000000007</v>
      </c>
      <c r="H43" s="149"/>
      <c r="I43" s="152"/>
      <c r="J43" s="152"/>
      <c r="K43" s="152"/>
      <c r="L43" s="152"/>
      <c r="M43" s="630" t="s">
        <v>141</v>
      </c>
      <c r="N43" s="380" t="s">
        <v>142</v>
      </c>
      <c r="O43" s="385" t="s">
        <v>143</v>
      </c>
      <c r="P43" s="90" t="str">
        <f t="shared" ref="P43:S44" si="7">+IF($J43&lt;&gt;"",P$2*$J43,"")</f>
        <v/>
      </c>
      <c r="Q43" s="90" t="str">
        <f t="shared" si="7"/>
        <v/>
      </c>
      <c r="R43" s="90" t="str">
        <f t="shared" si="7"/>
        <v/>
      </c>
      <c r="S43" s="90" t="str">
        <f t="shared" si="7"/>
        <v/>
      </c>
      <c r="T43" s="231" t="s">
        <v>119</v>
      </c>
      <c r="U43" s="58" t="s">
        <v>139</v>
      </c>
      <c r="V43" s="59">
        <v>1</v>
      </c>
      <c r="W43" s="71" t="s">
        <v>140</v>
      </c>
      <c r="X43" s="277">
        <v>69.900000000000006</v>
      </c>
      <c r="Y43" s="278">
        <v>0.17599999999999999</v>
      </c>
      <c r="Z43" s="279">
        <v>57.597600000000007</v>
      </c>
      <c r="AA43" s="149"/>
      <c r="AB43" s="152"/>
      <c r="AC43" s="152"/>
      <c r="AD43" s="152"/>
      <c r="AE43" s="152"/>
      <c r="AF43" s="630" t="s">
        <v>141</v>
      </c>
      <c r="AG43" s="380" t="s">
        <v>142</v>
      </c>
      <c r="AH43" s="385" t="s">
        <v>143</v>
      </c>
      <c r="AI43" s="90" t="s">
        <v>126</v>
      </c>
      <c r="AJ43" s="90" t="s">
        <v>126</v>
      </c>
      <c r="AK43" s="90" t="s">
        <v>126</v>
      </c>
      <c r="AL43" s="90" t="s">
        <v>126</v>
      </c>
      <c r="AM43" s="398"/>
    </row>
    <row r="44" spans="1:39" s="86" customFormat="1">
      <c r="A44" s="221" t="s">
        <v>144</v>
      </c>
      <c r="B44" s="69" t="s">
        <v>145</v>
      </c>
      <c r="C44" s="23">
        <v>1</v>
      </c>
      <c r="D44" s="30" t="s">
        <v>140</v>
      </c>
      <c r="E44" s="31"/>
      <c r="F44" s="19"/>
      <c r="G44" s="85">
        <v>18</v>
      </c>
      <c r="H44" s="24"/>
      <c r="I44" s="152"/>
      <c r="J44" s="152"/>
      <c r="K44" s="73"/>
      <c r="L44" s="56"/>
      <c r="M44" s="631" t="s">
        <v>141</v>
      </c>
      <c r="N44" s="359" t="s">
        <v>142</v>
      </c>
      <c r="O44" s="367" t="s">
        <v>143</v>
      </c>
      <c r="P44" s="1" t="str">
        <f t="shared" si="7"/>
        <v/>
      </c>
      <c r="Q44" s="1" t="str">
        <f t="shared" si="7"/>
        <v/>
      </c>
      <c r="R44" s="1" t="str">
        <f t="shared" si="7"/>
        <v/>
      </c>
      <c r="S44" s="1" t="str">
        <f t="shared" si="7"/>
        <v/>
      </c>
      <c r="T44" s="221" t="s">
        <v>144</v>
      </c>
      <c r="U44" s="69" t="s">
        <v>145</v>
      </c>
      <c r="V44" s="23">
        <v>1</v>
      </c>
      <c r="W44" s="30" t="s">
        <v>140</v>
      </c>
      <c r="X44" s="31"/>
      <c r="Y44" s="19"/>
      <c r="Z44" s="85">
        <v>18</v>
      </c>
      <c r="AA44" s="24"/>
      <c r="AB44" s="152"/>
      <c r="AC44" s="152"/>
      <c r="AD44" s="73"/>
      <c r="AE44" s="56"/>
      <c r="AF44" s="631" t="s">
        <v>141</v>
      </c>
      <c r="AG44" s="359" t="s">
        <v>142</v>
      </c>
      <c r="AH44" s="367" t="s">
        <v>143</v>
      </c>
      <c r="AI44" s="1" t="s">
        <v>126</v>
      </c>
      <c r="AJ44" s="1" t="s">
        <v>126</v>
      </c>
      <c r="AK44" s="1" t="s">
        <v>126</v>
      </c>
      <c r="AL44" s="1" t="s">
        <v>126</v>
      </c>
      <c r="AM44" s="396"/>
    </row>
    <row r="45" spans="1:39" s="86" customFormat="1">
      <c r="A45" s="221" t="s">
        <v>146</v>
      </c>
      <c r="B45" s="69" t="s">
        <v>147</v>
      </c>
      <c r="C45" s="23">
        <v>1</v>
      </c>
      <c r="D45" s="30" t="s">
        <v>140</v>
      </c>
      <c r="E45" s="31"/>
      <c r="F45" s="19"/>
      <c r="G45" s="85">
        <v>26</v>
      </c>
      <c r="H45" s="24"/>
      <c r="I45" s="152"/>
      <c r="J45" s="152"/>
      <c r="K45" s="73"/>
      <c r="L45" s="56"/>
      <c r="M45" s="631" t="s">
        <v>141</v>
      </c>
      <c r="N45" s="359" t="s">
        <v>142</v>
      </c>
      <c r="O45" s="367" t="s">
        <v>143</v>
      </c>
      <c r="P45" s="1" t="str">
        <f t="shared" ref="P45:S58" si="8">+IF($J45&lt;&gt;"",P$2*$J45,"")</f>
        <v/>
      </c>
      <c r="Q45" s="1" t="str">
        <f t="shared" si="8"/>
        <v/>
      </c>
      <c r="R45" s="1" t="str">
        <f t="shared" si="8"/>
        <v/>
      </c>
      <c r="S45" s="1" t="str">
        <f t="shared" si="8"/>
        <v/>
      </c>
      <c r="T45" s="221" t="s">
        <v>146</v>
      </c>
      <c r="U45" s="69" t="s">
        <v>147</v>
      </c>
      <c r="V45" s="23">
        <v>1</v>
      </c>
      <c r="W45" s="30" t="s">
        <v>140</v>
      </c>
      <c r="X45" s="31"/>
      <c r="Y45" s="19"/>
      <c r="Z45" s="85">
        <v>26</v>
      </c>
      <c r="AA45" s="24"/>
      <c r="AB45" s="152"/>
      <c r="AC45" s="152"/>
      <c r="AD45" s="73"/>
      <c r="AE45" s="56"/>
      <c r="AF45" s="631" t="s">
        <v>141</v>
      </c>
      <c r="AG45" s="359" t="s">
        <v>142</v>
      </c>
      <c r="AH45" s="367" t="s">
        <v>143</v>
      </c>
      <c r="AI45" s="1" t="s">
        <v>126</v>
      </c>
      <c r="AJ45" s="1" t="s">
        <v>126</v>
      </c>
      <c r="AK45" s="1" t="s">
        <v>126</v>
      </c>
      <c r="AL45" s="1" t="s">
        <v>126</v>
      </c>
      <c r="AM45" s="396"/>
    </row>
    <row r="46" spans="1:39" s="86" customFormat="1">
      <c r="A46" s="221" t="s">
        <v>148</v>
      </c>
      <c r="B46" s="69" t="s">
        <v>149</v>
      </c>
      <c r="C46" s="23">
        <v>1</v>
      </c>
      <c r="D46" s="30" t="s">
        <v>140</v>
      </c>
      <c r="E46" s="31"/>
      <c r="F46" s="19"/>
      <c r="G46" s="85">
        <v>37</v>
      </c>
      <c r="H46" s="24"/>
      <c r="I46" s="152"/>
      <c r="J46" s="152"/>
      <c r="K46" s="73"/>
      <c r="L46" s="56"/>
      <c r="M46" s="631" t="s">
        <v>141</v>
      </c>
      <c r="N46" s="359" t="s">
        <v>142</v>
      </c>
      <c r="O46" s="367" t="s">
        <v>143</v>
      </c>
      <c r="P46" s="1" t="str">
        <f t="shared" si="8"/>
        <v/>
      </c>
      <c r="Q46" s="1" t="str">
        <f t="shared" si="8"/>
        <v/>
      </c>
      <c r="R46" s="1" t="str">
        <f t="shared" si="8"/>
        <v/>
      </c>
      <c r="S46" s="1" t="str">
        <f t="shared" si="8"/>
        <v/>
      </c>
      <c r="T46" s="221" t="s">
        <v>148</v>
      </c>
      <c r="U46" s="69" t="s">
        <v>149</v>
      </c>
      <c r="V46" s="23">
        <v>1</v>
      </c>
      <c r="W46" s="30" t="s">
        <v>140</v>
      </c>
      <c r="X46" s="31"/>
      <c r="Y46" s="19"/>
      <c r="Z46" s="85">
        <v>37</v>
      </c>
      <c r="AA46" s="24"/>
      <c r="AB46" s="152"/>
      <c r="AC46" s="152"/>
      <c r="AD46" s="73"/>
      <c r="AE46" s="56"/>
      <c r="AF46" s="631" t="s">
        <v>141</v>
      </c>
      <c r="AG46" s="359" t="s">
        <v>142</v>
      </c>
      <c r="AH46" s="367" t="s">
        <v>143</v>
      </c>
      <c r="AI46" s="1" t="s">
        <v>126</v>
      </c>
      <c r="AJ46" s="1" t="s">
        <v>126</v>
      </c>
      <c r="AK46" s="1" t="s">
        <v>126</v>
      </c>
      <c r="AL46" s="1" t="s">
        <v>126</v>
      </c>
      <c r="AM46" s="396"/>
    </row>
    <row r="47" spans="1:39" s="86" customFormat="1">
      <c r="A47" s="221" t="s">
        <v>150</v>
      </c>
      <c r="B47" s="69" t="s">
        <v>151</v>
      </c>
      <c r="C47" s="23">
        <v>1</v>
      </c>
      <c r="D47" s="30" t="s">
        <v>140</v>
      </c>
      <c r="E47" s="31"/>
      <c r="F47" s="19"/>
      <c r="G47" s="85">
        <v>21</v>
      </c>
      <c r="H47" s="24"/>
      <c r="I47" s="152"/>
      <c r="J47" s="152"/>
      <c r="K47" s="73"/>
      <c r="L47" s="56"/>
      <c r="M47" s="631" t="s">
        <v>141</v>
      </c>
      <c r="N47" s="359" t="s">
        <v>142</v>
      </c>
      <c r="O47" s="367" t="s">
        <v>143</v>
      </c>
      <c r="P47" s="1" t="str">
        <f t="shared" si="8"/>
        <v/>
      </c>
      <c r="Q47" s="1" t="str">
        <f t="shared" si="8"/>
        <v/>
      </c>
      <c r="R47" s="1" t="str">
        <f t="shared" si="8"/>
        <v/>
      </c>
      <c r="S47" s="1" t="str">
        <f t="shared" si="8"/>
        <v/>
      </c>
      <c r="T47" s="221" t="s">
        <v>150</v>
      </c>
      <c r="U47" s="69" t="s">
        <v>151</v>
      </c>
      <c r="V47" s="23">
        <v>1</v>
      </c>
      <c r="W47" s="30" t="s">
        <v>140</v>
      </c>
      <c r="X47" s="31"/>
      <c r="Y47" s="19"/>
      <c r="Z47" s="85">
        <v>21</v>
      </c>
      <c r="AA47" s="24"/>
      <c r="AB47" s="152"/>
      <c r="AC47" s="152"/>
      <c r="AD47" s="73"/>
      <c r="AE47" s="56"/>
      <c r="AF47" s="631" t="s">
        <v>141</v>
      </c>
      <c r="AG47" s="359" t="s">
        <v>142</v>
      </c>
      <c r="AH47" s="367" t="s">
        <v>143</v>
      </c>
      <c r="AI47" s="1" t="s">
        <v>126</v>
      </c>
      <c r="AJ47" s="1" t="s">
        <v>126</v>
      </c>
      <c r="AK47" s="1" t="s">
        <v>126</v>
      </c>
      <c r="AL47" s="1" t="s">
        <v>126</v>
      </c>
      <c r="AM47" s="396"/>
    </row>
    <row r="48" spans="1:39" s="86" customFormat="1">
      <c r="A48" s="221" t="s">
        <v>152</v>
      </c>
      <c r="B48" s="69" t="s">
        <v>153</v>
      </c>
      <c r="C48" s="23">
        <v>1</v>
      </c>
      <c r="D48" s="30" t="s">
        <v>140</v>
      </c>
      <c r="E48" s="31"/>
      <c r="F48" s="19"/>
      <c r="G48" s="85">
        <v>46</v>
      </c>
      <c r="H48" s="64"/>
      <c r="I48" s="152"/>
      <c r="J48" s="152"/>
      <c r="K48" s="73"/>
      <c r="L48" s="56"/>
      <c r="M48" s="631" t="s">
        <v>141</v>
      </c>
      <c r="N48" s="359" t="s">
        <v>142</v>
      </c>
      <c r="O48" s="367" t="s">
        <v>143</v>
      </c>
      <c r="P48" s="1" t="str">
        <f t="shared" si="8"/>
        <v/>
      </c>
      <c r="Q48" s="1" t="str">
        <f t="shared" si="8"/>
        <v/>
      </c>
      <c r="R48" s="1" t="str">
        <f t="shared" si="8"/>
        <v/>
      </c>
      <c r="S48" s="1" t="str">
        <f t="shared" si="8"/>
        <v/>
      </c>
      <c r="T48" s="221" t="s">
        <v>152</v>
      </c>
      <c r="U48" s="69" t="s">
        <v>153</v>
      </c>
      <c r="V48" s="23">
        <v>1</v>
      </c>
      <c r="W48" s="30" t="s">
        <v>140</v>
      </c>
      <c r="X48" s="31"/>
      <c r="Y48" s="19"/>
      <c r="Z48" s="85">
        <v>46</v>
      </c>
      <c r="AA48" s="64"/>
      <c r="AB48" s="152"/>
      <c r="AC48" s="152"/>
      <c r="AD48" s="73"/>
      <c r="AE48" s="56"/>
      <c r="AF48" s="631" t="s">
        <v>141</v>
      </c>
      <c r="AG48" s="359" t="s">
        <v>142</v>
      </c>
      <c r="AH48" s="367" t="s">
        <v>143</v>
      </c>
      <c r="AI48" s="1" t="s">
        <v>126</v>
      </c>
      <c r="AJ48" s="1" t="s">
        <v>126</v>
      </c>
      <c r="AK48" s="1" t="s">
        <v>126</v>
      </c>
      <c r="AL48" s="1" t="s">
        <v>126</v>
      </c>
      <c r="AM48" s="396"/>
    </row>
    <row r="49" spans="1:39" s="86" customFormat="1">
      <c r="A49" s="221" t="s">
        <v>154</v>
      </c>
      <c r="B49" s="69" t="s">
        <v>155</v>
      </c>
      <c r="C49" s="23">
        <v>1</v>
      </c>
      <c r="D49" s="30" t="s">
        <v>140</v>
      </c>
      <c r="E49" s="31"/>
      <c r="F49" s="19"/>
      <c r="G49" s="85">
        <v>55</v>
      </c>
      <c r="H49" s="64"/>
      <c r="I49" s="152"/>
      <c r="J49" s="152"/>
      <c r="K49" s="73"/>
      <c r="L49" s="56"/>
      <c r="M49" s="631" t="s">
        <v>141</v>
      </c>
      <c r="N49" s="359" t="s">
        <v>142</v>
      </c>
      <c r="O49" s="367" t="s">
        <v>143</v>
      </c>
      <c r="P49" s="1" t="str">
        <f t="shared" si="8"/>
        <v/>
      </c>
      <c r="Q49" s="1" t="str">
        <f t="shared" si="8"/>
        <v/>
      </c>
      <c r="R49" s="1" t="str">
        <f t="shared" si="8"/>
        <v/>
      </c>
      <c r="S49" s="1" t="str">
        <f t="shared" si="8"/>
        <v/>
      </c>
      <c r="T49" s="221" t="s">
        <v>154</v>
      </c>
      <c r="U49" s="69" t="s">
        <v>155</v>
      </c>
      <c r="V49" s="23">
        <v>1</v>
      </c>
      <c r="W49" s="30" t="s">
        <v>140</v>
      </c>
      <c r="X49" s="31"/>
      <c r="Y49" s="19"/>
      <c r="Z49" s="85">
        <v>55</v>
      </c>
      <c r="AA49" s="64"/>
      <c r="AB49" s="152"/>
      <c r="AC49" s="152"/>
      <c r="AD49" s="73"/>
      <c r="AE49" s="56"/>
      <c r="AF49" s="631" t="s">
        <v>141</v>
      </c>
      <c r="AG49" s="359" t="s">
        <v>142</v>
      </c>
      <c r="AH49" s="367" t="s">
        <v>143</v>
      </c>
      <c r="AI49" s="1" t="s">
        <v>126</v>
      </c>
      <c r="AJ49" s="1" t="s">
        <v>126</v>
      </c>
      <c r="AK49" s="1" t="s">
        <v>126</v>
      </c>
      <c r="AL49" s="1" t="s">
        <v>126</v>
      </c>
      <c r="AM49" s="396"/>
    </row>
    <row r="50" spans="1:39" s="86" customFormat="1">
      <c r="A50" s="221" t="s">
        <v>156</v>
      </c>
      <c r="B50" s="69" t="s">
        <v>157</v>
      </c>
      <c r="C50" s="23">
        <v>1</v>
      </c>
      <c r="D50" s="30" t="s">
        <v>140</v>
      </c>
      <c r="E50" s="31"/>
      <c r="F50" s="19"/>
      <c r="G50" s="85">
        <v>62</v>
      </c>
      <c r="H50" s="64"/>
      <c r="I50" s="152"/>
      <c r="J50" s="152"/>
      <c r="K50" s="73"/>
      <c r="L50" s="56"/>
      <c r="M50" s="631" t="s">
        <v>141</v>
      </c>
      <c r="N50" s="359" t="s">
        <v>142</v>
      </c>
      <c r="O50" s="367" t="s">
        <v>143</v>
      </c>
      <c r="P50" s="1" t="str">
        <f t="shared" si="8"/>
        <v/>
      </c>
      <c r="Q50" s="1" t="str">
        <f t="shared" si="8"/>
        <v/>
      </c>
      <c r="R50" s="1" t="str">
        <f t="shared" si="8"/>
        <v/>
      </c>
      <c r="S50" s="1" t="str">
        <f t="shared" si="8"/>
        <v/>
      </c>
      <c r="T50" s="221" t="s">
        <v>156</v>
      </c>
      <c r="U50" s="69" t="s">
        <v>157</v>
      </c>
      <c r="V50" s="23">
        <v>1</v>
      </c>
      <c r="W50" s="30" t="s">
        <v>140</v>
      </c>
      <c r="X50" s="31"/>
      <c r="Y50" s="19"/>
      <c r="Z50" s="85">
        <v>62</v>
      </c>
      <c r="AA50" s="64"/>
      <c r="AB50" s="152"/>
      <c r="AC50" s="152"/>
      <c r="AD50" s="73"/>
      <c r="AE50" s="56"/>
      <c r="AF50" s="631" t="s">
        <v>141</v>
      </c>
      <c r="AG50" s="359" t="s">
        <v>142</v>
      </c>
      <c r="AH50" s="367" t="s">
        <v>143</v>
      </c>
      <c r="AI50" s="1" t="s">
        <v>126</v>
      </c>
      <c r="AJ50" s="1" t="s">
        <v>126</v>
      </c>
      <c r="AK50" s="1" t="s">
        <v>126</v>
      </c>
      <c r="AL50" s="1" t="s">
        <v>126</v>
      </c>
      <c r="AM50" s="396"/>
    </row>
    <row r="51" spans="1:39" s="86" customFormat="1">
      <c r="A51" s="221" t="s">
        <v>158</v>
      </c>
      <c r="B51" s="69" t="s">
        <v>159</v>
      </c>
      <c r="C51" s="23">
        <v>1</v>
      </c>
      <c r="D51" s="30" t="s">
        <v>140</v>
      </c>
      <c r="E51" s="31"/>
      <c r="F51" s="19"/>
      <c r="G51" s="85">
        <v>16</v>
      </c>
      <c r="H51" s="64"/>
      <c r="I51" s="152"/>
      <c r="J51" s="152"/>
      <c r="K51" s="73"/>
      <c r="L51" s="56"/>
      <c r="M51" s="631" t="s">
        <v>141</v>
      </c>
      <c r="N51" s="359" t="s">
        <v>142</v>
      </c>
      <c r="O51" s="367" t="s">
        <v>143</v>
      </c>
      <c r="P51" s="1" t="str">
        <f t="shared" si="8"/>
        <v/>
      </c>
      <c r="Q51" s="1" t="str">
        <f t="shared" si="8"/>
        <v/>
      </c>
      <c r="R51" s="1" t="str">
        <f t="shared" si="8"/>
        <v/>
      </c>
      <c r="S51" s="1" t="str">
        <f t="shared" si="8"/>
        <v/>
      </c>
      <c r="T51" s="221" t="s">
        <v>158</v>
      </c>
      <c r="U51" s="69" t="s">
        <v>159</v>
      </c>
      <c r="V51" s="23">
        <v>1</v>
      </c>
      <c r="W51" s="30" t="s">
        <v>140</v>
      </c>
      <c r="X51" s="31"/>
      <c r="Y51" s="19"/>
      <c r="Z51" s="85">
        <v>16</v>
      </c>
      <c r="AA51" s="64"/>
      <c r="AB51" s="152"/>
      <c r="AC51" s="152"/>
      <c r="AD51" s="73"/>
      <c r="AE51" s="56"/>
      <c r="AF51" s="631" t="s">
        <v>141</v>
      </c>
      <c r="AG51" s="359" t="s">
        <v>142</v>
      </c>
      <c r="AH51" s="367" t="s">
        <v>143</v>
      </c>
      <c r="AI51" s="1" t="s">
        <v>126</v>
      </c>
      <c r="AJ51" s="1" t="s">
        <v>126</v>
      </c>
      <c r="AK51" s="1" t="s">
        <v>126</v>
      </c>
      <c r="AL51" s="1" t="s">
        <v>126</v>
      </c>
      <c r="AM51" s="396"/>
    </row>
    <row r="52" spans="1:39" s="86" customFormat="1">
      <c r="A52" s="221" t="s">
        <v>160</v>
      </c>
      <c r="B52" s="69" t="s">
        <v>161</v>
      </c>
      <c r="C52" s="23">
        <v>1</v>
      </c>
      <c r="D52" s="30" t="s">
        <v>140</v>
      </c>
      <c r="E52" s="31"/>
      <c r="F52" s="19"/>
      <c r="G52" s="85">
        <v>39</v>
      </c>
      <c r="H52" s="64"/>
      <c r="I52" s="152"/>
      <c r="J52" s="152"/>
      <c r="K52" s="73"/>
      <c r="L52" s="56"/>
      <c r="M52" s="631" t="s">
        <v>141</v>
      </c>
      <c r="N52" s="359" t="s">
        <v>142</v>
      </c>
      <c r="O52" s="367" t="s">
        <v>143</v>
      </c>
      <c r="P52" s="1" t="str">
        <f t="shared" si="8"/>
        <v/>
      </c>
      <c r="Q52" s="1" t="str">
        <f t="shared" si="8"/>
        <v/>
      </c>
      <c r="R52" s="1" t="str">
        <f t="shared" si="8"/>
        <v/>
      </c>
      <c r="S52" s="1" t="str">
        <f t="shared" si="8"/>
        <v/>
      </c>
      <c r="T52" s="221" t="s">
        <v>160</v>
      </c>
      <c r="U52" s="69" t="s">
        <v>161</v>
      </c>
      <c r="V52" s="23">
        <v>1</v>
      </c>
      <c r="W52" s="30" t="s">
        <v>140</v>
      </c>
      <c r="X52" s="31"/>
      <c r="Y52" s="19"/>
      <c r="Z52" s="85">
        <v>39</v>
      </c>
      <c r="AA52" s="64"/>
      <c r="AB52" s="152"/>
      <c r="AC52" s="152"/>
      <c r="AD52" s="73"/>
      <c r="AE52" s="56"/>
      <c r="AF52" s="631" t="s">
        <v>141</v>
      </c>
      <c r="AG52" s="359" t="s">
        <v>142</v>
      </c>
      <c r="AH52" s="367" t="s">
        <v>143</v>
      </c>
      <c r="AI52" s="1" t="s">
        <v>126</v>
      </c>
      <c r="AJ52" s="1" t="s">
        <v>126</v>
      </c>
      <c r="AK52" s="1" t="s">
        <v>126</v>
      </c>
      <c r="AL52" s="1" t="s">
        <v>126</v>
      </c>
      <c r="AM52" s="396"/>
    </row>
    <row r="53" spans="1:39" s="86" customFormat="1">
      <c r="A53" s="221" t="s">
        <v>162</v>
      </c>
      <c r="B53" s="69" t="s">
        <v>163</v>
      </c>
      <c r="C53" s="23">
        <v>1</v>
      </c>
      <c r="D53" s="30" t="s">
        <v>140</v>
      </c>
      <c r="E53" s="31"/>
      <c r="F53" s="19"/>
      <c r="G53" s="85">
        <v>51</v>
      </c>
      <c r="H53" s="64"/>
      <c r="I53" s="152"/>
      <c r="J53" s="152"/>
      <c r="K53" s="73"/>
      <c r="L53" s="56"/>
      <c r="M53" s="631" t="s">
        <v>141</v>
      </c>
      <c r="N53" s="359" t="s">
        <v>142</v>
      </c>
      <c r="O53" s="367" t="s">
        <v>143</v>
      </c>
      <c r="P53" s="1" t="str">
        <f t="shared" si="8"/>
        <v/>
      </c>
      <c r="Q53" s="1" t="str">
        <f t="shared" si="8"/>
        <v/>
      </c>
      <c r="R53" s="1" t="str">
        <f t="shared" si="8"/>
        <v/>
      </c>
      <c r="S53" s="1" t="str">
        <f t="shared" si="8"/>
        <v/>
      </c>
      <c r="T53" s="221" t="s">
        <v>162</v>
      </c>
      <c r="U53" s="69" t="s">
        <v>163</v>
      </c>
      <c r="V53" s="23">
        <v>1</v>
      </c>
      <c r="W53" s="30" t="s">
        <v>140</v>
      </c>
      <c r="X53" s="31"/>
      <c r="Y53" s="19"/>
      <c r="Z53" s="85">
        <v>51</v>
      </c>
      <c r="AA53" s="64"/>
      <c r="AB53" s="152"/>
      <c r="AC53" s="152"/>
      <c r="AD53" s="73"/>
      <c r="AE53" s="56"/>
      <c r="AF53" s="631" t="s">
        <v>141</v>
      </c>
      <c r="AG53" s="359" t="s">
        <v>142</v>
      </c>
      <c r="AH53" s="367" t="s">
        <v>143</v>
      </c>
      <c r="AI53" s="1" t="s">
        <v>126</v>
      </c>
      <c r="AJ53" s="1" t="s">
        <v>126</v>
      </c>
      <c r="AK53" s="1" t="s">
        <v>126</v>
      </c>
      <c r="AL53" s="1" t="s">
        <v>126</v>
      </c>
      <c r="AM53" s="396"/>
    </row>
    <row r="54" spans="1:39" s="86" customFormat="1">
      <c r="A54" s="221" t="s">
        <v>164</v>
      </c>
      <c r="B54" s="69" t="s">
        <v>165</v>
      </c>
      <c r="C54" s="23">
        <v>1</v>
      </c>
      <c r="D54" s="30" t="s">
        <v>140</v>
      </c>
      <c r="E54" s="31"/>
      <c r="F54" s="19"/>
      <c r="G54" s="85">
        <v>68</v>
      </c>
      <c r="H54" s="64"/>
      <c r="I54" s="152"/>
      <c r="J54" s="152"/>
      <c r="K54" s="73"/>
      <c r="L54" s="56"/>
      <c r="M54" s="631" t="s">
        <v>141</v>
      </c>
      <c r="N54" s="359" t="s">
        <v>142</v>
      </c>
      <c r="O54" s="367" t="s">
        <v>143</v>
      </c>
      <c r="P54" s="1" t="str">
        <f t="shared" si="8"/>
        <v/>
      </c>
      <c r="Q54" s="1" t="str">
        <f t="shared" si="8"/>
        <v/>
      </c>
      <c r="R54" s="1" t="str">
        <f t="shared" si="8"/>
        <v/>
      </c>
      <c r="S54" s="1" t="str">
        <f t="shared" si="8"/>
        <v/>
      </c>
      <c r="T54" s="221" t="s">
        <v>164</v>
      </c>
      <c r="U54" s="69" t="s">
        <v>165</v>
      </c>
      <c r="V54" s="23">
        <v>1</v>
      </c>
      <c r="W54" s="30" t="s">
        <v>140</v>
      </c>
      <c r="X54" s="31"/>
      <c r="Y54" s="19"/>
      <c r="Z54" s="85">
        <v>68</v>
      </c>
      <c r="AA54" s="64"/>
      <c r="AB54" s="152"/>
      <c r="AC54" s="152"/>
      <c r="AD54" s="73"/>
      <c r="AE54" s="56"/>
      <c r="AF54" s="631" t="s">
        <v>141</v>
      </c>
      <c r="AG54" s="359" t="s">
        <v>142</v>
      </c>
      <c r="AH54" s="367" t="s">
        <v>143</v>
      </c>
      <c r="AI54" s="1" t="s">
        <v>126</v>
      </c>
      <c r="AJ54" s="1" t="s">
        <v>126</v>
      </c>
      <c r="AK54" s="1" t="s">
        <v>126</v>
      </c>
      <c r="AL54" s="1" t="s">
        <v>126</v>
      </c>
      <c r="AM54" s="396"/>
    </row>
    <row r="55" spans="1:39" s="75" customFormat="1">
      <c r="A55" s="222" t="s">
        <v>166</v>
      </c>
      <c r="B55" s="352" t="s">
        <v>167</v>
      </c>
      <c r="C55" s="97">
        <v>1</v>
      </c>
      <c r="D55" s="34" t="s">
        <v>140</v>
      </c>
      <c r="E55" s="35"/>
      <c r="F55" s="38"/>
      <c r="G55" s="99">
        <v>383</v>
      </c>
      <c r="H55" s="99"/>
      <c r="I55" s="98"/>
      <c r="J55" s="98"/>
      <c r="K55" s="35"/>
      <c r="L55" s="98"/>
      <c r="M55" s="631" t="s">
        <v>141</v>
      </c>
      <c r="N55" s="359" t="s">
        <v>142</v>
      </c>
      <c r="O55" s="558" t="s">
        <v>143</v>
      </c>
      <c r="P55" s="1" t="str">
        <f t="shared" si="8"/>
        <v/>
      </c>
      <c r="Q55" s="1" t="str">
        <f t="shared" si="8"/>
        <v/>
      </c>
      <c r="R55" s="1" t="str">
        <f t="shared" si="8"/>
        <v/>
      </c>
      <c r="S55" s="1" t="str">
        <f t="shared" si="8"/>
        <v/>
      </c>
      <c r="T55" s="222" t="s">
        <v>166</v>
      </c>
      <c r="U55" s="352" t="s">
        <v>167</v>
      </c>
      <c r="V55" s="97">
        <v>1</v>
      </c>
      <c r="W55" s="34" t="s">
        <v>140</v>
      </c>
      <c r="X55" s="35"/>
      <c r="Y55" s="38"/>
      <c r="Z55" s="99">
        <v>383</v>
      </c>
      <c r="AA55" s="99"/>
      <c r="AB55" s="98"/>
      <c r="AC55" s="98"/>
      <c r="AD55" s="35"/>
      <c r="AE55" s="98"/>
      <c r="AF55" s="631" t="s">
        <v>141</v>
      </c>
      <c r="AG55" s="359" t="s">
        <v>142</v>
      </c>
      <c r="AH55" s="558" t="s">
        <v>143</v>
      </c>
      <c r="AI55" s="1" t="s">
        <v>126</v>
      </c>
      <c r="AJ55" s="1" t="s">
        <v>126</v>
      </c>
      <c r="AK55" s="1" t="s">
        <v>126</v>
      </c>
      <c r="AL55" s="1" t="s">
        <v>126</v>
      </c>
      <c r="AM55" s="376"/>
    </row>
    <row r="56" spans="1:39">
      <c r="A56" s="221" t="s">
        <v>168</v>
      </c>
      <c r="B56" s="69" t="s">
        <v>169</v>
      </c>
      <c r="C56" s="23">
        <v>1</v>
      </c>
      <c r="D56" s="30" t="s">
        <v>140</v>
      </c>
      <c r="E56" s="31"/>
      <c r="F56" s="19"/>
      <c r="G56" s="85">
        <v>509</v>
      </c>
      <c r="H56" s="85"/>
      <c r="I56" s="56"/>
      <c r="J56" s="56"/>
      <c r="K56" s="14"/>
      <c r="L56" s="56"/>
      <c r="M56" s="631" t="s">
        <v>141</v>
      </c>
      <c r="N56" s="359" t="s">
        <v>142</v>
      </c>
      <c r="O56" s="363" t="s">
        <v>143</v>
      </c>
      <c r="P56" s="1" t="str">
        <f t="shared" si="8"/>
        <v/>
      </c>
      <c r="Q56" s="1" t="str">
        <f t="shared" si="8"/>
        <v/>
      </c>
      <c r="R56" s="1" t="str">
        <f t="shared" si="8"/>
        <v/>
      </c>
      <c r="S56" s="1" t="str">
        <f t="shared" si="8"/>
        <v/>
      </c>
      <c r="T56" s="221" t="s">
        <v>168</v>
      </c>
      <c r="U56" s="69" t="s">
        <v>169</v>
      </c>
      <c r="V56" s="23">
        <v>1</v>
      </c>
      <c r="W56" s="30" t="s">
        <v>140</v>
      </c>
      <c r="X56" s="31"/>
      <c r="Y56" s="19"/>
      <c r="Z56" s="85">
        <v>509</v>
      </c>
      <c r="AA56" s="85"/>
      <c r="AB56" s="56"/>
      <c r="AC56" s="56"/>
      <c r="AD56" s="14"/>
      <c r="AE56" s="56"/>
      <c r="AF56" s="631" t="s">
        <v>141</v>
      </c>
      <c r="AG56" s="359" t="s">
        <v>142</v>
      </c>
      <c r="AH56" s="363" t="s">
        <v>143</v>
      </c>
      <c r="AI56" s="1" t="s">
        <v>126</v>
      </c>
      <c r="AJ56" s="1" t="s">
        <v>126</v>
      </c>
      <c r="AK56" s="1" t="s">
        <v>126</v>
      </c>
      <c r="AL56" s="1" t="s">
        <v>126</v>
      </c>
      <c r="AM56" s="374"/>
    </row>
    <row r="57" spans="1:39">
      <c r="A57" s="221" t="s">
        <v>170</v>
      </c>
      <c r="B57" s="69" t="s">
        <v>171</v>
      </c>
      <c r="C57" s="23">
        <v>1</v>
      </c>
      <c r="D57" s="30" t="s">
        <v>140</v>
      </c>
      <c r="E57" s="31"/>
      <c r="F57" s="19"/>
      <c r="G57" s="24">
        <v>137.59</v>
      </c>
      <c r="H57" s="68"/>
      <c r="I57" s="56"/>
      <c r="J57" s="56"/>
      <c r="K57" s="14"/>
      <c r="L57" s="56"/>
      <c r="M57" s="631" t="s">
        <v>141</v>
      </c>
      <c r="N57" s="359" t="s">
        <v>142</v>
      </c>
      <c r="O57" s="363" t="s">
        <v>143</v>
      </c>
      <c r="P57" s="1" t="str">
        <f t="shared" si="8"/>
        <v/>
      </c>
      <c r="Q57" s="1" t="str">
        <f t="shared" si="8"/>
        <v/>
      </c>
      <c r="R57" s="1" t="str">
        <f t="shared" si="8"/>
        <v/>
      </c>
      <c r="S57" s="1" t="str">
        <f t="shared" si="8"/>
        <v/>
      </c>
      <c r="T57" s="221" t="s">
        <v>170</v>
      </c>
      <c r="U57" s="69" t="s">
        <v>171</v>
      </c>
      <c r="V57" s="23">
        <v>1</v>
      </c>
      <c r="W57" s="30" t="s">
        <v>140</v>
      </c>
      <c r="X57" s="31"/>
      <c r="Y57" s="19"/>
      <c r="Z57" s="24">
        <v>137.59</v>
      </c>
      <c r="AA57" s="68"/>
      <c r="AB57" s="56"/>
      <c r="AC57" s="56"/>
      <c r="AD57" s="14"/>
      <c r="AE57" s="56"/>
      <c r="AF57" s="631" t="s">
        <v>141</v>
      </c>
      <c r="AG57" s="359" t="s">
        <v>142</v>
      </c>
      <c r="AH57" s="363" t="s">
        <v>143</v>
      </c>
      <c r="AI57" s="1" t="s">
        <v>126</v>
      </c>
      <c r="AJ57" s="1" t="s">
        <v>126</v>
      </c>
      <c r="AK57" s="1" t="s">
        <v>126</v>
      </c>
      <c r="AL57" s="1" t="s">
        <v>126</v>
      </c>
      <c r="AM57" s="374"/>
    </row>
    <row r="58" spans="1:39">
      <c r="A58" s="221" t="s">
        <v>172</v>
      </c>
      <c r="B58" s="69" t="s">
        <v>173</v>
      </c>
      <c r="C58" s="23">
        <v>1</v>
      </c>
      <c r="D58" s="30" t="s">
        <v>140</v>
      </c>
      <c r="E58" s="31"/>
      <c r="F58" s="19"/>
      <c r="G58" s="24">
        <v>221.92</v>
      </c>
      <c r="H58" s="68"/>
      <c r="I58" s="56"/>
      <c r="J58" s="56"/>
      <c r="K58" s="14"/>
      <c r="L58" s="56"/>
      <c r="M58" s="631" t="s">
        <v>141</v>
      </c>
      <c r="N58" s="359" t="s">
        <v>142</v>
      </c>
      <c r="O58" s="363" t="s">
        <v>143</v>
      </c>
      <c r="P58" s="1" t="str">
        <f t="shared" si="8"/>
        <v/>
      </c>
      <c r="Q58" s="1" t="str">
        <f t="shared" si="8"/>
        <v/>
      </c>
      <c r="R58" s="1" t="str">
        <f t="shared" si="8"/>
        <v/>
      </c>
      <c r="S58" s="1" t="str">
        <f t="shared" si="8"/>
        <v/>
      </c>
      <c r="T58" s="221" t="s">
        <v>172</v>
      </c>
      <c r="U58" s="69" t="s">
        <v>173</v>
      </c>
      <c r="V58" s="23">
        <v>1</v>
      </c>
      <c r="W58" s="30" t="s">
        <v>140</v>
      </c>
      <c r="X58" s="31"/>
      <c r="Y58" s="19"/>
      <c r="Z58" s="24">
        <v>221.92</v>
      </c>
      <c r="AA58" s="68"/>
      <c r="AB58" s="56"/>
      <c r="AC58" s="56"/>
      <c r="AD58" s="14"/>
      <c r="AE58" s="56"/>
      <c r="AF58" s="631" t="s">
        <v>141</v>
      </c>
      <c r="AG58" s="359" t="s">
        <v>142</v>
      </c>
      <c r="AH58" s="363" t="s">
        <v>143</v>
      </c>
      <c r="AI58" s="1" t="s">
        <v>126</v>
      </c>
      <c r="AJ58" s="1" t="s">
        <v>126</v>
      </c>
      <c r="AK58" s="1" t="s">
        <v>126</v>
      </c>
      <c r="AL58" s="1" t="s">
        <v>126</v>
      </c>
      <c r="AM58" s="374"/>
    </row>
    <row r="59" spans="1:39" s="86" customFormat="1" ht="18.75">
      <c r="A59" s="448" t="s">
        <v>203</v>
      </c>
      <c r="B59" s="549" t="s">
        <v>175</v>
      </c>
      <c r="C59" s="440"/>
      <c r="D59" s="441"/>
      <c r="E59" s="441"/>
      <c r="F59" s="442"/>
      <c r="G59" s="443"/>
      <c r="H59" s="444"/>
      <c r="I59" s="445"/>
      <c r="J59" s="445"/>
      <c r="K59" s="443"/>
      <c r="L59" s="446"/>
      <c r="M59" s="629"/>
      <c r="N59" s="447"/>
      <c r="O59" s="446"/>
      <c r="P59" s="446"/>
      <c r="Q59" s="446"/>
      <c r="R59" s="446"/>
      <c r="S59" s="446"/>
      <c r="T59" s="448" t="s">
        <v>204</v>
      </c>
      <c r="U59" s="549" t="s">
        <v>177</v>
      </c>
      <c r="V59" s="440"/>
      <c r="W59" s="441"/>
      <c r="X59" s="441"/>
      <c r="Y59" s="442"/>
      <c r="Z59" s="443"/>
      <c r="AA59" s="444"/>
      <c r="AB59" s="445"/>
      <c r="AC59" s="445"/>
      <c r="AD59" s="443"/>
      <c r="AE59" s="446"/>
      <c r="AF59" s="629"/>
      <c r="AG59" s="447"/>
      <c r="AH59" s="446"/>
      <c r="AI59" s="446"/>
      <c r="AJ59" s="446"/>
      <c r="AK59" s="446"/>
      <c r="AL59" s="446"/>
      <c r="AM59" s="396"/>
    </row>
    <row r="60" spans="1:39" s="86" customFormat="1">
      <c r="A60" s="206" t="s">
        <v>205</v>
      </c>
      <c r="B60" s="52" t="s">
        <v>206</v>
      </c>
      <c r="C60" s="53">
        <v>1</v>
      </c>
      <c r="D60" s="70" t="s">
        <v>118</v>
      </c>
      <c r="E60" s="62">
        <v>1332.2</v>
      </c>
      <c r="F60" s="66">
        <f>rv_mba_mg</f>
        <v>0.17599999999999999</v>
      </c>
      <c r="G60" s="208">
        <f t="shared" ref="G60:G69" si="9">E60-(E60*F60)</f>
        <v>1097.7328</v>
      </c>
      <c r="H60" s="284" t="s">
        <v>207</v>
      </c>
      <c r="I60" s="63">
        <v>65.84</v>
      </c>
      <c r="J60" s="63">
        <f>G60+I60</f>
        <v>1163.5727999999999</v>
      </c>
      <c r="K60" s="63" t="s">
        <v>120</v>
      </c>
      <c r="L60" s="63">
        <v>0.3</v>
      </c>
      <c r="M60" s="630" t="s">
        <v>208</v>
      </c>
      <c r="N60" s="380" t="s">
        <v>122</v>
      </c>
      <c r="O60" s="385" t="s">
        <v>123</v>
      </c>
      <c r="P60" s="90">
        <f t="shared" ref="P60:S60" si="10">+IF($J60&lt;&gt;"",P$2*$J60,"")</f>
        <v>234.23738274608723</v>
      </c>
      <c r="Q60" s="90">
        <f t="shared" si="10"/>
        <v>121.73468070496598</v>
      </c>
      <c r="R60" s="90">
        <f t="shared" si="10"/>
        <v>88.412274713460363</v>
      </c>
      <c r="S60" s="90">
        <f t="shared" si="10"/>
        <v>76.294168434680927</v>
      </c>
      <c r="T60" s="206" t="s">
        <v>205</v>
      </c>
      <c r="U60" s="52" t="s">
        <v>206</v>
      </c>
      <c r="V60" s="53">
        <v>1</v>
      </c>
      <c r="W60" s="70" t="s">
        <v>118</v>
      </c>
      <c r="X60" s="62">
        <v>1332.2</v>
      </c>
      <c r="Y60" s="66">
        <v>0.17599999999999999</v>
      </c>
      <c r="Z60" s="208">
        <v>1097.7328</v>
      </c>
      <c r="AA60" s="284" t="s">
        <v>207</v>
      </c>
      <c r="AB60" s="63">
        <v>65.84</v>
      </c>
      <c r="AC60" s="63">
        <v>1163.5727999999999</v>
      </c>
      <c r="AD60" s="63" t="s">
        <v>120</v>
      </c>
      <c r="AE60" s="63">
        <v>0.3</v>
      </c>
      <c r="AF60" s="630" t="s">
        <v>208</v>
      </c>
      <c r="AG60" s="380" t="s">
        <v>122</v>
      </c>
      <c r="AH60" s="385" t="s">
        <v>123</v>
      </c>
      <c r="AI60" s="90">
        <v>234.23738274608723</v>
      </c>
      <c r="AJ60" s="90">
        <v>121.73468070496598</v>
      </c>
      <c r="AK60" s="90">
        <v>88.412274713460363</v>
      </c>
      <c r="AL60" s="90">
        <v>76.294168434680927</v>
      </c>
      <c r="AM60" s="396"/>
    </row>
    <row r="61" spans="1:39" s="86" customFormat="1">
      <c r="A61" s="241" t="s">
        <v>209</v>
      </c>
      <c r="B61" s="238" t="s">
        <v>210</v>
      </c>
      <c r="C61" s="239">
        <v>1</v>
      </c>
      <c r="D61" s="85" t="s">
        <v>118</v>
      </c>
      <c r="E61" s="224">
        <v>191.67</v>
      </c>
      <c r="F61" s="575">
        <f t="shared" ref="F61:F69" si="11">rv_mba_mg_cto</f>
        <v>0.17599999999999999</v>
      </c>
      <c r="G61" s="576">
        <f t="shared" si="9"/>
        <v>157.93608</v>
      </c>
      <c r="H61" s="152"/>
      <c r="I61" s="152"/>
      <c r="J61" s="152"/>
      <c r="K61" s="73"/>
      <c r="L61" s="152"/>
      <c r="M61" s="631" t="s">
        <v>208</v>
      </c>
      <c r="N61" s="359" t="s">
        <v>122</v>
      </c>
      <c r="O61" s="367" t="s">
        <v>123</v>
      </c>
      <c r="P61" s="1"/>
      <c r="Q61" s="1"/>
      <c r="R61" s="1"/>
      <c r="S61" s="1"/>
      <c r="T61" s="241" t="s">
        <v>209</v>
      </c>
      <c r="U61" s="238" t="s">
        <v>210</v>
      </c>
      <c r="V61" s="239">
        <v>1</v>
      </c>
      <c r="W61" s="85" t="s">
        <v>118</v>
      </c>
      <c r="X61" s="224">
        <v>191.67</v>
      </c>
      <c r="Y61" s="575">
        <v>0.17599999999999999</v>
      </c>
      <c r="Z61" s="576">
        <v>157.93608</v>
      </c>
      <c r="AA61" s="152"/>
      <c r="AB61" s="152"/>
      <c r="AC61" s="152"/>
      <c r="AD61" s="73"/>
      <c r="AE61" s="152"/>
      <c r="AF61" s="631" t="s">
        <v>208</v>
      </c>
      <c r="AG61" s="359" t="s">
        <v>122</v>
      </c>
      <c r="AH61" s="367" t="s">
        <v>123</v>
      </c>
      <c r="AI61" s="1"/>
      <c r="AJ61" s="1"/>
      <c r="AK61" s="1"/>
      <c r="AL61" s="1"/>
      <c r="AM61" s="396"/>
    </row>
    <row r="62" spans="1:39" s="86" customFormat="1">
      <c r="A62" s="241" t="s">
        <v>211</v>
      </c>
      <c r="B62" s="238" t="s">
        <v>212</v>
      </c>
      <c r="C62" s="239">
        <v>1</v>
      </c>
      <c r="D62" s="85" t="s">
        <v>118</v>
      </c>
      <c r="E62" s="224">
        <v>383.33</v>
      </c>
      <c r="F62" s="575">
        <f t="shared" si="11"/>
        <v>0.17599999999999999</v>
      </c>
      <c r="G62" s="576">
        <f t="shared" si="9"/>
        <v>315.86392000000001</v>
      </c>
      <c r="H62" s="152"/>
      <c r="I62" s="152"/>
      <c r="J62" s="152"/>
      <c r="K62" s="73"/>
      <c r="L62" s="152"/>
      <c r="M62" s="631" t="s">
        <v>208</v>
      </c>
      <c r="N62" s="359" t="s">
        <v>122</v>
      </c>
      <c r="O62" s="367" t="s">
        <v>123</v>
      </c>
      <c r="P62" s="1"/>
      <c r="Q62" s="1"/>
      <c r="R62" s="1"/>
      <c r="S62" s="1"/>
      <c r="T62" s="241" t="s">
        <v>211</v>
      </c>
      <c r="U62" s="238" t="s">
        <v>212</v>
      </c>
      <c r="V62" s="239">
        <v>1</v>
      </c>
      <c r="W62" s="85" t="s">
        <v>118</v>
      </c>
      <c r="X62" s="224">
        <v>383.33</v>
      </c>
      <c r="Y62" s="575">
        <v>0.17599999999999999</v>
      </c>
      <c r="Z62" s="576">
        <v>315.86392000000001</v>
      </c>
      <c r="AA62" s="152"/>
      <c r="AB62" s="152"/>
      <c r="AC62" s="152"/>
      <c r="AD62" s="73"/>
      <c r="AE62" s="152"/>
      <c r="AF62" s="631" t="s">
        <v>208</v>
      </c>
      <c r="AG62" s="359" t="s">
        <v>122</v>
      </c>
      <c r="AH62" s="367" t="s">
        <v>123</v>
      </c>
      <c r="AI62" s="1"/>
      <c r="AJ62" s="1"/>
      <c r="AK62" s="1"/>
      <c r="AL62" s="1"/>
      <c r="AM62" s="396"/>
    </row>
    <row r="63" spans="1:39" s="86" customFormat="1">
      <c r="A63" s="241" t="s">
        <v>213</v>
      </c>
      <c r="B63" s="238" t="s">
        <v>214</v>
      </c>
      <c r="C63" s="239">
        <v>1</v>
      </c>
      <c r="D63" s="85" t="s">
        <v>118</v>
      </c>
      <c r="E63" s="224">
        <v>191.67</v>
      </c>
      <c r="F63" s="575">
        <f t="shared" si="11"/>
        <v>0.17599999999999999</v>
      </c>
      <c r="G63" s="576">
        <f t="shared" si="9"/>
        <v>157.93608</v>
      </c>
      <c r="H63" s="152"/>
      <c r="I63" s="152"/>
      <c r="J63" s="152"/>
      <c r="K63" s="73"/>
      <c r="L63" s="152"/>
      <c r="M63" s="631" t="s">
        <v>208</v>
      </c>
      <c r="N63" s="359" t="s">
        <v>122</v>
      </c>
      <c r="O63" s="367" t="s">
        <v>123</v>
      </c>
      <c r="P63" s="1"/>
      <c r="Q63" s="1"/>
      <c r="R63" s="1"/>
      <c r="S63" s="1"/>
      <c r="T63" s="241" t="s">
        <v>213</v>
      </c>
      <c r="U63" s="238" t="s">
        <v>214</v>
      </c>
      <c r="V63" s="239">
        <v>1</v>
      </c>
      <c r="W63" s="85" t="s">
        <v>118</v>
      </c>
      <c r="X63" s="224">
        <v>191.67</v>
      </c>
      <c r="Y63" s="575">
        <v>0.17599999999999999</v>
      </c>
      <c r="Z63" s="576">
        <v>157.93608</v>
      </c>
      <c r="AA63" s="152"/>
      <c r="AB63" s="152"/>
      <c r="AC63" s="152"/>
      <c r="AD63" s="73"/>
      <c r="AE63" s="152"/>
      <c r="AF63" s="631" t="s">
        <v>208</v>
      </c>
      <c r="AG63" s="359" t="s">
        <v>122</v>
      </c>
      <c r="AH63" s="367" t="s">
        <v>123</v>
      </c>
      <c r="AI63" s="1"/>
      <c r="AJ63" s="1"/>
      <c r="AK63" s="1"/>
      <c r="AL63" s="1"/>
      <c r="AM63" s="396"/>
    </row>
    <row r="64" spans="1:39" s="86" customFormat="1">
      <c r="A64" s="241" t="s">
        <v>215</v>
      </c>
      <c r="B64" s="238" t="s">
        <v>216</v>
      </c>
      <c r="C64" s="239">
        <v>1</v>
      </c>
      <c r="D64" s="85" t="s">
        <v>118</v>
      </c>
      <c r="E64" s="224">
        <v>383.33</v>
      </c>
      <c r="F64" s="575">
        <f t="shared" si="11"/>
        <v>0.17599999999999999</v>
      </c>
      <c r="G64" s="576">
        <f t="shared" si="9"/>
        <v>315.86392000000001</v>
      </c>
      <c r="H64" s="152"/>
      <c r="I64" s="152"/>
      <c r="J64" s="152"/>
      <c r="K64" s="73"/>
      <c r="L64" s="152"/>
      <c r="M64" s="631" t="s">
        <v>208</v>
      </c>
      <c r="N64" s="359" t="s">
        <v>122</v>
      </c>
      <c r="O64" s="367" t="s">
        <v>123</v>
      </c>
      <c r="P64" s="1"/>
      <c r="Q64" s="1"/>
      <c r="R64" s="1"/>
      <c r="S64" s="1"/>
      <c r="T64" s="241" t="s">
        <v>215</v>
      </c>
      <c r="U64" s="238" t="s">
        <v>216</v>
      </c>
      <c r="V64" s="239">
        <v>1</v>
      </c>
      <c r="W64" s="85" t="s">
        <v>118</v>
      </c>
      <c r="X64" s="224">
        <v>383.33</v>
      </c>
      <c r="Y64" s="575">
        <v>0.17599999999999999</v>
      </c>
      <c r="Z64" s="576">
        <v>315.86392000000001</v>
      </c>
      <c r="AA64" s="152"/>
      <c r="AB64" s="152"/>
      <c r="AC64" s="152"/>
      <c r="AD64" s="73"/>
      <c r="AE64" s="152"/>
      <c r="AF64" s="631" t="s">
        <v>208</v>
      </c>
      <c r="AG64" s="359" t="s">
        <v>122</v>
      </c>
      <c r="AH64" s="367" t="s">
        <v>123</v>
      </c>
      <c r="AI64" s="1"/>
      <c r="AJ64" s="1"/>
      <c r="AK64" s="1"/>
      <c r="AL64" s="1"/>
      <c r="AM64" s="396"/>
    </row>
    <row r="65" spans="1:39" s="86" customFormat="1">
      <c r="A65" s="241" t="s">
        <v>217</v>
      </c>
      <c r="B65" s="238" t="s">
        <v>218</v>
      </c>
      <c r="C65" s="239">
        <v>1</v>
      </c>
      <c r="D65" s="85" t="s">
        <v>118</v>
      </c>
      <c r="E65" s="224">
        <v>766.67</v>
      </c>
      <c r="F65" s="575">
        <f t="shared" si="11"/>
        <v>0.17599999999999999</v>
      </c>
      <c r="G65" s="576">
        <f t="shared" si="9"/>
        <v>631.73608000000002</v>
      </c>
      <c r="H65" s="152"/>
      <c r="I65" s="149"/>
      <c r="J65" s="149"/>
      <c r="K65" s="64"/>
      <c r="L65" s="149"/>
      <c r="M65" s="631" t="s">
        <v>208</v>
      </c>
      <c r="N65" s="359" t="s">
        <v>122</v>
      </c>
      <c r="O65" s="367" t="s">
        <v>123</v>
      </c>
      <c r="P65" s="1"/>
      <c r="Q65" s="1"/>
      <c r="R65" s="1"/>
      <c r="S65" s="1"/>
      <c r="T65" s="241" t="s">
        <v>217</v>
      </c>
      <c r="U65" s="238" t="s">
        <v>218</v>
      </c>
      <c r="V65" s="239">
        <v>1</v>
      </c>
      <c r="W65" s="85" t="s">
        <v>118</v>
      </c>
      <c r="X65" s="224">
        <v>766.67</v>
      </c>
      <c r="Y65" s="575">
        <v>0.17599999999999999</v>
      </c>
      <c r="Z65" s="576">
        <v>631.73608000000002</v>
      </c>
      <c r="AA65" s="152"/>
      <c r="AB65" s="149"/>
      <c r="AC65" s="149"/>
      <c r="AD65" s="64"/>
      <c r="AE65" s="149"/>
      <c r="AF65" s="631" t="s">
        <v>208</v>
      </c>
      <c r="AG65" s="359" t="s">
        <v>122</v>
      </c>
      <c r="AH65" s="367" t="s">
        <v>123</v>
      </c>
      <c r="AI65" s="1"/>
      <c r="AJ65" s="1"/>
      <c r="AK65" s="1"/>
      <c r="AL65" s="1"/>
      <c r="AM65" s="396"/>
    </row>
    <row r="66" spans="1:39" s="86" customFormat="1">
      <c r="A66" s="241" t="s">
        <v>219</v>
      </c>
      <c r="B66" s="238" t="s">
        <v>220</v>
      </c>
      <c r="C66" s="239">
        <v>1</v>
      </c>
      <c r="D66" s="85" t="s">
        <v>118</v>
      </c>
      <c r="E66" s="224">
        <v>0</v>
      </c>
      <c r="F66" s="575">
        <f t="shared" si="11"/>
        <v>0.17599999999999999</v>
      </c>
      <c r="G66" s="576">
        <f t="shared" si="9"/>
        <v>0</v>
      </c>
      <c r="H66" s="152"/>
      <c r="I66" s="152"/>
      <c r="J66" s="152"/>
      <c r="K66" s="73"/>
      <c r="L66" s="152"/>
      <c r="M66" s="631" t="s">
        <v>208</v>
      </c>
      <c r="N66" s="359" t="s">
        <v>122</v>
      </c>
      <c r="O66" s="367" t="s">
        <v>123</v>
      </c>
      <c r="P66" s="1"/>
      <c r="Q66" s="1"/>
      <c r="R66" s="1"/>
      <c r="S66" s="1"/>
      <c r="T66" s="241" t="s">
        <v>219</v>
      </c>
      <c r="U66" s="238" t="s">
        <v>220</v>
      </c>
      <c r="V66" s="239">
        <v>1</v>
      </c>
      <c r="W66" s="85" t="s">
        <v>118</v>
      </c>
      <c r="X66" s="224">
        <v>0</v>
      </c>
      <c r="Y66" s="575">
        <v>0.17599999999999999</v>
      </c>
      <c r="Z66" s="576">
        <v>0</v>
      </c>
      <c r="AA66" s="152"/>
      <c r="AB66" s="152"/>
      <c r="AC66" s="152"/>
      <c r="AD66" s="73"/>
      <c r="AE66" s="152"/>
      <c r="AF66" s="631" t="s">
        <v>208</v>
      </c>
      <c r="AG66" s="359" t="s">
        <v>122</v>
      </c>
      <c r="AH66" s="367" t="s">
        <v>123</v>
      </c>
      <c r="AI66" s="1"/>
      <c r="AJ66" s="1"/>
      <c r="AK66" s="1"/>
      <c r="AL66" s="1"/>
      <c r="AM66" s="396"/>
    </row>
    <row r="67" spans="1:39" s="86" customFormat="1">
      <c r="A67" s="241" t="s">
        <v>221</v>
      </c>
      <c r="B67" s="238" t="s">
        <v>222</v>
      </c>
      <c r="C67" s="239">
        <v>1</v>
      </c>
      <c r="D67" s="85" t="s">
        <v>118</v>
      </c>
      <c r="E67" s="224">
        <v>0</v>
      </c>
      <c r="F67" s="575">
        <f t="shared" si="11"/>
        <v>0.17599999999999999</v>
      </c>
      <c r="G67" s="576">
        <f t="shared" si="9"/>
        <v>0</v>
      </c>
      <c r="H67" s="152"/>
      <c r="I67" s="152"/>
      <c r="J67" s="152"/>
      <c r="K67" s="73"/>
      <c r="L67" s="152"/>
      <c r="M67" s="631" t="s">
        <v>208</v>
      </c>
      <c r="N67" s="359" t="s">
        <v>122</v>
      </c>
      <c r="O67" s="367" t="s">
        <v>123</v>
      </c>
      <c r="P67" s="1"/>
      <c r="Q67" s="1"/>
      <c r="R67" s="1"/>
      <c r="S67" s="1"/>
      <c r="T67" s="241" t="s">
        <v>221</v>
      </c>
      <c r="U67" s="238" t="s">
        <v>222</v>
      </c>
      <c r="V67" s="239">
        <v>1</v>
      </c>
      <c r="W67" s="85" t="s">
        <v>118</v>
      </c>
      <c r="X67" s="224">
        <v>0</v>
      </c>
      <c r="Y67" s="575">
        <v>0.17599999999999999</v>
      </c>
      <c r="Z67" s="576">
        <v>0</v>
      </c>
      <c r="AA67" s="152"/>
      <c r="AB67" s="152"/>
      <c r="AC67" s="152"/>
      <c r="AD67" s="73"/>
      <c r="AE67" s="152"/>
      <c r="AF67" s="631" t="s">
        <v>208</v>
      </c>
      <c r="AG67" s="359" t="s">
        <v>122</v>
      </c>
      <c r="AH67" s="367" t="s">
        <v>123</v>
      </c>
      <c r="AI67" s="1"/>
      <c r="AJ67" s="1"/>
      <c r="AK67" s="1"/>
      <c r="AL67" s="1"/>
      <c r="AM67" s="396"/>
    </row>
    <row r="68" spans="1:39" s="86" customFormat="1">
      <c r="A68" s="241" t="s">
        <v>223</v>
      </c>
      <c r="B68" s="238" t="s">
        <v>224</v>
      </c>
      <c r="C68" s="239">
        <v>1</v>
      </c>
      <c r="D68" s="85" t="s">
        <v>118</v>
      </c>
      <c r="E68" s="224">
        <v>0</v>
      </c>
      <c r="F68" s="575">
        <f t="shared" si="11"/>
        <v>0.17599999999999999</v>
      </c>
      <c r="G68" s="576">
        <f t="shared" si="9"/>
        <v>0</v>
      </c>
      <c r="H68" s="152"/>
      <c r="I68" s="152"/>
      <c r="J68" s="152"/>
      <c r="K68" s="73"/>
      <c r="L68" s="152"/>
      <c r="M68" s="631" t="s">
        <v>208</v>
      </c>
      <c r="N68" s="359" t="s">
        <v>122</v>
      </c>
      <c r="O68" s="367" t="s">
        <v>123</v>
      </c>
      <c r="P68" s="1"/>
      <c r="Q68" s="1"/>
      <c r="R68" s="1"/>
      <c r="S68" s="1"/>
      <c r="T68" s="241" t="s">
        <v>223</v>
      </c>
      <c r="U68" s="238" t="s">
        <v>224</v>
      </c>
      <c r="V68" s="239">
        <v>1</v>
      </c>
      <c r="W68" s="85" t="s">
        <v>118</v>
      </c>
      <c r="X68" s="224">
        <v>0</v>
      </c>
      <c r="Y68" s="575">
        <v>0.17599999999999999</v>
      </c>
      <c r="Z68" s="576">
        <v>0</v>
      </c>
      <c r="AA68" s="152"/>
      <c r="AB68" s="152"/>
      <c r="AC68" s="152"/>
      <c r="AD68" s="73"/>
      <c r="AE68" s="152"/>
      <c r="AF68" s="631" t="s">
        <v>208</v>
      </c>
      <c r="AG68" s="359" t="s">
        <v>122</v>
      </c>
      <c r="AH68" s="367" t="s">
        <v>123</v>
      </c>
      <c r="AI68" s="1"/>
      <c r="AJ68" s="1"/>
      <c r="AK68" s="1"/>
      <c r="AL68" s="1"/>
      <c r="AM68" s="396"/>
    </row>
    <row r="69" spans="1:39" s="86" customFormat="1">
      <c r="A69" s="241" t="s">
        <v>225</v>
      </c>
      <c r="B69" s="238" t="s">
        <v>226</v>
      </c>
      <c r="C69" s="239">
        <v>1</v>
      </c>
      <c r="D69" s="85" t="s">
        <v>118</v>
      </c>
      <c r="E69" s="224">
        <v>0</v>
      </c>
      <c r="F69" s="575">
        <f t="shared" si="11"/>
        <v>0.17599999999999999</v>
      </c>
      <c r="G69" s="576">
        <f t="shared" si="9"/>
        <v>0</v>
      </c>
      <c r="H69" s="152"/>
      <c r="I69" s="152"/>
      <c r="J69" s="152"/>
      <c r="K69" s="73"/>
      <c r="L69" s="152"/>
      <c r="M69" s="631" t="s">
        <v>208</v>
      </c>
      <c r="N69" s="359" t="s">
        <v>122</v>
      </c>
      <c r="O69" s="367" t="s">
        <v>123</v>
      </c>
      <c r="P69" s="1"/>
      <c r="Q69" s="1"/>
      <c r="R69" s="1"/>
      <c r="S69" s="1"/>
      <c r="T69" s="241" t="s">
        <v>225</v>
      </c>
      <c r="U69" s="238" t="s">
        <v>226</v>
      </c>
      <c r="V69" s="239">
        <v>1</v>
      </c>
      <c r="W69" s="85" t="s">
        <v>118</v>
      </c>
      <c r="X69" s="224">
        <v>0</v>
      </c>
      <c r="Y69" s="575">
        <v>0.17599999999999999</v>
      </c>
      <c r="Z69" s="576">
        <v>0</v>
      </c>
      <c r="AA69" s="152"/>
      <c r="AB69" s="152"/>
      <c r="AC69" s="152"/>
      <c r="AD69" s="73"/>
      <c r="AE69" s="152"/>
      <c r="AF69" s="631" t="s">
        <v>208</v>
      </c>
      <c r="AG69" s="359" t="s">
        <v>122</v>
      </c>
      <c r="AH69" s="367" t="s">
        <v>123</v>
      </c>
      <c r="AI69" s="1"/>
      <c r="AJ69" s="1"/>
      <c r="AK69" s="1"/>
      <c r="AL69" s="1"/>
      <c r="AM69" s="396"/>
    </row>
    <row r="70" spans="1:39" s="86" customFormat="1">
      <c r="A70" s="234" t="s">
        <v>207</v>
      </c>
      <c r="B70" s="109" t="s">
        <v>139</v>
      </c>
      <c r="C70" s="88">
        <v>1</v>
      </c>
      <c r="D70" s="111" t="s">
        <v>140</v>
      </c>
      <c r="E70" s="277">
        <v>79.900000000000006</v>
      </c>
      <c r="F70" s="278">
        <f>rv_mba_mg</f>
        <v>0.17599999999999999</v>
      </c>
      <c r="G70" s="279">
        <f t="shared" ref="G70" si="12">E70-(E70*F70)</f>
        <v>65.837600000000009</v>
      </c>
      <c r="H70" s="149"/>
      <c r="I70" s="152"/>
      <c r="J70" s="152"/>
      <c r="K70" s="152"/>
      <c r="L70" s="152"/>
      <c r="M70" s="630" t="s">
        <v>141</v>
      </c>
      <c r="N70" s="380" t="s">
        <v>142</v>
      </c>
      <c r="O70" s="385" t="s">
        <v>143</v>
      </c>
      <c r="P70" s="90" t="str">
        <f t="shared" ref="P70:S85" si="13">+IF($J70&lt;&gt;"",P$2*$J70,"")</f>
        <v/>
      </c>
      <c r="Q70" s="90" t="str">
        <f t="shared" si="13"/>
        <v/>
      </c>
      <c r="R70" s="90" t="str">
        <f t="shared" si="13"/>
        <v/>
      </c>
      <c r="S70" s="90" t="str">
        <f t="shared" si="13"/>
        <v/>
      </c>
      <c r="T70" s="234" t="s">
        <v>207</v>
      </c>
      <c r="U70" s="109" t="s">
        <v>139</v>
      </c>
      <c r="V70" s="88">
        <v>1</v>
      </c>
      <c r="W70" s="111" t="s">
        <v>140</v>
      </c>
      <c r="X70" s="277">
        <v>79.900000000000006</v>
      </c>
      <c r="Y70" s="278">
        <v>0.17599999999999999</v>
      </c>
      <c r="Z70" s="279">
        <v>65.837600000000009</v>
      </c>
      <c r="AA70" s="149"/>
      <c r="AB70" s="152"/>
      <c r="AC70" s="152"/>
      <c r="AD70" s="152"/>
      <c r="AE70" s="152"/>
      <c r="AF70" s="630" t="s">
        <v>141</v>
      </c>
      <c r="AG70" s="380" t="s">
        <v>142</v>
      </c>
      <c r="AH70" s="385" t="s">
        <v>143</v>
      </c>
      <c r="AI70" s="90" t="s">
        <v>126</v>
      </c>
      <c r="AJ70" s="90" t="s">
        <v>126</v>
      </c>
      <c r="AK70" s="90" t="s">
        <v>126</v>
      </c>
      <c r="AL70" s="90" t="s">
        <v>126</v>
      </c>
      <c r="AM70" s="396"/>
    </row>
    <row r="71" spans="1:39" s="86" customFormat="1">
      <c r="A71" s="241" t="s">
        <v>227</v>
      </c>
      <c r="B71" s="238" t="s">
        <v>145</v>
      </c>
      <c r="C71" s="239">
        <v>1</v>
      </c>
      <c r="D71" s="272" t="s">
        <v>140</v>
      </c>
      <c r="E71" s="224"/>
      <c r="F71" s="226"/>
      <c r="G71" s="85">
        <v>18</v>
      </c>
      <c r="H71" s="24"/>
      <c r="I71" s="152"/>
      <c r="J71" s="152"/>
      <c r="K71" s="73"/>
      <c r="L71" s="56"/>
      <c r="M71" s="631" t="s">
        <v>141</v>
      </c>
      <c r="N71" s="359" t="s">
        <v>142</v>
      </c>
      <c r="O71" s="367" t="s">
        <v>143</v>
      </c>
      <c r="P71" s="1" t="str">
        <f t="shared" si="13"/>
        <v/>
      </c>
      <c r="Q71" s="1" t="str">
        <f t="shared" si="13"/>
        <v/>
      </c>
      <c r="R71" s="1" t="str">
        <f t="shared" si="13"/>
        <v/>
      </c>
      <c r="S71" s="1" t="str">
        <f t="shared" si="13"/>
        <v/>
      </c>
      <c r="T71" s="241" t="s">
        <v>227</v>
      </c>
      <c r="U71" s="238" t="s">
        <v>145</v>
      </c>
      <c r="V71" s="239">
        <v>1</v>
      </c>
      <c r="W71" s="272" t="s">
        <v>140</v>
      </c>
      <c r="X71" s="224"/>
      <c r="Y71" s="226"/>
      <c r="Z71" s="85">
        <v>18</v>
      </c>
      <c r="AA71" s="24"/>
      <c r="AB71" s="152"/>
      <c r="AC71" s="152"/>
      <c r="AD71" s="73"/>
      <c r="AE71" s="56"/>
      <c r="AF71" s="631" t="s">
        <v>141</v>
      </c>
      <c r="AG71" s="359" t="s">
        <v>142</v>
      </c>
      <c r="AH71" s="367" t="s">
        <v>143</v>
      </c>
      <c r="AI71" s="1" t="s">
        <v>126</v>
      </c>
      <c r="AJ71" s="1" t="s">
        <v>126</v>
      </c>
      <c r="AK71" s="1" t="s">
        <v>126</v>
      </c>
      <c r="AL71" s="1" t="s">
        <v>126</v>
      </c>
      <c r="AM71" s="396"/>
    </row>
    <row r="72" spans="1:39" s="86" customFormat="1">
      <c r="A72" s="241" t="s">
        <v>228</v>
      </c>
      <c r="B72" s="238" t="s">
        <v>147</v>
      </c>
      <c r="C72" s="239">
        <v>1</v>
      </c>
      <c r="D72" s="272" t="s">
        <v>140</v>
      </c>
      <c r="E72" s="224"/>
      <c r="F72" s="226"/>
      <c r="G72" s="85">
        <v>26</v>
      </c>
      <c r="H72" s="24"/>
      <c r="I72" s="152"/>
      <c r="J72" s="152"/>
      <c r="K72" s="73"/>
      <c r="L72" s="56"/>
      <c r="M72" s="631" t="s">
        <v>141</v>
      </c>
      <c r="N72" s="359" t="s">
        <v>142</v>
      </c>
      <c r="O72" s="367" t="s">
        <v>143</v>
      </c>
      <c r="P72" s="1" t="str">
        <f t="shared" si="13"/>
        <v/>
      </c>
      <c r="Q72" s="1" t="str">
        <f t="shared" si="13"/>
        <v/>
      </c>
      <c r="R72" s="1" t="str">
        <f t="shared" si="13"/>
        <v/>
      </c>
      <c r="S72" s="1" t="str">
        <f t="shared" si="13"/>
        <v/>
      </c>
      <c r="T72" s="241" t="s">
        <v>228</v>
      </c>
      <c r="U72" s="238" t="s">
        <v>147</v>
      </c>
      <c r="V72" s="239">
        <v>1</v>
      </c>
      <c r="W72" s="272" t="s">
        <v>140</v>
      </c>
      <c r="X72" s="224"/>
      <c r="Y72" s="226"/>
      <c r="Z72" s="85">
        <v>26</v>
      </c>
      <c r="AA72" s="24"/>
      <c r="AB72" s="152"/>
      <c r="AC72" s="152"/>
      <c r="AD72" s="73"/>
      <c r="AE72" s="56"/>
      <c r="AF72" s="631" t="s">
        <v>141</v>
      </c>
      <c r="AG72" s="359" t="s">
        <v>142</v>
      </c>
      <c r="AH72" s="367" t="s">
        <v>143</v>
      </c>
      <c r="AI72" s="1" t="s">
        <v>126</v>
      </c>
      <c r="AJ72" s="1" t="s">
        <v>126</v>
      </c>
      <c r="AK72" s="1" t="s">
        <v>126</v>
      </c>
      <c r="AL72" s="1" t="s">
        <v>126</v>
      </c>
      <c r="AM72" s="396"/>
    </row>
    <row r="73" spans="1:39" s="86" customFormat="1">
      <c r="A73" s="241" t="s">
        <v>229</v>
      </c>
      <c r="B73" s="238" t="s">
        <v>149</v>
      </c>
      <c r="C73" s="239">
        <v>1</v>
      </c>
      <c r="D73" s="272" t="s">
        <v>140</v>
      </c>
      <c r="E73" s="224"/>
      <c r="F73" s="226"/>
      <c r="G73" s="85">
        <v>37</v>
      </c>
      <c r="H73" s="24"/>
      <c r="I73" s="152"/>
      <c r="J73" s="152"/>
      <c r="K73" s="73"/>
      <c r="L73" s="56"/>
      <c r="M73" s="631" t="s">
        <v>141</v>
      </c>
      <c r="N73" s="359" t="s">
        <v>142</v>
      </c>
      <c r="O73" s="367" t="s">
        <v>143</v>
      </c>
      <c r="P73" s="1" t="str">
        <f t="shared" si="13"/>
        <v/>
      </c>
      <c r="Q73" s="1" t="str">
        <f t="shared" si="13"/>
        <v/>
      </c>
      <c r="R73" s="1" t="str">
        <f t="shared" si="13"/>
        <v/>
      </c>
      <c r="S73" s="1" t="str">
        <f t="shared" si="13"/>
        <v/>
      </c>
      <c r="T73" s="241" t="s">
        <v>229</v>
      </c>
      <c r="U73" s="238" t="s">
        <v>149</v>
      </c>
      <c r="V73" s="239">
        <v>1</v>
      </c>
      <c r="W73" s="272" t="s">
        <v>140</v>
      </c>
      <c r="X73" s="224"/>
      <c r="Y73" s="226"/>
      <c r="Z73" s="85">
        <v>37</v>
      </c>
      <c r="AA73" s="24"/>
      <c r="AB73" s="152"/>
      <c r="AC73" s="152"/>
      <c r="AD73" s="73"/>
      <c r="AE73" s="56"/>
      <c r="AF73" s="631" t="s">
        <v>141</v>
      </c>
      <c r="AG73" s="359" t="s">
        <v>142</v>
      </c>
      <c r="AH73" s="367" t="s">
        <v>143</v>
      </c>
      <c r="AI73" s="1" t="s">
        <v>126</v>
      </c>
      <c r="AJ73" s="1" t="s">
        <v>126</v>
      </c>
      <c r="AK73" s="1" t="s">
        <v>126</v>
      </c>
      <c r="AL73" s="1" t="s">
        <v>126</v>
      </c>
      <c r="AM73" s="396"/>
    </row>
    <row r="74" spans="1:39" s="86" customFormat="1">
      <c r="A74" s="241" t="s">
        <v>230</v>
      </c>
      <c r="B74" s="238" t="s">
        <v>151</v>
      </c>
      <c r="C74" s="239">
        <v>1</v>
      </c>
      <c r="D74" s="272" t="s">
        <v>140</v>
      </c>
      <c r="E74" s="224"/>
      <c r="F74" s="226"/>
      <c r="G74" s="85">
        <v>21</v>
      </c>
      <c r="H74" s="24"/>
      <c r="I74" s="152"/>
      <c r="J74" s="152"/>
      <c r="K74" s="73"/>
      <c r="L74" s="56"/>
      <c r="M74" s="631" t="s">
        <v>141</v>
      </c>
      <c r="N74" s="359" t="s">
        <v>142</v>
      </c>
      <c r="O74" s="367" t="s">
        <v>143</v>
      </c>
      <c r="P74" s="1" t="str">
        <f t="shared" si="13"/>
        <v/>
      </c>
      <c r="Q74" s="1" t="str">
        <f t="shared" si="13"/>
        <v/>
      </c>
      <c r="R74" s="1" t="str">
        <f t="shared" si="13"/>
        <v/>
      </c>
      <c r="S74" s="1" t="str">
        <f t="shared" si="13"/>
        <v/>
      </c>
      <c r="T74" s="241" t="s">
        <v>230</v>
      </c>
      <c r="U74" s="238" t="s">
        <v>151</v>
      </c>
      <c r="V74" s="239">
        <v>1</v>
      </c>
      <c r="W74" s="272" t="s">
        <v>140</v>
      </c>
      <c r="X74" s="224"/>
      <c r="Y74" s="226"/>
      <c r="Z74" s="85">
        <v>21</v>
      </c>
      <c r="AA74" s="24"/>
      <c r="AB74" s="152"/>
      <c r="AC74" s="152"/>
      <c r="AD74" s="73"/>
      <c r="AE74" s="56"/>
      <c r="AF74" s="631" t="s">
        <v>141</v>
      </c>
      <c r="AG74" s="359" t="s">
        <v>142</v>
      </c>
      <c r="AH74" s="367" t="s">
        <v>143</v>
      </c>
      <c r="AI74" s="1" t="s">
        <v>126</v>
      </c>
      <c r="AJ74" s="1" t="s">
        <v>126</v>
      </c>
      <c r="AK74" s="1" t="s">
        <v>126</v>
      </c>
      <c r="AL74" s="1" t="s">
        <v>126</v>
      </c>
      <c r="AM74" s="396"/>
    </row>
    <row r="75" spans="1:39" s="86" customFormat="1">
      <c r="A75" s="241" t="s">
        <v>231</v>
      </c>
      <c r="B75" s="238" t="s">
        <v>153</v>
      </c>
      <c r="C75" s="239">
        <v>1</v>
      </c>
      <c r="D75" s="272" t="s">
        <v>140</v>
      </c>
      <c r="E75" s="224"/>
      <c r="F75" s="226"/>
      <c r="G75" s="85">
        <v>46</v>
      </c>
      <c r="H75" s="64"/>
      <c r="I75" s="152"/>
      <c r="J75" s="152"/>
      <c r="K75" s="73"/>
      <c r="L75" s="56"/>
      <c r="M75" s="631" t="s">
        <v>141</v>
      </c>
      <c r="N75" s="359" t="s">
        <v>142</v>
      </c>
      <c r="O75" s="367" t="s">
        <v>143</v>
      </c>
      <c r="P75" s="1" t="str">
        <f t="shared" si="13"/>
        <v/>
      </c>
      <c r="Q75" s="1" t="str">
        <f t="shared" si="13"/>
        <v/>
      </c>
      <c r="R75" s="1" t="str">
        <f t="shared" si="13"/>
        <v/>
      </c>
      <c r="S75" s="1" t="str">
        <f t="shared" si="13"/>
        <v/>
      </c>
      <c r="T75" s="241" t="s">
        <v>231</v>
      </c>
      <c r="U75" s="238" t="s">
        <v>153</v>
      </c>
      <c r="V75" s="239">
        <v>1</v>
      </c>
      <c r="W75" s="272" t="s">
        <v>140</v>
      </c>
      <c r="X75" s="224"/>
      <c r="Y75" s="226"/>
      <c r="Z75" s="85">
        <v>46</v>
      </c>
      <c r="AA75" s="64"/>
      <c r="AB75" s="152"/>
      <c r="AC75" s="152"/>
      <c r="AD75" s="73"/>
      <c r="AE75" s="56"/>
      <c r="AF75" s="631" t="s">
        <v>141</v>
      </c>
      <c r="AG75" s="359" t="s">
        <v>142</v>
      </c>
      <c r="AH75" s="367" t="s">
        <v>143</v>
      </c>
      <c r="AI75" s="1" t="s">
        <v>126</v>
      </c>
      <c r="AJ75" s="1" t="s">
        <v>126</v>
      </c>
      <c r="AK75" s="1" t="s">
        <v>126</v>
      </c>
      <c r="AL75" s="1" t="s">
        <v>126</v>
      </c>
      <c r="AM75" s="396"/>
    </row>
    <row r="76" spans="1:39" s="86" customFormat="1">
      <c r="A76" s="241" t="s">
        <v>232</v>
      </c>
      <c r="B76" s="238" t="s">
        <v>155</v>
      </c>
      <c r="C76" s="239">
        <v>1</v>
      </c>
      <c r="D76" s="272" t="s">
        <v>140</v>
      </c>
      <c r="E76" s="224"/>
      <c r="F76" s="226"/>
      <c r="G76" s="85">
        <v>55</v>
      </c>
      <c r="H76" s="64"/>
      <c r="I76" s="152"/>
      <c r="J76" s="152"/>
      <c r="K76" s="73"/>
      <c r="L76" s="56"/>
      <c r="M76" s="631" t="s">
        <v>141</v>
      </c>
      <c r="N76" s="359" t="s">
        <v>142</v>
      </c>
      <c r="O76" s="367" t="s">
        <v>143</v>
      </c>
      <c r="P76" s="1" t="str">
        <f t="shared" si="13"/>
        <v/>
      </c>
      <c r="Q76" s="1" t="str">
        <f t="shared" si="13"/>
        <v/>
      </c>
      <c r="R76" s="1" t="str">
        <f t="shared" si="13"/>
        <v/>
      </c>
      <c r="S76" s="1" t="str">
        <f t="shared" si="13"/>
        <v/>
      </c>
      <c r="T76" s="241" t="s">
        <v>232</v>
      </c>
      <c r="U76" s="238" t="s">
        <v>155</v>
      </c>
      <c r="V76" s="239">
        <v>1</v>
      </c>
      <c r="W76" s="272" t="s">
        <v>140</v>
      </c>
      <c r="X76" s="224"/>
      <c r="Y76" s="226"/>
      <c r="Z76" s="85">
        <v>55</v>
      </c>
      <c r="AA76" s="64"/>
      <c r="AB76" s="152"/>
      <c r="AC76" s="152"/>
      <c r="AD76" s="73"/>
      <c r="AE76" s="56"/>
      <c r="AF76" s="631" t="s">
        <v>141</v>
      </c>
      <c r="AG76" s="359" t="s">
        <v>142</v>
      </c>
      <c r="AH76" s="367" t="s">
        <v>143</v>
      </c>
      <c r="AI76" s="1" t="s">
        <v>126</v>
      </c>
      <c r="AJ76" s="1" t="s">
        <v>126</v>
      </c>
      <c r="AK76" s="1" t="s">
        <v>126</v>
      </c>
      <c r="AL76" s="1" t="s">
        <v>126</v>
      </c>
      <c r="AM76" s="396"/>
    </row>
    <row r="77" spans="1:39" s="86" customFormat="1">
      <c r="A77" s="241" t="s">
        <v>233</v>
      </c>
      <c r="B77" s="238" t="s">
        <v>157</v>
      </c>
      <c r="C77" s="239">
        <v>1</v>
      </c>
      <c r="D77" s="272" t="s">
        <v>140</v>
      </c>
      <c r="E77" s="224"/>
      <c r="F77" s="226"/>
      <c r="G77" s="85">
        <v>62</v>
      </c>
      <c r="H77" s="64"/>
      <c r="I77" s="152"/>
      <c r="J77" s="152"/>
      <c r="K77" s="73"/>
      <c r="L77" s="56"/>
      <c r="M77" s="631" t="s">
        <v>141</v>
      </c>
      <c r="N77" s="359" t="s">
        <v>142</v>
      </c>
      <c r="O77" s="367" t="s">
        <v>143</v>
      </c>
      <c r="P77" s="1" t="str">
        <f t="shared" si="13"/>
        <v/>
      </c>
      <c r="Q77" s="1" t="str">
        <f t="shared" si="13"/>
        <v/>
      </c>
      <c r="R77" s="1" t="str">
        <f t="shared" si="13"/>
        <v/>
      </c>
      <c r="S77" s="1" t="str">
        <f t="shared" si="13"/>
        <v/>
      </c>
      <c r="T77" s="241" t="s">
        <v>233</v>
      </c>
      <c r="U77" s="238" t="s">
        <v>157</v>
      </c>
      <c r="V77" s="239">
        <v>1</v>
      </c>
      <c r="W77" s="272" t="s">
        <v>140</v>
      </c>
      <c r="X77" s="224"/>
      <c r="Y77" s="226"/>
      <c r="Z77" s="85">
        <v>62</v>
      </c>
      <c r="AA77" s="64"/>
      <c r="AB77" s="152"/>
      <c r="AC77" s="152"/>
      <c r="AD77" s="73"/>
      <c r="AE77" s="56"/>
      <c r="AF77" s="631" t="s">
        <v>141</v>
      </c>
      <c r="AG77" s="359" t="s">
        <v>142</v>
      </c>
      <c r="AH77" s="367" t="s">
        <v>143</v>
      </c>
      <c r="AI77" s="1" t="s">
        <v>126</v>
      </c>
      <c r="AJ77" s="1" t="s">
        <v>126</v>
      </c>
      <c r="AK77" s="1" t="s">
        <v>126</v>
      </c>
      <c r="AL77" s="1" t="s">
        <v>126</v>
      </c>
      <c r="AM77" s="396"/>
    </row>
    <row r="78" spans="1:39" s="86" customFormat="1">
      <c r="A78" s="241" t="s">
        <v>234</v>
      </c>
      <c r="B78" s="238" t="s">
        <v>159</v>
      </c>
      <c r="C78" s="239">
        <v>1</v>
      </c>
      <c r="D78" s="272" t="s">
        <v>140</v>
      </c>
      <c r="E78" s="224"/>
      <c r="F78" s="226"/>
      <c r="G78" s="85">
        <v>16</v>
      </c>
      <c r="H78" s="64"/>
      <c r="I78" s="152"/>
      <c r="J78" s="152"/>
      <c r="K78" s="73"/>
      <c r="L78" s="56"/>
      <c r="M78" s="631" t="s">
        <v>141</v>
      </c>
      <c r="N78" s="359" t="s">
        <v>142</v>
      </c>
      <c r="O78" s="367" t="s">
        <v>143</v>
      </c>
      <c r="P78" s="1" t="str">
        <f t="shared" si="13"/>
        <v/>
      </c>
      <c r="Q78" s="1" t="str">
        <f t="shared" si="13"/>
        <v/>
      </c>
      <c r="R78" s="1" t="str">
        <f t="shared" si="13"/>
        <v/>
      </c>
      <c r="S78" s="1" t="str">
        <f t="shared" si="13"/>
        <v/>
      </c>
      <c r="T78" s="241" t="s">
        <v>234</v>
      </c>
      <c r="U78" s="238" t="s">
        <v>159</v>
      </c>
      <c r="V78" s="239">
        <v>1</v>
      </c>
      <c r="W78" s="272" t="s">
        <v>140</v>
      </c>
      <c r="X78" s="224"/>
      <c r="Y78" s="226"/>
      <c r="Z78" s="85">
        <v>16</v>
      </c>
      <c r="AA78" s="64"/>
      <c r="AB78" s="152"/>
      <c r="AC78" s="152"/>
      <c r="AD78" s="73"/>
      <c r="AE78" s="56"/>
      <c r="AF78" s="631" t="s">
        <v>141</v>
      </c>
      <c r="AG78" s="359" t="s">
        <v>142</v>
      </c>
      <c r="AH78" s="367" t="s">
        <v>143</v>
      </c>
      <c r="AI78" s="1" t="s">
        <v>126</v>
      </c>
      <c r="AJ78" s="1" t="s">
        <v>126</v>
      </c>
      <c r="AK78" s="1" t="s">
        <v>126</v>
      </c>
      <c r="AL78" s="1" t="s">
        <v>126</v>
      </c>
      <c r="AM78" s="396"/>
    </row>
    <row r="79" spans="1:39" s="86" customFormat="1">
      <c r="A79" s="241" t="s">
        <v>235</v>
      </c>
      <c r="B79" s="238" t="s">
        <v>161</v>
      </c>
      <c r="C79" s="239">
        <v>1</v>
      </c>
      <c r="D79" s="272" t="s">
        <v>140</v>
      </c>
      <c r="E79" s="224"/>
      <c r="F79" s="226"/>
      <c r="G79" s="85">
        <v>39</v>
      </c>
      <c r="H79" s="64"/>
      <c r="I79" s="152"/>
      <c r="J79" s="152"/>
      <c r="K79" s="73"/>
      <c r="L79" s="56"/>
      <c r="M79" s="631" t="s">
        <v>141</v>
      </c>
      <c r="N79" s="359" t="s">
        <v>142</v>
      </c>
      <c r="O79" s="367" t="s">
        <v>143</v>
      </c>
      <c r="P79" s="1" t="str">
        <f t="shared" si="13"/>
        <v/>
      </c>
      <c r="Q79" s="1" t="str">
        <f t="shared" si="13"/>
        <v/>
      </c>
      <c r="R79" s="1" t="str">
        <f t="shared" si="13"/>
        <v/>
      </c>
      <c r="S79" s="1" t="str">
        <f t="shared" si="13"/>
        <v/>
      </c>
      <c r="T79" s="241" t="s">
        <v>235</v>
      </c>
      <c r="U79" s="238" t="s">
        <v>161</v>
      </c>
      <c r="V79" s="239">
        <v>1</v>
      </c>
      <c r="W79" s="272" t="s">
        <v>140</v>
      </c>
      <c r="X79" s="224"/>
      <c r="Y79" s="226"/>
      <c r="Z79" s="85">
        <v>39</v>
      </c>
      <c r="AA79" s="64"/>
      <c r="AB79" s="152"/>
      <c r="AC79" s="152"/>
      <c r="AD79" s="73"/>
      <c r="AE79" s="56"/>
      <c r="AF79" s="631" t="s">
        <v>141</v>
      </c>
      <c r="AG79" s="359" t="s">
        <v>142</v>
      </c>
      <c r="AH79" s="367" t="s">
        <v>143</v>
      </c>
      <c r="AI79" s="1" t="s">
        <v>126</v>
      </c>
      <c r="AJ79" s="1" t="s">
        <v>126</v>
      </c>
      <c r="AK79" s="1" t="s">
        <v>126</v>
      </c>
      <c r="AL79" s="1" t="s">
        <v>126</v>
      </c>
      <c r="AM79" s="396"/>
    </row>
    <row r="80" spans="1:39" s="86" customFormat="1">
      <c r="A80" s="241" t="s">
        <v>236</v>
      </c>
      <c r="B80" s="238" t="s">
        <v>163</v>
      </c>
      <c r="C80" s="239">
        <v>1</v>
      </c>
      <c r="D80" s="272" t="s">
        <v>140</v>
      </c>
      <c r="E80" s="224"/>
      <c r="F80" s="226"/>
      <c r="G80" s="85">
        <v>51</v>
      </c>
      <c r="H80" s="64"/>
      <c r="I80" s="152"/>
      <c r="J80" s="152"/>
      <c r="K80" s="73"/>
      <c r="L80" s="56"/>
      <c r="M80" s="631" t="s">
        <v>141</v>
      </c>
      <c r="N80" s="359" t="s">
        <v>142</v>
      </c>
      <c r="O80" s="367" t="s">
        <v>143</v>
      </c>
      <c r="P80" s="1" t="str">
        <f t="shared" si="13"/>
        <v/>
      </c>
      <c r="Q80" s="1" t="str">
        <f t="shared" si="13"/>
        <v/>
      </c>
      <c r="R80" s="1" t="str">
        <f t="shared" si="13"/>
        <v/>
      </c>
      <c r="S80" s="1" t="str">
        <f t="shared" si="13"/>
        <v/>
      </c>
      <c r="T80" s="241" t="s">
        <v>236</v>
      </c>
      <c r="U80" s="238" t="s">
        <v>163</v>
      </c>
      <c r="V80" s="239">
        <v>1</v>
      </c>
      <c r="W80" s="272" t="s">
        <v>140</v>
      </c>
      <c r="X80" s="224"/>
      <c r="Y80" s="226"/>
      <c r="Z80" s="85">
        <v>51</v>
      </c>
      <c r="AA80" s="64"/>
      <c r="AB80" s="152"/>
      <c r="AC80" s="152"/>
      <c r="AD80" s="73"/>
      <c r="AE80" s="56"/>
      <c r="AF80" s="631" t="s">
        <v>141</v>
      </c>
      <c r="AG80" s="359" t="s">
        <v>142</v>
      </c>
      <c r="AH80" s="367" t="s">
        <v>143</v>
      </c>
      <c r="AI80" s="1" t="s">
        <v>126</v>
      </c>
      <c r="AJ80" s="1" t="s">
        <v>126</v>
      </c>
      <c r="AK80" s="1" t="s">
        <v>126</v>
      </c>
      <c r="AL80" s="1" t="s">
        <v>126</v>
      </c>
      <c r="AM80" s="396"/>
    </row>
    <row r="81" spans="1:39" s="86" customFormat="1">
      <c r="A81" s="241" t="s">
        <v>237</v>
      </c>
      <c r="B81" s="238" t="s">
        <v>165</v>
      </c>
      <c r="C81" s="239">
        <v>1</v>
      </c>
      <c r="D81" s="272" t="s">
        <v>140</v>
      </c>
      <c r="E81" s="224"/>
      <c r="F81" s="226"/>
      <c r="G81" s="85">
        <v>68</v>
      </c>
      <c r="H81" s="64"/>
      <c r="I81" s="152"/>
      <c r="J81" s="152"/>
      <c r="K81" s="73"/>
      <c r="L81" s="56"/>
      <c r="M81" s="631" t="s">
        <v>141</v>
      </c>
      <c r="N81" s="359" t="s">
        <v>142</v>
      </c>
      <c r="O81" s="367" t="s">
        <v>143</v>
      </c>
      <c r="P81" s="1" t="str">
        <f t="shared" si="13"/>
        <v/>
      </c>
      <c r="Q81" s="1" t="str">
        <f t="shared" si="13"/>
        <v/>
      </c>
      <c r="R81" s="1" t="str">
        <f t="shared" si="13"/>
        <v/>
      </c>
      <c r="S81" s="1" t="str">
        <f t="shared" si="13"/>
        <v/>
      </c>
      <c r="T81" s="241" t="s">
        <v>237</v>
      </c>
      <c r="U81" s="238" t="s">
        <v>165</v>
      </c>
      <c r="V81" s="239">
        <v>1</v>
      </c>
      <c r="W81" s="272" t="s">
        <v>140</v>
      </c>
      <c r="X81" s="224"/>
      <c r="Y81" s="226"/>
      <c r="Z81" s="85">
        <v>68</v>
      </c>
      <c r="AA81" s="64"/>
      <c r="AB81" s="152"/>
      <c r="AC81" s="152"/>
      <c r="AD81" s="73"/>
      <c r="AE81" s="56"/>
      <c r="AF81" s="631" t="s">
        <v>141</v>
      </c>
      <c r="AG81" s="359" t="s">
        <v>142</v>
      </c>
      <c r="AH81" s="367" t="s">
        <v>143</v>
      </c>
      <c r="AI81" s="1" t="s">
        <v>126</v>
      </c>
      <c r="AJ81" s="1" t="s">
        <v>126</v>
      </c>
      <c r="AK81" s="1" t="s">
        <v>126</v>
      </c>
      <c r="AL81" s="1" t="s">
        <v>126</v>
      </c>
      <c r="AM81" s="396"/>
    </row>
    <row r="82" spans="1:39" s="75" customFormat="1">
      <c r="A82" s="266" t="s">
        <v>238</v>
      </c>
      <c r="B82" s="577" t="s">
        <v>167</v>
      </c>
      <c r="C82" s="578">
        <v>1</v>
      </c>
      <c r="D82" s="274" t="s">
        <v>140</v>
      </c>
      <c r="E82" s="247"/>
      <c r="F82" s="251"/>
      <c r="G82" s="99">
        <v>383</v>
      </c>
      <c r="H82" s="99"/>
      <c r="I82" s="98"/>
      <c r="J82" s="98"/>
      <c r="K82" s="35"/>
      <c r="L82" s="98"/>
      <c r="M82" s="631" t="s">
        <v>141</v>
      </c>
      <c r="N82" s="359" t="s">
        <v>142</v>
      </c>
      <c r="O82" s="558" t="s">
        <v>143</v>
      </c>
      <c r="P82" s="1" t="str">
        <f t="shared" si="13"/>
        <v/>
      </c>
      <c r="Q82" s="1" t="str">
        <f t="shared" si="13"/>
        <v/>
      </c>
      <c r="R82" s="1" t="str">
        <f t="shared" si="13"/>
        <v/>
      </c>
      <c r="S82" s="1" t="str">
        <f t="shared" si="13"/>
        <v/>
      </c>
      <c r="T82" s="266" t="s">
        <v>238</v>
      </c>
      <c r="U82" s="577" t="s">
        <v>167</v>
      </c>
      <c r="V82" s="578">
        <v>1</v>
      </c>
      <c r="W82" s="274" t="s">
        <v>140</v>
      </c>
      <c r="X82" s="247"/>
      <c r="Y82" s="251"/>
      <c r="Z82" s="99">
        <v>383</v>
      </c>
      <c r="AA82" s="99"/>
      <c r="AB82" s="98"/>
      <c r="AC82" s="98"/>
      <c r="AD82" s="35"/>
      <c r="AE82" s="98"/>
      <c r="AF82" s="631" t="s">
        <v>141</v>
      </c>
      <c r="AG82" s="359" t="s">
        <v>142</v>
      </c>
      <c r="AH82" s="558" t="s">
        <v>143</v>
      </c>
      <c r="AI82" s="1" t="s">
        <v>126</v>
      </c>
      <c r="AJ82" s="1" t="s">
        <v>126</v>
      </c>
      <c r="AK82" s="1" t="s">
        <v>126</v>
      </c>
      <c r="AL82" s="1" t="s">
        <v>126</v>
      </c>
      <c r="AM82" s="376"/>
    </row>
    <row r="83" spans="1:39">
      <c r="A83" s="241" t="s">
        <v>239</v>
      </c>
      <c r="B83" s="238" t="s">
        <v>169</v>
      </c>
      <c r="C83" s="239">
        <v>1</v>
      </c>
      <c r="D83" s="272" t="s">
        <v>140</v>
      </c>
      <c r="E83" s="224"/>
      <c r="F83" s="226"/>
      <c r="G83" s="85">
        <v>509</v>
      </c>
      <c r="H83" s="85"/>
      <c r="I83" s="56"/>
      <c r="J83" s="56"/>
      <c r="K83" s="14"/>
      <c r="L83" s="56"/>
      <c r="M83" s="631" t="s">
        <v>141</v>
      </c>
      <c r="N83" s="359" t="s">
        <v>142</v>
      </c>
      <c r="O83" s="363" t="s">
        <v>143</v>
      </c>
      <c r="P83" s="1" t="str">
        <f t="shared" si="13"/>
        <v/>
      </c>
      <c r="Q83" s="1" t="str">
        <f t="shared" si="13"/>
        <v/>
      </c>
      <c r="R83" s="1" t="str">
        <f t="shared" si="13"/>
        <v/>
      </c>
      <c r="S83" s="1" t="str">
        <f t="shared" si="13"/>
        <v/>
      </c>
      <c r="T83" s="241" t="s">
        <v>239</v>
      </c>
      <c r="U83" s="238" t="s">
        <v>169</v>
      </c>
      <c r="V83" s="239">
        <v>1</v>
      </c>
      <c r="W83" s="272" t="s">
        <v>140</v>
      </c>
      <c r="X83" s="224"/>
      <c r="Y83" s="226"/>
      <c r="Z83" s="85">
        <v>509</v>
      </c>
      <c r="AA83" s="85"/>
      <c r="AB83" s="56"/>
      <c r="AC83" s="56"/>
      <c r="AD83" s="14"/>
      <c r="AE83" s="56"/>
      <c r="AF83" s="631" t="s">
        <v>141</v>
      </c>
      <c r="AG83" s="359" t="s">
        <v>142</v>
      </c>
      <c r="AH83" s="363" t="s">
        <v>143</v>
      </c>
      <c r="AI83" s="1" t="s">
        <v>126</v>
      </c>
      <c r="AJ83" s="1" t="s">
        <v>126</v>
      </c>
      <c r="AK83" s="1" t="s">
        <v>126</v>
      </c>
      <c r="AL83" s="1" t="s">
        <v>126</v>
      </c>
      <c r="AM83" s="374"/>
    </row>
    <row r="84" spans="1:39">
      <c r="A84" s="241" t="s">
        <v>240</v>
      </c>
      <c r="B84" s="238" t="s">
        <v>171</v>
      </c>
      <c r="C84" s="239">
        <v>1</v>
      </c>
      <c r="D84" s="272" t="s">
        <v>140</v>
      </c>
      <c r="E84" s="224"/>
      <c r="F84" s="226"/>
      <c r="G84" s="85">
        <v>137.59</v>
      </c>
      <c r="H84" s="68"/>
      <c r="I84" s="56"/>
      <c r="J84" s="56"/>
      <c r="K84" s="14"/>
      <c r="L84" s="56"/>
      <c r="M84" s="631" t="s">
        <v>141</v>
      </c>
      <c r="N84" s="359" t="s">
        <v>142</v>
      </c>
      <c r="O84" s="559" t="s">
        <v>143</v>
      </c>
      <c r="P84" s="1" t="str">
        <f t="shared" si="13"/>
        <v/>
      </c>
      <c r="Q84" s="1" t="str">
        <f t="shared" si="13"/>
        <v/>
      </c>
      <c r="R84" s="1" t="str">
        <f t="shared" si="13"/>
        <v/>
      </c>
      <c r="S84" s="1" t="str">
        <f t="shared" si="13"/>
        <v/>
      </c>
      <c r="T84" s="241" t="s">
        <v>240</v>
      </c>
      <c r="U84" s="238" t="s">
        <v>171</v>
      </c>
      <c r="V84" s="239">
        <v>1</v>
      </c>
      <c r="W84" s="272" t="s">
        <v>140</v>
      </c>
      <c r="X84" s="224"/>
      <c r="Y84" s="226"/>
      <c r="Z84" s="85">
        <v>137.59</v>
      </c>
      <c r="AA84" s="68"/>
      <c r="AB84" s="56"/>
      <c r="AC84" s="56"/>
      <c r="AD84" s="14"/>
      <c r="AE84" s="56"/>
      <c r="AF84" s="631" t="s">
        <v>141</v>
      </c>
      <c r="AG84" s="359" t="s">
        <v>142</v>
      </c>
      <c r="AH84" s="559" t="s">
        <v>143</v>
      </c>
      <c r="AI84" s="1" t="s">
        <v>126</v>
      </c>
      <c r="AJ84" s="1" t="s">
        <v>126</v>
      </c>
      <c r="AK84" s="1" t="s">
        <v>126</v>
      </c>
      <c r="AL84" s="1" t="s">
        <v>126</v>
      </c>
      <c r="AM84" s="374"/>
    </row>
    <row r="85" spans="1:39">
      <c r="A85" s="241" t="s">
        <v>241</v>
      </c>
      <c r="B85" s="238" t="s">
        <v>173</v>
      </c>
      <c r="C85" s="239">
        <v>1</v>
      </c>
      <c r="D85" s="272" t="s">
        <v>140</v>
      </c>
      <c r="E85" s="224"/>
      <c r="F85" s="226"/>
      <c r="G85" s="85">
        <v>221.92</v>
      </c>
      <c r="H85" s="68"/>
      <c r="I85" s="56"/>
      <c r="J85" s="56"/>
      <c r="K85" s="14"/>
      <c r="L85" s="56"/>
      <c r="M85" s="631" t="s">
        <v>141</v>
      </c>
      <c r="N85" s="359" t="s">
        <v>142</v>
      </c>
      <c r="O85" s="363" t="s">
        <v>143</v>
      </c>
      <c r="P85" s="1" t="str">
        <f t="shared" si="13"/>
        <v/>
      </c>
      <c r="Q85" s="1" t="str">
        <f t="shared" si="13"/>
        <v/>
      </c>
      <c r="R85" s="1" t="str">
        <f t="shared" si="13"/>
        <v/>
      </c>
      <c r="S85" s="1" t="str">
        <f t="shared" si="13"/>
        <v/>
      </c>
      <c r="T85" s="241" t="s">
        <v>241</v>
      </c>
      <c r="U85" s="238" t="s">
        <v>173</v>
      </c>
      <c r="V85" s="239">
        <v>1</v>
      </c>
      <c r="W85" s="272" t="s">
        <v>140</v>
      </c>
      <c r="X85" s="224"/>
      <c r="Y85" s="226"/>
      <c r="Z85" s="85">
        <v>221.92</v>
      </c>
      <c r="AA85" s="68"/>
      <c r="AB85" s="56"/>
      <c r="AC85" s="56"/>
      <c r="AD85" s="14"/>
      <c r="AE85" s="56"/>
      <c r="AF85" s="631" t="s">
        <v>141</v>
      </c>
      <c r="AG85" s="359" t="s">
        <v>142</v>
      </c>
      <c r="AH85" s="363" t="s">
        <v>143</v>
      </c>
      <c r="AI85" s="1" t="s">
        <v>126</v>
      </c>
      <c r="AJ85" s="1" t="s">
        <v>126</v>
      </c>
      <c r="AK85" s="1" t="s">
        <v>126</v>
      </c>
      <c r="AL85" s="1" t="s">
        <v>126</v>
      </c>
      <c r="AM85" s="374"/>
    </row>
    <row r="86" spans="1:39" ht="18.75">
      <c r="A86" s="448"/>
      <c r="B86" s="549"/>
      <c r="C86" s="450"/>
      <c r="D86" s="451"/>
      <c r="E86" s="451"/>
      <c r="F86" s="452"/>
      <c r="G86" s="453"/>
      <c r="H86" s="453"/>
      <c r="I86" s="454"/>
      <c r="J86" s="454"/>
      <c r="K86" s="453"/>
      <c r="L86" s="454"/>
      <c r="M86" s="629"/>
      <c r="N86" s="455"/>
      <c r="O86" s="454"/>
      <c r="P86" s="454"/>
      <c r="Q86" s="454"/>
      <c r="R86" s="454"/>
      <c r="S86" s="454"/>
      <c r="T86" s="448" t="s">
        <v>242</v>
      </c>
      <c r="U86" s="549" t="s">
        <v>243</v>
      </c>
      <c r="V86" s="450"/>
      <c r="W86" s="451"/>
      <c r="X86" s="451"/>
      <c r="Y86" s="452"/>
      <c r="Z86" s="453"/>
      <c r="AA86" s="453"/>
      <c r="AB86" s="454"/>
      <c r="AC86" s="454"/>
      <c r="AD86" s="453"/>
      <c r="AE86" s="454"/>
      <c r="AF86" s="629"/>
      <c r="AG86" s="455"/>
      <c r="AH86" s="454"/>
      <c r="AI86" s="454"/>
      <c r="AJ86" s="454"/>
      <c r="AK86" s="454"/>
      <c r="AL86" s="454"/>
      <c r="AM86" s="374"/>
    </row>
    <row r="87" spans="1:39">
      <c r="A87" s="241"/>
      <c r="B87" s="504"/>
      <c r="C87" s="674"/>
      <c r="D87" s="272"/>
      <c r="E87" s="272"/>
      <c r="F87" s="480"/>
      <c r="G87" s="276"/>
      <c r="H87" s="726"/>
      <c r="I87" s="727"/>
      <c r="J87" s="727"/>
      <c r="K87" s="728"/>
      <c r="L87" s="727"/>
      <c r="M87" s="481"/>
      <c r="N87" s="376"/>
      <c r="O87" s="374"/>
      <c r="P87" s="1"/>
      <c r="Q87" s="1"/>
      <c r="R87" s="1"/>
      <c r="S87" s="1"/>
      <c r="T87" s="730" t="s">
        <v>244</v>
      </c>
      <c r="U87" s="721" t="s">
        <v>245</v>
      </c>
      <c r="V87" s="692">
        <v>1</v>
      </c>
      <c r="W87" s="693" t="s">
        <v>118</v>
      </c>
      <c r="X87" s="694">
        <v>1332.2</v>
      </c>
      <c r="Y87" s="695">
        <v>0.17599999999999999</v>
      </c>
      <c r="Z87" s="693">
        <v>1097.7328</v>
      </c>
      <c r="AA87" s="692" t="s">
        <v>246</v>
      </c>
      <c r="AB87" s="696">
        <v>57.597600000000007</v>
      </c>
      <c r="AC87" s="696">
        <v>1155.3304000000001</v>
      </c>
      <c r="AD87" s="696" t="s">
        <v>120</v>
      </c>
      <c r="AE87" s="696">
        <v>0.3</v>
      </c>
      <c r="AF87" s="630" t="s">
        <v>247</v>
      </c>
      <c r="AG87" s="380" t="s">
        <v>122</v>
      </c>
      <c r="AH87" s="385" t="s">
        <v>248</v>
      </c>
      <c r="AI87" s="90">
        <v>232.57811552744278</v>
      </c>
      <c r="AJ87" s="90">
        <v>120.8723488145655</v>
      </c>
      <c r="AK87" s="90">
        <v>87.785988731957346</v>
      </c>
      <c r="AL87" s="90">
        <v>75.753723475924573</v>
      </c>
      <c r="AM87" s="374"/>
    </row>
    <row r="88" spans="1:39">
      <c r="A88" s="241"/>
      <c r="B88" s="504"/>
      <c r="C88" s="674"/>
      <c r="D88" s="272"/>
      <c r="E88" s="272"/>
      <c r="F88" s="480"/>
      <c r="G88" s="276"/>
      <c r="H88" s="726"/>
      <c r="I88" s="727"/>
      <c r="J88" s="727"/>
      <c r="K88" s="728"/>
      <c r="L88" s="727"/>
      <c r="M88" s="481"/>
      <c r="N88" s="376"/>
      <c r="O88" s="374"/>
      <c r="P88" s="1"/>
      <c r="Q88" s="1"/>
      <c r="R88" s="1"/>
      <c r="S88" s="1"/>
      <c r="T88" s="731" t="s">
        <v>249</v>
      </c>
      <c r="U88" s="729" t="s">
        <v>250</v>
      </c>
      <c r="V88" s="698">
        <v>1</v>
      </c>
      <c r="W88" s="699" t="s">
        <v>118</v>
      </c>
      <c r="X88" s="700">
        <v>191.67</v>
      </c>
      <c r="Y88" s="701">
        <v>0.17599999999999999</v>
      </c>
      <c r="Z88" s="702">
        <v>157.93608</v>
      </c>
      <c r="AA88" s="702"/>
      <c r="AB88" s="696"/>
      <c r="AC88" s="696"/>
      <c r="AD88" s="703"/>
      <c r="AE88" s="704"/>
      <c r="AF88" s="631" t="s">
        <v>247</v>
      </c>
      <c r="AG88" s="359" t="s">
        <v>122</v>
      </c>
      <c r="AH88" s="367" t="s">
        <v>248</v>
      </c>
      <c r="AI88" s="1" t="s">
        <v>126</v>
      </c>
      <c r="AJ88" s="1" t="s">
        <v>126</v>
      </c>
      <c r="AK88" s="1" t="s">
        <v>126</v>
      </c>
      <c r="AL88" s="1" t="s">
        <v>126</v>
      </c>
      <c r="AM88" s="374"/>
    </row>
    <row r="89" spans="1:39">
      <c r="A89" s="241"/>
      <c r="B89" s="504"/>
      <c r="C89" s="674"/>
      <c r="D89" s="272"/>
      <c r="E89" s="272"/>
      <c r="F89" s="480"/>
      <c r="G89" s="276"/>
      <c r="H89" s="726"/>
      <c r="I89" s="727"/>
      <c r="J89" s="727"/>
      <c r="K89" s="728"/>
      <c r="L89" s="727"/>
      <c r="M89" s="481"/>
      <c r="N89" s="376"/>
      <c r="O89" s="374"/>
      <c r="P89" s="1"/>
      <c r="Q89" s="1"/>
      <c r="R89" s="1"/>
      <c r="S89" s="1"/>
      <c r="T89" s="731" t="s">
        <v>251</v>
      </c>
      <c r="U89" s="729" t="s">
        <v>252</v>
      </c>
      <c r="V89" s="698">
        <v>1</v>
      </c>
      <c r="W89" s="699" t="s">
        <v>118</v>
      </c>
      <c r="X89" s="700">
        <v>383.33</v>
      </c>
      <c r="Y89" s="701">
        <v>0.17599999999999999</v>
      </c>
      <c r="Z89" s="702">
        <v>315.86392000000001</v>
      </c>
      <c r="AA89" s="702"/>
      <c r="AB89" s="696"/>
      <c r="AC89" s="696"/>
      <c r="AD89" s="703"/>
      <c r="AE89" s="704"/>
      <c r="AF89" s="631" t="s">
        <v>247</v>
      </c>
      <c r="AG89" s="359" t="s">
        <v>122</v>
      </c>
      <c r="AH89" s="367" t="s">
        <v>248</v>
      </c>
      <c r="AI89" s="1" t="s">
        <v>126</v>
      </c>
      <c r="AJ89" s="1" t="s">
        <v>126</v>
      </c>
      <c r="AK89" s="1" t="s">
        <v>126</v>
      </c>
      <c r="AL89" s="1" t="s">
        <v>126</v>
      </c>
      <c r="AM89" s="374"/>
    </row>
    <row r="90" spans="1:39">
      <c r="A90" s="241"/>
      <c r="B90" s="504"/>
      <c r="C90" s="674"/>
      <c r="D90" s="272"/>
      <c r="E90" s="272"/>
      <c r="F90" s="480"/>
      <c r="G90" s="276"/>
      <c r="H90" s="726"/>
      <c r="I90" s="727"/>
      <c r="J90" s="727"/>
      <c r="K90" s="728"/>
      <c r="L90" s="727"/>
      <c r="M90" s="481"/>
      <c r="N90" s="376"/>
      <c r="O90" s="374"/>
      <c r="P90" s="1"/>
      <c r="Q90" s="1"/>
      <c r="R90" s="1"/>
      <c r="S90" s="1"/>
      <c r="T90" s="731" t="s">
        <v>253</v>
      </c>
      <c r="U90" s="729" t="s">
        <v>254</v>
      </c>
      <c r="V90" s="698">
        <v>1</v>
      </c>
      <c r="W90" s="699" t="s">
        <v>118</v>
      </c>
      <c r="X90" s="700">
        <v>191.67</v>
      </c>
      <c r="Y90" s="701">
        <v>0.17599999999999999</v>
      </c>
      <c r="Z90" s="702">
        <v>157.93608</v>
      </c>
      <c r="AA90" s="702"/>
      <c r="AB90" s="696"/>
      <c r="AC90" s="696"/>
      <c r="AD90" s="703"/>
      <c r="AE90" s="704"/>
      <c r="AF90" s="631" t="s">
        <v>247</v>
      </c>
      <c r="AG90" s="359" t="s">
        <v>122</v>
      </c>
      <c r="AH90" s="367" t="s">
        <v>248</v>
      </c>
      <c r="AI90" s="1" t="s">
        <v>126</v>
      </c>
      <c r="AJ90" s="1" t="s">
        <v>126</v>
      </c>
      <c r="AK90" s="1" t="s">
        <v>126</v>
      </c>
      <c r="AL90" s="1" t="s">
        <v>126</v>
      </c>
      <c r="AM90" s="374"/>
    </row>
    <row r="91" spans="1:39">
      <c r="A91" s="241"/>
      <c r="B91" s="504"/>
      <c r="C91" s="674"/>
      <c r="D91" s="272"/>
      <c r="E91" s="272"/>
      <c r="F91" s="480"/>
      <c r="G91" s="276"/>
      <c r="H91" s="726"/>
      <c r="I91" s="727"/>
      <c r="J91" s="727"/>
      <c r="K91" s="728"/>
      <c r="L91" s="727"/>
      <c r="M91" s="481"/>
      <c r="N91" s="376"/>
      <c r="O91" s="374"/>
      <c r="P91" s="1"/>
      <c r="Q91" s="1"/>
      <c r="R91" s="1"/>
      <c r="S91" s="1"/>
      <c r="T91" s="731" t="s">
        <v>255</v>
      </c>
      <c r="U91" s="729" t="s">
        <v>256</v>
      </c>
      <c r="V91" s="698">
        <v>1</v>
      </c>
      <c r="W91" s="699" t="s">
        <v>118</v>
      </c>
      <c r="X91" s="700">
        <v>383.33</v>
      </c>
      <c r="Y91" s="701">
        <v>0.17599999999999999</v>
      </c>
      <c r="Z91" s="702">
        <v>315.86392000000001</v>
      </c>
      <c r="AA91" s="702"/>
      <c r="AB91" s="696"/>
      <c r="AC91" s="696"/>
      <c r="AD91" s="703"/>
      <c r="AE91" s="704"/>
      <c r="AF91" s="631" t="s">
        <v>247</v>
      </c>
      <c r="AG91" s="359" t="s">
        <v>122</v>
      </c>
      <c r="AH91" s="367" t="s">
        <v>248</v>
      </c>
      <c r="AI91" s="1" t="s">
        <v>126</v>
      </c>
      <c r="AJ91" s="1" t="s">
        <v>126</v>
      </c>
      <c r="AK91" s="1" t="s">
        <v>126</v>
      </c>
      <c r="AL91" s="1" t="s">
        <v>126</v>
      </c>
      <c r="AM91" s="374"/>
    </row>
    <row r="92" spans="1:39">
      <c r="A92" s="241"/>
      <c r="B92" s="504"/>
      <c r="C92" s="674"/>
      <c r="D92" s="272"/>
      <c r="E92" s="272"/>
      <c r="F92" s="480"/>
      <c r="G92" s="276"/>
      <c r="H92" s="726"/>
      <c r="I92" s="727"/>
      <c r="J92" s="727"/>
      <c r="K92" s="728"/>
      <c r="L92" s="727"/>
      <c r="M92" s="481"/>
      <c r="N92" s="376"/>
      <c r="O92" s="374"/>
      <c r="P92" s="1"/>
      <c r="Q92" s="1"/>
      <c r="R92" s="1"/>
      <c r="S92" s="1"/>
      <c r="T92" s="731" t="s">
        <v>257</v>
      </c>
      <c r="U92" s="729" t="s">
        <v>258</v>
      </c>
      <c r="V92" s="698">
        <v>1</v>
      </c>
      <c r="W92" s="699" t="s">
        <v>118</v>
      </c>
      <c r="X92" s="700">
        <v>766.67</v>
      </c>
      <c r="Y92" s="701">
        <v>0.17599999999999999</v>
      </c>
      <c r="Z92" s="702">
        <v>631.73608000000002</v>
      </c>
      <c r="AA92" s="702"/>
      <c r="AB92" s="696"/>
      <c r="AC92" s="696"/>
      <c r="AD92" s="703"/>
      <c r="AE92" s="704"/>
      <c r="AF92" s="631" t="s">
        <v>247</v>
      </c>
      <c r="AG92" s="359" t="s">
        <v>122</v>
      </c>
      <c r="AH92" s="367" t="s">
        <v>248</v>
      </c>
      <c r="AI92" s="1" t="s">
        <v>126</v>
      </c>
      <c r="AJ92" s="1" t="s">
        <v>126</v>
      </c>
      <c r="AK92" s="1" t="s">
        <v>126</v>
      </c>
      <c r="AL92" s="1" t="s">
        <v>126</v>
      </c>
      <c r="AM92" s="374"/>
    </row>
    <row r="93" spans="1:39">
      <c r="A93" s="241"/>
      <c r="B93" s="504"/>
      <c r="C93" s="674"/>
      <c r="D93" s="272"/>
      <c r="E93" s="272"/>
      <c r="F93" s="480"/>
      <c r="G93" s="276"/>
      <c r="H93" s="726"/>
      <c r="I93" s="727"/>
      <c r="J93" s="727"/>
      <c r="K93" s="728"/>
      <c r="L93" s="727"/>
      <c r="M93" s="481"/>
      <c r="N93" s="376"/>
      <c r="O93" s="374"/>
      <c r="P93" s="1"/>
      <c r="Q93" s="1"/>
      <c r="R93" s="1"/>
      <c r="S93" s="1"/>
      <c r="T93" s="731" t="s">
        <v>259</v>
      </c>
      <c r="U93" s="729" t="s">
        <v>260</v>
      </c>
      <c r="V93" s="698">
        <v>1</v>
      </c>
      <c r="W93" s="702" t="s">
        <v>118</v>
      </c>
      <c r="X93" s="700">
        <v>0</v>
      </c>
      <c r="Y93" s="705"/>
      <c r="Z93" s="702">
        <v>0</v>
      </c>
      <c r="AA93" s="706"/>
      <c r="AB93" s="696"/>
      <c r="AC93" s="696"/>
      <c r="AD93" s="703"/>
      <c r="AE93" s="704"/>
      <c r="AF93" s="631" t="s">
        <v>247</v>
      </c>
      <c r="AG93" s="359" t="s">
        <v>122</v>
      </c>
      <c r="AH93" s="367" t="s">
        <v>248</v>
      </c>
      <c r="AI93" s="1" t="s">
        <v>126</v>
      </c>
      <c r="AJ93" s="1" t="s">
        <v>126</v>
      </c>
      <c r="AK93" s="1" t="s">
        <v>126</v>
      </c>
      <c r="AL93" s="1" t="s">
        <v>126</v>
      </c>
      <c r="AM93" s="374"/>
    </row>
    <row r="94" spans="1:39">
      <c r="A94" s="241"/>
      <c r="B94" s="504"/>
      <c r="C94" s="674"/>
      <c r="D94" s="272"/>
      <c r="E94" s="272"/>
      <c r="F94" s="480"/>
      <c r="G94" s="276"/>
      <c r="H94" s="726"/>
      <c r="I94" s="727"/>
      <c r="J94" s="727"/>
      <c r="K94" s="728"/>
      <c r="L94" s="727"/>
      <c r="M94" s="481"/>
      <c r="N94" s="376"/>
      <c r="O94" s="374"/>
      <c r="P94" s="1"/>
      <c r="Q94" s="1"/>
      <c r="R94" s="1"/>
      <c r="S94" s="1"/>
      <c r="T94" s="731" t="s">
        <v>261</v>
      </c>
      <c r="U94" s="729" t="s">
        <v>262</v>
      </c>
      <c r="V94" s="698">
        <v>1</v>
      </c>
      <c r="W94" s="702" t="s">
        <v>118</v>
      </c>
      <c r="X94" s="700">
        <v>0</v>
      </c>
      <c r="Y94" s="705"/>
      <c r="Z94" s="702">
        <v>0</v>
      </c>
      <c r="AA94" s="702"/>
      <c r="AB94" s="696"/>
      <c r="AC94" s="696"/>
      <c r="AD94" s="703"/>
      <c r="AE94" s="704"/>
      <c r="AF94" s="631" t="s">
        <v>247</v>
      </c>
      <c r="AG94" s="359" t="s">
        <v>122</v>
      </c>
      <c r="AH94" s="367" t="s">
        <v>248</v>
      </c>
      <c r="AI94" s="1" t="s">
        <v>126</v>
      </c>
      <c r="AJ94" s="1" t="s">
        <v>126</v>
      </c>
      <c r="AK94" s="1" t="s">
        <v>126</v>
      </c>
      <c r="AL94" s="1" t="s">
        <v>126</v>
      </c>
      <c r="AM94" s="374"/>
    </row>
    <row r="95" spans="1:39">
      <c r="A95" s="241"/>
      <c r="B95" s="504"/>
      <c r="C95" s="674"/>
      <c r="D95" s="272"/>
      <c r="E95" s="272"/>
      <c r="F95" s="480"/>
      <c r="G95" s="276"/>
      <c r="H95" s="726"/>
      <c r="I95" s="727"/>
      <c r="J95" s="727"/>
      <c r="K95" s="728"/>
      <c r="L95" s="727"/>
      <c r="M95" s="481"/>
      <c r="N95" s="376"/>
      <c r="O95" s="374"/>
      <c r="P95" s="1"/>
      <c r="Q95" s="1"/>
      <c r="R95" s="1"/>
      <c r="S95" s="1"/>
      <c r="T95" s="731" t="s">
        <v>263</v>
      </c>
      <c r="U95" s="729" t="s">
        <v>264</v>
      </c>
      <c r="V95" s="698">
        <v>1</v>
      </c>
      <c r="W95" s="702" t="s">
        <v>118</v>
      </c>
      <c r="X95" s="700">
        <v>0</v>
      </c>
      <c r="Y95" s="705"/>
      <c r="Z95" s="702">
        <v>0</v>
      </c>
      <c r="AA95" s="706"/>
      <c r="AB95" s="693"/>
      <c r="AC95" s="693"/>
      <c r="AD95" s="702"/>
      <c r="AE95" s="706"/>
      <c r="AF95" s="631" t="s">
        <v>247</v>
      </c>
      <c r="AG95" s="359" t="s">
        <v>122</v>
      </c>
      <c r="AH95" s="367" t="s">
        <v>248</v>
      </c>
      <c r="AI95" s="1" t="s">
        <v>126</v>
      </c>
      <c r="AJ95" s="1" t="s">
        <v>126</v>
      </c>
      <c r="AK95" s="1" t="s">
        <v>126</v>
      </c>
      <c r="AL95" s="1" t="s">
        <v>126</v>
      </c>
      <c r="AM95" s="374"/>
    </row>
    <row r="96" spans="1:39">
      <c r="A96" s="241"/>
      <c r="B96" s="504"/>
      <c r="C96" s="674"/>
      <c r="D96" s="272"/>
      <c r="E96" s="272"/>
      <c r="F96" s="480"/>
      <c r="G96" s="276"/>
      <c r="H96" s="726"/>
      <c r="I96" s="727"/>
      <c r="J96" s="727"/>
      <c r="K96" s="728"/>
      <c r="L96" s="727"/>
      <c r="M96" s="481"/>
      <c r="N96" s="376"/>
      <c r="O96" s="374"/>
      <c r="P96" s="1"/>
      <c r="Q96" s="1"/>
      <c r="R96" s="1"/>
      <c r="S96" s="1"/>
      <c r="T96" s="732" t="s">
        <v>246</v>
      </c>
      <c r="U96" s="733" t="s">
        <v>265</v>
      </c>
      <c r="V96" s="734">
        <v>1</v>
      </c>
      <c r="W96" s="735" t="s">
        <v>140</v>
      </c>
      <c r="X96" s="736">
        <v>69.900000000000006</v>
      </c>
      <c r="Y96" s="737">
        <v>0.17599999999999999</v>
      </c>
      <c r="Z96" s="738">
        <v>57.597600000000007</v>
      </c>
      <c r="AA96" s="706"/>
      <c r="AB96" s="696"/>
      <c r="AC96" s="696"/>
      <c r="AD96" s="703"/>
      <c r="AE96" s="704"/>
      <c r="AF96" s="631" t="s">
        <v>141</v>
      </c>
      <c r="AG96" s="359" t="s">
        <v>142</v>
      </c>
      <c r="AH96" s="367" t="s">
        <v>143</v>
      </c>
      <c r="AI96" s="1" t="s">
        <v>126</v>
      </c>
      <c r="AJ96" s="1" t="s">
        <v>126</v>
      </c>
      <c r="AK96" s="1" t="s">
        <v>126</v>
      </c>
      <c r="AL96" s="1" t="s">
        <v>126</v>
      </c>
      <c r="AM96" s="374"/>
    </row>
    <row r="97" spans="1:39">
      <c r="A97" s="241"/>
      <c r="B97" s="504"/>
      <c r="C97" s="674"/>
      <c r="D97" s="272"/>
      <c r="E97" s="272"/>
      <c r="F97" s="480"/>
      <c r="G97" s="276"/>
      <c r="H97" s="726"/>
      <c r="I97" s="727"/>
      <c r="J97" s="727"/>
      <c r="K97" s="728"/>
      <c r="L97" s="727"/>
      <c r="M97" s="481"/>
      <c r="N97" s="376"/>
      <c r="O97" s="374"/>
      <c r="P97" s="1"/>
      <c r="Q97" s="1"/>
      <c r="R97" s="1"/>
      <c r="S97" s="1"/>
      <c r="T97" s="739" t="s">
        <v>266</v>
      </c>
      <c r="U97" s="697" t="s">
        <v>267</v>
      </c>
      <c r="V97" s="698">
        <v>1</v>
      </c>
      <c r="W97" s="740" t="s">
        <v>140</v>
      </c>
      <c r="X97" s="699"/>
      <c r="Y97" s="705"/>
      <c r="Z97" s="655">
        <v>24</v>
      </c>
      <c r="AA97" s="738"/>
      <c r="AB97" s="704"/>
      <c r="AC97" s="704"/>
      <c r="AD97" s="713"/>
      <c r="AE97" s="704"/>
      <c r="AF97" s="631" t="s">
        <v>141</v>
      </c>
      <c r="AG97" s="359" t="s">
        <v>142</v>
      </c>
      <c r="AH97" s="367" t="s">
        <v>143</v>
      </c>
      <c r="AI97" s="1" t="s">
        <v>126</v>
      </c>
      <c r="AJ97" s="1" t="s">
        <v>126</v>
      </c>
      <c r="AK97" s="1" t="s">
        <v>126</v>
      </c>
      <c r="AL97" s="1" t="s">
        <v>126</v>
      </c>
      <c r="AM97" s="374"/>
    </row>
    <row r="98" spans="1:39">
      <c r="A98" s="241"/>
      <c r="B98" s="504"/>
      <c r="C98" s="674"/>
      <c r="D98" s="272"/>
      <c r="E98" s="272"/>
      <c r="F98" s="480"/>
      <c r="G98" s="276"/>
      <c r="H98" s="726"/>
      <c r="I98" s="727"/>
      <c r="J98" s="727"/>
      <c r="K98" s="728"/>
      <c r="L98" s="727"/>
      <c r="M98" s="481"/>
      <c r="N98" s="376"/>
      <c r="O98" s="374"/>
      <c r="P98" s="1"/>
      <c r="Q98" s="1"/>
      <c r="R98" s="1"/>
      <c r="S98" s="1"/>
      <c r="T98" s="739" t="s">
        <v>268</v>
      </c>
      <c r="U98" s="697" t="s">
        <v>269</v>
      </c>
      <c r="V98" s="698">
        <v>1</v>
      </c>
      <c r="W98" s="740" t="s">
        <v>140</v>
      </c>
      <c r="X98" s="699"/>
      <c r="Y98" s="705"/>
      <c r="Z98" s="655">
        <v>48</v>
      </c>
      <c r="AA98" s="738"/>
      <c r="AB98" s="704"/>
      <c r="AC98" s="704"/>
      <c r="AD98" s="713"/>
      <c r="AE98" s="704"/>
      <c r="AF98" s="631" t="s">
        <v>141</v>
      </c>
      <c r="AG98" s="359" t="s">
        <v>142</v>
      </c>
      <c r="AH98" s="367" t="s">
        <v>143</v>
      </c>
      <c r="AI98" s="1" t="s">
        <v>126</v>
      </c>
      <c r="AJ98" s="1" t="s">
        <v>126</v>
      </c>
      <c r="AK98" s="1" t="s">
        <v>126</v>
      </c>
      <c r="AL98" s="1" t="s">
        <v>126</v>
      </c>
      <c r="AM98" s="374"/>
    </row>
    <row r="99" spans="1:39">
      <c r="A99" s="241"/>
      <c r="B99" s="504"/>
      <c r="C99" s="674"/>
      <c r="D99" s="272"/>
      <c r="E99" s="272"/>
      <c r="F99" s="480"/>
      <c r="G99" s="276"/>
      <c r="H99" s="726"/>
      <c r="I99" s="727"/>
      <c r="J99" s="727"/>
      <c r="K99" s="728"/>
      <c r="L99" s="727"/>
      <c r="M99" s="481"/>
      <c r="N99" s="376"/>
      <c r="O99" s="374"/>
      <c r="P99" s="1"/>
      <c r="Q99" s="1"/>
      <c r="R99" s="1"/>
      <c r="S99" s="1"/>
      <c r="T99" s="739" t="s">
        <v>270</v>
      </c>
      <c r="U99" s="697" t="s">
        <v>271</v>
      </c>
      <c r="V99" s="698">
        <v>1</v>
      </c>
      <c r="W99" s="740" t="s">
        <v>140</v>
      </c>
      <c r="X99" s="699"/>
      <c r="Y99" s="705"/>
      <c r="Z99" s="655">
        <v>74</v>
      </c>
      <c r="AA99" s="738"/>
      <c r="AB99" s="704"/>
      <c r="AC99" s="704"/>
      <c r="AD99" s="713"/>
      <c r="AE99" s="704"/>
      <c r="AF99" s="631" t="s">
        <v>141</v>
      </c>
      <c r="AG99" s="359" t="s">
        <v>142</v>
      </c>
      <c r="AH99" s="367" t="s">
        <v>143</v>
      </c>
      <c r="AI99" s="1" t="s">
        <v>126</v>
      </c>
      <c r="AJ99" s="1" t="s">
        <v>126</v>
      </c>
      <c r="AK99" s="1" t="s">
        <v>126</v>
      </c>
      <c r="AL99" s="1" t="s">
        <v>126</v>
      </c>
      <c r="AM99" s="374"/>
    </row>
    <row r="100" spans="1:39">
      <c r="A100" s="241"/>
      <c r="B100" s="504"/>
      <c r="C100" s="674"/>
      <c r="D100" s="272"/>
      <c r="E100" s="272"/>
      <c r="F100" s="480"/>
      <c r="G100" s="276"/>
      <c r="H100" s="726"/>
      <c r="I100" s="727"/>
      <c r="J100" s="727"/>
      <c r="K100" s="728"/>
      <c r="L100" s="727"/>
      <c r="M100" s="481"/>
      <c r="N100" s="376"/>
      <c r="O100" s="374"/>
      <c r="P100" s="1"/>
      <c r="Q100" s="1"/>
      <c r="R100" s="1"/>
      <c r="S100" s="1"/>
      <c r="T100" s="739" t="s">
        <v>272</v>
      </c>
      <c r="U100" s="697" t="s">
        <v>273</v>
      </c>
      <c r="V100" s="698">
        <v>1</v>
      </c>
      <c r="W100" s="740" t="s">
        <v>140</v>
      </c>
      <c r="X100" s="699"/>
      <c r="Y100" s="705"/>
      <c r="Z100" s="655">
        <v>21</v>
      </c>
      <c r="AA100" s="738"/>
      <c r="AB100" s="704"/>
      <c r="AC100" s="704"/>
      <c r="AD100" s="713"/>
      <c r="AE100" s="704"/>
      <c r="AF100" s="631" t="s">
        <v>141</v>
      </c>
      <c r="AG100" s="359" t="s">
        <v>142</v>
      </c>
      <c r="AH100" s="367" t="s">
        <v>143</v>
      </c>
      <c r="AI100" s="1" t="s">
        <v>126</v>
      </c>
      <c r="AJ100" s="1" t="s">
        <v>126</v>
      </c>
      <c r="AK100" s="1" t="s">
        <v>126</v>
      </c>
      <c r="AL100" s="1" t="s">
        <v>126</v>
      </c>
      <c r="AM100" s="374"/>
    </row>
    <row r="101" spans="1:39">
      <c r="A101" s="241"/>
      <c r="B101" s="504"/>
      <c r="C101" s="674"/>
      <c r="D101" s="272"/>
      <c r="E101" s="272"/>
      <c r="F101" s="480"/>
      <c r="G101" s="276"/>
      <c r="H101" s="726"/>
      <c r="I101" s="727"/>
      <c r="J101" s="727"/>
      <c r="K101" s="728"/>
      <c r="L101" s="727"/>
      <c r="M101" s="481"/>
      <c r="N101" s="376"/>
      <c r="O101" s="374"/>
      <c r="P101" s="1"/>
      <c r="Q101" s="1"/>
      <c r="R101" s="1"/>
      <c r="S101" s="1"/>
      <c r="T101" s="739" t="s">
        <v>274</v>
      </c>
      <c r="U101" s="697" t="s">
        <v>275</v>
      </c>
      <c r="V101" s="698">
        <v>1</v>
      </c>
      <c r="W101" s="740" t="s">
        <v>140</v>
      </c>
      <c r="X101" s="699"/>
      <c r="Y101" s="705"/>
      <c r="Z101" s="655">
        <v>58</v>
      </c>
      <c r="AA101" s="738"/>
      <c r="AB101" s="704"/>
      <c r="AC101" s="704"/>
      <c r="AD101" s="713"/>
      <c r="AE101" s="704"/>
      <c r="AF101" s="631" t="s">
        <v>141</v>
      </c>
      <c r="AG101" s="359" t="s">
        <v>142</v>
      </c>
      <c r="AH101" s="367" t="s">
        <v>143</v>
      </c>
      <c r="AI101" s="1" t="s">
        <v>126</v>
      </c>
      <c r="AJ101" s="1" t="s">
        <v>126</v>
      </c>
      <c r="AK101" s="1" t="s">
        <v>126</v>
      </c>
      <c r="AL101" s="1" t="s">
        <v>126</v>
      </c>
      <c r="AM101" s="374"/>
    </row>
    <row r="102" spans="1:39">
      <c r="A102" s="241"/>
      <c r="B102" s="504"/>
      <c r="C102" s="674"/>
      <c r="D102" s="272"/>
      <c r="E102" s="272"/>
      <c r="F102" s="480"/>
      <c r="G102" s="276"/>
      <c r="H102" s="726"/>
      <c r="I102" s="727"/>
      <c r="J102" s="727"/>
      <c r="K102" s="728"/>
      <c r="L102" s="727"/>
      <c r="M102" s="481"/>
      <c r="N102" s="376"/>
      <c r="O102" s="374"/>
      <c r="P102" s="1"/>
      <c r="Q102" s="1"/>
      <c r="R102" s="1"/>
      <c r="S102" s="1"/>
      <c r="T102" s="739" t="s">
        <v>276</v>
      </c>
      <c r="U102" s="697" t="s">
        <v>277</v>
      </c>
      <c r="V102" s="698">
        <v>1</v>
      </c>
      <c r="W102" s="740" t="s">
        <v>140</v>
      </c>
      <c r="X102" s="699"/>
      <c r="Y102" s="705"/>
      <c r="Z102" s="655">
        <v>86</v>
      </c>
      <c r="AA102" s="738"/>
      <c r="AB102" s="704"/>
      <c r="AC102" s="704"/>
      <c r="AD102" s="713"/>
      <c r="AE102" s="704"/>
      <c r="AF102" s="631" t="s">
        <v>141</v>
      </c>
      <c r="AG102" s="359" t="s">
        <v>142</v>
      </c>
      <c r="AH102" s="367" t="s">
        <v>143</v>
      </c>
      <c r="AI102" s="1" t="s">
        <v>126</v>
      </c>
      <c r="AJ102" s="1" t="s">
        <v>126</v>
      </c>
      <c r="AK102" s="1" t="s">
        <v>126</v>
      </c>
      <c r="AL102" s="1" t="s">
        <v>126</v>
      </c>
      <c r="AM102" s="374"/>
    </row>
    <row r="103" spans="1:39">
      <c r="A103" s="241"/>
      <c r="B103" s="504"/>
      <c r="C103" s="674"/>
      <c r="D103" s="272"/>
      <c r="E103" s="272"/>
      <c r="F103" s="480"/>
      <c r="G103" s="276"/>
      <c r="H103" s="726"/>
      <c r="I103" s="727"/>
      <c r="J103" s="727"/>
      <c r="K103" s="728"/>
      <c r="L103" s="727"/>
      <c r="M103" s="481"/>
      <c r="N103" s="376"/>
      <c r="O103" s="374"/>
      <c r="P103" s="1"/>
      <c r="Q103" s="1"/>
      <c r="R103" s="1"/>
      <c r="S103" s="1"/>
      <c r="T103" s="739" t="s">
        <v>278</v>
      </c>
      <c r="U103" s="697" t="s">
        <v>279</v>
      </c>
      <c r="V103" s="698">
        <v>1</v>
      </c>
      <c r="W103" s="740" t="s">
        <v>140</v>
      </c>
      <c r="X103" s="699"/>
      <c r="Y103" s="705"/>
      <c r="Z103" s="655">
        <v>88</v>
      </c>
      <c r="AA103" s="738"/>
      <c r="AB103" s="704"/>
      <c r="AC103" s="704"/>
      <c r="AD103" s="713"/>
      <c r="AE103" s="704"/>
      <c r="AF103" s="631" t="s">
        <v>141</v>
      </c>
      <c r="AG103" s="359" t="s">
        <v>142</v>
      </c>
      <c r="AH103" s="367" t="s">
        <v>143</v>
      </c>
      <c r="AI103" s="1" t="s">
        <v>126</v>
      </c>
      <c r="AJ103" s="1" t="s">
        <v>126</v>
      </c>
      <c r="AK103" s="1" t="s">
        <v>126</v>
      </c>
      <c r="AL103" s="1" t="s">
        <v>126</v>
      </c>
      <c r="AM103" s="374"/>
    </row>
    <row r="104" spans="1:39">
      <c r="A104" s="241"/>
      <c r="B104" s="504"/>
      <c r="C104" s="674"/>
      <c r="D104" s="272"/>
      <c r="E104" s="272"/>
      <c r="F104" s="480"/>
      <c r="G104" s="276"/>
      <c r="H104" s="726"/>
      <c r="I104" s="727"/>
      <c r="J104" s="727"/>
      <c r="K104" s="728"/>
      <c r="L104" s="727"/>
      <c r="M104" s="481"/>
      <c r="N104" s="376"/>
      <c r="O104" s="374"/>
      <c r="P104" s="1"/>
      <c r="Q104" s="1"/>
      <c r="R104" s="1"/>
      <c r="S104" s="1"/>
      <c r="T104" s="739" t="s">
        <v>280</v>
      </c>
      <c r="U104" s="697" t="s">
        <v>281</v>
      </c>
      <c r="V104" s="698">
        <v>1</v>
      </c>
      <c r="W104" s="740" t="s">
        <v>140</v>
      </c>
      <c r="X104" s="699"/>
      <c r="Y104" s="705"/>
      <c r="Z104" s="655">
        <v>37</v>
      </c>
      <c r="AA104" s="738"/>
      <c r="AB104" s="704"/>
      <c r="AC104" s="704"/>
      <c r="AD104" s="713"/>
      <c r="AE104" s="704"/>
      <c r="AF104" s="631" t="s">
        <v>141</v>
      </c>
      <c r="AG104" s="359" t="s">
        <v>142</v>
      </c>
      <c r="AH104" s="367" t="s">
        <v>143</v>
      </c>
      <c r="AI104" s="1" t="s">
        <v>126</v>
      </c>
      <c r="AJ104" s="1" t="s">
        <v>126</v>
      </c>
      <c r="AK104" s="1" t="s">
        <v>126</v>
      </c>
      <c r="AL104" s="1" t="s">
        <v>126</v>
      </c>
      <c r="AM104" s="374"/>
    </row>
    <row r="105" spans="1:39">
      <c r="A105" s="241"/>
      <c r="B105" s="504"/>
      <c r="C105" s="674"/>
      <c r="D105" s="272"/>
      <c r="E105" s="272"/>
      <c r="F105" s="480"/>
      <c r="G105" s="276"/>
      <c r="H105" s="726"/>
      <c r="I105" s="727"/>
      <c r="J105" s="727"/>
      <c r="K105" s="728"/>
      <c r="L105" s="727"/>
      <c r="M105" s="481"/>
      <c r="N105" s="376"/>
      <c r="O105" s="374"/>
      <c r="P105" s="1"/>
      <c r="Q105" s="1"/>
      <c r="R105" s="1"/>
      <c r="S105" s="1"/>
      <c r="T105" s="739" t="s">
        <v>282</v>
      </c>
      <c r="U105" s="697" t="s">
        <v>283</v>
      </c>
      <c r="V105" s="698">
        <v>1</v>
      </c>
      <c r="W105" s="740" t="s">
        <v>140</v>
      </c>
      <c r="X105" s="699"/>
      <c r="Y105" s="705"/>
      <c r="Z105" s="655">
        <v>84</v>
      </c>
      <c r="AA105" s="738"/>
      <c r="AB105" s="704"/>
      <c r="AC105" s="704"/>
      <c r="AD105" s="713"/>
      <c r="AE105" s="704"/>
      <c r="AF105" s="631" t="s">
        <v>141</v>
      </c>
      <c r="AG105" s="359" t="s">
        <v>142</v>
      </c>
      <c r="AH105" s="367" t="s">
        <v>143</v>
      </c>
      <c r="AI105" s="1" t="s">
        <v>126</v>
      </c>
      <c r="AJ105" s="1" t="s">
        <v>126</v>
      </c>
      <c r="AK105" s="1" t="s">
        <v>126</v>
      </c>
      <c r="AL105" s="1" t="s">
        <v>126</v>
      </c>
      <c r="AM105" s="374"/>
    </row>
    <row r="106" spans="1:39">
      <c r="A106" s="241"/>
      <c r="B106" s="504"/>
      <c r="C106" s="674"/>
      <c r="D106" s="272"/>
      <c r="E106" s="272"/>
      <c r="F106" s="480"/>
      <c r="G106" s="276"/>
      <c r="H106" s="726"/>
      <c r="I106" s="727"/>
      <c r="J106" s="727"/>
      <c r="K106" s="728"/>
      <c r="L106" s="727"/>
      <c r="M106" s="481"/>
      <c r="N106" s="376"/>
      <c r="O106" s="374"/>
      <c r="P106" s="1"/>
      <c r="Q106" s="1"/>
      <c r="R106" s="1"/>
      <c r="S106" s="1"/>
      <c r="T106" s="739" t="s">
        <v>284</v>
      </c>
      <c r="U106" s="697" t="s">
        <v>285</v>
      </c>
      <c r="V106" s="698">
        <v>1</v>
      </c>
      <c r="W106" s="740" t="s">
        <v>140</v>
      </c>
      <c r="X106" s="699"/>
      <c r="Y106" s="705"/>
      <c r="Z106" s="655">
        <v>126</v>
      </c>
      <c r="AA106" s="738"/>
      <c r="AB106" s="704"/>
      <c r="AC106" s="704"/>
      <c r="AD106" s="713"/>
      <c r="AE106" s="704"/>
      <c r="AF106" s="631" t="s">
        <v>141</v>
      </c>
      <c r="AG106" s="359" t="s">
        <v>142</v>
      </c>
      <c r="AH106" s="367" t="s">
        <v>143</v>
      </c>
      <c r="AI106" s="1" t="s">
        <v>126</v>
      </c>
      <c r="AJ106" s="1" t="s">
        <v>126</v>
      </c>
      <c r="AK106" s="1" t="s">
        <v>126</v>
      </c>
      <c r="AL106" s="1" t="s">
        <v>126</v>
      </c>
      <c r="AM106" s="374"/>
    </row>
    <row r="107" spans="1:39">
      <c r="A107" s="241"/>
      <c r="B107" s="504"/>
      <c r="C107" s="674"/>
      <c r="D107" s="272"/>
      <c r="E107" s="272"/>
      <c r="F107" s="480"/>
      <c r="G107" s="276"/>
      <c r="H107" s="726"/>
      <c r="I107" s="727"/>
      <c r="J107" s="727"/>
      <c r="K107" s="728"/>
      <c r="L107" s="727"/>
      <c r="M107" s="481"/>
      <c r="N107" s="376"/>
      <c r="O107" s="374"/>
      <c r="P107" s="1"/>
      <c r="Q107" s="1"/>
      <c r="R107" s="1"/>
      <c r="S107" s="1"/>
      <c r="T107" s="739" t="s">
        <v>286</v>
      </c>
      <c r="U107" s="697" t="s">
        <v>287</v>
      </c>
      <c r="V107" s="698">
        <v>1</v>
      </c>
      <c r="W107" s="740" t="s">
        <v>140</v>
      </c>
      <c r="X107" s="699"/>
      <c r="Y107" s="705"/>
      <c r="Z107" s="655">
        <v>194</v>
      </c>
      <c r="AA107" s="738"/>
      <c r="AB107" s="704"/>
      <c r="AC107" s="704"/>
      <c r="AD107" s="713"/>
      <c r="AE107" s="704"/>
      <c r="AF107" s="631" t="s">
        <v>141</v>
      </c>
      <c r="AG107" s="359" t="s">
        <v>142</v>
      </c>
      <c r="AH107" s="367" t="s">
        <v>143</v>
      </c>
      <c r="AI107" s="1" t="s">
        <v>126</v>
      </c>
      <c r="AJ107" s="1" t="s">
        <v>126</v>
      </c>
      <c r="AK107" s="1" t="s">
        <v>126</v>
      </c>
      <c r="AL107" s="1" t="s">
        <v>126</v>
      </c>
      <c r="AM107" s="374"/>
    </row>
    <row r="108" spans="1:39">
      <c r="A108" s="241"/>
      <c r="B108" s="504"/>
      <c r="C108" s="674"/>
      <c r="D108" s="272"/>
      <c r="E108" s="272"/>
      <c r="F108" s="480"/>
      <c r="G108" s="276"/>
      <c r="H108" s="726"/>
      <c r="I108" s="727"/>
      <c r="J108" s="727"/>
      <c r="K108" s="728"/>
      <c r="L108" s="727"/>
      <c r="M108" s="481"/>
      <c r="N108" s="376"/>
      <c r="O108" s="374"/>
      <c r="P108" s="1"/>
      <c r="Q108" s="1"/>
      <c r="R108" s="1"/>
      <c r="S108" s="1"/>
      <c r="T108" s="741" t="s">
        <v>288</v>
      </c>
      <c r="U108" s="742" t="s">
        <v>289</v>
      </c>
      <c r="V108" s="743">
        <v>1</v>
      </c>
      <c r="W108" s="744" t="s">
        <v>140</v>
      </c>
      <c r="X108" s="745"/>
      <c r="Y108" s="746"/>
      <c r="Z108" s="649">
        <v>384</v>
      </c>
      <c r="AA108" s="649"/>
      <c r="AB108" s="747"/>
      <c r="AC108" s="747"/>
      <c r="AD108" s="748"/>
      <c r="AE108" s="747"/>
      <c r="AF108" s="631" t="s">
        <v>141</v>
      </c>
      <c r="AG108" s="359" t="s">
        <v>142</v>
      </c>
      <c r="AH108" s="367" t="s">
        <v>143</v>
      </c>
      <c r="AI108" s="1" t="s">
        <v>126</v>
      </c>
      <c r="AJ108" s="1" t="s">
        <v>126</v>
      </c>
      <c r="AK108" s="1" t="s">
        <v>126</v>
      </c>
      <c r="AL108" s="1" t="s">
        <v>126</v>
      </c>
      <c r="AM108" s="374"/>
    </row>
    <row r="109" spans="1:39">
      <c r="A109" s="241"/>
      <c r="B109" s="504"/>
      <c r="C109" s="674"/>
      <c r="D109" s="272"/>
      <c r="E109" s="272"/>
      <c r="F109" s="480"/>
      <c r="G109" s="276"/>
      <c r="H109" s="726"/>
      <c r="I109" s="727"/>
      <c r="J109" s="727"/>
      <c r="K109" s="728"/>
      <c r="L109" s="727"/>
      <c r="M109" s="481"/>
      <c r="N109" s="376"/>
      <c r="O109" s="374"/>
      <c r="P109" s="1"/>
      <c r="Q109" s="1"/>
      <c r="R109" s="1"/>
      <c r="S109" s="1"/>
      <c r="T109" s="739" t="s">
        <v>290</v>
      </c>
      <c r="U109" s="697" t="s">
        <v>291</v>
      </c>
      <c r="V109" s="698">
        <v>1</v>
      </c>
      <c r="W109" s="740" t="s">
        <v>140</v>
      </c>
      <c r="X109" s="699"/>
      <c r="Y109" s="705"/>
      <c r="Z109" s="655">
        <v>510</v>
      </c>
      <c r="AA109" s="655"/>
      <c r="AB109" s="704"/>
      <c r="AC109" s="704"/>
      <c r="AD109" s="713"/>
      <c r="AE109" s="704"/>
      <c r="AF109" s="631" t="s">
        <v>141</v>
      </c>
      <c r="AG109" s="359" t="s">
        <v>142</v>
      </c>
      <c r="AH109" s="367" t="s">
        <v>143</v>
      </c>
      <c r="AI109" s="1" t="s">
        <v>126</v>
      </c>
      <c r="AJ109" s="1" t="s">
        <v>126</v>
      </c>
      <c r="AK109" s="1" t="s">
        <v>126</v>
      </c>
      <c r="AL109" s="1" t="s">
        <v>126</v>
      </c>
      <c r="AM109" s="374"/>
    </row>
    <row r="110" spans="1:39">
      <c r="A110" s="241"/>
      <c r="B110" s="504"/>
      <c r="C110" s="674"/>
      <c r="D110" s="272"/>
      <c r="E110" s="272"/>
      <c r="F110" s="480"/>
      <c r="G110" s="276"/>
      <c r="H110" s="726"/>
      <c r="I110" s="727"/>
      <c r="J110" s="727"/>
      <c r="K110" s="728"/>
      <c r="L110" s="727"/>
      <c r="M110" s="481"/>
      <c r="N110" s="376"/>
      <c r="O110" s="374"/>
      <c r="P110" s="1"/>
      <c r="Q110" s="1"/>
      <c r="R110" s="1"/>
      <c r="S110" s="1"/>
      <c r="T110" s="749" t="s">
        <v>292</v>
      </c>
      <c r="U110" s="653" t="s">
        <v>293</v>
      </c>
      <c r="V110" s="671">
        <v>1</v>
      </c>
      <c r="W110" s="750" t="s">
        <v>140</v>
      </c>
      <c r="X110" s="659"/>
      <c r="Y110" s="648"/>
      <c r="Z110" s="655">
        <v>161.51</v>
      </c>
      <c r="AA110" s="738"/>
      <c r="AB110" s="704"/>
      <c r="AC110" s="704"/>
      <c r="AD110" s="713"/>
      <c r="AE110" s="704"/>
      <c r="AF110" s="631" t="s">
        <v>141</v>
      </c>
      <c r="AG110" s="359" t="s">
        <v>142</v>
      </c>
      <c r="AH110" s="367" t="s">
        <v>143</v>
      </c>
      <c r="AI110" s="1" t="s">
        <v>126</v>
      </c>
      <c r="AJ110" s="1" t="s">
        <v>126</v>
      </c>
      <c r="AK110" s="1" t="s">
        <v>126</v>
      </c>
      <c r="AL110" s="1" t="s">
        <v>126</v>
      </c>
      <c r="AM110" s="374"/>
    </row>
    <row r="111" spans="1:39">
      <c r="A111" s="241"/>
      <c r="B111" s="504"/>
      <c r="C111" s="674"/>
      <c r="D111" s="272"/>
      <c r="E111" s="272"/>
      <c r="F111" s="480"/>
      <c r="G111" s="276"/>
      <c r="H111" s="726"/>
      <c r="I111" s="727"/>
      <c r="J111" s="727"/>
      <c r="K111" s="728"/>
      <c r="L111" s="727"/>
      <c r="M111" s="481"/>
      <c r="N111" s="376"/>
      <c r="O111" s="374"/>
      <c r="P111" s="1"/>
      <c r="Q111" s="1"/>
      <c r="R111" s="1"/>
      <c r="S111" s="1"/>
      <c r="T111" s="739" t="s">
        <v>294</v>
      </c>
      <c r="U111" s="697" t="s">
        <v>295</v>
      </c>
      <c r="V111" s="698">
        <v>1</v>
      </c>
      <c r="W111" s="751" t="s">
        <v>140</v>
      </c>
      <c r="X111" s="699"/>
      <c r="Y111" s="705"/>
      <c r="Z111" s="655">
        <v>173.67</v>
      </c>
      <c r="AA111" s="738"/>
      <c r="AB111" s="704"/>
      <c r="AC111" s="704"/>
      <c r="AD111" s="713"/>
      <c r="AE111" s="704"/>
      <c r="AF111" s="631" t="s">
        <v>141</v>
      </c>
      <c r="AG111" s="359" t="s">
        <v>142</v>
      </c>
      <c r="AH111" s="368" t="s">
        <v>143</v>
      </c>
      <c r="AI111" s="1" t="s">
        <v>126</v>
      </c>
      <c r="AJ111" s="1" t="s">
        <v>126</v>
      </c>
      <c r="AK111" s="1" t="s">
        <v>126</v>
      </c>
      <c r="AL111" s="1" t="s">
        <v>126</v>
      </c>
      <c r="AM111" s="374"/>
    </row>
    <row r="112" spans="1:39" s="329" customFormat="1" ht="24.95" customHeight="1">
      <c r="A112" s="448" t="s">
        <v>296</v>
      </c>
      <c r="B112" s="549" t="s">
        <v>297</v>
      </c>
      <c r="C112" s="450"/>
      <c r="D112" s="451"/>
      <c r="E112" s="451"/>
      <c r="F112" s="452"/>
      <c r="G112" s="453"/>
      <c r="H112" s="453"/>
      <c r="I112" s="454"/>
      <c r="J112" s="454"/>
      <c r="K112" s="453"/>
      <c r="L112" s="454"/>
      <c r="M112" s="629"/>
      <c r="N112" s="455"/>
      <c r="O112" s="454"/>
      <c r="P112" s="454"/>
      <c r="Q112" s="454"/>
      <c r="R112" s="454"/>
      <c r="S112" s="454"/>
      <c r="T112" s="448"/>
      <c r="U112" s="549"/>
      <c r="V112" s="450"/>
      <c r="W112" s="451"/>
      <c r="X112" s="451"/>
      <c r="Y112" s="452"/>
      <c r="Z112" s="453"/>
      <c r="AA112" s="453"/>
      <c r="AB112" s="454"/>
      <c r="AC112" s="454"/>
      <c r="AD112" s="453"/>
      <c r="AE112" s="454"/>
      <c r="AF112" s="629"/>
      <c r="AG112" s="455"/>
      <c r="AH112" s="454"/>
      <c r="AI112" s="454"/>
      <c r="AJ112" s="454"/>
      <c r="AK112" s="454"/>
      <c r="AL112" s="454"/>
      <c r="AM112" s="373"/>
    </row>
    <row r="113" spans="1:39" s="399" customFormat="1">
      <c r="A113" s="206" t="s">
        <v>298</v>
      </c>
      <c r="B113" s="52" t="s">
        <v>299</v>
      </c>
      <c r="C113" s="53">
        <v>1</v>
      </c>
      <c r="D113" s="70" t="s">
        <v>118</v>
      </c>
      <c r="E113" s="62">
        <v>1665.53</v>
      </c>
      <c r="F113" s="66">
        <f>rv_mbp13_eg</f>
        <v>0.17599999999999999</v>
      </c>
      <c r="G113" s="70">
        <f t="shared" ref="G113:G118" si="14">E113-(E113*F113)</f>
        <v>1372.39672</v>
      </c>
      <c r="H113" s="53" t="s">
        <v>300</v>
      </c>
      <c r="I113" s="63">
        <f>mbp13_5pl</f>
        <v>74.077600000000004</v>
      </c>
      <c r="J113" s="63">
        <f>G113+I113</f>
        <v>1446.47432</v>
      </c>
      <c r="K113" s="63" t="s">
        <v>120</v>
      </c>
      <c r="L113" s="63">
        <v>0.3</v>
      </c>
      <c r="M113" s="630" t="s">
        <v>247</v>
      </c>
      <c r="N113" s="380" t="s">
        <v>122</v>
      </c>
      <c r="O113" s="385" t="s">
        <v>248</v>
      </c>
      <c r="P113" s="90">
        <f t="shared" ref="P113:S122" si="15">+IF($J113&lt;&gt;"",P$2*$J113,"")</f>
        <v>291.18793334308458</v>
      </c>
      <c r="Q113" s="90">
        <f t="shared" si="15"/>
        <v>151.3322496822999</v>
      </c>
      <c r="R113" s="90">
        <f t="shared" si="15"/>
        <v>109.90810798070029</v>
      </c>
      <c r="S113" s="90">
        <f t="shared" si="15"/>
        <v>94.843705014865037</v>
      </c>
      <c r="T113" s="206"/>
      <c r="U113" s="52"/>
      <c r="V113" s="53"/>
      <c r="W113" s="70"/>
      <c r="X113" s="62"/>
      <c r="Y113" s="66"/>
      <c r="Z113" s="70"/>
      <c r="AA113" s="53"/>
      <c r="AB113" s="63"/>
      <c r="AC113" s="63"/>
      <c r="AD113" s="63"/>
      <c r="AE113" s="63"/>
      <c r="AF113" s="630"/>
      <c r="AG113" s="380"/>
      <c r="AH113" s="385"/>
      <c r="AI113" s="90"/>
      <c r="AJ113" s="90"/>
      <c r="AK113" s="90"/>
      <c r="AL113" s="90"/>
      <c r="AM113" s="398"/>
    </row>
    <row r="114" spans="1:39" s="86" customFormat="1">
      <c r="A114" s="761" t="s">
        <v>301</v>
      </c>
      <c r="B114" s="762" t="s">
        <v>302</v>
      </c>
      <c r="C114" s="763">
        <v>1</v>
      </c>
      <c r="D114" s="764" t="s">
        <v>118</v>
      </c>
      <c r="E114" s="765">
        <v>191.67</v>
      </c>
      <c r="F114" s="766">
        <f>rv_mbp13_eg_cto</f>
        <v>0.17599999999999999</v>
      </c>
      <c r="G114" s="767">
        <f t="shared" si="14"/>
        <v>157.93608</v>
      </c>
      <c r="H114" s="767"/>
      <c r="I114" s="768"/>
      <c r="J114" s="768"/>
      <c r="K114" s="769"/>
      <c r="L114" s="768"/>
      <c r="M114" s="631" t="s">
        <v>247</v>
      </c>
      <c r="N114" s="359" t="s">
        <v>122</v>
      </c>
      <c r="O114" s="367" t="s">
        <v>248</v>
      </c>
      <c r="P114" s="1" t="str">
        <f t="shared" si="15"/>
        <v/>
      </c>
      <c r="Q114" s="1" t="str">
        <f t="shared" si="15"/>
        <v/>
      </c>
      <c r="R114" s="1" t="str">
        <f t="shared" si="15"/>
        <v/>
      </c>
      <c r="S114" s="1" t="str">
        <f t="shared" si="15"/>
        <v/>
      </c>
      <c r="T114" s="200"/>
      <c r="U114" s="69"/>
      <c r="V114" s="23"/>
      <c r="W114" s="25"/>
      <c r="X114" s="31"/>
      <c r="Y114" s="57"/>
      <c r="Z114" s="24"/>
      <c r="AA114" s="24"/>
      <c r="AB114" s="63"/>
      <c r="AC114" s="63"/>
      <c r="AD114" s="73"/>
      <c r="AE114" s="56"/>
      <c r="AF114" s="631"/>
      <c r="AG114" s="359"/>
      <c r="AH114" s="367"/>
      <c r="AI114" s="1"/>
      <c r="AJ114" s="1"/>
      <c r="AK114" s="1"/>
      <c r="AL114" s="1"/>
      <c r="AM114" s="396"/>
    </row>
    <row r="115" spans="1:39" s="86" customFormat="1">
      <c r="A115" s="761" t="s">
        <v>303</v>
      </c>
      <c r="B115" s="762" t="s">
        <v>304</v>
      </c>
      <c r="C115" s="763">
        <v>1</v>
      </c>
      <c r="D115" s="764" t="s">
        <v>118</v>
      </c>
      <c r="E115" s="765">
        <v>383.33</v>
      </c>
      <c r="F115" s="766">
        <f>rv_mbp13_eg_cto</f>
        <v>0.17599999999999999</v>
      </c>
      <c r="G115" s="767">
        <f t="shared" si="14"/>
        <v>315.86392000000001</v>
      </c>
      <c r="H115" s="767"/>
      <c r="I115" s="768"/>
      <c r="J115" s="768"/>
      <c r="K115" s="769"/>
      <c r="L115" s="768"/>
      <c r="M115" s="631" t="s">
        <v>247</v>
      </c>
      <c r="N115" s="359" t="s">
        <v>122</v>
      </c>
      <c r="O115" s="367" t="s">
        <v>248</v>
      </c>
      <c r="P115" s="1" t="str">
        <f t="shared" si="15"/>
        <v/>
      </c>
      <c r="Q115" s="1" t="str">
        <f t="shared" si="15"/>
        <v/>
      </c>
      <c r="R115" s="1" t="str">
        <f t="shared" si="15"/>
        <v/>
      </c>
      <c r="S115" s="1" t="str">
        <f t="shared" si="15"/>
        <v/>
      </c>
      <c r="T115" s="200"/>
      <c r="U115" s="69"/>
      <c r="V115" s="23"/>
      <c r="W115" s="25"/>
      <c r="X115" s="31"/>
      <c r="Y115" s="57"/>
      <c r="Z115" s="24"/>
      <c r="AA115" s="24"/>
      <c r="AB115" s="63"/>
      <c r="AC115" s="63"/>
      <c r="AD115" s="73"/>
      <c r="AE115" s="56"/>
      <c r="AF115" s="631"/>
      <c r="AG115" s="359"/>
      <c r="AH115" s="367"/>
      <c r="AI115" s="1"/>
      <c r="AJ115" s="1"/>
      <c r="AK115" s="1"/>
      <c r="AL115" s="1"/>
      <c r="AM115" s="396"/>
    </row>
    <row r="116" spans="1:39" s="86" customFormat="1">
      <c r="A116" s="761"/>
      <c r="B116" s="762"/>
      <c r="C116" s="763"/>
      <c r="D116" s="764"/>
      <c r="E116" s="765"/>
      <c r="F116" s="766"/>
      <c r="G116" s="767"/>
      <c r="H116" s="767"/>
      <c r="I116" s="768"/>
      <c r="J116" s="768"/>
      <c r="K116" s="769"/>
      <c r="L116" s="768"/>
      <c r="M116" s="631"/>
      <c r="N116" s="359"/>
      <c r="O116" s="367"/>
      <c r="P116" s="1"/>
      <c r="Q116" s="1"/>
      <c r="R116" s="1"/>
      <c r="S116" s="1"/>
      <c r="T116" s="200"/>
      <c r="U116" s="69"/>
      <c r="V116" s="23"/>
      <c r="W116" s="25"/>
      <c r="X116" s="31"/>
      <c r="Y116" s="57"/>
      <c r="Z116" s="24"/>
      <c r="AA116" s="24"/>
      <c r="AB116" s="63"/>
      <c r="AC116" s="63"/>
      <c r="AD116" s="73"/>
      <c r="AE116" s="56"/>
      <c r="AF116" s="631"/>
      <c r="AG116" s="359"/>
      <c r="AH116" s="367"/>
      <c r="AI116" s="1"/>
      <c r="AJ116" s="1"/>
      <c r="AK116" s="1"/>
      <c r="AL116" s="1"/>
      <c r="AM116" s="396"/>
    </row>
    <row r="117" spans="1:39" s="86" customFormat="1">
      <c r="A117" s="761" t="s">
        <v>305</v>
      </c>
      <c r="B117" s="762" t="s">
        <v>306</v>
      </c>
      <c r="C117" s="763">
        <v>1</v>
      </c>
      <c r="D117" s="764" t="s">
        <v>118</v>
      </c>
      <c r="E117" s="765">
        <v>191.67</v>
      </c>
      <c r="F117" s="766">
        <f>rv_mbp13_eg_cto</f>
        <v>0.17599999999999999</v>
      </c>
      <c r="G117" s="767">
        <f t="shared" si="14"/>
        <v>157.93608</v>
      </c>
      <c r="H117" s="767"/>
      <c r="I117" s="768"/>
      <c r="J117" s="768"/>
      <c r="K117" s="769"/>
      <c r="L117" s="768"/>
      <c r="M117" s="631" t="s">
        <v>247</v>
      </c>
      <c r="N117" s="359" t="s">
        <v>122</v>
      </c>
      <c r="O117" s="367" t="s">
        <v>248</v>
      </c>
      <c r="P117" s="1" t="str">
        <f t="shared" si="15"/>
        <v/>
      </c>
      <c r="Q117" s="1" t="str">
        <f t="shared" si="15"/>
        <v/>
      </c>
      <c r="R117" s="1" t="str">
        <f t="shared" si="15"/>
        <v/>
      </c>
      <c r="S117" s="1" t="str">
        <f t="shared" si="15"/>
        <v/>
      </c>
      <c r="T117" s="200"/>
      <c r="U117" s="69"/>
      <c r="V117" s="23"/>
      <c r="W117" s="25"/>
      <c r="X117" s="31"/>
      <c r="Y117" s="57"/>
      <c r="Z117" s="24"/>
      <c r="AA117" s="24"/>
      <c r="AB117" s="63"/>
      <c r="AC117" s="63"/>
      <c r="AD117" s="73"/>
      <c r="AE117" s="56"/>
      <c r="AF117" s="631"/>
      <c r="AG117" s="359"/>
      <c r="AH117" s="367"/>
      <c r="AI117" s="1"/>
      <c r="AJ117" s="1"/>
      <c r="AK117" s="1"/>
      <c r="AL117" s="1"/>
      <c r="AM117" s="396"/>
    </row>
    <row r="118" spans="1:39" s="86" customFormat="1">
      <c r="A118" s="761" t="s">
        <v>307</v>
      </c>
      <c r="B118" s="762" t="s">
        <v>308</v>
      </c>
      <c r="C118" s="763">
        <v>1</v>
      </c>
      <c r="D118" s="764" t="s">
        <v>118</v>
      </c>
      <c r="E118" s="765">
        <v>575</v>
      </c>
      <c r="F118" s="766">
        <f>rv_mbp13_eg_cto</f>
        <v>0.17599999999999999</v>
      </c>
      <c r="G118" s="767">
        <f t="shared" si="14"/>
        <v>473.8</v>
      </c>
      <c r="H118" s="767"/>
      <c r="I118" s="768"/>
      <c r="J118" s="768"/>
      <c r="K118" s="769"/>
      <c r="L118" s="768"/>
      <c r="M118" s="631" t="s">
        <v>247</v>
      </c>
      <c r="N118" s="359" t="s">
        <v>122</v>
      </c>
      <c r="O118" s="367" t="s">
        <v>248</v>
      </c>
      <c r="P118" s="1" t="str">
        <f t="shared" si="15"/>
        <v/>
      </c>
      <c r="Q118" s="1" t="str">
        <f t="shared" si="15"/>
        <v/>
      </c>
      <c r="R118" s="1" t="str">
        <f t="shared" si="15"/>
        <v/>
      </c>
      <c r="S118" s="1" t="str">
        <f t="shared" si="15"/>
        <v/>
      </c>
      <c r="T118" s="200"/>
      <c r="U118" s="69"/>
      <c r="V118" s="23"/>
      <c r="W118" s="25"/>
      <c r="X118" s="31"/>
      <c r="Y118" s="57"/>
      <c r="Z118" s="24"/>
      <c r="AA118" s="24"/>
      <c r="AB118" s="63"/>
      <c r="AC118" s="63"/>
      <c r="AD118" s="73"/>
      <c r="AE118" s="56"/>
      <c r="AF118" s="631"/>
      <c r="AG118" s="359"/>
      <c r="AH118" s="367"/>
      <c r="AI118" s="1"/>
      <c r="AJ118" s="1"/>
      <c r="AK118" s="1"/>
      <c r="AL118" s="1"/>
      <c r="AM118" s="396"/>
    </row>
    <row r="119" spans="1:39" s="86" customFormat="1">
      <c r="A119" s="770" t="s">
        <v>309</v>
      </c>
      <c r="B119" s="762" t="s">
        <v>310</v>
      </c>
      <c r="C119" s="763">
        <v>1</v>
      </c>
      <c r="D119" s="764" t="s">
        <v>118</v>
      </c>
      <c r="E119" s="765">
        <v>16.670000000000002</v>
      </c>
      <c r="F119" s="766">
        <f>rv_mbp13_eg_cto</f>
        <v>0.17599999999999999</v>
      </c>
      <c r="G119" s="767">
        <f t="shared" ref="G119" si="16">E119-(E119*F119)</f>
        <v>13.736080000000001</v>
      </c>
      <c r="H119" s="767"/>
      <c r="I119" s="768"/>
      <c r="J119" s="768"/>
      <c r="K119" s="769"/>
      <c r="L119" s="768"/>
      <c r="M119" s="631" t="s">
        <v>247</v>
      </c>
      <c r="N119" s="359" t="s">
        <v>122</v>
      </c>
      <c r="O119" s="367" t="s">
        <v>248</v>
      </c>
      <c r="P119" s="1"/>
      <c r="Q119" s="1"/>
      <c r="R119" s="1"/>
      <c r="S119" s="1"/>
      <c r="T119" s="200"/>
      <c r="U119" s="69"/>
      <c r="V119" s="23"/>
      <c r="W119" s="25"/>
      <c r="X119" s="31"/>
      <c r="Y119" s="57"/>
      <c r="Z119" s="24"/>
      <c r="AA119" s="24"/>
      <c r="AB119" s="63"/>
      <c r="AC119" s="63"/>
      <c r="AD119" s="73"/>
      <c r="AE119" s="56"/>
      <c r="AF119" s="631"/>
      <c r="AG119" s="359"/>
      <c r="AH119" s="367"/>
      <c r="AI119" s="1"/>
      <c r="AJ119" s="1"/>
      <c r="AK119" s="1"/>
      <c r="AL119" s="1"/>
      <c r="AM119" s="396"/>
    </row>
    <row r="120" spans="1:39" s="86" customFormat="1">
      <c r="A120" s="761" t="s">
        <v>311</v>
      </c>
      <c r="B120" s="762" t="s">
        <v>312</v>
      </c>
      <c r="C120" s="763">
        <v>1</v>
      </c>
      <c r="D120" s="767" t="s">
        <v>118</v>
      </c>
      <c r="E120" s="765">
        <v>0</v>
      </c>
      <c r="F120" s="771"/>
      <c r="G120" s="767">
        <v>0</v>
      </c>
      <c r="H120" s="772"/>
      <c r="I120" s="768"/>
      <c r="J120" s="768"/>
      <c r="K120" s="769"/>
      <c r="L120" s="768"/>
      <c r="M120" s="631" t="s">
        <v>247</v>
      </c>
      <c r="N120" s="359" t="s">
        <v>122</v>
      </c>
      <c r="O120" s="367" t="s">
        <v>248</v>
      </c>
      <c r="P120" s="1" t="str">
        <f>+IF($J120&lt;&gt;"",P$2*$J120,"")</f>
        <v/>
      </c>
      <c r="Q120" s="1" t="str">
        <f>+IF($J120&lt;&gt;"",Q$2*$J120,"")</f>
        <v/>
      </c>
      <c r="R120" s="1" t="str">
        <f>+IF($J120&lt;&gt;"",R$2*$J120,"")</f>
        <v/>
      </c>
      <c r="S120" s="1" t="str">
        <f>+IF($J120&lt;&gt;"",S$2*$J120,"")</f>
        <v/>
      </c>
      <c r="T120" s="200"/>
      <c r="U120" s="69"/>
      <c r="V120" s="23"/>
      <c r="W120" s="24"/>
      <c r="X120" s="31"/>
      <c r="Y120" s="19"/>
      <c r="Z120" s="24"/>
      <c r="AA120" s="72"/>
      <c r="AB120" s="63"/>
      <c r="AC120" s="63"/>
      <c r="AD120" s="73"/>
      <c r="AE120" s="56"/>
      <c r="AF120" s="631"/>
      <c r="AG120" s="359"/>
      <c r="AH120" s="367"/>
      <c r="AI120" s="1"/>
      <c r="AJ120" s="1"/>
      <c r="AK120" s="1"/>
      <c r="AL120" s="1"/>
      <c r="AM120" s="396"/>
    </row>
    <row r="121" spans="1:39" s="86" customFormat="1">
      <c r="A121" s="761" t="s">
        <v>313</v>
      </c>
      <c r="B121" s="762" t="s">
        <v>314</v>
      </c>
      <c r="C121" s="763">
        <v>1</v>
      </c>
      <c r="D121" s="767" t="s">
        <v>118</v>
      </c>
      <c r="E121" s="765">
        <v>0</v>
      </c>
      <c r="F121" s="771"/>
      <c r="G121" s="767">
        <v>0</v>
      </c>
      <c r="H121" s="767"/>
      <c r="I121" s="768"/>
      <c r="J121" s="768"/>
      <c r="K121" s="769"/>
      <c r="L121" s="768"/>
      <c r="M121" s="631" t="s">
        <v>247</v>
      </c>
      <c r="N121" s="359" t="s">
        <v>122</v>
      </c>
      <c r="O121" s="367" t="s">
        <v>248</v>
      </c>
      <c r="P121" s="1" t="str">
        <f t="shared" si="15"/>
        <v/>
      </c>
      <c r="Q121" s="1" t="str">
        <f t="shared" si="15"/>
        <v/>
      </c>
      <c r="R121" s="1" t="str">
        <f t="shared" si="15"/>
        <v/>
      </c>
      <c r="S121" s="1" t="str">
        <f t="shared" si="15"/>
        <v/>
      </c>
      <c r="T121" s="200"/>
      <c r="U121" s="69"/>
      <c r="V121" s="23"/>
      <c r="W121" s="24"/>
      <c r="X121" s="31"/>
      <c r="Y121" s="19"/>
      <c r="Z121" s="24"/>
      <c r="AA121" s="24"/>
      <c r="AB121" s="63"/>
      <c r="AC121" s="63"/>
      <c r="AD121" s="73"/>
      <c r="AE121" s="56"/>
      <c r="AF121" s="631"/>
      <c r="AG121" s="359"/>
      <c r="AH121" s="367"/>
      <c r="AI121" s="1"/>
      <c r="AJ121" s="1"/>
      <c r="AK121" s="1"/>
      <c r="AL121" s="1"/>
      <c r="AM121" s="396"/>
    </row>
    <row r="122" spans="1:39" s="86" customFormat="1">
      <c r="A122" s="761" t="s">
        <v>315</v>
      </c>
      <c r="B122" s="762" t="s">
        <v>316</v>
      </c>
      <c r="C122" s="763">
        <v>1</v>
      </c>
      <c r="D122" s="767" t="s">
        <v>118</v>
      </c>
      <c r="E122" s="765">
        <v>0</v>
      </c>
      <c r="F122" s="771"/>
      <c r="G122" s="767">
        <v>0</v>
      </c>
      <c r="H122" s="772"/>
      <c r="I122" s="772"/>
      <c r="J122" s="772"/>
      <c r="K122" s="767"/>
      <c r="L122" s="772"/>
      <c r="M122" s="631" t="s">
        <v>247</v>
      </c>
      <c r="N122" s="359" t="s">
        <v>122</v>
      </c>
      <c r="O122" s="367" t="s">
        <v>248</v>
      </c>
      <c r="P122" s="1" t="str">
        <f t="shared" si="15"/>
        <v/>
      </c>
      <c r="Q122" s="1" t="str">
        <f t="shared" si="15"/>
        <v/>
      </c>
      <c r="R122" s="1" t="str">
        <f t="shared" si="15"/>
        <v/>
      </c>
      <c r="S122" s="1" t="str">
        <f t="shared" si="15"/>
        <v/>
      </c>
      <c r="T122" s="200"/>
      <c r="U122" s="69"/>
      <c r="V122" s="23"/>
      <c r="W122" s="24"/>
      <c r="X122" s="31"/>
      <c r="Y122" s="19"/>
      <c r="Z122" s="24"/>
      <c r="AA122" s="72"/>
      <c r="AB122" s="70"/>
      <c r="AC122" s="70"/>
      <c r="AD122" s="24"/>
      <c r="AE122" s="72"/>
      <c r="AF122" s="631"/>
      <c r="AG122" s="359"/>
      <c r="AH122" s="367"/>
      <c r="AI122" s="1"/>
      <c r="AJ122" s="1"/>
      <c r="AK122" s="1"/>
      <c r="AL122" s="1"/>
      <c r="AM122" s="396"/>
    </row>
    <row r="123" spans="1:39" s="86" customFormat="1">
      <c r="A123" s="231" t="s">
        <v>300</v>
      </c>
      <c r="B123" s="58" t="s">
        <v>317</v>
      </c>
      <c r="C123" s="81">
        <v>1</v>
      </c>
      <c r="D123" s="74" t="s">
        <v>140</v>
      </c>
      <c r="E123" s="280">
        <v>89.9</v>
      </c>
      <c r="F123" s="112">
        <v>0.17599999999999999</v>
      </c>
      <c r="G123" s="68">
        <f>E123-(E123*F123)</f>
        <v>74.077600000000004</v>
      </c>
      <c r="H123" s="72"/>
      <c r="I123" s="56"/>
      <c r="J123" s="56"/>
      <c r="K123" s="152"/>
      <c r="L123" s="56"/>
      <c r="M123" s="631" t="s">
        <v>141</v>
      </c>
      <c r="N123" s="359" t="s">
        <v>142</v>
      </c>
      <c r="O123" s="367" t="s">
        <v>143</v>
      </c>
      <c r="P123" s="1" t="str">
        <f>+IF($J123&lt;&gt;"",P$2*$J123,"")</f>
        <v/>
      </c>
      <c r="Q123" s="1" t="str">
        <f>+IF($J123&lt;&gt;"",Q$2*$J123,"")</f>
        <v/>
      </c>
      <c r="R123" s="1" t="str">
        <f>+IF($J123&lt;&gt;"",R$2*$J123,"")</f>
        <v/>
      </c>
      <c r="S123" s="1" t="str">
        <f>+IF($J123&lt;&gt;"",S$2*$J123,"")</f>
        <v/>
      </c>
      <c r="T123" s="209"/>
      <c r="U123" s="58"/>
      <c r="V123" s="81"/>
      <c r="W123" s="74"/>
      <c r="X123" s="280"/>
      <c r="Y123" s="112"/>
      <c r="Z123" s="68"/>
      <c r="AA123" s="72"/>
      <c r="AB123" s="63"/>
      <c r="AC123" s="63"/>
      <c r="AD123" s="73"/>
      <c r="AE123" s="56"/>
      <c r="AF123" s="631"/>
      <c r="AG123" s="359"/>
      <c r="AH123" s="367"/>
      <c r="AI123" s="1"/>
      <c r="AJ123" s="1"/>
      <c r="AK123" s="1"/>
      <c r="AL123" s="1"/>
      <c r="AM123" s="396"/>
    </row>
    <row r="124" spans="1:39" s="86" customFormat="1">
      <c r="A124" s="221" t="s">
        <v>318</v>
      </c>
      <c r="B124" s="69" t="s">
        <v>319</v>
      </c>
      <c r="C124" s="23">
        <v>1</v>
      </c>
      <c r="D124" s="30" t="s">
        <v>140</v>
      </c>
      <c r="E124" s="31"/>
      <c r="F124" s="19"/>
      <c r="G124" s="85">
        <v>24</v>
      </c>
      <c r="H124" s="24"/>
      <c r="I124" s="56"/>
      <c r="J124" s="56"/>
      <c r="K124" s="14"/>
      <c r="L124" s="56"/>
      <c r="M124" s="631" t="s">
        <v>141</v>
      </c>
      <c r="N124" s="359" t="s">
        <v>142</v>
      </c>
      <c r="O124" s="367" t="s">
        <v>143</v>
      </c>
      <c r="P124" s="1" t="str">
        <f t="shared" ref="P124:S138" si="17">+IF($J124&lt;&gt;"",P$2*$J124,"")</f>
        <v/>
      </c>
      <c r="Q124" s="1" t="str">
        <f t="shared" si="17"/>
        <v/>
      </c>
      <c r="R124" s="1" t="str">
        <f t="shared" si="17"/>
        <v/>
      </c>
      <c r="S124" s="1" t="str">
        <f t="shared" si="17"/>
        <v/>
      </c>
      <c r="T124" s="21"/>
      <c r="U124" s="69"/>
      <c r="V124" s="23"/>
      <c r="W124" s="387"/>
      <c r="X124" s="25"/>
      <c r="Y124" s="19"/>
      <c r="Z124" s="85"/>
      <c r="AA124" s="68"/>
      <c r="AB124" s="56"/>
      <c r="AC124" s="56"/>
      <c r="AD124" s="14"/>
      <c r="AE124" s="56"/>
      <c r="AF124" s="631"/>
      <c r="AG124" s="359"/>
      <c r="AH124" s="367"/>
      <c r="AI124" s="1"/>
      <c r="AJ124" s="1"/>
      <c r="AK124" s="1"/>
      <c r="AL124" s="1"/>
      <c r="AM124" s="396"/>
    </row>
    <row r="125" spans="1:39" s="86" customFormat="1">
      <c r="A125" s="221" t="s">
        <v>320</v>
      </c>
      <c r="B125" s="69" t="s">
        <v>321</v>
      </c>
      <c r="C125" s="23">
        <v>1</v>
      </c>
      <c r="D125" s="30" t="s">
        <v>140</v>
      </c>
      <c r="E125" s="31"/>
      <c r="F125" s="19"/>
      <c r="G125" s="85">
        <v>48</v>
      </c>
      <c r="H125" s="24"/>
      <c r="I125" s="56"/>
      <c r="J125" s="56"/>
      <c r="K125" s="14"/>
      <c r="L125" s="56"/>
      <c r="M125" s="631" t="s">
        <v>141</v>
      </c>
      <c r="N125" s="359" t="s">
        <v>142</v>
      </c>
      <c r="O125" s="367" t="s">
        <v>143</v>
      </c>
      <c r="P125" s="1" t="str">
        <f t="shared" si="17"/>
        <v/>
      </c>
      <c r="Q125" s="1" t="str">
        <f t="shared" si="17"/>
        <v/>
      </c>
      <c r="R125" s="1" t="str">
        <f t="shared" si="17"/>
        <v/>
      </c>
      <c r="S125" s="1" t="str">
        <f t="shared" si="17"/>
        <v/>
      </c>
      <c r="T125" s="21"/>
      <c r="U125" s="69"/>
      <c r="V125" s="23"/>
      <c r="W125" s="387"/>
      <c r="X125" s="25"/>
      <c r="Y125" s="19"/>
      <c r="Z125" s="85"/>
      <c r="AA125" s="68"/>
      <c r="AB125" s="56"/>
      <c r="AC125" s="56"/>
      <c r="AD125" s="14"/>
      <c r="AE125" s="56"/>
      <c r="AF125" s="631"/>
      <c r="AG125" s="359"/>
      <c r="AH125" s="367"/>
      <c r="AI125" s="1"/>
      <c r="AJ125" s="1"/>
      <c r="AK125" s="1"/>
      <c r="AL125" s="1"/>
      <c r="AM125" s="396"/>
    </row>
    <row r="126" spans="1:39" s="86" customFormat="1">
      <c r="A126" s="221" t="s">
        <v>322</v>
      </c>
      <c r="B126" s="69" t="s">
        <v>323</v>
      </c>
      <c r="C126" s="23">
        <v>1</v>
      </c>
      <c r="D126" s="30" t="s">
        <v>140</v>
      </c>
      <c r="E126" s="31"/>
      <c r="F126" s="19"/>
      <c r="G126" s="85">
        <v>74</v>
      </c>
      <c r="H126" s="24"/>
      <c r="I126" s="56"/>
      <c r="J126" s="56"/>
      <c r="K126" s="14"/>
      <c r="L126" s="56"/>
      <c r="M126" s="631" t="s">
        <v>141</v>
      </c>
      <c r="N126" s="359" t="s">
        <v>142</v>
      </c>
      <c r="O126" s="367" t="s">
        <v>143</v>
      </c>
      <c r="P126" s="1" t="str">
        <f t="shared" si="17"/>
        <v/>
      </c>
      <c r="Q126" s="1" t="str">
        <f t="shared" si="17"/>
        <v/>
      </c>
      <c r="R126" s="1" t="str">
        <f t="shared" si="17"/>
        <v/>
      </c>
      <c r="S126" s="1" t="str">
        <f t="shared" si="17"/>
        <v/>
      </c>
      <c r="T126" s="21"/>
      <c r="U126" s="69"/>
      <c r="V126" s="23"/>
      <c r="W126" s="387"/>
      <c r="X126" s="25"/>
      <c r="Y126" s="19"/>
      <c r="Z126" s="85"/>
      <c r="AA126" s="68"/>
      <c r="AB126" s="56"/>
      <c r="AC126" s="56"/>
      <c r="AD126" s="14"/>
      <c r="AE126" s="56"/>
      <c r="AF126" s="631"/>
      <c r="AG126" s="359"/>
      <c r="AH126" s="367"/>
      <c r="AI126" s="1"/>
      <c r="AJ126" s="1"/>
      <c r="AK126" s="1"/>
      <c r="AL126" s="1"/>
      <c r="AM126" s="396"/>
    </row>
    <row r="127" spans="1:39" s="86" customFormat="1">
      <c r="A127" s="221" t="s">
        <v>324</v>
      </c>
      <c r="B127" s="69" t="s">
        <v>325</v>
      </c>
      <c r="C127" s="23">
        <v>1</v>
      </c>
      <c r="D127" s="30" t="s">
        <v>140</v>
      </c>
      <c r="E127" s="31"/>
      <c r="F127" s="19"/>
      <c r="G127" s="85">
        <v>21</v>
      </c>
      <c r="H127" s="24"/>
      <c r="I127" s="56"/>
      <c r="J127" s="56"/>
      <c r="K127" s="14"/>
      <c r="L127" s="56"/>
      <c r="M127" s="631" t="s">
        <v>141</v>
      </c>
      <c r="N127" s="359" t="s">
        <v>142</v>
      </c>
      <c r="O127" s="367" t="s">
        <v>143</v>
      </c>
      <c r="P127" s="1" t="str">
        <f t="shared" si="17"/>
        <v/>
      </c>
      <c r="Q127" s="1" t="str">
        <f t="shared" si="17"/>
        <v/>
      </c>
      <c r="R127" s="1" t="str">
        <f t="shared" si="17"/>
        <v/>
      </c>
      <c r="S127" s="1" t="str">
        <f t="shared" si="17"/>
        <v/>
      </c>
      <c r="T127" s="21"/>
      <c r="U127" s="69"/>
      <c r="V127" s="23"/>
      <c r="W127" s="387"/>
      <c r="X127" s="25"/>
      <c r="Y127" s="19"/>
      <c r="Z127" s="85"/>
      <c r="AA127" s="68"/>
      <c r="AB127" s="56"/>
      <c r="AC127" s="56"/>
      <c r="AD127" s="14"/>
      <c r="AE127" s="56"/>
      <c r="AF127" s="631"/>
      <c r="AG127" s="359"/>
      <c r="AH127" s="367"/>
      <c r="AI127" s="1"/>
      <c r="AJ127" s="1"/>
      <c r="AK127" s="1"/>
      <c r="AL127" s="1"/>
      <c r="AM127" s="396"/>
    </row>
    <row r="128" spans="1:39" s="86" customFormat="1">
      <c r="A128" s="221" t="s">
        <v>326</v>
      </c>
      <c r="B128" s="69" t="s">
        <v>327</v>
      </c>
      <c r="C128" s="23">
        <v>1</v>
      </c>
      <c r="D128" s="30" t="s">
        <v>140</v>
      </c>
      <c r="E128" s="31"/>
      <c r="F128" s="19"/>
      <c r="G128" s="85">
        <v>58</v>
      </c>
      <c r="H128" s="24"/>
      <c r="I128" s="56"/>
      <c r="J128" s="56"/>
      <c r="K128" s="14"/>
      <c r="L128" s="56"/>
      <c r="M128" s="631" t="s">
        <v>141</v>
      </c>
      <c r="N128" s="359" t="s">
        <v>142</v>
      </c>
      <c r="O128" s="367" t="s">
        <v>143</v>
      </c>
      <c r="P128" s="1" t="str">
        <f t="shared" si="17"/>
        <v/>
      </c>
      <c r="Q128" s="1" t="str">
        <f t="shared" si="17"/>
        <v/>
      </c>
      <c r="R128" s="1" t="str">
        <f t="shared" si="17"/>
        <v/>
      </c>
      <c r="S128" s="1" t="str">
        <f t="shared" si="17"/>
        <v/>
      </c>
      <c r="T128" s="21"/>
      <c r="U128" s="69"/>
      <c r="V128" s="23"/>
      <c r="W128" s="387"/>
      <c r="X128" s="25"/>
      <c r="Y128" s="19"/>
      <c r="Z128" s="85"/>
      <c r="AA128" s="68"/>
      <c r="AB128" s="56"/>
      <c r="AC128" s="56"/>
      <c r="AD128" s="14"/>
      <c r="AE128" s="56"/>
      <c r="AF128" s="631"/>
      <c r="AG128" s="359"/>
      <c r="AH128" s="367"/>
      <c r="AI128" s="1"/>
      <c r="AJ128" s="1"/>
      <c r="AK128" s="1"/>
      <c r="AL128" s="1"/>
      <c r="AM128" s="396"/>
    </row>
    <row r="129" spans="1:39" s="86" customFormat="1">
      <c r="A129" s="221" t="s">
        <v>328</v>
      </c>
      <c r="B129" s="69" t="s">
        <v>329</v>
      </c>
      <c r="C129" s="23">
        <v>1</v>
      </c>
      <c r="D129" s="30" t="s">
        <v>140</v>
      </c>
      <c r="E129" s="31"/>
      <c r="F129" s="19"/>
      <c r="G129" s="85">
        <v>86</v>
      </c>
      <c r="H129" s="24"/>
      <c r="I129" s="56"/>
      <c r="J129" s="56"/>
      <c r="K129" s="14"/>
      <c r="L129" s="56"/>
      <c r="M129" s="631" t="s">
        <v>141</v>
      </c>
      <c r="N129" s="359" t="s">
        <v>142</v>
      </c>
      <c r="O129" s="367" t="s">
        <v>143</v>
      </c>
      <c r="P129" s="1" t="str">
        <f t="shared" si="17"/>
        <v/>
      </c>
      <c r="Q129" s="1" t="str">
        <f t="shared" si="17"/>
        <v/>
      </c>
      <c r="R129" s="1" t="str">
        <f t="shared" si="17"/>
        <v/>
      </c>
      <c r="S129" s="1" t="str">
        <f t="shared" si="17"/>
        <v/>
      </c>
      <c r="T129" s="21"/>
      <c r="U129" s="69"/>
      <c r="V129" s="23"/>
      <c r="W129" s="387"/>
      <c r="X129" s="25"/>
      <c r="Y129" s="19"/>
      <c r="Z129" s="85"/>
      <c r="AA129" s="68"/>
      <c r="AB129" s="56"/>
      <c r="AC129" s="56"/>
      <c r="AD129" s="14"/>
      <c r="AE129" s="56"/>
      <c r="AF129" s="631"/>
      <c r="AG129" s="359"/>
      <c r="AH129" s="367"/>
      <c r="AI129" s="1"/>
      <c r="AJ129" s="1"/>
      <c r="AK129" s="1"/>
      <c r="AL129" s="1"/>
      <c r="AM129" s="396"/>
    </row>
    <row r="130" spans="1:39" s="86" customFormat="1">
      <c r="A130" s="221" t="s">
        <v>330</v>
      </c>
      <c r="B130" s="69" t="s">
        <v>331</v>
      </c>
      <c r="C130" s="23">
        <v>1</v>
      </c>
      <c r="D130" s="30" t="s">
        <v>140</v>
      </c>
      <c r="E130" s="31"/>
      <c r="F130" s="19"/>
      <c r="G130" s="85">
        <v>88</v>
      </c>
      <c r="H130" s="24"/>
      <c r="I130" s="56"/>
      <c r="J130" s="56"/>
      <c r="K130" s="14"/>
      <c r="L130" s="56"/>
      <c r="M130" s="631" t="s">
        <v>141</v>
      </c>
      <c r="N130" s="359" t="s">
        <v>142</v>
      </c>
      <c r="O130" s="367" t="s">
        <v>143</v>
      </c>
      <c r="P130" s="1" t="str">
        <f t="shared" si="17"/>
        <v/>
      </c>
      <c r="Q130" s="1" t="str">
        <f t="shared" si="17"/>
        <v/>
      </c>
      <c r="R130" s="1" t="str">
        <f t="shared" si="17"/>
        <v/>
      </c>
      <c r="S130" s="1" t="str">
        <f t="shared" si="17"/>
        <v/>
      </c>
      <c r="T130" s="21"/>
      <c r="U130" s="69"/>
      <c r="V130" s="23"/>
      <c r="W130" s="387"/>
      <c r="X130" s="25"/>
      <c r="Y130" s="19"/>
      <c r="Z130" s="85"/>
      <c r="AA130" s="68"/>
      <c r="AB130" s="56"/>
      <c r="AC130" s="56"/>
      <c r="AD130" s="14"/>
      <c r="AE130" s="56"/>
      <c r="AF130" s="631"/>
      <c r="AG130" s="359"/>
      <c r="AH130" s="367"/>
      <c r="AI130" s="1"/>
      <c r="AJ130" s="1"/>
      <c r="AK130" s="1"/>
      <c r="AL130" s="1"/>
      <c r="AM130" s="396"/>
    </row>
    <row r="131" spans="1:39" s="86" customFormat="1">
      <c r="A131" s="221" t="s">
        <v>332</v>
      </c>
      <c r="B131" s="69" t="s">
        <v>333</v>
      </c>
      <c r="C131" s="23">
        <v>1</v>
      </c>
      <c r="D131" s="30" t="s">
        <v>140</v>
      </c>
      <c r="E131" s="31"/>
      <c r="F131" s="19"/>
      <c r="G131" s="85">
        <v>37</v>
      </c>
      <c r="H131" s="24"/>
      <c r="I131" s="56"/>
      <c r="J131" s="56"/>
      <c r="K131" s="14"/>
      <c r="L131" s="56"/>
      <c r="M131" s="631" t="s">
        <v>141</v>
      </c>
      <c r="N131" s="359" t="s">
        <v>142</v>
      </c>
      <c r="O131" s="367" t="s">
        <v>143</v>
      </c>
      <c r="P131" s="1" t="str">
        <f t="shared" si="17"/>
        <v/>
      </c>
      <c r="Q131" s="1" t="str">
        <f t="shared" si="17"/>
        <v/>
      </c>
      <c r="R131" s="1" t="str">
        <f t="shared" si="17"/>
        <v/>
      </c>
      <c r="S131" s="1" t="str">
        <f t="shared" si="17"/>
        <v/>
      </c>
      <c r="T131" s="21"/>
      <c r="U131" s="69"/>
      <c r="V131" s="23"/>
      <c r="W131" s="387"/>
      <c r="X131" s="25"/>
      <c r="Y131" s="19"/>
      <c r="Z131" s="85"/>
      <c r="AA131" s="68"/>
      <c r="AB131" s="56"/>
      <c r="AC131" s="56"/>
      <c r="AD131" s="14"/>
      <c r="AE131" s="56"/>
      <c r="AF131" s="631"/>
      <c r="AG131" s="359"/>
      <c r="AH131" s="367"/>
      <c r="AI131" s="1"/>
      <c r="AJ131" s="1"/>
      <c r="AK131" s="1"/>
      <c r="AL131" s="1"/>
      <c r="AM131" s="396"/>
    </row>
    <row r="132" spans="1:39" s="86" customFormat="1">
      <c r="A132" s="221" t="s">
        <v>334</v>
      </c>
      <c r="B132" s="69" t="s">
        <v>335</v>
      </c>
      <c r="C132" s="23">
        <v>1</v>
      </c>
      <c r="D132" s="30" t="s">
        <v>140</v>
      </c>
      <c r="E132" s="31"/>
      <c r="F132" s="19"/>
      <c r="G132" s="85">
        <v>84</v>
      </c>
      <c r="H132" s="24"/>
      <c r="I132" s="56"/>
      <c r="J132" s="56"/>
      <c r="K132" s="14"/>
      <c r="L132" s="56"/>
      <c r="M132" s="631" t="s">
        <v>141</v>
      </c>
      <c r="N132" s="359" t="s">
        <v>142</v>
      </c>
      <c r="O132" s="367" t="s">
        <v>143</v>
      </c>
      <c r="P132" s="1" t="str">
        <f t="shared" si="17"/>
        <v/>
      </c>
      <c r="Q132" s="1" t="str">
        <f t="shared" si="17"/>
        <v/>
      </c>
      <c r="R132" s="1" t="str">
        <f t="shared" si="17"/>
        <v/>
      </c>
      <c r="S132" s="1" t="str">
        <f t="shared" si="17"/>
        <v/>
      </c>
      <c r="T132" s="21"/>
      <c r="U132" s="69"/>
      <c r="V132" s="23"/>
      <c r="W132" s="387"/>
      <c r="X132" s="25"/>
      <c r="Y132" s="19"/>
      <c r="Z132" s="85"/>
      <c r="AA132" s="68"/>
      <c r="AB132" s="56"/>
      <c r="AC132" s="56"/>
      <c r="AD132" s="14"/>
      <c r="AE132" s="56"/>
      <c r="AF132" s="631"/>
      <c r="AG132" s="359"/>
      <c r="AH132" s="367"/>
      <c r="AI132" s="1"/>
      <c r="AJ132" s="1"/>
      <c r="AK132" s="1"/>
      <c r="AL132" s="1"/>
      <c r="AM132" s="396"/>
    </row>
    <row r="133" spans="1:39" s="86" customFormat="1">
      <c r="A133" s="221" t="s">
        <v>336</v>
      </c>
      <c r="B133" s="69" t="s">
        <v>337</v>
      </c>
      <c r="C133" s="23">
        <v>1</v>
      </c>
      <c r="D133" s="30" t="s">
        <v>140</v>
      </c>
      <c r="E133" s="31"/>
      <c r="F133" s="19"/>
      <c r="G133" s="85">
        <v>126</v>
      </c>
      <c r="H133" s="24"/>
      <c r="I133" s="56"/>
      <c r="J133" s="56"/>
      <c r="K133" s="14"/>
      <c r="L133" s="56"/>
      <c r="M133" s="631" t="s">
        <v>141</v>
      </c>
      <c r="N133" s="359" t="s">
        <v>142</v>
      </c>
      <c r="O133" s="367" t="s">
        <v>143</v>
      </c>
      <c r="P133" s="1" t="str">
        <f t="shared" si="17"/>
        <v/>
      </c>
      <c r="Q133" s="1" t="str">
        <f t="shared" si="17"/>
        <v/>
      </c>
      <c r="R133" s="1" t="str">
        <f t="shared" si="17"/>
        <v/>
      </c>
      <c r="S133" s="1" t="str">
        <f t="shared" si="17"/>
        <v/>
      </c>
      <c r="T133" s="21"/>
      <c r="U133" s="69"/>
      <c r="V133" s="23"/>
      <c r="W133" s="387"/>
      <c r="X133" s="25"/>
      <c r="Y133" s="19"/>
      <c r="Z133" s="85"/>
      <c r="AA133" s="68"/>
      <c r="AB133" s="56"/>
      <c r="AC133" s="56"/>
      <c r="AD133" s="14"/>
      <c r="AE133" s="56"/>
      <c r="AF133" s="631"/>
      <c r="AG133" s="359"/>
      <c r="AH133" s="367"/>
      <c r="AI133" s="1"/>
      <c r="AJ133" s="1"/>
      <c r="AK133" s="1"/>
      <c r="AL133" s="1"/>
      <c r="AM133" s="396"/>
    </row>
    <row r="134" spans="1:39" s="86" customFormat="1">
      <c r="A134" s="221" t="s">
        <v>338</v>
      </c>
      <c r="B134" s="69" t="s">
        <v>339</v>
      </c>
      <c r="C134" s="23">
        <v>1</v>
      </c>
      <c r="D134" s="30" t="s">
        <v>140</v>
      </c>
      <c r="E134" s="31"/>
      <c r="F134" s="19"/>
      <c r="G134" s="85">
        <v>194</v>
      </c>
      <c r="H134" s="24"/>
      <c r="I134" s="56"/>
      <c r="J134" s="56"/>
      <c r="K134" s="14"/>
      <c r="L134" s="56"/>
      <c r="M134" s="631" t="s">
        <v>141</v>
      </c>
      <c r="N134" s="359" t="s">
        <v>142</v>
      </c>
      <c r="O134" s="367" t="s">
        <v>143</v>
      </c>
      <c r="P134" s="1" t="str">
        <f t="shared" si="17"/>
        <v/>
      </c>
      <c r="Q134" s="1" t="str">
        <f t="shared" si="17"/>
        <v/>
      </c>
      <c r="R134" s="1" t="str">
        <f t="shared" si="17"/>
        <v/>
      </c>
      <c r="S134" s="1" t="str">
        <f t="shared" si="17"/>
        <v/>
      </c>
      <c r="T134" s="21"/>
      <c r="U134" s="69"/>
      <c r="V134" s="23"/>
      <c r="W134" s="387"/>
      <c r="X134" s="25"/>
      <c r="Y134" s="19"/>
      <c r="Z134" s="85"/>
      <c r="AA134" s="68"/>
      <c r="AB134" s="56"/>
      <c r="AC134" s="56"/>
      <c r="AD134" s="14"/>
      <c r="AE134" s="56"/>
      <c r="AF134" s="631"/>
      <c r="AG134" s="359"/>
      <c r="AH134" s="367"/>
      <c r="AI134" s="1"/>
      <c r="AJ134" s="1"/>
      <c r="AK134" s="1"/>
      <c r="AL134" s="1"/>
      <c r="AM134" s="396"/>
    </row>
    <row r="135" spans="1:39" s="86" customFormat="1">
      <c r="A135" s="222" t="s">
        <v>340</v>
      </c>
      <c r="B135" s="352" t="s">
        <v>341</v>
      </c>
      <c r="C135" s="97">
        <v>1</v>
      </c>
      <c r="D135" s="34" t="s">
        <v>140</v>
      </c>
      <c r="E135" s="35"/>
      <c r="F135" s="38"/>
      <c r="G135" s="99">
        <v>384</v>
      </c>
      <c r="H135" s="33"/>
      <c r="I135" s="98"/>
      <c r="J135" s="98"/>
      <c r="K135" s="35"/>
      <c r="L135" s="98"/>
      <c r="M135" s="631" t="s">
        <v>141</v>
      </c>
      <c r="N135" s="359" t="s">
        <v>142</v>
      </c>
      <c r="O135" s="367" t="s">
        <v>143</v>
      </c>
      <c r="P135" s="1" t="str">
        <f t="shared" si="17"/>
        <v/>
      </c>
      <c r="Q135" s="1" t="str">
        <f t="shared" si="17"/>
        <v/>
      </c>
      <c r="R135" s="1" t="str">
        <f t="shared" si="17"/>
        <v/>
      </c>
      <c r="S135" s="1" t="str">
        <f t="shared" si="17"/>
        <v/>
      </c>
      <c r="T135" s="388"/>
      <c r="U135" s="352"/>
      <c r="V135" s="97"/>
      <c r="W135" s="389"/>
      <c r="X135" s="33"/>
      <c r="Y135" s="38"/>
      <c r="Z135" s="99"/>
      <c r="AA135" s="99"/>
      <c r="AB135" s="98"/>
      <c r="AC135" s="98"/>
      <c r="AD135" s="35"/>
      <c r="AE135" s="98"/>
      <c r="AF135" s="631"/>
      <c r="AG135" s="359"/>
      <c r="AH135" s="367"/>
      <c r="AI135" s="1"/>
      <c r="AJ135" s="1"/>
      <c r="AK135" s="1"/>
      <c r="AL135" s="1"/>
      <c r="AM135" s="396"/>
    </row>
    <row r="136" spans="1:39" s="86" customFormat="1">
      <c r="A136" s="221" t="s">
        <v>342</v>
      </c>
      <c r="B136" s="69" t="s">
        <v>343</v>
      </c>
      <c r="C136" s="23">
        <v>1</v>
      </c>
      <c r="D136" s="30" t="s">
        <v>140</v>
      </c>
      <c r="E136" s="31"/>
      <c r="F136" s="19"/>
      <c r="G136" s="85">
        <v>510</v>
      </c>
      <c r="H136" s="24"/>
      <c r="I136" s="56"/>
      <c r="J136" s="56"/>
      <c r="K136" s="14"/>
      <c r="L136" s="56"/>
      <c r="M136" s="631" t="s">
        <v>141</v>
      </c>
      <c r="N136" s="359" t="s">
        <v>142</v>
      </c>
      <c r="O136" s="367" t="s">
        <v>143</v>
      </c>
      <c r="P136" s="1" t="str">
        <f t="shared" si="17"/>
        <v/>
      </c>
      <c r="Q136" s="1" t="str">
        <f t="shared" si="17"/>
        <v/>
      </c>
      <c r="R136" s="1" t="str">
        <f t="shared" si="17"/>
        <v/>
      </c>
      <c r="S136" s="1" t="str">
        <f t="shared" si="17"/>
        <v/>
      </c>
      <c r="T136" s="21"/>
      <c r="U136" s="69"/>
      <c r="V136" s="23"/>
      <c r="W136" s="387"/>
      <c r="X136" s="25"/>
      <c r="Y136" s="19"/>
      <c r="Z136" s="85"/>
      <c r="AA136" s="85"/>
      <c r="AB136" s="56"/>
      <c r="AC136" s="56"/>
      <c r="AD136" s="14"/>
      <c r="AE136" s="56"/>
      <c r="AF136" s="631"/>
      <c r="AG136" s="359"/>
      <c r="AH136" s="367"/>
      <c r="AI136" s="1"/>
      <c r="AJ136" s="1"/>
      <c r="AK136" s="1"/>
      <c r="AL136" s="1"/>
      <c r="AM136" s="396"/>
    </row>
    <row r="137" spans="1:39" s="86" customFormat="1">
      <c r="A137" s="221" t="s">
        <v>344</v>
      </c>
      <c r="B137" s="69" t="s">
        <v>345</v>
      </c>
      <c r="C137" s="23">
        <v>1</v>
      </c>
      <c r="D137" s="30" t="s">
        <v>140</v>
      </c>
      <c r="E137" s="107"/>
      <c r="F137" s="60"/>
      <c r="G137" s="24">
        <v>355.49</v>
      </c>
      <c r="H137" s="72"/>
      <c r="I137" s="56"/>
      <c r="J137" s="56"/>
      <c r="K137" s="14"/>
      <c r="L137" s="56"/>
      <c r="M137" s="631" t="s">
        <v>141</v>
      </c>
      <c r="N137" s="359" t="s">
        <v>142</v>
      </c>
      <c r="O137" s="367" t="s">
        <v>143</v>
      </c>
      <c r="P137" s="1" t="str">
        <f t="shared" si="17"/>
        <v/>
      </c>
      <c r="Q137" s="1" t="str">
        <f t="shared" si="17"/>
        <v/>
      </c>
      <c r="R137" s="1" t="str">
        <f t="shared" si="17"/>
        <v/>
      </c>
      <c r="S137" s="1" t="str">
        <f t="shared" si="17"/>
        <v/>
      </c>
      <c r="T137" s="237"/>
      <c r="U137" s="238"/>
      <c r="V137" s="239"/>
      <c r="W137" s="390"/>
      <c r="X137" s="67"/>
      <c r="Y137" s="226"/>
      <c r="Z137" s="85"/>
      <c r="AA137" s="68"/>
      <c r="AB137" s="56"/>
      <c r="AC137" s="56"/>
      <c r="AD137" s="14"/>
      <c r="AE137" s="56"/>
      <c r="AF137" s="631"/>
      <c r="AG137" s="359"/>
      <c r="AH137" s="367"/>
      <c r="AI137" s="1"/>
      <c r="AJ137" s="1"/>
      <c r="AK137" s="1"/>
      <c r="AL137" s="1"/>
      <c r="AM137" s="396"/>
    </row>
    <row r="138" spans="1:39" s="86" customFormat="1">
      <c r="A138" s="221" t="s">
        <v>346</v>
      </c>
      <c r="B138" s="69" t="s">
        <v>347</v>
      </c>
      <c r="C138" s="23">
        <v>1</v>
      </c>
      <c r="D138" s="30" t="s">
        <v>140</v>
      </c>
      <c r="E138" s="31"/>
      <c r="F138" s="19"/>
      <c r="G138" s="24">
        <v>573.38</v>
      </c>
      <c r="H138" s="72"/>
      <c r="I138" s="56"/>
      <c r="J138" s="56"/>
      <c r="K138" s="14"/>
      <c r="L138" s="56"/>
      <c r="M138" s="631" t="s">
        <v>141</v>
      </c>
      <c r="N138" s="359" t="s">
        <v>142</v>
      </c>
      <c r="O138" s="368" t="s">
        <v>143</v>
      </c>
      <c r="P138" s="1" t="str">
        <f t="shared" si="17"/>
        <v/>
      </c>
      <c r="Q138" s="1" t="str">
        <f t="shared" si="17"/>
        <v/>
      </c>
      <c r="R138" s="1" t="str">
        <f t="shared" si="17"/>
        <v/>
      </c>
      <c r="S138" s="1" t="str">
        <f t="shared" si="17"/>
        <v/>
      </c>
      <c r="T138" s="21"/>
      <c r="U138" s="69"/>
      <c r="V138" s="23"/>
      <c r="W138" s="391"/>
      <c r="X138" s="25"/>
      <c r="Y138" s="19"/>
      <c r="Z138" s="85"/>
      <c r="AA138" s="68"/>
      <c r="AB138" s="56"/>
      <c r="AC138" s="56"/>
      <c r="AD138" s="14"/>
      <c r="AE138" s="56"/>
      <c r="AF138" s="631"/>
      <c r="AG138" s="359"/>
      <c r="AH138" s="368"/>
      <c r="AI138" s="1"/>
      <c r="AJ138" s="1"/>
      <c r="AK138" s="1"/>
      <c r="AL138" s="1"/>
      <c r="AM138" s="396"/>
    </row>
    <row r="139" spans="1:39" s="329" customFormat="1" ht="24.95" customHeight="1">
      <c r="A139" s="448" t="s">
        <v>348</v>
      </c>
      <c r="B139" s="549" t="s">
        <v>349</v>
      </c>
      <c r="C139" s="450"/>
      <c r="D139" s="451"/>
      <c r="E139" s="451"/>
      <c r="F139" s="452"/>
      <c r="G139" s="453"/>
      <c r="H139" s="453"/>
      <c r="I139" s="454"/>
      <c r="J139" s="454"/>
      <c r="K139" s="453"/>
      <c r="L139" s="454"/>
      <c r="M139" s="629"/>
      <c r="N139" s="455"/>
      <c r="O139" s="454"/>
      <c r="P139" s="454"/>
      <c r="Q139" s="454"/>
      <c r="R139" s="454"/>
      <c r="S139" s="456"/>
      <c r="T139" s="448" t="s">
        <v>350</v>
      </c>
      <c r="U139" s="549" t="s">
        <v>351</v>
      </c>
      <c r="V139" s="450"/>
      <c r="W139" s="451"/>
      <c r="X139" s="451"/>
      <c r="Y139" s="452"/>
      <c r="Z139" s="453"/>
      <c r="AA139" s="453"/>
      <c r="AB139" s="454"/>
      <c r="AC139" s="454"/>
      <c r="AD139" s="453"/>
      <c r="AE139" s="454"/>
      <c r="AF139" s="629"/>
      <c r="AG139" s="455"/>
      <c r="AH139" s="454"/>
      <c r="AI139" s="454"/>
      <c r="AJ139" s="454"/>
      <c r="AK139" s="454"/>
      <c r="AL139" s="456"/>
      <c r="AM139" s="373"/>
    </row>
    <row r="140" spans="1:39" s="90" customFormat="1">
      <c r="A140" s="223" t="s">
        <v>352</v>
      </c>
      <c r="B140" s="52" t="s">
        <v>353</v>
      </c>
      <c r="C140" s="53">
        <v>1</v>
      </c>
      <c r="D140" s="54" t="s">
        <v>118</v>
      </c>
      <c r="E140" s="62">
        <v>2082.1999999999998</v>
      </c>
      <c r="F140" s="66">
        <f>rv_mbp14_eg</f>
        <v>0.17599999999999999</v>
      </c>
      <c r="G140" s="70">
        <f t="shared" ref="G140:G143" si="18">E140-(E140*F140)</f>
        <v>1715.7327999999998</v>
      </c>
      <c r="H140" s="53" t="s">
        <v>300</v>
      </c>
      <c r="I140" s="63">
        <v>74.08</v>
      </c>
      <c r="J140" s="63">
        <f>G140+I140</f>
        <v>1789.8127999999997</v>
      </c>
      <c r="K140" s="63" t="s">
        <v>120</v>
      </c>
      <c r="L140" s="63">
        <v>0.3</v>
      </c>
      <c r="M140" s="630" t="s">
        <v>354</v>
      </c>
      <c r="N140" s="380" t="s">
        <v>122</v>
      </c>
      <c r="O140" s="385" t="s">
        <v>248</v>
      </c>
      <c r="P140" s="90">
        <f t="shared" ref="P140:S150" si="19">+IF($J140&lt;&gt;"",P$2*$J140,"")</f>
        <v>360.30497264756104</v>
      </c>
      <c r="Q140" s="90">
        <f t="shared" si="19"/>
        <v>187.25282142179771</v>
      </c>
      <c r="R140" s="90">
        <f t="shared" si="19"/>
        <v>135.99614992656041</v>
      </c>
      <c r="S140" s="90">
        <f t="shared" si="19"/>
        <v>117.35602553595947</v>
      </c>
      <c r="T140" s="723" t="s">
        <v>355</v>
      </c>
      <c r="U140" s="721" t="s">
        <v>356</v>
      </c>
      <c r="V140" s="692">
        <v>1</v>
      </c>
      <c r="W140" s="707" t="s">
        <v>118</v>
      </c>
      <c r="X140" s="694">
        <v>1998.87</v>
      </c>
      <c r="Y140" s="695">
        <v>0.17599999999999999</v>
      </c>
      <c r="Z140" s="693">
        <v>1647.0688799999998</v>
      </c>
      <c r="AA140" s="692" t="s">
        <v>300</v>
      </c>
      <c r="AB140" s="696">
        <v>74.08</v>
      </c>
      <c r="AC140" s="696">
        <v>1721.1488799999997</v>
      </c>
      <c r="AD140" s="696" t="s">
        <v>120</v>
      </c>
      <c r="AE140" s="696">
        <v>0.3</v>
      </c>
      <c r="AF140" s="630" t="s">
        <v>357</v>
      </c>
      <c r="AG140" s="380" t="s">
        <v>122</v>
      </c>
      <c r="AH140" s="385" t="s">
        <v>248</v>
      </c>
      <c r="AI140" s="90">
        <v>346.48232492849553</v>
      </c>
      <c r="AJ140" s="90">
        <v>180.06910212451666</v>
      </c>
      <c r="AK140" s="90">
        <v>130.77882845089246</v>
      </c>
      <c r="AL140" s="90">
        <v>112.85380901984165</v>
      </c>
      <c r="AM140" s="382"/>
    </row>
    <row r="141" spans="1:39">
      <c r="A141" s="770" t="s">
        <v>358</v>
      </c>
      <c r="B141" s="773" t="s">
        <v>359</v>
      </c>
      <c r="C141" s="763">
        <v>1</v>
      </c>
      <c r="D141" s="764" t="s">
        <v>118</v>
      </c>
      <c r="E141" s="765">
        <v>383.33</v>
      </c>
      <c r="F141" s="766">
        <f t="shared" ref="F141:F164" si="20">rv_mbp14_eg_cto</f>
        <v>0.17599999999999999</v>
      </c>
      <c r="G141" s="767">
        <f t="shared" si="18"/>
        <v>315.86392000000001</v>
      </c>
      <c r="H141" s="767"/>
      <c r="I141" s="768"/>
      <c r="J141" s="768"/>
      <c r="K141" s="769"/>
      <c r="L141" s="768"/>
      <c r="M141" s="631" t="s">
        <v>354</v>
      </c>
      <c r="N141" s="359" t="s">
        <v>122</v>
      </c>
      <c r="O141" s="367" t="s">
        <v>248</v>
      </c>
      <c r="P141" s="1" t="str">
        <f t="shared" si="19"/>
        <v/>
      </c>
      <c r="Q141" s="1" t="str">
        <f t="shared" si="19"/>
        <v/>
      </c>
      <c r="R141" s="1" t="str">
        <f t="shared" si="19"/>
        <v/>
      </c>
      <c r="S141" s="1" t="str">
        <f t="shared" si="19"/>
        <v/>
      </c>
      <c r="T141" s="724" t="s">
        <v>360</v>
      </c>
      <c r="U141" s="658" t="s">
        <v>361</v>
      </c>
      <c r="V141" s="671">
        <v>1</v>
      </c>
      <c r="W141" s="659" t="s">
        <v>118</v>
      </c>
      <c r="X141" s="651">
        <v>383.33</v>
      </c>
      <c r="Y141" s="708">
        <v>0.17599999999999999</v>
      </c>
      <c r="Z141" s="655">
        <v>315.86392000000001</v>
      </c>
      <c r="AA141" s="655"/>
      <c r="AB141" s="709"/>
      <c r="AC141" s="709"/>
      <c r="AD141" s="656"/>
      <c r="AE141" s="709"/>
      <c r="AF141" s="631" t="s">
        <v>357</v>
      </c>
      <c r="AG141" s="359" t="s">
        <v>122</v>
      </c>
      <c r="AH141" s="367" t="s">
        <v>248</v>
      </c>
      <c r="AI141" s="1" t="s">
        <v>126</v>
      </c>
      <c r="AJ141" s="1" t="s">
        <v>126</v>
      </c>
      <c r="AK141" s="1" t="s">
        <v>126</v>
      </c>
      <c r="AL141" s="1" t="s">
        <v>126</v>
      </c>
      <c r="AM141" s="374"/>
    </row>
    <row r="142" spans="1:39">
      <c r="A142" s="770" t="s">
        <v>362</v>
      </c>
      <c r="B142" s="773" t="s">
        <v>363</v>
      </c>
      <c r="C142" s="763">
        <v>1</v>
      </c>
      <c r="D142" s="764" t="s">
        <v>118</v>
      </c>
      <c r="E142" s="765">
        <v>225</v>
      </c>
      <c r="F142" s="766">
        <f t="shared" si="20"/>
        <v>0.17599999999999999</v>
      </c>
      <c r="G142" s="767">
        <f t="shared" si="18"/>
        <v>185.4</v>
      </c>
      <c r="H142" s="767"/>
      <c r="I142" s="768"/>
      <c r="J142" s="768"/>
      <c r="K142" s="769"/>
      <c r="L142" s="768"/>
      <c r="M142" s="631" t="s">
        <v>354</v>
      </c>
      <c r="N142" s="359" t="s">
        <v>122</v>
      </c>
      <c r="O142" s="367" t="s">
        <v>248</v>
      </c>
      <c r="P142" s="1" t="str">
        <f t="shared" si="19"/>
        <v/>
      </c>
      <c r="Q142" s="1" t="str">
        <f t="shared" si="19"/>
        <v/>
      </c>
      <c r="R142" s="1" t="str">
        <f t="shared" si="19"/>
        <v/>
      </c>
      <c r="S142" s="1" t="str">
        <f t="shared" si="19"/>
        <v/>
      </c>
      <c r="T142" s="724" t="s">
        <v>364</v>
      </c>
      <c r="U142" s="658" t="s">
        <v>365</v>
      </c>
      <c r="V142" s="671">
        <v>1</v>
      </c>
      <c r="W142" s="659" t="s">
        <v>118</v>
      </c>
      <c r="X142" s="651">
        <v>308.33</v>
      </c>
      <c r="Y142" s="708">
        <v>0.17599999999999999</v>
      </c>
      <c r="Z142" s="655">
        <v>254.06392</v>
      </c>
      <c r="AA142" s="655"/>
      <c r="AB142" s="709"/>
      <c r="AC142" s="709"/>
      <c r="AD142" s="656"/>
      <c r="AE142" s="709"/>
      <c r="AF142" s="631" t="s">
        <v>357</v>
      </c>
      <c r="AG142" s="359" t="s">
        <v>122</v>
      </c>
      <c r="AH142" s="367" t="s">
        <v>248</v>
      </c>
      <c r="AI142" s="1" t="s">
        <v>126</v>
      </c>
      <c r="AJ142" s="1" t="s">
        <v>126</v>
      </c>
      <c r="AK142" s="1" t="s">
        <v>126</v>
      </c>
      <c r="AL142" s="1" t="s">
        <v>126</v>
      </c>
      <c r="AM142" s="374"/>
    </row>
    <row r="143" spans="1:39">
      <c r="A143" s="770" t="s">
        <v>366</v>
      </c>
      <c r="B143" s="773" t="s">
        <v>367</v>
      </c>
      <c r="C143" s="763">
        <v>1</v>
      </c>
      <c r="D143" s="764" t="s">
        <v>118</v>
      </c>
      <c r="E143" s="765">
        <v>608.33000000000004</v>
      </c>
      <c r="F143" s="766">
        <f t="shared" si="20"/>
        <v>0.17599999999999999</v>
      </c>
      <c r="G143" s="767">
        <f t="shared" si="18"/>
        <v>501.26392000000004</v>
      </c>
      <c r="H143" s="767"/>
      <c r="I143" s="768"/>
      <c r="J143" s="768"/>
      <c r="K143" s="769"/>
      <c r="L143" s="768"/>
      <c r="M143" s="631" t="s">
        <v>354</v>
      </c>
      <c r="N143" s="359" t="s">
        <v>122</v>
      </c>
      <c r="O143" s="367" t="s">
        <v>248</v>
      </c>
      <c r="P143" s="1" t="str">
        <f t="shared" si="19"/>
        <v/>
      </c>
      <c r="Q143" s="1" t="str">
        <f t="shared" si="19"/>
        <v/>
      </c>
      <c r="R143" s="1" t="str">
        <f t="shared" si="19"/>
        <v/>
      </c>
      <c r="S143" s="1" t="str">
        <f t="shared" si="19"/>
        <v/>
      </c>
      <c r="T143" s="724" t="s">
        <v>368</v>
      </c>
      <c r="U143" s="658" t="s">
        <v>369</v>
      </c>
      <c r="V143" s="671">
        <v>1</v>
      </c>
      <c r="W143" s="659" t="s">
        <v>118</v>
      </c>
      <c r="X143" s="651">
        <v>691.67</v>
      </c>
      <c r="Y143" s="708">
        <v>0.17599999999999999</v>
      </c>
      <c r="Z143" s="655">
        <v>569.93607999999995</v>
      </c>
      <c r="AA143" s="655"/>
      <c r="AB143" s="709"/>
      <c r="AC143" s="709"/>
      <c r="AD143" s="656"/>
      <c r="AE143" s="709"/>
      <c r="AF143" s="631" t="s">
        <v>357</v>
      </c>
      <c r="AG143" s="359" t="s">
        <v>122</v>
      </c>
      <c r="AH143" s="367" t="s">
        <v>248</v>
      </c>
      <c r="AI143" s="1" t="s">
        <v>126</v>
      </c>
      <c r="AJ143" s="1" t="s">
        <v>126</v>
      </c>
      <c r="AK143" s="1" t="s">
        <v>126</v>
      </c>
      <c r="AL143" s="1" t="s">
        <v>126</v>
      </c>
      <c r="AM143" s="374"/>
    </row>
    <row r="144" spans="1:39">
      <c r="A144" s="770"/>
      <c r="B144" s="773"/>
      <c r="C144" s="763"/>
      <c r="D144" s="764"/>
      <c r="E144" s="765"/>
      <c r="F144" s="766"/>
      <c r="G144" s="767"/>
      <c r="H144" s="767"/>
      <c r="I144" s="768"/>
      <c r="J144" s="768"/>
      <c r="K144" s="769"/>
      <c r="L144" s="768"/>
      <c r="M144" s="631"/>
      <c r="N144" s="359"/>
      <c r="O144" s="367"/>
      <c r="P144" s="1"/>
      <c r="Q144" s="1"/>
      <c r="R144" s="1" t="str">
        <f t="shared" ref="R144:S146" si="21">+IF($J144&lt;&gt;"",R$2*$J144,"")</f>
        <v/>
      </c>
      <c r="S144" s="1" t="str">
        <f t="shared" si="21"/>
        <v/>
      </c>
      <c r="T144" s="724" t="s">
        <v>370</v>
      </c>
      <c r="U144" s="658" t="s">
        <v>371</v>
      </c>
      <c r="V144" s="671">
        <v>1</v>
      </c>
      <c r="W144" s="659" t="s">
        <v>118</v>
      </c>
      <c r="X144" s="651">
        <v>891.67</v>
      </c>
      <c r="Y144" s="708">
        <v>0.17599999999999999</v>
      </c>
      <c r="Z144" s="655">
        <v>734.73608000000002</v>
      </c>
      <c r="AA144" s="655"/>
      <c r="AB144" s="709"/>
      <c r="AC144" s="709"/>
      <c r="AD144" s="656"/>
      <c r="AE144" s="709"/>
      <c r="AF144" s="631" t="s">
        <v>357</v>
      </c>
      <c r="AG144" s="359" t="s">
        <v>122</v>
      </c>
      <c r="AH144" s="367" t="s">
        <v>248</v>
      </c>
      <c r="AI144" s="1" t="s">
        <v>126</v>
      </c>
      <c r="AJ144" s="1" t="s">
        <v>126</v>
      </c>
      <c r="AK144" s="1" t="s">
        <v>126</v>
      </c>
      <c r="AL144" s="1" t="s">
        <v>126</v>
      </c>
      <c r="AM144" s="374"/>
    </row>
    <row r="145" spans="1:39">
      <c r="A145" s="770"/>
      <c r="B145" s="773"/>
      <c r="C145" s="763"/>
      <c r="D145" s="764"/>
      <c r="E145" s="765"/>
      <c r="F145" s="766"/>
      <c r="G145" s="767"/>
      <c r="H145" s="767"/>
      <c r="I145" s="768"/>
      <c r="J145" s="768"/>
      <c r="K145" s="769"/>
      <c r="L145" s="768"/>
      <c r="M145" s="631"/>
      <c r="N145" s="359"/>
      <c r="O145" s="367"/>
      <c r="P145" s="1"/>
      <c r="Q145" s="1"/>
      <c r="R145" s="1" t="str">
        <f t="shared" si="21"/>
        <v/>
      </c>
      <c r="S145" s="1" t="str">
        <f t="shared" si="21"/>
        <v/>
      </c>
      <c r="T145" s="724" t="s">
        <v>372</v>
      </c>
      <c r="U145" s="658" t="s">
        <v>373</v>
      </c>
      <c r="V145" s="671">
        <v>1</v>
      </c>
      <c r="W145" s="659" t="s">
        <v>118</v>
      </c>
      <c r="X145" s="651">
        <v>1275</v>
      </c>
      <c r="Y145" s="708">
        <v>0.17599999999999999</v>
      </c>
      <c r="Z145" s="655">
        <v>1050.5999999999999</v>
      </c>
      <c r="AA145" s="655"/>
      <c r="AB145" s="709"/>
      <c r="AC145" s="709"/>
      <c r="AD145" s="656"/>
      <c r="AE145" s="709"/>
      <c r="AF145" s="631" t="s">
        <v>357</v>
      </c>
      <c r="AG145" s="359" t="s">
        <v>122</v>
      </c>
      <c r="AH145" s="367" t="s">
        <v>248</v>
      </c>
      <c r="AI145" s="1" t="s">
        <v>126</v>
      </c>
      <c r="AJ145" s="1" t="s">
        <v>126</v>
      </c>
      <c r="AK145" s="1" t="s">
        <v>126</v>
      </c>
      <c r="AL145" s="1" t="s">
        <v>126</v>
      </c>
      <c r="AM145" s="374"/>
    </row>
    <row r="146" spans="1:39">
      <c r="A146" s="770"/>
      <c r="B146" s="773"/>
      <c r="C146" s="763"/>
      <c r="D146" s="764"/>
      <c r="E146" s="765"/>
      <c r="F146" s="766"/>
      <c r="G146" s="767"/>
      <c r="H146" s="767"/>
      <c r="I146" s="768"/>
      <c r="J146" s="768"/>
      <c r="K146" s="769"/>
      <c r="L146" s="768"/>
      <c r="M146" s="631"/>
      <c r="N146" s="359"/>
      <c r="O146" s="367"/>
      <c r="P146" s="1"/>
      <c r="Q146" s="1"/>
      <c r="R146" s="1" t="str">
        <f t="shared" si="21"/>
        <v/>
      </c>
      <c r="S146" s="1" t="str">
        <f t="shared" si="21"/>
        <v/>
      </c>
      <c r="T146" s="724" t="s">
        <v>374</v>
      </c>
      <c r="U146" s="658" t="s">
        <v>375</v>
      </c>
      <c r="V146" s="671">
        <v>1</v>
      </c>
      <c r="W146" s="659" t="s">
        <v>118</v>
      </c>
      <c r="X146" s="651">
        <v>1083.33</v>
      </c>
      <c r="Y146" s="708">
        <v>0.17599999999999999</v>
      </c>
      <c r="Z146" s="655">
        <v>892.66391999999996</v>
      </c>
      <c r="AA146" s="655"/>
      <c r="AB146" s="709"/>
      <c r="AC146" s="709"/>
      <c r="AD146" s="656"/>
      <c r="AE146" s="709"/>
      <c r="AF146" s="631" t="s">
        <v>357</v>
      </c>
      <c r="AG146" s="359" t="s">
        <v>122</v>
      </c>
      <c r="AH146" s="367" t="s">
        <v>248</v>
      </c>
      <c r="AI146" s="1" t="s">
        <v>126</v>
      </c>
      <c r="AJ146" s="1" t="s">
        <v>126</v>
      </c>
      <c r="AK146" s="1" t="s">
        <v>126</v>
      </c>
      <c r="AL146" s="1" t="s">
        <v>126</v>
      </c>
      <c r="AM146" s="374"/>
    </row>
    <row r="147" spans="1:39">
      <c r="A147" s="770"/>
      <c r="B147" s="773"/>
      <c r="C147" s="763"/>
      <c r="D147" s="764"/>
      <c r="E147" s="765"/>
      <c r="F147" s="766"/>
      <c r="G147" s="767"/>
      <c r="H147" s="767"/>
      <c r="I147" s="768"/>
      <c r="J147" s="768"/>
      <c r="K147" s="769"/>
      <c r="L147" s="768"/>
      <c r="M147" s="631"/>
      <c r="N147" s="359"/>
      <c r="O147" s="367"/>
      <c r="P147" s="1"/>
      <c r="Q147" s="1"/>
      <c r="R147" s="1"/>
      <c r="S147" s="1"/>
      <c r="T147" s="724" t="s">
        <v>376</v>
      </c>
      <c r="U147" s="658" t="s">
        <v>377</v>
      </c>
      <c r="V147" s="671">
        <v>1</v>
      </c>
      <c r="W147" s="659" t="s">
        <v>118</v>
      </c>
      <c r="X147" s="651">
        <v>1466.67</v>
      </c>
      <c r="Y147" s="708">
        <v>0.17599999999999999</v>
      </c>
      <c r="Z147" s="655">
        <v>1208.5360800000001</v>
      </c>
      <c r="AA147" s="655"/>
      <c r="AB147" s="709"/>
      <c r="AC147" s="709"/>
      <c r="AD147" s="656"/>
      <c r="AE147" s="709"/>
      <c r="AF147" s="631" t="s">
        <v>357</v>
      </c>
      <c r="AG147" s="359" t="s">
        <v>122</v>
      </c>
      <c r="AH147" s="367" t="s">
        <v>248</v>
      </c>
      <c r="AI147" s="1"/>
      <c r="AJ147" s="1"/>
      <c r="AK147" s="1"/>
      <c r="AL147" s="1"/>
      <c r="AM147" s="374"/>
    </row>
    <row r="148" spans="1:39">
      <c r="A148" s="770"/>
      <c r="B148" s="773"/>
      <c r="C148" s="763"/>
      <c r="D148" s="764"/>
      <c r="E148" s="765"/>
      <c r="F148" s="766"/>
      <c r="G148" s="767"/>
      <c r="H148" s="767"/>
      <c r="I148" s="768"/>
      <c r="J148" s="768"/>
      <c r="K148" s="769"/>
      <c r="L148" s="768"/>
      <c r="M148" s="631"/>
      <c r="N148" s="359"/>
      <c r="O148" s="367"/>
      <c r="P148" s="1"/>
      <c r="Q148" s="1"/>
      <c r="R148" s="1"/>
      <c r="S148" s="1"/>
      <c r="T148" s="724" t="s">
        <v>378</v>
      </c>
      <c r="U148" s="658" t="s">
        <v>379</v>
      </c>
      <c r="V148" s="671">
        <v>1</v>
      </c>
      <c r="W148" s="659" t="s">
        <v>118</v>
      </c>
      <c r="X148" s="651">
        <v>1850</v>
      </c>
      <c r="Y148" s="708">
        <v>0.17599999999999999</v>
      </c>
      <c r="Z148" s="655">
        <v>1524.4</v>
      </c>
      <c r="AA148" s="655"/>
      <c r="AB148" s="709"/>
      <c r="AC148" s="709"/>
      <c r="AD148" s="656"/>
      <c r="AE148" s="709"/>
      <c r="AF148" s="631" t="s">
        <v>357</v>
      </c>
      <c r="AG148" s="359" t="s">
        <v>122</v>
      </c>
      <c r="AH148" s="367" t="s">
        <v>248</v>
      </c>
      <c r="AI148" s="1"/>
      <c r="AJ148" s="1"/>
      <c r="AK148" s="1"/>
      <c r="AL148" s="1"/>
      <c r="AM148" s="374"/>
    </row>
    <row r="149" spans="1:39">
      <c r="A149" s="770" t="s">
        <v>380</v>
      </c>
      <c r="B149" s="773" t="s">
        <v>381</v>
      </c>
      <c r="C149" s="763">
        <v>1</v>
      </c>
      <c r="D149" s="764" t="s">
        <v>118</v>
      </c>
      <c r="E149" s="765">
        <v>191.67</v>
      </c>
      <c r="F149" s="766">
        <f t="shared" si="20"/>
        <v>0.17599999999999999</v>
      </c>
      <c r="G149" s="767">
        <f t="shared" ref="G149:G153" si="22">E149-(E149*F149)</f>
        <v>157.93608</v>
      </c>
      <c r="H149" s="767"/>
      <c r="I149" s="768"/>
      <c r="J149" s="768"/>
      <c r="K149" s="769"/>
      <c r="L149" s="768"/>
      <c r="M149" s="631" t="s">
        <v>354</v>
      </c>
      <c r="N149" s="359" t="s">
        <v>122</v>
      </c>
      <c r="O149" s="367" t="s">
        <v>248</v>
      </c>
      <c r="P149" s="1" t="str">
        <f t="shared" si="19"/>
        <v/>
      </c>
      <c r="Q149" s="1" t="str">
        <f t="shared" si="19"/>
        <v/>
      </c>
      <c r="R149" s="1" t="str">
        <f t="shared" si="19"/>
        <v/>
      </c>
      <c r="S149" s="1" t="str">
        <f t="shared" si="19"/>
        <v/>
      </c>
      <c r="T149" s="724" t="s">
        <v>382</v>
      </c>
      <c r="U149" s="658" t="s">
        <v>383</v>
      </c>
      <c r="V149" s="671">
        <v>1</v>
      </c>
      <c r="W149" s="659" t="s">
        <v>118</v>
      </c>
      <c r="X149" s="651">
        <v>191.67</v>
      </c>
      <c r="Y149" s="708">
        <v>0.17599999999999999</v>
      </c>
      <c r="Z149" s="655">
        <v>157.93608</v>
      </c>
      <c r="AA149" s="655"/>
      <c r="AB149" s="709"/>
      <c r="AC149" s="709"/>
      <c r="AD149" s="656"/>
      <c r="AE149" s="709"/>
      <c r="AF149" s="631" t="s">
        <v>357</v>
      </c>
      <c r="AG149" s="359" t="s">
        <v>122</v>
      </c>
      <c r="AH149" s="367" t="s">
        <v>248</v>
      </c>
      <c r="AI149" s="1" t="s">
        <v>126</v>
      </c>
      <c r="AJ149" s="1" t="s">
        <v>126</v>
      </c>
      <c r="AK149" s="1" t="s">
        <v>126</v>
      </c>
      <c r="AL149" s="1" t="s">
        <v>126</v>
      </c>
      <c r="AM149" s="374"/>
    </row>
    <row r="150" spans="1:39">
      <c r="A150" s="770" t="s">
        <v>384</v>
      </c>
      <c r="B150" s="773" t="s">
        <v>385</v>
      </c>
      <c r="C150" s="763">
        <v>1</v>
      </c>
      <c r="D150" s="764" t="s">
        <v>118</v>
      </c>
      <c r="E150" s="765">
        <v>575</v>
      </c>
      <c r="F150" s="766">
        <f t="shared" si="20"/>
        <v>0.17599999999999999</v>
      </c>
      <c r="G150" s="767">
        <f t="shared" si="22"/>
        <v>473.8</v>
      </c>
      <c r="H150" s="767"/>
      <c r="I150" s="768"/>
      <c r="J150" s="768"/>
      <c r="K150" s="769"/>
      <c r="L150" s="768"/>
      <c r="M150" s="631" t="s">
        <v>354</v>
      </c>
      <c r="N150" s="359" t="s">
        <v>122</v>
      </c>
      <c r="O150" s="367" t="s">
        <v>248</v>
      </c>
      <c r="P150" s="1" t="str">
        <f t="shared" si="19"/>
        <v/>
      </c>
      <c r="Q150" s="1" t="str">
        <f t="shared" si="19"/>
        <v/>
      </c>
      <c r="R150" s="1" t="str">
        <f t="shared" si="19"/>
        <v/>
      </c>
      <c r="S150" s="1" t="str">
        <f t="shared" si="19"/>
        <v/>
      </c>
      <c r="T150" s="724" t="s">
        <v>386</v>
      </c>
      <c r="U150" s="658" t="s">
        <v>387</v>
      </c>
      <c r="V150" s="671">
        <v>1</v>
      </c>
      <c r="W150" s="659" t="s">
        <v>118</v>
      </c>
      <c r="X150" s="651">
        <v>575</v>
      </c>
      <c r="Y150" s="708">
        <v>0.17599999999999999</v>
      </c>
      <c r="Z150" s="655">
        <v>473.8</v>
      </c>
      <c r="AA150" s="655"/>
      <c r="AB150" s="709"/>
      <c r="AC150" s="709"/>
      <c r="AD150" s="656"/>
      <c r="AE150" s="709"/>
      <c r="AF150" s="631" t="s">
        <v>357</v>
      </c>
      <c r="AG150" s="359" t="s">
        <v>122</v>
      </c>
      <c r="AH150" s="367" t="s">
        <v>248</v>
      </c>
      <c r="AI150" s="1" t="s">
        <v>126</v>
      </c>
      <c r="AJ150" s="1" t="s">
        <v>126</v>
      </c>
      <c r="AK150" s="1" t="s">
        <v>126</v>
      </c>
      <c r="AL150" s="1" t="s">
        <v>126</v>
      </c>
      <c r="AM150" s="374"/>
    </row>
    <row r="151" spans="1:39">
      <c r="A151" s="770" t="s">
        <v>388</v>
      </c>
      <c r="B151" s="773" t="s">
        <v>389</v>
      </c>
      <c r="C151" s="763">
        <v>1</v>
      </c>
      <c r="D151" s="764" t="s">
        <v>118</v>
      </c>
      <c r="E151" s="765">
        <v>1150</v>
      </c>
      <c r="F151" s="766">
        <f t="shared" si="20"/>
        <v>0.17599999999999999</v>
      </c>
      <c r="G151" s="767">
        <f t="shared" si="22"/>
        <v>947.6</v>
      </c>
      <c r="H151" s="767"/>
      <c r="I151" s="768"/>
      <c r="J151" s="768"/>
      <c r="K151" s="769"/>
      <c r="L151" s="768"/>
      <c r="M151" s="631" t="s">
        <v>354</v>
      </c>
      <c r="N151" s="359" t="s">
        <v>122</v>
      </c>
      <c r="O151" s="367" t="s">
        <v>248</v>
      </c>
      <c r="P151" s="1" t="str">
        <f t="shared" ref="P151:S157" si="23">+IF($J151&lt;&gt;"",P$2*$J151,"")</f>
        <v/>
      </c>
      <c r="Q151" s="1" t="str">
        <f t="shared" si="23"/>
        <v/>
      </c>
      <c r="R151" s="1" t="str">
        <f t="shared" si="23"/>
        <v/>
      </c>
      <c r="S151" s="1" t="str">
        <f t="shared" si="23"/>
        <v/>
      </c>
      <c r="T151" s="724" t="s">
        <v>390</v>
      </c>
      <c r="U151" s="658" t="s">
        <v>391</v>
      </c>
      <c r="V151" s="671">
        <v>1</v>
      </c>
      <c r="W151" s="659" t="s">
        <v>118</v>
      </c>
      <c r="X151" s="651">
        <v>1150</v>
      </c>
      <c r="Y151" s="708">
        <v>0.17599999999999999</v>
      </c>
      <c r="Z151" s="655">
        <v>947.6</v>
      </c>
      <c r="AA151" s="655"/>
      <c r="AB151" s="709"/>
      <c r="AC151" s="709"/>
      <c r="AD151" s="656"/>
      <c r="AE151" s="709"/>
      <c r="AF151" s="631" t="s">
        <v>357</v>
      </c>
      <c r="AG151" s="359" t="s">
        <v>122</v>
      </c>
      <c r="AH151" s="367" t="s">
        <v>248</v>
      </c>
      <c r="AI151" s="1" t="s">
        <v>126</v>
      </c>
      <c r="AJ151" s="1" t="s">
        <v>126</v>
      </c>
      <c r="AK151" s="1" t="s">
        <v>126</v>
      </c>
      <c r="AL151" s="1" t="s">
        <v>126</v>
      </c>
      <c r="AM151" s="374"/>
    </row>
    <row r="152" spans="1:39">
      <c r="A152" s="770"/>
      <c r="B152" s="773"/>
      <c r="C152" s="763"/>
      <c r="D152" s="764"/>
      <c r="E152" s="765"/>
      <c r="F152" s="766"/>
      <c r="G152" s="767"/>
      <c r="H152" s="767"/>
      <c r="I152" s="768"/>
      <c r="J152" s="768"/>
      <c r="K152" s="769"/>
      <c r="L152" s="768"/>
      <c r="M152" s="631"/>
      <c r="N152" s="359"/>
      <c r="O152" s="367"/>
      <c r="P152" s="1"/>
      <c r="Q152" s="1"/>
      <c r="R152" s="1"/>
      <c r="S152" s="1"/>
      <c r="T152" s="724" t="s">
        <v>392</v>
      </c>
      <c r="U152" s="658" t="s">
        <v>393</v>
      </c>
      <c r="V152" s="671">
        <v>1</v>
      </c>
      <c r="W152" s="659" t="s">
        <v>118</v>
      </c>
      <c r="X152" s="651">
        <v>2300</v>
      </c>
      <c r="Y152" s="708">
        <v>0.17599999999999999</v>
      </c>
      <c r="Z152" s="655">
        <v>1895.2</v>
      </c>
      <c r="AA152" s="655"/>
      <c r="AB152" s="709"/>
      <c r="AC152" s="709"/>
      <c r="AD152" s="656"/>
      <c r="AE152" s="709"/>
      <c r="AF152" s="631" t="s">
        <v>357</v>
      </c>
      <c r="AG152" s="359" t="s">
        <v>122</v>
      </c>
      <c r="AH152" s="367" t="s">
        <v>248</v>
      </c>
      <c r="AI152" s="1" t="s">
        <v>126</v>
      </c>
      <c r="AJ152" s="1" t="s">
        <v>126</v>
      </c>
      <c r="AK152" s="1" t="s">
        <v>126</v>
      </c>
      <c r="AL152" s="1" t="s">
        <v>126</v>
      </c>
      <c r="AM152" s="374"/>
    </row>
    <row r="153" spans="1:39">
      <c r="A153" s="770" t="s">
        <v>394</v>
      </c>
      <c r="B153" s="773" t="s">
        <v>395</v>
      </c>
      <c r="C153" s="763">
        <v>1</v>
      </c>
      <c r="D153" s="764" t="s">
        <v>118</v>
      </c>
      <c r="E153" s="765">
        <v>16.670000000000002</v>
      </c>
      <c r="F153" s="766">
        <f t="shared" si="20"/>
        <v>0.17599999999999999</v>
      </c>
      <c r="G153" s="767">
        <f t="shared" si="22"/>
        <v>13.736080000000001</v>
      </c>
      <c r="H153" s="767"/>
      <c r="I153" s="768"/>
      <c r="J153" s="768"/>
      <c r="K153" s="769"/>
      <c r="L153" s="768"/>
      <c r="M153" s="631" t="s">
        <v>354</v>
      </c>
      <c r="N153" s="359" t="s">
        <v>122</v>
      </c>
      <c r="O153" s="367" t="s">
        <v>248</v>
      </c>
      <c r="P153" s="1" t="str">
        <f t="shared" si="23"/>
        <v/>
      </c>
      <c r="Q153" s="1" t="str">
        <f t="shared" si="23"/>
        <v/>
      </c>
      <c r="R153" s="1" t="str">
        <f t="shared" si="23"/>
        <v/>
      </c>
      <c r="S153" s="1" t="str">
        <f t="shared" si="23"/>
        <v/>
      </c>
      <c r="T153" s="724" t="s">
        <v>396</v>
      </c>
      <c r="U153" s="658" t="s">
        <v>397</v>
      </c>
      <c r="V153" s="671">
        <v>1</v>
      </c>
      <c r="W153" s="659" t="s">
        <v>118</v>
      </c>
      <c r="X153" s="651">
        <v>16.670000000000002</v>
      </c>
      <c r="Y153" s="708">
        <v>0.17599999999999999</v>
      </c>
      <c r="Z153" s="655">
        <v>13.736080000000001</v>
      </c>
      <c r="AA153" s="655"/>
      <c r="AB153" s="709"/>
      <c r="AC153" s="709"/>
      <c r="AD153" s="656"/>
      <c r="AE153" s="709"/>
      <c r="AF153" s="631" t="s">
        <v>357</v>
      </c>
      <c r="AG153" s="359" t="s">
        <v>122</v>
      </c>
      <c r="AH153" s="367" t="s">
        <v>248</v>
      </c>
      <c r="AI153" s="1" t="s">
        <v>126</v>
      </c>
      <c r="AJ153" s="1" t="s">
        <v>126</v>
      </c>
      <c r="AK153" s="1" t="s">
        <v>126</v>
      </c>
      <c r="AL153" s="1" t="s">
        <v>126</v>
      </c>
      <c r="AM153" s="374"/>
    </row>
    <row r="154" spans="1:39">
      <c r="A154" s="770" t="s">
        <v>398</v>
      </c>
      <c r="B154" s="773" t="s">
        <v>399</v>
      </c>
      <c r="C154" s="763">
        <v>1</v>
      </c>
      <c r="D154" s="764" t="s">
        <v>118</v>
      </c>
      <c r="E154" s="765">
        <v>0</v>
      </c>
      <c r="F154" s="766" t="s">
        <v>120</v>
      </c>
      <c r="G154" s="767">
        <f>E154</f>
        <v>0</v>
      </c>
      <c r="H154" s="767"/>
      <c r="I154" s="768"/>
      <c r="J154" s="768"/>
      <c r="K154" s="769"/>
      <c r="L154" s="768"/>
      <c r="M154" s="631" t="s">
        <v>354</v>
      </c>
      <c r="N154" s="359" t="s">
        <v>122</v>
      </c>
      <c r="O154" s="367" t="s">
        <v>248</v>
      </c>
      <c r="P154" s="1" t="str">
        <f>+IF($J154&lt;&gt;"",P$2*$J154,"")</f>
        <v/>
      </c>
      <c r="Q154" s="1" t="str">
        <f>+IF($J154&lt;&gt;"",Q$2*$J154,"")</f>
        <v/>
      </c>
      <c r="R154" s="1" t="str">
        <f>+IF($J154&lt;&gt;"",R$2*$J154,"")</f>
        <v/>
      </c>
      <c r="S154" s="1" t="str">
        <f>+IF($J154&lt;&gt;"",S$2*$J154,"")</f>
        <v/>
      </c>
      <c r="T154" s="724" t="s">
        <v>400</v>
      </c>
      <c r="U154" s="658" t="s">
        <v>401</v>
      </c>
      <c r="V154" s="671">
        <v>1</v>
      </c>
      <c r="W154" s="659" t="s">
        <v>118</v>
      </c>
      <c r="X154" s="651">
        <v>0</v>
      </c>
      <c r="Y154" s="708" t="s">
        <v>120</v>
      </c>
      <c r="Z154" s="655">
        <v>0</v>
      </c>
      <c r="AA154" s="655"/>
      <c r="AB154" s="709"/>
      <c r="AC154" s="709"/>
      <c r="AD154" s="656"/>
      <c r="AE154" s="709"/>
      <c r="AF154" s="631" t="s">
        <v>357</v>
      </c>
      <c r="AG154" s="359" t="s">
        <v>122</v>
      </c>
      <c r="AH154" s="367" t="s">
        <v>248</v>
      </c>
      <c r="AI154" s="1" t="s">
        <v>126</v>
      </c>
      <c r="AJ154" s="1" t="s">
        <v>126</v>
      </c>
      <c r="AK154" s="1" t="s">
        <v>126</v>
      </c>
      <c r="AL154" s="1" t="s">
        <v>126</v>
      </c>
      <c r="AM154" s="374"/>
    </row>
    <row r="155" spans="1:39">
      <c r="A155" s="770" t="s">
        <v>402</v>
      </c>
      <c r="B155" s="773" t="s">
        <v>403</v>
      </c>
      <c r="C155" s="763">
        <v>1</v>
      </c>
      <c r="D155" s="764" t="s">
        <v>118</v>
      </c>
      <c r="E155" s="765">
        <v>0</v>
      </c>
      <c r="F155" s="766" t="s">
        <v>120</v>
      </c>
      <c r="G155" s="767">
        <f>E155</f>
        <v>0</v>
      </c>
      <c r="H155" s="767"/>
      <c r="I155" s="768"/>
      <c r="J155" s="768"/>
      <c r="K155" s="769"/>
      <c r="L155" s="768"/>
      <c r="M155" s="631" t="s">
        <v>354</v>
      </c>
      <c r="N155" s="359" t="s">
        <v>122</v>
      </c>
      <c r="O155" s="367" t="s">
        <v>248</v>
      </c>
      <c r="P155" s="1" t="str">
        <f t="shared" si="23"/>
        <v/>
      </c>
      <c r="Q155" s="1" t="str">
        <f t="shared" si="23"/>
        <v/>
      </c>
      <c r="R155" s="1" t="str">
        <f t="shared" si="23"/>
        <v/>
      </c>
      <c r="S155" s="1" t="str">
        <f t="shared" si="23"/>
        <v/>
      </c>
      <c r="T155" s="724" t="s">
        <v>404</v>
      </c>
      <c r="U155" s="658" t="s">
        <v>405</v>
      </c>
      <c r="V155" s="671">
        <v>1</v>
      </c>
      <c r="W155" s="659" t="s">
        <v>118</v>
      </c>
      <c r="X155" s="651">
        <v>0</v>
      </c>
      <c r="Y155" s="708" t="s">
        <v>120</v>
      </c>
      <c r="Z155" s="655">
        <v>0</v>
      </c>
      <c r="AA155" s="655"/>
      <c r="AB155" s="709"/>
      <c r="AC155" s="709"/>
      <c r="AD155" s="656"/>
      <c r="AE155" s="709"/>
      <c r="AF155" s="631" t="s">
        <v>357</v>
      </c>
      <c r="AG155" s="359" t="s">
        <v>122</v>
      </c>
      <c r="AH155" s="367" t="s">
        <v>248</v>
      </c>
      <c r="AI155" s="1" t="s">
        <v>126</v>
      </c>
      <c r="AJ155" s="1" t="s">
        <v>126</v>
      </c>
      <c r="AK155" s="1" t="s">
        <v>126</v>
      </c>
      <c r="AL155" s="1" t="s">
        <v>126</v>
      </c>
      <c r="AM155" s="374"/>
    </row>
    <row r="156" spans="1:39" s="86" customFormat="1">
      <c r="A156" s="770" t="s">
        <v>406</v>
      </c>
      <c r="B156" s="762" t="s">
        <v>407</v>
      </c>
      <c r="C156" s="763">
        <v>1</v>
      </c>
      <c r="D156" s="764" t="s">
        <v>118</v>
      </c>
      <c r="E156" s="765">
        <v>0</v>
      </c>
      <c r="F156" s="766" t="s">
        <v>120</v>
      </c>
      <c r="G156" s="767">
        <f t="shared" ref="G156" si="24">E156</f>
        <v>0</v>
      </c>
      <c r="H156" s="767"/>
      <c r="I156" s="768"/>
      <c r="J156" s="768"/>
      <c r="K156" s="769"/>
      <c r="L156" s="768"/>
      <c r="M156" s="631" t="s">
        <v>354</v>
      </c>
      <c r="N156" s="359" t="s">
        <v>122</v>
      </c>
      <c r="O156" s="367" t="s">
        <v>248</v>
      </c>
      <c r="P156" s="1" t="str">
        <f t="shared" si="23"/>
        <v/>
      </c>
      <c r="Q156" s="1" t="str">
        <f t="shared" si="23"/>
        <v/>
      </c>
      <c r="R156" s="1" t="str">
        <f t="shared" si="23"/>
        <v/>
      </c>
      <c r="S156" s="1" t="str">
        <f t="shared" si="23"/>
        <v/>
      </c>
      <c r="T156" s="724" t="s">
        <v>408</v>
      </c>
      <c r="U156" s="722" t="s">
        <v>409</v>
      </c>
      <c r="V156" s="671">
        <v>1</v>
      </c>
      <c r="W156" s="659" t="s">
        <v>118</v>
      </c>
      <c r="X156" s="651">
        <v>0</v>
      </c>
      <c r="Y156" s="708" t="s">
        <v>120</v>
      </c>
      <c r="Z156" s="655">
        <v>0</v>
      </c>
      <c r="AA156" s="655"/>
      <c r="AB156" s="709"/>
      <c r="AC156" s="709"/>
      <c r="AD156" s="656"/>
      <c r="AE156" s="709"/>
      <c r="AF156" s="631" t="s">
        <v>357</v>
      </c>
      <c r="AG156" s="359" t="s">
        <v>122</v>
      </c>
      <c r="AH156" s="367" t="s">
        <v>248</v>
      </c>
      <c r="AI156" s="1" t="s">
        <v>126</v>
      </c>
      <c r="AJ156" s="1" t="s">
        <v>126</v>
      </c>
      <c r="AK156" s="1" t="s">
        <v>126</v>
      </c>
      <c r="AL156" s="1" t="s">
        <v>126</v>
      </c>
      <c r="AM156" s="396"/>
    </row>
    <row r="157" spans="1:39" s="86" customFormat="1">
      <c r="A157" s="223" t="s">
        <v>410</v>
      </c>
      <c r="B157" s="52" t="s">
        <v>411</v>
      </c>
      <c r="C157" s="53">
        <v>1</v>
      </c>
      <c r="D157" s="54" t="s">
        <v>118</v>
      </c>
      <c r="E157" s="62">
        <v>3332.2</v>
      </c>
      <c r="F157" s="66">
        <f>rv_mbp14_eg</f>
        <v>0.17599999999999999</v>
      </c>
      <c r="G157" s="70">
        <f t="shared" ref="G157" si="25">E157-(E157*F157)</f>
        <v>2745.7327999999998</v>
      </c>
      <c r="H157" s="53" t="s">
        <v>300</v>
      </c>
      <c r="I157" s="63">
        <v>74.08</v>
      </c>
      <c r="J157" s="63">
        <f>G157+I157</f>
        <v>2819.8127999999997</v>
      </c>
      <c r="K157" s="63" t="s">
        <v>120</v>
      </c>
      <c r="L157" s="63">
        <v>0.3</v>
      </c>
      <c r="M157" s="630" t="s">
        <v>357</v>
      </c>
      <c r="N157" s="380" t="s">
        <v>122</v>
      </c>
      <c r="O157" s="385" t="s">
        <v>248</v>
      </c>
      <c r="P157" s="90">
        <f t="shared" si="23"/>
        <v>567.65298235393254</v>
      </c>
      <c r="Q157" s="90">
        <f t="shared" si="23"/>
        <v>295.01292128500779</v>
      </c>
      <c r="R157" s="90">
        <f t="shared" si="23"/>
        <v>214.25910257968548</v>
      </c>
      <c r="S157" s="90">
        <f t="shared" si="23"/>
        <v>184.89197471569395</v>
      </c>
      <c r="T157" s="241"/>
      <c r="U157" s="238"/>
      <c r="V157" s="239"/>
      <c r="W157" s="272"/>
      <c r="X157" s="224"/>
      <c r="Y157" s="283"/>
      <c r="Z157" s="85"/>
      <c r="AA157" s="85"/>
      <c r="AB157" s="282"/>
      <c r="AC157" s="282"/>
      <c r="AD157" s="246"/>
      <c r="AE157" s="282"/>
      <c r="AF157" s="631"/>
      <c r="AG157" s="359"/>
      <c r="AH157" s="367"/>
      <c r="AI157" s="1"/>
      <c r="AJ157" s="1"/>
      <c r="AK157" s="1"/>
      <c r="AL157" s="1"/>
      <c r="AM157" s="396"/>
    </row>
    <row r="158" spans="1:39" s="86" customFormat="1">
      <c r="A158" s="770" t="s">
        <v>412</v>
      </c>
      <c r="B158" s="773" t="s">
        <v>413</v>
      </c>
      <c r="C158" s="763">
        <v>1</v>
      </c>
      <c r="D158" s="764" t="s">
        <v>118</v>
      </c>
      <c r="E158" s="765">
        <v>766.67</v>
      </c>
      <c r="F158" s="766">
        <f t="shared" si="20"/>
        <v>0.17599999999999999</v>
      </c>
      <c r="G158" s="767">
        <f t="shared" ref="G158:G164" si="26">E158-(E158*F158)</f>
        <v>631.73608000000002</v>
      </c>
      <c r="H158" s="767"/>
      <c r="I158" s="768"/>
      <c r="J158" s="768"/>
      <c r="K158" s="769"/>
      <c r="L158" s="768"/>
      <c r="M158" s="631" t="s">
        <v>357</v>
      </c>
      <c r="N158" s="359" t="s">
        <v>122</v>
      </c>
      <c r="O158" s="367" t="s">
        <v>248</v>
      </c>
      <c r="P158" s="1" t="str">
        <f t="shared" ref="P158:S160" si="27">+IF($J158&lt;&gt;"",P$2*$J158,"")</f>
        <v/>
      </c>
      <c r="Q158" s="1" t="str">
        <f t="shared" si="27"/>
        <v/>
      </c>
      <c r="R158" s="1" t="str">
        <f t="shared" si="27"/>
        <v/>
      </c>
      <c r="S158" s="1" t="str">
        <f t="shared" si="27"/>
        <v/>
      </c>
      <c r="T158" s="241"/>
      <c r="U158" s="238"/>
      <c r="V158" s="239"/>
      <c r="W158" s="272"/>
      <c r="X158" s="224"/>
      <c r="Y158" s="283"/>
      <c r="Z158" s="85"/>
      <c r="AA158" s="85"/>
      <c r="AB158" s="282"/>
      <c r="AC158" s="282"/>
      <c r="AD158" s="246"/>
      <c r="AE158" s="282"/>
      <c r="AF158" s="631"/>
      <c r="AG158" s="359"/>
      <c r="AH158" s="367"/>
      <c r="AI158" s="1"/>
      <c r="AJ158" s="1"/>
      <c r="AK158" s="1"/>
      <c r="AL158" s="1"/>
      <c r="AM158" s="396"/>
    </row>
    <row r="159" spans="1:39" s="86" customFormat="1">
      <c r="A159" s="770" t="s">
        <v>414</v>
      </c>
      <c r="B159" s="773" t="s">
        <v>415</v>
      </c>
      <c r="C159" s="763">
        <v>1</v>
      </c>
      <c r="D159" s="764" t="s">
        <v>118</v>
      </c>
      <c r="E159" s="765">
        <v>500</v>
      </c>
      <c r="F159" s="766">
        <f t="shared" si="20"/>
        <v>0.17599999999999999</v>
      </c>
      <c r="G159" s="767">
        <f t="shared" si="26"/>
        <v>412</v>
      </c>
      <c r="H159" s="767"/>
      <c r="I159" s="768"/>
      <c r="J159" s="768"/>
      <c r="K159" s="769"/>
      <c r="L159" s="768"/>
      <c r="M159" s="631" t="s">
        <v>357</v>
      </c>
      <c r="N159" s="359" t="s">
        <v>122</v>
      </c>
      <c r="O159" s="367" t="s">
        <v>248</v>
      </c>
      <c r="P159" s="1" t="str">
        <f t="shared" si="27"/>
        <v/>
      </c>
      <c r="Q159" s="1" t="str">
        <f t="shared" si="27"/>
        <v/>
      </c>
      <c r="R159" s="1" t="str">
        <f t="shared" si="27"/>
        <v/>
      </c>
      <c r="S159" s="1" t="str">
        <f t="shared" si="27"/>
        <v/>
      </c>
      <c r="T159" s="241"/>
      <c r="U159" s="238"/>
      <c r="V159" s="239"/>
      <c r="W159" s="272"/>
      <c r="X159" s="224"/>
      <c r="Y159" s="283"/>
      <c r="Z159" s="85"/>
      <c r="AA159" s="85"/>
      <c r="AB159" s="282"/>
      <c r="AC159" s="282"/>
      <c r="AD159" s="246"/>
      <c r="AE159" s="282"/>
      <c r="AF159" s="631"/>
      <c r="AG159" s="359"/>
      <c r="AH159" s="367"/>
      <c r="AI159" s="1"/>
      <c r="AJ159" s="1"/>
      <c r="AK159" s="1"/>
      <c r="AL159" s="1"/>
      <c r="AM159" s="396"/>
    </row>
    <row r="160" spans="1:39" s="86" customFormat="1">
      <c r="A160" s="770" t="s">
        <v>416</v>
      </c>
      <c r="B160" s="773" t="s">
        <v>417</v>
      </c>
      <c r="C160" s="763">
        <v>1</v>
      </c>
      <c r="D160" s="764" t="s">
        <v>118</v>
      </c>
      <c r="E160" s="765">
        <v>691.67</v>
      </c>
      <c r="F160" s="766">
        <f t="shared" si="20"/>
        <v>0.17599999999999999</v>
      </c>
      <c r="G160" s="767">
        <f t="shared" si="26"/>
        <v>569.93607999999995</v>
      </c>
      <c r="H160" s="767"/>
      <c r="I160" s="768"/>
      <c r="J160" s="768"/>
      <c r="K160" s="769"/>
      <c r="L160" s="768"/>
      <c r="M160" s="631" t="s">
        <v>357</v>
      </c>
      <c r="N160" s="359" t="s">
        <v>122</v>
      </c>
      <c r="O160" s="367" t="s">
        <v>248</v>
      </c>
      <c r="P160" s="1" t="str">
        <f t="shared" si="27"/>
        <v/>
      </c>
      <c r="Q160" s="1" t="str">
        <f t="shared" si="27"/>
        <v/>
      </c>
      <c r="R160" s="1" t="str">
        <f t="shared" si="27"/>
        <v/>
      </c>
      <c r="S160" s="1" t="str">
        <f t="shared" si="27"/>
        <v/>
      </c>
      <c r="T160" s="241"/>
      <c r="U160" s="238"/>
      <c r="V160" s="239"/>
      <c r="W160" s="272"/>
      <c r="X160" s="224"/>
      <c r="Y160" s="283"/>
      <c r="Z160" s="85"/>
      <c r="AA160" s="85"/>
      <c r="AB160" s="282"/>
      <c r="AC160" s="282"/>
      <c r="AD160" s="246"/>
      <c r="AE160" s="282"/>
      <c r="AF160" s="631"/>
      <c r="AG160" s="359"/>
      <c r="AH160" s="367"/>
      <c r="AI160" s="1"/>
      <c r="AJ160" s="1"/>
      <c r="AK160" s="1"/>
      <c r="AL160" s="1"/>
      <c r="AM160" s="396"/>
    </row>
    <row r="161" spans="1:39" s="86" customFormat="1">
      <c r="A161" s="770" t="s">
        <v>418</v>
      </c>
      <c r="B161" s="773" t="s">
        <v>419</v>
      </c>
      <c r="C161" s="763">
        <v>1</v>
      </c>
      <c r="D161" s="764" t="s">
        <v>118</v>
      </c>
      <c r="E161" s="765">
        <v>1458.33</v>
      </c>
      <c r="F161" s="766">
        <f t="shared" si="20"/>
        <v>0.17599999999999999</v>
      </c>
      <c r="G161" s="767">
        <f t="shared" si="26"/>
        <v>1201.66392</v>
      </c>
      <c r="H161" s="767"/>
      <c r="I161" s="768"/>
      <c r="J161" s="768"/>
      <c r="K161" s="769"/>
      <c r="L161" s="768"/>
      <c r="M161" s="631" t="s">
        <v>357</v>
      </c>
      <c r="N161" s="359" t="s">
        <v>122</v>
      </c>
      <c r="O161" s="367" t="s">
        <v>248</v>
      </c>
      <c r="P161" s="1"/>
      <c r="Q161" s="1"/>
      <c r="R161" s="1"/>
      <c r="S161" s="1"/>
      <c r="T161" s="241"/>
      <c r="U161" s="238"/>
      <c r="V161" s="239"/>
      <c r="W161" s="272"/>
      <c r="X161" s="224"/>
      <c r="Y161" s="283"/>
      <c r="Z161" s="85"/>
      <c r="AA161" s="85"/>
      <c r="AB161" s="282"/>
      <c r="AC161" s="282"/>
      <c r="AD161" s="246"/>
      <c r="AE161" s="282"/>
      <c r="AF161" s="631"/>
      <c r="AG161" s="359"/>
      <c r="AH161" s="367"/>
      <c r="AI161" s="1"/>
      <c r="AJ161" s="1"/>
      <c r="AK161" s="1"/>
      <c r="AL161" s="1"/>
      <c r="AM161" s="396"/>
    </row>
    <row r="162" spans="1:39" s="86" customFormat="1">
      <c r="A162" s="770" t="s">
        <v>420</v>
      </c>
      <c r="B162" s="773" t="s">
        <v>385</v>
      </c>
      <c r="C162" s="763">
        <v>1</v>
      </c>
      <c r="D162" s="764" t="s">
        <v>118</v>
      </c>
      <c r="E162" s="765">
        <v>383.33</v>
      </c>
      <c r="F162" s="766">
        <f t="shared" si="20"/>
        <v>0.17599999999999999</v>
      </c>
      <c r="G162" s="767">
        <f t="shared" si="26"/>
        <v>315.86392000000001</v>
      </c>
      <c r="H162" s="767"/>
      <c r="I162" s="768"/>
      <c r="J162" s="768"/>
      <c r="K162" s="769"/>
      <c r="L162" s="768"/>
      <c r="M162" s="631" t="s">
        <v>357</v>
      </c>
      <c r="N162" s="359" t="s">
        <v>122</v>
      </c>
      <c r="O162" s="367" t="s">
        <v>248</v>
      </c>
      <c r="P162" s="1"/>
      <c r="Q162" s="1"/>
      <c r="R162" s="1"/>
      <c r="S162" s="1"/>
      <c r="T162" s="241"/>
      <c r="U162" s="238"/>
      <c r="V162" s="239"/>
      <c r="W162" s="272"/>
      <c r="X162" s="224"/>
      <c r="Y162" s="283"/>
      <c r="Z162" s="85"/>
      <c r="AA162" s="85"/>
      <c r="AB162" s="282"/>
      <c r="AC162" s="282"/>
      <c r="AD162" s="246"/>
      <c r="AE162" s="282"/>
      <c r="AF162" s="631"/>
      <c r="AG162" s="359"/>
      <c r="AH162" s="367"/>
      <c r="AI162" s="1"/>
      <c r="AJ162" s="1"/>
      <c r="AK162" s="1"/>
      <c r="AL162" s="1"/>
      <c r="AM162" s="396"/>
    </row>
    <row r="163" spans="1:39" s="86" customFormat="1">
      <c r="A163" s="770" t="s">
        <v>421</v>
      </c>
      <c r="B163" s="773" t="s">
        <v>389</v>
      </c>
      <c r="C163" s="763">
        <v>1</v>
      </c>
      <c r="D163" s="764" t="s">
        <v>118</v>
      </c>
      <c r="E163" s="765">
        <v>958.33</v>
      </c>
      <c r="F163" s="766">
        <f t="shared" si="20"/>
        <v>0.17599999999999999</v>
      </c>
      <c r="G163" s="767">
        <f t="shared" si="26"/>
        <v>789.66392000000008</v>
      </c>
      <c r="H163" s="767"/>
      <c r="I163" s="768"/>
      <c r="J163" s="768"/>
      <c r="K163" s="769"/>
      <c r="L163" s="768"/>
      <c r="M163" s="631" t="s">
        <v>357</v>
      </c>
      <c r="N163" s="359" t="s">
        <v>122</v>
      </c>
      <c r="O163" s="367" t="s">
        <v>248</v>
      </c>
      <c r="P163" s="1"/>
      <c r="Q163" s="1"/>
      <c r="R163" s="1"/>
      <c r="S163" s="1"/>
      <c r="T163" s="241"/>
      <c r="U163" s="238"/>
      <c r="V163" s="239"/>
      <c r="W163" s="272"/>
      <c r="X163" s="224"/>
      <c r="Y163" s="283"/>
      <c r="Z163" s="85"/>
      <c r="AA163" s="85"/>
      <c r="AB163" s="282"/>
      <c r="AC163" s="282"/>
      <c r="AD163" s="246"/>
      <c r="AE163" s="282"/>
      <c r="AF163" s="631"/>
      <c r="AG163" s="359"/>
      <c r="AH163" s="367"/>
      <c r="AI163" s="1"/>
      <c r="AJ163" s="1"/>
      <c r="AK163" s="1"/>
      <c r="AL163" s="1"/>
      <c r="AM163" s="396"/>
    </row>
    <row r="164" spans="1:39" s="86" customFormat="1">
      <c r="A164" s="770" t="s">
        <v>422</v>
      </c>
      <c r="B164" s="773" t="s">
        <v>423</v>
      </c>
      <c r="C164" s="763">
        <v>1</v>
      </c>
      <c r="D164" s="764" t="s">
        <v>118</v>
      </c>
      <c r="E164" s="765">
        <v>2108.33</v>
      </c>
      <c r="F164" s="766">
        <f t="shared" si="20"/>
        <v>0.17599999999999999</v>
      </c>
      <c r="G164" s="767">
        <f t="shared" si="26"/>
        <v>1737.2639199999999</v>
      </c>
      <c r="H164" s="767"/>
      <c r="I164" s="768"/>
      <c r="J164" s="768"/>
      <c r="K164" s="769"/>
      <c r="L164" s="768"/>
      <c r="M164" s="631" t="s">
        <v>357</v>
      </c>
      <c r="N164" s="359" t="s">
        <v>122</v>
      </c>
      <c r="O164" s="367" t="s">
        <v>248</v>
      </c>
      <c r="P164" s="1"/>
      <c r="Q164" s="1"/>
      <c r="R164" s="1"/>
      <c r="S164" s="1"/>
      <c r="T164" s="241"/>
      <c r="U164" s="238"/>
      <c r="V164" s="239"/>
      <c r="W164" s="272"/>
      <c r="X164" s="224"/>
      <c r="Y164" s="283"/>
      <c r="Z164" s="85"/>
      <c r="AA164" s="85"/>
      <c r="AB164" s="282"/>
      <c r="AC164" s="282"/>
      <c r="AD164" s="246"/>
      <c r="AE164" s="282"/>
      <c r="AF164" s="631"/>
      <c r="AG164" s="359"/>
      <c r="AH164" s="367"/>
      <c r="AI164" s="1"/>
      <c r="AJ164" s="1"/>
      <c r="AK164" s="1"/>
      <c r="AL164" s="1"/>
      <c r="AM164" s="396"/>
    </row>
    <row r="165" spans="1:39" s="86" customFormat="1">
      <c r="A165" s="770" t="s">
        <v>424</v>
      </c>
      <c r="B165" s="773" t="s">
        <v>399</v>
      </c>
      <c r="C165" s="763">
        <v>1</v>
      </c>
      <c r="D165" s="764" t="s">
        <v>118</v>
      </c>
      <c r="E165" s="765">
        <v>0</v>
      </c>
      <c r="F165" s="766" t="s">
        <v>120</v>
      </c>
      <c r="G165" s="767">
        <f>E165</f>
        <v>0</v>
      </c>
      <c r="H165" s="767"/>
      <c r="I165" s="768"/>
      <c r="J165" s="768"/>
      <c r="K165" s="769"/>
      <c r="L165" s="768"/>
      <c r="M165" s="631" t="s">
        <v>357</v>
      </c>
      <c r="N165" s="359" t="s">
        <v>122</v>
      </c>
      <c r="O165" s="367" t="s">
        <v>248</v>
      </c>
      <c r="P165" s="1" t="str">
        <f>+IF($J165&lt;&gt;"",P$2*$J165,"")</f>
        <v/>
      </c>
      <c r="Q165" s="1" t="str">
        <f>+IF($J165&lt;&gt;"",Q$2*$J165,"")</f>
        <v/>
      </c>
      <c r="R165" s="1" t="str">
        <f>+IF($J165&lt;&gt;"",R$2*$J165,"")</f>
        <v/>
      </c>
      <c r="S165" s="1" t="str">
        <f>+IF($J165&lt;&gt;"",S$2*$J165,"")</f>
        <v/>
      </c>
      <c r="T165" s="241"/>
      <c r="U165" s="238"/>
      <c r="V165" s="239"/>
      <c r="W165" s="272"/>
      <c r="X165" s="224"/>
      <c r="Y165" s="283"/>
      <c r="Z165" s="85"/>
      <c r="AA165" s="85"/>
      <c r="AB165" s="282"/>
      <c r="AC165" s="282"/>
      <c r="AD165" s="246"/>
      <c r="AE165" s="282"/>
      <c r="AF165" s="631"/>
      <c r="AG165" s="359"/>
      <c r="AH165" s="367"/>
      <c r="AI165" s="1"/>
      <c r="AJ165" s="1"/>
      <c r="AK165" s="1"/>
      <c r="AL165" s="1"/>
      <c r="AM165" s="396"/>
    </row>
    <row r="166" spans="1:39" s="86" customFormat="1">
      <c r="A166" s="770" t="s">
        <v>425</v>
      </c>
      <c r="B166" s="773" t="s">
        <v>403</v>
      </c>
      <c r="C166" s="763">
        <v>1</v>
      </c>
      <c r="D166" s="764" t="s">
        <v>118</v>
      </c>
      <c r="E166" s="765">
        <v>0</v>
      </c>
      <c r="F166" s="766" t="s">
        <v>120</v>
      </c>
      <c r="G166" s="767">
        <f>E166</f>
        <v>0</v>
      </c>
      <c r="H166" s="767"/>
      <c r="I166" s="768"/>
      <c r="J166" s="768"/>
      <c r="K166" s="769"/>
      <c r="L166" s="768"/>
      <c r="M166" s="631" t="s">
        <v>357</v>
      </c>
      <c r="N166" s="359" t="s">
        <v>122</v>
      </c>
      <c r="O166" s="367" t="s">
        <v>248</v>
      </c>
      <c r="P166" s="1" t="str">
        <f t="shared" ref="P166:S167" si="28">+IF($J166&lt;&gt;"",P$2*$J166,"")</f>
        <v/>
      </c>
      <c r="Q166" s="1" t="str">
        <f t="shared" si="28"/>
        <v/>
      </c>
      <c r="R166" s="1" t="str">
        <f t="shared" si="28"/>
        <v/>
      </c>
      <c r="S166" s="1" t="str">
        <f t="shared" si="28"/>
        <v/>
      </c>
      <c r="T166" s="241"/>
      <c r="U166" s="238"/>
      <c r="V166" s="239"/>
      <c r="W166" s="272"/>
      <c r="X166" s="224"/>
      <c r="Y166" s="283"/>
      <c r="Z166" s="85"/>
      <c r="AA166" s="85"/>
      <c r="AB166" s="282"/>
      <c r="AC166" s="282"/>
      <c r="AD166" s="246"/>
      <c r="AE166" s="282"/>
      <c r="AF166" s="631"/>
      <c r="AG166" s="359"/>
      <c r="AH166" s="367"/>
      <c r="AI166" s="1"/>
      <c r="AJ166" s="1"/>
      <c r="AK166" s="1"/>
      <c r="AL166" s="1"/>
      <c r="AM166" s="396"/>
    </row>
    <row r="167" spans="1:39" s="86" customFormat="1">
      <c r="A167" s="770" t="s">
        <v>426</v>
      </c>
      <c r="B167" s="762" t="s">
        <v>407</v>
      </c>
      <c r="C167" s="763">
        <v>1</v>
      </c>
      <c r="D167" s="764" t="s">
        <v>118</v>
      </c>
      <c r="E167" s="765">
        <v>0</v>
      </c>
      <c r="F167" s="766" t="s">
        <v>120</v>
      </c>
      <c r="G167" s="767">
        <f t="shared" ref="G167" si="29">E167</f>
        <v>0</v>
      </c>
      <c r="H167" s="767"/>
      <c r="I167" s="768"/>
      <c r="J167" s="768"/>
      <c r="K167" s="769"/>
      <c r="L167" s="768"/>
      <c r="M167" s="631" t="s">
        <v>357</v>
      </c>
      <c r="N167" s="359" t="s">
        <v>122</v>
      </c>
      <c r="O167" s="367" t="s">
        <v>248</v>
      </c>
      <c r="P167" s="1" t="str">
        <f t="shared" si="28"/>
        <v/>
      </c>
      <c r="Q167" s="1" t="str">
        <f t="shared" si="28"/>
        <v/>
      </c>
      <c r="R167" s="1" t="str">
        <f t="shared" si="28"/>
        <v/>
      </c>
      <c r="S167" s="1" t="str">
        <f t="shared" si="28"/>
        <v/>
      </c>
      <c r="T167" s="241"/>
      <c r="U167" s="238"/>
      <c r="V167" s="239"/>
      <c r="W167" s="272"/>
      <c r="X167" s="224"/>
      <c r="Y167" s="283"/>
      <c r="Z167" s="85"/>
      <c r="AA167" s="85"/>
      <c r="AB167" s="282"/>
      <c r="AC167" s="282"/>
      <c r="AD167" s="246"/>
      <c r="AE167" s="282"/>
      <c r="AF167" s="631"/>
      <c r="AG167" s="359"/>
      <c r="AH167" s="367"/>
      <c r="AI167" s="1"/>
      <c r="AJ167" s="1"/>
      <c r="AK167" s="1"/>
      <c r="AL167" s="1"/>
      <c r="AM167" s="396"/>
    </row>
    <row r="168" spans="1:39" s="90" customFormat="1">
      <c r="A168" s="231" t="s">
        <v>300</v>
      </c>
      <c r="B168" s="58" t="s">
        <v>317</v>
      </c>
      <c r="C168" s="81">
        <v>1</v>
      </c>
      <c r="D168" s="74" t="s">
        <v>140</v>
      </c>
      <c r="E168" s="280">
        <v>89.9</v>
      </c>
      <c r="F168" s="112">
        <v>0.17599999999999999</v>
      </c>
      <c r="G168" s="68">
        <f>E168-(E168*F168)</f>
        <v>74.077600000000004</v>
      </c>
      <c r="H168" s="72"/>
      <c r="I168" s="56"/>
      <c r="J168" s="56"/>
      <c r="K168" s="152"/>
      <c r="L168" s="56"/>
      <c r="M168" s="630" t="s">
        <v>141</v>
      </c>
      <c r="N168" s="380" t="s">
        <v>142</v>
      </c>
      <c r="O168" s="385" t="s">
        <v>143</v>
      </c>
      <c r="P168" s="90" t="str">
        <f t="shared" ref="P168:S177" si="30">+IF($J168&lt;&gt;"",P$2*$J168,"")</f>
        <v/>
      </c>
      <c r="Q168" s="90" t="str">
        <f t="shared" si="30"/>
        <v/>
      </c>
      <c r="R168" s="90" t="str">
        <f t="shared" si="30"/>
        <v/>
      </c>
      <c r="S168" s="90" t="str">
        <f t="shared" si="30"/>
        <v/>
      </c>
      <c r="T168" s="231" t="s">
        <v>300</v>
      </c>
      <c r="U168" s="58" t="s">
        <v>317</v>
      </c>
      <c r="V168" s="81">
        <v>1</v>
      </c>
      <c r="W168" s="74" t="s">
        <v>140</v>
      </c>
      <c r="X168" s="280">
        <v>89.9</v>
      </c>
      <c r="Y168" s="112">
        <v>0.17599999999999999</v>
      </c>
      <c r="Z168" s="68">
        <v>74.077600000000004</v>
      </c>
      <c r="AA168" s="72"/>
      <c r="AB168" s="56"/>
      <c r="AC168" s="56"/>
      <c r="AD168" s="152"/>
      <c r="AE168" s="56"/>
      <c r="AF168" s="630" t="s">
        <v>141</v>
      </c>
      <c r="AG168" s="380" t="s">
        <v>142</v>
      </c>
      <c r="AH168" s="385" t="s">
        <v>143</v>
      </c>
      <c r="AI168" s="90" t="s">
        <v>126</v>
      </c>
      <c r="AJ168" s="90" t="s">
        <v>126</v>
      </c>
      <c r="AK168" s="90" t="s">
        <v>126</v>
      </c>
      <c r="AL168" s="90" t="s">
        <v>126</v>
      </c>
      <c r="AM168" s="382"/>
    </row>
    <row r="169" spans="1:39">
      <c r="A169" s="221" t="s">
        <v>318</v>
      </c>
      <c r="B169" s="69" t="s">
        <v>319</v>
      </c>
      <c r="C169" s="23">
        <v>1</v>
      </c>
      <c r="D169" s="30" t="s">
        <v>140</v>
      </c>
      <c r="E169" s="31"/>
      <c r="F169" s="19"/>
      <c r="G169" s="85">
        <v>24</v>
      </c>
      <c r="H169" s="24"/>
      <c r="I169" s="56"/>
      <c r="J169" s="56"/>
      <c r="K169" s="14"/>
      <c r="L169" s="56"/>
      <c r="M169" s="631" t="s">
        <v>141</v>
      </c>
      <c r="N169" s="359" t="s">
        <v>142</v>
      </c>
      <c r="O169" s="367" t="s">
        <v>143</v>
      </c>
      <c r="P169" s="1" t="str">
        <f t="shared" si="30"/>
        <v/>
      </c>
      <c r="Q169" s="1" t="str">
        <f t="shared" si="30"/>
        <v/>
      </c>
      <c r="R169" s="1" t="str">
        <f t="shared" si="30"/>
        <v/>
      </c>
      <c r="S169" s="1" t="str">
        <f t="shared" si="30"/>
        <v/>
      </c>
      <c r="T169" s="221" t="s">
        <v>318</v>
      </c>
      <c r="U169" s="69" t="s">
        <v>319</v>
      </c>
      <c r="V169" s="23">
        <v>1</v>
      </c>
      <c r="W169" s="30" t="s">
        <v>140</v>
      </c>
      <c r="X169" s="31"/>
      <c r="Y169" s="19"/>
      <c r="Z169" s="85">
        <v>24</v>
      </c>
      <c r="AA169" s="24"/>
      <c r="AB169" s="56"/>
      <c r="AC169" s="56"/>
      <c r="AD169" s="14"/>
      <c r="AE169" s="56"/>
      <c r="AF169" s="631" t="s">
        <v>141</v>
      </c>
      <c r="AG169" s="359" t="s">
        <v>142</v>
      </c>
      <c r="AH169" s="367" t="s">
        <v>143</v>
      </c>
      <c r="AI169" s="1" t="s">
        <v>126</v>
      </c>
      <c r="AJ169" s="1" t="s">
        <v>126</v>
      </c>
      <c r="AK169" s="1" t="s">
        <v>126</v>
      </c>
      <c r="AL169" s="1" t="s">
        <v>126</v>
      </c>
      <c r="AM169" s="374"/>
    </row>
    <row r="170" spans="1:39">
      <c r="A170" s="221" t="s">
        <v>320</v>
      </c>
      <c r="B170" s="69" t="s">
        <v>321</v>
      </c>
      <c r="C170" s="23">
        <v>1</v>
      </c>
      <c r="D170" s="30" t="s">
        <v>140</v>
      </c>
      <c r="E170" s="31"/>
      <c r="F170" s="19"/>
      <c r="G170" s="85">
        <v>48</v>
      </c>
      <c r="H170" s="24"/>
      <c r="I170" s="56"/>
      <c r="J170" s="56"/>
      <c r="K170" s="14"/>
      <c r="L170" s="56"/>
      <c r="M170" s="631" t="s">
        <v>141</v>
      </c>
      <c r="N170" s="359" t="s">
        <v>142</v>
      </c>
      <c r="O170" s="367" t="s">
        <v>143</v>
      </c>
      <c r="P170" s="1" t="str">
        <f t="shared" si="30"/>
        <v/>
      </c>
      <c r="Q170" s="1" t="str">
        <f t="shared" si="30"/>
        <v/>
      </c>
      <c r="R170" s="1" t="str">
        <f t="shared" si="30"/>
        <v/>
      </c>
      <c r="S170" s="1" t="str">
        <f t="shared" si="30"/>
        <v/>
      </c>
      <c r="T170" s="221" t="s">
        <v>320</v>
      </c>
      <c r="U170" s="69" t="s">
        <v>321</v>
      </c>
      <c r="V170" s="23">
        <v>1</v>
      </c>
      <c r="W170" s="30" t="s">
        <v>140</v>
      </c>
      <c r="X170" s="31"/>
      <c r="Y170" s="19"/>
      <c r="Z170" s="85">
        <v>48</v>
      </c>
      <c r="AA170" s="24"/>
      <c r="AB170" s="56"/>
      <c r="AC170" s="56"/>
      <c r="AD170" s="14"/>
      <c r="AE170" s="56"/>
      <c r="AF170" s="631" t="s">
        <v>141</v>
      </c>
      <c r="AG170" s="359" t="s">
        <v>142</v>
      </c>
      <c r="AH170" s="367" t="s">
        <v>143</v>
      </c>
      <c r="AI170" s="1" t="s">
        <v>126</v>
      </c>
      <c r="AJ170" s="1" t="s">
        <v>126</v>
      </c>
      <c r="AK170" s="1" t="s">
        <v>126</v>
      </c>
      <c r="AL170" s="1" t="s">
        <v>126</v>
      </c>
      <c r="AM170" s="374"/>
    </row>
    <row r="171" spans="1:39">
      <c r="A171" s="221" t="s">
        <v>322</v>
      </c>
      <c r="B171" s="69" t="s">
        <v>323</v>
      </c>
      <c r="C171" s="23">
        <v>1</v>
      </c>
      <c r="D171" s="30" t="s">
        <v>140</v>
      </c>
      <c r="E171" s="31"/>
      <c r="F171" s="19"/>
      <c r="G171" s="85">
        <v>74</v>
      </c>
      <c r="H171" s="24"/>
      <c r="I171" s="56"/>
      <c r="J171" s="56"/>
      <c r="K171" s="14"/>
      <c r="L171" s="56"/>
      <c r="M171" s="631" t="s">
        <v>141</v>
      </c>
      <c r="N171" s="359" t="s">
        <v>142</v>
      </c>
      <c r="O171" s="367" t="s">
        <v>143</v>
      </c>
      <c r="P171" s="1" t="str">
        <f t="shared" si="30"/>
        <v/>
      </c>
      <c r="Q171" s="1" t="str">
        <f t="shared" si="30"/>
        <v/>
      </c>
      <c r="R171" s="1" t="str">
        <f t="shared" si="30"/>
        <v/>
      </c>
      <c r="S171" s="1" t="str">
        <f t="shared" si="30"/>
        <v/>
      </c>
      <c r="T171" s="221" t="s">
        <v>322</v>
      </c>
      <c r="U171" s="69" t="s">
        <v>323</v>
      </c>
      <c r="V171" s="23">
        <v>1</v>
      </c>
      <c r="W171" s="30" t="s">
        <v>140</v>
      </c>
      <c r="X171" s="31"/>
      <c r="Y171" s="19"/>
      <c r="Z171" s="85">
        <v>74</v>
      </c>
      <c r="AA171" s="24"/>
      <c r="AB171" s="56"/>
      <c r="AC171" s="56"/>
      <c r="AD171" s="14"/>
      <c r="AE171" s="56"/>
      <c r="AF171" s="631" t="s">
        <v>141</v>
      </c>
      <c r="AG171" s="359" t="s">
        <v>142</v>
      </c>
      <c r="AH171" s="367" t="s">
        <v>143</v>
      </c>
      <c r="AI171" s="1" t="s">
        <v>126</v>
      </c>
      <c r="AJ171" s="1" t="s">
        <v>126</v>
      </c>
      <c r="AK171" s="1" t="s">
        <v>126</v>
      </c>
      <c r="AL171" s="1" t="s">
        <v>126</v>
      </c>
      <c r="AM171" s="374"/>
    </row>
    <row r="172" spans="1:39">
      <c r="A172" s="221" t="s">
        <v>324</v>
      </c>
      <c r="B172" s="69" t="s">
        <v>325</v>
      </c>
      <c r="C172" s="23">
        <v>1</v>
      </c>
      <c r="D172" s="30" t="s">
        <v>140</v>
      </c>
      <c r="E172" s="31"/>
      <c r="F172" s="19"/>
      <c r="G172" s="85">
        <v>21</v>
      </c>
      <c r="H172" s="24"/>
      <c r="I172" s="56"/>
      <c r="J172" s="56"/>
      <c r="K172" s="14"/>
      <c r="L172" s="56"/>
      <c r="M172" s="631" t="s">
        <v>141</v>
      </c>
      <c r="N172" s="359" t="s">
        <v>142</v>
      </c>
      <c r="O172" s="363" t="s">
        <v>143</v>
      </c>
      <c r="P172" s="1" t="str">
        <f t="shared" si="30"/>
        <v/>
      </c>
      <c r="Q172" s="1" t="str">
        <f t="shared" si="30"/>
        <v/>
      </c>
      <c r="R172" s="1" t="str">
        <f t="shared" si="30"/>
        <v/>
      </c>
      <c r="S172" s="1" t="str">
        <f t="shared" si="30"/>
        <v/>
      </c>
      <c r="T172" s="221" t="s">
        <v>324</v>
      </c>
      <c r="U172" s="69" t="s">
        <v>325</v>
      </c>
      <c r="V172" s="23">
        <v>1</v>
      </c>
      <c r="W172" s="30" t="s">
        <v>140</v>
      </c>
      <c r="X172" s="31"/>
      <c r="Y172" s="19"/>
      <c r="Z172" s="85">
        <v>21</v>
      </c>
      <c r="AA172" s="24"/>
      <c r="AB172" s="56"/>
      <c r="AC172" s="56"/>
      <c r="AD172" s="14"/>
      <c r="AE172" s="56"/>
      <c r="AF172" s="631" t="s">
        <v>141</v>
      </c>
      <c r="AG172" s="359" t="s">
        <v>142</v>
      </c>
      <c r="AH172" s="363" t="s">
        <v>143</v>
      </c>
      <c r="AI172" s="1" t="s">
        <v>126</v>
      </c>
      <c r="AJ172" s="1" t="s">
        <v>126</v>
      </c>
      <c r="AK172" s="1" t="s">
        <v>126</v>
      </c>
      <c r="AL172" s="1" t="s">
        <v>126</v>
      </c>
      <c r="AM172" s="374"/>
    </row>
    <row r="173" spans="1:39">
      <c r="A173" s="221" t="s">
        <v>326</v>
      </c>
      <c r="B173" s="69" t="s">
        <v>327</v>
      </c>
      <c r="C173" s="23">
        <v>1</v>
      </c>
      <c r="D173" s="30" t="s">
        <v>140</v>
      </c>
      <c r="E173" s="31"/>
      <c r="F173" s="19"/>
      <c r="G173" s="85">
        <v>58</v>
      </c>
      <c r="H173" s="24"/>
      <c r="I173" s="56"/>
      <c r="J173" s="56"/>
      <c r="K173" s="14"/>
      <c r="L173" s="56"/>
      <c r="M173" s="631" t="s">
        <v>141</v>
      </c>
      <c r="N173" s="359" t="s">
        <v>142</v>
      </c>
      <c r="O173" s="363" t="s">
        <v>143</v>
      </c>
      <c r="P173" s="1" t="str">
        <f t="shared" si="30"/>
        <v/>
      </c>
      <c r="Q173" s="1" t="str">
        <f t="shared" si="30"/>
        <v/>
      </c>
      <c r="R173" s="1" t="str">
        <f t="shared" si="30"/>
        <v/>
      </c>
      <c r="S173" s="1" t="str">
        <f t="shared" si="30"/>
        <v/>
      </c>
      <c r="T173" s="221" t="s">
        <v>326</v>
      </c>
      <c r="U173" s="69" t="s">
        <v>327</v>
      </c>
      <c r="V173" s="23">
        <v>1</v>
      </c>
      <c r="W173" s="30" t="s">
        <v>140</v>
      </c>
      <c r="X173" s="31"/>
      <c r="Y173" s="19"/>
      <c r="Z173" s="85">
        <v>58</v>
      </c>
      <c r="AA173" s="24"/>
      <c r="AB173" s="56"/>
      <c r="AC173" s="56"/>
      <c r="AD173" s="14"/>
      <c r="AE173" s="56"/>
      <c r="AF173" s="631" t="s">
        <v>141</v>
      </c>
      <c r="AG173" s="359" t="s">
        <v>142</v>
      </c>
      <c r="AH173" s="363" t="s">
        <v>143</v>
      </c>
      <c r="AI173" s="1" t="s">
        <v>126</v>
      </c>
      <c r="AJ173" s="1" t="s">
        <v>126</v>
      </c>
      <c r="AK173" s="1" t="s">
        <v>126</v>
      </c>
      <c r="AL173" s="1" t="s">
        <v>126</v>
      </c>
      <c r="AM173" s="374"/>
    </row>
    <row r="174" spans="1:39">
      <c r="A174" s="221" t="s">
        <v>328</v>
      </c>
      <c r="B174" s="69" t="s">
        <v>329</v>
      </c>
      <c r="C174" s="23">
        <v>1</v>
      </c>
      <c r="D174" s="30" t="s">
        <v>140</v>
      </c>
      <c r="E174" s="31"/>
      <c r="F174" s="19"/>
      <c r="G174" s="85">
        <v>86</v>
      </c>
      <c r="H174" s="24"/>
      <c r="I174" s="56"/>
      <c r="J174" s="56"/>
      <c r="K174" s="14"/>
      <c r="L174" s="56"/>
      <c r="M174" s="631" t="s">
        <v>141</v>
      </c>
      <c r="N174" s="359" t="s">
        <v>142</v>
      </c>
      <c r="O174" s="363" t="s">
        <v>143</v>
      </c>
      <c r="P174" s="1" t="str">
        <f t="shared" si="30"/>
        <v/>
      </c>
      <c r="Q174" s="1" t="str">
        <f t="shared" si="30"/>
        <v/>
      </c>
      <c r="R174" s="1" t="str">
        <f t="shared" si="30"/>
        <v/>
      </c>
      <c r="S174" s="1" t="str">
        <f t="shared" si="30"/>
        <v/>
      </c>
      <c r="T174" s="221" t="s">
        <v>328</v>
      </c>
      <c r="U174" s="69" t="s">
        <v>329</v>
      </c>
      <c r="V174" s="23">
        <v>1</v>
      </c>
      <c r="W174" s="30" t="s">
        <v>140</v>
      </c>
      <c r="X174" s="31"/>
      <c r="Y174" s="19"/>
      <c r="Z174" s="85">
        <v>86</v>
      </c>
      <c r="AA174" s="24"/>
      <c r="AB174" s="56"/>
      <c r="AC174" s="56"/>
      <c r="AD174" s="14"/>
      <c r="AE174" s="56"/>
      <c r="AF174" s="631" t="s">
        <v>141</v>
      </c>
      <c r="AG174" s="359" t="s">
        <v>142</v>
      </c>
      <c r="AH174" s="363" t="s">
        <v>143</v>
      </c>
      <c r="AI174" s="1" t="s">
        <v>126</v>
      </c>
      <c r="AJ174" s="1" t="s">
        <v>126</v>
      </c>
      <c r="AK174" s="1" t="s">
        <v>126</v>
      </c>
      <c r="AL174" s="1" t="s">
        <v>126</v>
      </c>
      <c r="AM174" s="374"/>
    </row>
    <row r="175" spans="1:39">
      <c r="A175" s="221" t="s">
        <v>330</v>
      </c>
      <c r="B175" s="69" t="s">
        <v>331</v>
      </c>
      <c r="C175" s="23">
        <v>1</v>
      </c>
      <c r="D175" s="30" t="s">
        <v>140</v>
      </c>
      <c r="E175" s="31"/>
      <c r="F175" s="19"/>
      <c r="G175" s="85">
        <v>88</v>
      </c>
      <c r="H175" s="24"/>
      <c r="I175" s="56"/>
      <c r="J175" s="56"/>
      <c r="K175" s="14"/>
      <c r="L175" s="56"/>
      <c r="M175" s="631" t="s">
        <v>141</v>
      </c>
      <c r="N175" s="359" t="s">
        <v>142</v>
      </c>
      <c r="O175" s="363" t="s">
        <v>143</v>
      </c>
      <c r="P175" s="1" t="str">
        <f t="shared" si="30"/>
        <v/>
      </c>
      <c r="Q175" s="1" t="str">
        <f t="shared" si="30"/>
        <v/>
      </c>
      <c r="R175" s="1" t="str">
        <f t="shared" si="30"/>
        <v/>
      </c>
      <c r="S175" s="1" t="str">
        <f t="shared" si="30"/>
        <v/>
      </c>
      <c r="T175" s="221" t="s">
        <v>330</v>
      </c>
      <c r="U175" s="69" t="s">
        <v>331</v>
      </c>
      <c r="V175" s="23">
        <v>1</v>
      </c>
      <c r="W175" s="30" t="s">
        <v>140</v>
      </c>
      <c r="X175" s="31"/>
      <c r="Y175" s="19"/>
      <c r="Z175" s="85">
        <v>88</v>
      </c>
      <c r="AA175" s="24"/>
      <c r="AB175" s="56"/>
      <c r="AC175" s="56"/>
      <c r="AD175" s="14"/>
      <c r="AE175" s="56"/>
      <c r="AF175" s="631" t="s">
        <v>141</v>
      </c>
      <c r="AG175" s="359" t="s">
        <v>142</v>
      </c>
      <c r="AH175" s="363" t="s">
        <v>143</v>
      </c>
      <c r="AI175" s="1" t="s">
        <v>126</v>
      </c>
      <c r="AJ175" s="1" t="s">
        <v>126</v>
      </c>
      <c r="AK175" s="1" t="s">
        <v>126</v>
      </c>
      <c r="AL175" s="1" t="s">
        <v>126</v>
      </c>
      <c r="AM175" s="374"/>
    </row>
    <row r="176" spans="1:39">
      <c r="A176" s="221" t="s">
        <v>332</v>
      </c>
      <c r="B176" s="69" t="s">
        <v>333</v>
      </c>
      <c r="C176" s="23">
        <v>1</v>
      </c>
      <c r="D176" s="30" t="s">
        <v>140</v>
      </c>
      <c r="E176" s="31"/>
      <c r="F176" s="19"/>
      <c r="G176" s="85">
        <v>37</v>
      </c>
      <c r="H176" s="24"/>
      <c r="I176" s="56"/>
      <c r="J176" s="56"/>
      <c r="K176" s="14"/>
      <c r="L176" s="56"/>
      <c r="M176" s="631" t="s">
        <v>141</v>
      </c>
      <c r="N176" s="359" t="s">
        <v>142</v>
      </c>
      <c r="O176" s="363" t="s">
        <v>143</v>
      </c>
      <c r="P176" s="1" t="str">
        <f t="shared" si="30"/>
        <v/>
      </c>
      <c r="Q176" s="1" t="str">
        <f t="shared" si="30"/>
        <v/>
      </c>
      <c r="R176" s="1" t="str">
        <f t="shared" si="30"/>
        <v/>
      </c>
      <c r="S176" s="1" t="str">
        <f t="shared" si="30"/>
        <v/>
      </c>
      <c r="T176" s="221" t="s">
        <v>332</v>
      </c>
      <c r="U176" s="69" t="s">
        <v>333</v>
      </c>
      <c r="V176" s="23">
        <v>1</v>
      </c>
      <c r="W176" s="30" t="s">
        <v>140</v>
      </c>
      <c r="X176" s="31"/>
      <c r="Y176" s="19"/>
      <c r="Z176" s="85">
        <v>37</v>
      </c>
      <c r="AA176" s="24"/>
      <c r="AB176" s="56"/>
      <c r="AC176" s="56"/>
      <c r="AD176" s="14"/>
      <c r="AE176" s="56"/>
      <c r="AF176" s="631" t="s">
        <v>141</v>
      </c>
      <c r="AG176" s="359" t="s">
        <v>142</v>
      </c>
      <c r="AH176" s="363" t="s">
        <v>143</v>
      </c>
      <c r="AI176" s="1" t="s">
        <v>126</v>
      </c>
      <c r="AJ176" s="1" t="s">
        <v>126</v>
      </c>
      <c r="AK176" s="1" t="s">
        <v>126</v>
      </c>
      <c r="AL176" s="1" t="s">
        <v>126</v>
      </c>
      <c r="AM176" s="374"/>
    </row>
    <row r="177" spans="1:39">
      <c r="A177" s="221" t="s">
        <v>334</v>
      </c>
      <c r="B177" s="69" t="s">
        <v>335</v>
      </c>
      <c r="C177" s="23">
        <v>1</v>
      </c>
      <c r="D177" s="30" t="s">
        <v>140</v>
      </c>
      <c r="E177" s="31"/>
      <c r="F177" s="19"/>
      <c r="G177" s="85">
        <v>84</v>
      </c>
      <c r="H177" s="24"/>
      <c r="I177" s="56"/>
      <c r="J177" s="56"/>
      <c r="K177" s="14"/>
      <c r="L177" s="56"/>
      <c r="M177" s="631" t="s">
        <v>141</v>
      </c>
      <c r="N177" s="359" t="s">
        <v>142</v>
      </c>
      <c r="O177" s="363" t="s">
        <v>143</v>
      </c>
      <c r="P177" s="1" t="str">
        <f t="shared" si="30"/>
        <v/>
      </c>
      <c r="Q177" s="1" t="str">
        <f t="shared" si="30"/>
        <v/>
      </c>
      <c r="R177" s="1" t="str">
        <f t="shared" si="30"/>
        <v/>
      </c>
      <c r="S177" s="1" t="str">
        <f t="shared" si="30"/>
        <v/>
      </c>
      <c r="T177" s="221" t="s">
        <v>334</v>
      </c>
      <c r="U177" s="69" t="s">
        <v>335</v>
      </c>
      <c r="V177" s="23">
        <v>1</v>
      </c>
      <c r="W177" s="30" t="s">
        <v>140</v>
      </c>
      <c r="X177" s="31"/>
      <c r="Y177" s="19"/>
      <c r="Z177" s="85">
        <v>84</v>
      </c>
      <c r="AA177" s="24"/>
      <c r="AB177" s="56"/>
      <c r="AC177" s="56"/>
      <c r="AD177" s="14"/>
      <c r="AE177" s="56"/>
      <c r="AF177" s="631" t="s">
        <v>141</v>
      </c>
      <c r="AG177" s="359" t="s">
        <v>142</v>
      </c>
      <c r="AH177" s="363" t="s">
        <v>143</v>
      </c>
      <c r="AI177" s="1" t="s">
        <v>126</v>
      </c>
      <c r="AJ177" s="1" t="s">
        <v>126</v>
      </c>
      <c r="AK177" s="1" t="s">
        <v>126</v>
      </c>
      <c r="AL177" s="1" t="s">
        <v>126</v>
      </c>
      <c r="AM177" s="374"/>
    </row>
    <row r="178" spans="1:39">
      <c r="A178" s="221" t="s">
        <v>336</v>
      </c>
      <c r="B178" s="69" t="s">
        <v>337</v>
      </c>
      <c r="C178" s="23">
        <v>1</v>
      </c>
      <c r="D178" s="30" t="s">
        <v>140</v>
      </c>
      <c r="E178" s="31"/>
      <c r="F178" s="19"/>
      <c r="G178" s="85">
        <v>126</v>
      </c>
      <c r="H178" s="24"/>
      <c r="I178" s="56"/>
      <c r="J178" s="56"/>
      <c r="K178" s="14"/>
      <c r="L178" s="56"/>
      <c r="M178" s="631" t="s">
        <v>141</v>
      </c>
      <c r="N178" s="359" t="s">
        <v>142</v>
      </c>
      <c r="O178" s="363" t="s">
        <v>143</v>
      </c>
      <c r="P178" s="1" t="str">
        <f t="shared" ref="P178:S186" si="31">+IF($J178&lt;&gt;"",P$2*$J178,"")</f>
        <v/>
      </c>
      <c r="Q178" s="1" t="str">
        <f t="shared" si="31"/>
        <v/>
      </c>
      <c r="R178" s="1" t="str">
        <f t="shared" si="31"/>
        <v/>
      </c>
      <c r="S178" s="1" t="str">
        <f t="shared" si="31"/>
        <v/>
      </c>
      <c r="T178" s="221" t="s">
        <v>336</v>
      </c>
      <c r="U178" s="69" t="s">
        <v>337</v>
      </c>
      <c r="V178" s="23">
        <v>1</v>
      </c>
      <c r="W178" s="30" t="s">
        <v>140</v>
      </c>
      <c r="X178" s="31"/>
      <c r="Y178" s="19"/>
      <c r="Z178" s="85">
        <v>126</v>
      </c>
      <c r="AA178" s="24"/>
      <c r="AB178" s="56"/>
      <c r="AC178" s="56"/>
      <c r="AD178" s="14"/>
      <c r="AE178" s="56"/>
      <c r="AF178" s="631" t="s">
        <v>141</v>
      </c>
      <c r="AG178" s="359" t="s">
        <v>142</v>
      </c>
      <c r="AH178" s="363" t="s">
        <v>143</v>
      </c>
      <c r="AI178" s="1" t="s">
        <v>126</v>
      </c>
      <c r="AJ178" s="1" t="s">
        <v>126</v>
      </c>
      <c r="AK178" s="1" t="s">
        <v>126</v>
      </c>
      <c r="AL178" s="1" t="s">
        <v>126</v>
      </c>
      <c r="AM178" s="374"/>
    </row>
    <row r="179" spans="1:39">
      <c r="A179" s="221" t="s">
        <v>338</v>
      </c>
      <c r="B179" s="69" t="s">
        <v>339</v>
      </c>
      <c r="C179" s="23">
        <v>1</v>
      </c>
      <c r="D179" s="30" t="s">
        <v>140</v>
      </c>
      <c r="E179" s="31"/>
      <c r="F179" s="19"/>
      <c r="G179" s="85">
        <v>194</v>
      </c>
      <c r="H179" s="24"/>
      <c r="I179" s="56"/>
      <c r="J179" s="56"/>
      <c r="K179" s="14"/>
      <c r="L179" s="56"/>
      <c r="M179" s="631" t="s">
        <v>141</v>
      </c>
      <c r="N179" s="359" t="s">
        <v>142</v>
      </c>
      <c r="O179" s="363" t="s">
        <v>143</v>
      </c>
      <c r="P179" s="1" t="str">
        <f t="shared" si="31"/>
        <v/>
      </c>
      <c r="Q179" s="1" t="str">
        <f t="shared" si="31"/>
        <v/>
      </c>
      <c r="R179" s="1" t="str">
        <f t="shared" si="31"/>
        <v/>
      </c>
      <c r="S179" s="1" t="str">
        <f t="shared" si="31"/>
        <v/>
      </c>
      <c r="T179" s="221" t="s">
        <v>338</v>
      </c>
      <c r="U179" s="69" t="s">
        <v>339</v>
      </c>
      <c r="V179" s="23">
        <v>1</v>
      </c>
      <c r="W179" s="30" t="s">
        <v>140</v>
      </c>
      <c r="X179" s="31"/>
      <c r="Y179" s="19"/>
      <c r="Z179" s="85">
        <v>194</v>
      </c>
      <c r="AA179" s="24"/>
      <c r="AB179" s="56"/>
      <c r="AC179" s="56"/>
      <c r="AD179" s="14"/>
      <c r="AE179" s="56"/>
      <c r="AF179" s="631" t="s">
        <v>141</v>
      </c>
      <c r="AG179" s="359" t="s">
        <v>142</v>
      </c>
      <c r="AH179" s="363" t="s">
        <v>143</v>
      </c>
      <c r="AI179" s="1" t="s">
        <v>126</v>
      </c>
      <c r="AJ179" s="1" t="s">
        <v>126</v>
      </c>
      <c r="AK179" s="1" t="s">
        <v>126</v>
      </c>
      <c r="AL179" s="1" t="s">
        <v>126</v>
      </c>
      <c r="AM179" s="374"/>
    </row>
    <row r="180" spans="1:39">
      <c r="A180" s="222" t="s">
        <v>340</v>
      </c>
      <c r="B180" s="352" t="s">
        <v>341</v>
      </c>
      <c r="C180" s="97">
        <v>1</v>
      </c>
      <c r="D180" s="34" t="s">
        <v>140</v>
      </c>
      <c r="E180" s="35"/>
      <c r="F180" s="38"/>
      <c r="G180" s="99">
        <v>384</v>
      </c>
      <c r="H180" s="33"/>
      <c r="I180" s="98"/>
      <c r="J180" s="98"/>
      <c r="K180" s="35"/>
      <c r="L180" s="98"/>
      <c r="M180" s="631" t="s">
        <v>141</v>
      </c>
      <c r="N180" s="359" t="s">
        <v>142</v>
      </c>
      <c r="O180" s="363" t="s">
        <v>143</v>
      </c>
      <c r="P180" s="1" t="str">
        <f t="shared" si="31"/>
        <v/>
      </c>
      <c r="Q180" s="1" t="str">
        <f t="shared" si="31"/>
        <v/>
      </c>
      <c r="R180" s="1" t="str">
        <f t="shared" si="31"/>
        <v/>
      </c>
      <c r="S180" s="1" t="str">
        <f t="shared" si="31"/>
        <v/>
      </c>
      <c r="T180" s="222" t="s">
        <v>340</v>
      </c>
      <c r="U180" s="352" t="s">
        <v>341</v>
      </c>
      <c r="V180" s="97">
        <v>1</v>
      </c>
      <c r="W180" s="34" t="s">
        <v>140</v>
      </c>
      <c r="X180" s="35"/>
      <c r="Y180" s="38"/>
      <c r="Z180" s="99">
        <v>384</v>
      </c>
      <c r="AA180" s="33"/>
      <c r="AB180" s="98"/>
      <c r="AC180" s="98"/>
      <c r="AD180" s="35"/>
      <c r="AE180" s="98"/>
      <c r="AF180" s="631" t="s">
        <v>141</v>
      </c>
      <c r="AG180" s="359" t="s">
        <v>142</v>
      </c>
      <c r="AH180" s="363" t="s">
        <v>143</v>
      </c>
      <c r="AI180" s="1" t="s">
        <v>126</v>
      </c>
      <c r="AJ180" s="1" t="s">
        <v>126</v>
      </c>
      <c r="AK180" s="1" t="s">
        <v>126</v>
      </c>
      <c r="AL180" s="1" t="s">
        <v>126</v>
      </c>
      <c r="AM180" s="374"/>
    </row>
    <row r="181" spans="1:39">
      <c r="A181" s="221" t="s">
        <v>342</v>
      </c>
      <c r="B181" s="69" t="s">
        <v>343</v>
      </c>
      <c r="C181" s="23">
        <v>1</v>
      </c>
      <c r="D181" s="30" t="s">
        <v>140</v>
      </c>
      <c r="E181" s="31"/>
      <c r="F181" s="19"/>
      <c r="G181" s="85">
        <v>510</v>
      </c>
      <c r="H181" s="24"/>
      <c r="I181" s="56"/>
      <c r="J181" s="56"/>
      <c r="K181" s="14"/>
      <c r="L181" s="56"/>
      <c r="M181" s="631" t="s">
        <v>141</v>
      </c>
      <c r="N181" s="359" t="s">
        <v>142</v>
      </c>
      <c r="O181" s="363" t="s">
        <v>143</v>
      </c>
      <c r="P181" s="1" t="str">
        <f t="shared" si="31"/>
        <v/>
      </c>
      <c r="Q181" s="1" t="str">
        <f t="shared" si="31"/>
        <v/>
      </c>
      <c r="R181" s="1" t="str">
        <f t="shared" si="31"/>
        <v/>
      </c>
      <c r="S181" s="1" t="str">
        <f t="shared" si="31"/>
        <v/>
      </c>
      <c r="T181" s="221" t="s">
        <v>342</v>
      </c>
      <c r="U181" s="69" t="s">
        <v>343</v>
      </c>
      <c r="V181" s="23">
        <v>1</v>
      </c>
      <c r="W181" s="30" t="s">
        <v>140</v>
      </c>
      <c r="X181" s="31"/>
      <c r="Y181" s="19"/>
      <c r="Z181" s="85">
        <v>510</v>
      </c>
      <c r="AA181" s="24"/>
      <c r="AB181" s="56"/>
      <c r="AC181" s="56"/>
      <c r="AD181" s="14"/>
      <c r="AE181" s="56"/>
      <c r="AF181" s="631" t="s">
        <v>141</v>
      </c>
      <c r="AG181" s="359" t="s">
        <v>142</v>
      </c>
      <c r="AH181" s="363" t="s">
        <v>143</v>
      </c>
      <c r="AI181" s="1" t="s">
        <v>126</v>
      </c>
      <c r="AJ181" s="1" t="s">
        <v>126</v>
      </c>
      <c r="AK181" s="1" t="s">
        <v>126</v>
      </c>
      <c r="AL181" s="1" t="s">
        <v>126</v>
      </c>
      <c r="AM181" s="374"/>
    </row>
    <row r="182" spans="1:39">
      <c r="A182" s="221" t="s">
        <v>344</v>
      </c>
      <c r="B182" s="69" t="s">
        <v>345</v>
      </c>
      <c r="C182" s="23">
        <v>1</v>
      </c>
      <c r="D182" s="30" t="s">
        <v>140</v>
      </c>
      <c r="E182" s="107"/>
      <c r="F182" s="60"/>
      <c r="G182" s="24">
        <v>355.49</v>
      </c>
      <c r="H182" s="72"/>
      <c r="I182" s="56"/>
      <c r="J182" s="56"/>
      <c r="K182" s="14"/>
      <c r="L182" s="56"/>
      <c r="M182" s="631" t="s">
        <v>141</v>
      </c>
      <c r="N182" s="359" t="s">
        <v>142</v>
      </c>
      <c r="O182" s="363" t="s">
        <v>143</v>
      </c>
      <c r="P182" s="1" t="str">
        <f t="shared" si="31"/>
        <v/>
      </c>
      <c r="Q182" s="1" t="str">
        <f t="shared" si="31"/>
        <v/>
      </c>
      <c r="R182" s="1" t="str">
        <f t="shared" si="31"/>
        <v/>
      </c>
      <c r="S182" s="1" t="str">
        <f t="shared" si="31"/>
        <v/>
      </c>
      <c r="T182" s="221" t="s">
        <v>344</v>
      </c>
      <c r="U182" s="69" t="s">
        <v>345</v>
      </c>
      <c r="V182" s="23">
        <v>1</v>
      </c>
      <c r="W182" s="30" t="s">
        <v>140</v>
      </c>
      <c r="X182" s="107"/>
      <c r="Y182" s="60"/>
      <c r="Z182" s="24">
        <v>355.49</v>
      </c>
      <c r="AA182" s="72"/>
      <c r="AB182" s="56"/>
      <c r="AC182" s="56"/>
      <c r="AD182" s="14"/>
      <c r="AE182" s="56"/>
      <c r="AF182" s="631" t="s">
        <v>141</v>
      </c>
      <c r="AG182" s="359" t="s">
        <v>142</v>
      </c>
      <c r="AH182" s="363" t="s">
        <v>143</v>
      </c>
      <c r="AI182" s="1" t="s">
        <v>126</v>
      </c>
      <c r="AJ182" s="1" t="s">
        <v>126</v>
      </c>
      <c r="AK182" s="1" t="s">
        <v>126</v>
      </c>
      <c r="AL182" s="1" t="s">
        <v>126</v>
      </c>
      <c r="AM182" s="374"/>
    </row>
    <row r="183" spans="1:39">
      <c r="A183" s="221" t="s">
        <v>346</v>
      </c>
      <c r="B183" s="69" t="s">
        <v>347</v>
      </c>
      <c r="C183" s="23">
        <v>1</v>
      </c>
      <c r="D183" s="30" t="s">
        <v>140</v>
      </c>
      <c r="E183" s="31"/>
      <c r="F183" s="19"/>
      <c r="G183" s="24">
        <v>573.38</v>
      </c>
      <c r="H183" s="72"/>
      <c r="I183" s="56"/>
      <c r="J183" s="56"/>
      <c r="K183" s="14"/>
      <c r="L183" s="56"/>
      <c r="M183" s="631" t="s">
        <v>141</v>
      </c>
      <c r="N183" s="359" t="s">
        <v>142</v>
      </c>
      <c r="O183" s="363" t="s">
        <v>143</v>
      </c>
      <c r="P183" s="1" t="str">
        <f t="shared" si="31"/>
        <v/>
      </c>
      <c r="Q183" s="1" t="str">
        <f t="shared" si="31"/>
        <v/>
      </c>
      <c r="R183" s="1" t="str">
        <f t="shared" si="31"/>
        <v/>
      </c>
      <c r="S183" s="1" t="str">
        <f t="shared" si="31"/>
        <v/>
      </c>
      <c r="T183" s="221" t="s">
        <v>346</v>
      </c>
      <c r="U183" s="69" t="s">
        <v>347</v>
      </c>
      <c r="V183" s="23">
        <v>1</v>
      </c>
      <c r="W183" s="30" t="s">
        <v>140</v>
      </c>
      <c r="X183" s="31"/>
      <c r="Y183" s="19"/>
      <c r="Z183" s="24">
        <v>573.38</v>
      </c>
      <c r="AA183" s="72"/>
      <c r="AB183" s="56"/>
      <c r="AC183" s="56"/>
      <c r="AD183" s="14"/>
      <c r="AE183" s="56"/>
      <c r="AF183" s="631" t="s">
        <v>141</v>
      </c>
      <c r="AG183" s="359" t="s">
        <v>142</v>
      </c>
      <c r="AH183" s="363" t="s">
        <v>143</v>
      </c>
      <c r="AI183" s="1" t="s">
        <v>126</v>
      </c>
      <c r="AJ183" s="1" t="s">
        <v>126</v>
      </c>
      <c r="AK183" s="1" t="s">
        <v>126</v>
      </c>
      <c r="AL183" s="1" t="s">
        <v>126</v>
      </c>
      <c r="AM183" s="374"/>
    </row>
    <row r="184" spans="1:39" s="329" customFormat="1" ht="24.95" customHeight="1">
      <c r="A184" s="448" t="s">
        <v>427</v>
      </c>
      <c r="B184" s="549" t="s">
        <v>349</v>
      </c>
      <c r="C184" s="450"/>
      <c r="D184" s="451"/>
      <c r="E184" s="451"/>
      <c r="F184" s="452"/>
      <c r="G184" s="453"/>
      <c r="H184" s="453"/>
      <c r="I184" s="454"/>
      <c r="J184" s="454"/>
      <c r="K184" s="453"/>
      <c r="L184" s="454"/>
      <c r="M184" s="629"/>
      <c r="N184" s="455"/>
      <c r="O184" s="454"/>
      <c r="P184" s="454"/>
      <c r="Q184" s="454"/>
      <c r="R184" s="454"/>
      <c r="S184" s="456"/>
      <c r="T184" s="448" t="s">
        <v>428</v>
      </c>
      <c r="U184" s="549" t="s">
        <v>351</v>
      </c>
      <c r="V184" s="450"/>
      <c r="W184" s="451"/>
      <c r="X184" s="451"/>
      <c r="Y184" s="452"/>
      <c r="Z184" s="453"/>
      <c r="AA184" s="453"/>
      <c r="AB184" s="454"/>
      <c r="AC184" s="454"/>
      <c r="AD184" s="453"/>
      <c r="AE184" s="454"/>
      <c r="AF184" s="629"/>
      <c r="AG184" s="455"/>
      <c r="AH184" s="454"/>
      <c r="AI184" s="454"/>
      <c r="AJ184" s="454"/>
      <c r="AK184" s="454"/>
      <c r="AL184" s="456"/>
      <c r="AM184" s="373"/>
    </row>
    <row r="185" spans="1:39" s="90" customFormat="1">
      <c r="A185" s="223" t="s">
        <v>429</v>
      </c>
      <c r="B185" s="52" t="s">
        <v>430</v>
      </c>
      <c r="C185" s="53">
        <v>1</v>
      </c>
      <c r="D185" s="54" t="s">
        <v>118</v>
      </c>
      <c r="E185" s="62">
        <v>2498.75</v>
      </c>
      <c r="F185" s="66">
        <f>rv_mbp16_eg</f>
        <v>0.17599999999999999</v>
      </c>
      <c r="G185" s="70">
        <f t="shared" ref="G185:G194" si="32">E185-(E185*F185)</f>
        <v>2058.9700000000003</v>
      </c>
      <c r="H185" s="53" t="s">
        <v>431</v>
      </c>
      <c r="I185" s="63">
        <v>82.32</v>
      </c>
      <c r="J185" s="63">
        <f>G185+I185</f>
        <v>2141.2900000000004</v>
      </c>
      <c r="K185" s="63" t="s">
        <v>120</v>
      </c>
      <c r="L185" s="63">
        <v>0.42</v>
      </c>
      <c r="M185" s="630" t="s">
        <v>432</v>
      </c>
      <c r="N185" s="403" t="s">
        <v>433</v>
      </c>
      <c r="O185" s="404" t="s">
        <v>248</v>
      </c>
      <c r="P185" s="90">
        <f t="shared" si="31"/>
        <v>431.0604074797634</v>
      </c>
      <c r="Q185" s="90">
        <f t="shared" si="31"/>
        <v>224.02487789911959</v>
      </c>
      <c r="R185" s="90">
        <f t="shared" si="31"/>
        <v>162.70259988991288</v>
      </c>
      <c r="S185" s="90">
        <f t="shared" si="31"/>
        <v>140.40199283405212</v>
      </c>
      <c r="T185" s="710" t="s">
        <v>434</v>
      </c>
      <c r="U185" s="691" t="s">
        <v>435</v>
      </c>
      <c r="V185" s="692">
        <v>1</v>
      </c>
      <c r="W185" s="707" t="s">
        <v>118</v>
      </c>
      <c r="X185" s="694">
        <v>2498.7466666666669</v>
      </c>
      <c r="Y185" s="695">
        <v>0.17599999999999999</v>
      </c>
      <c r="Z185" s="693">
        <v>2058.9672533333337</v>
      </c>
      <c r="AA185" s="692" t="s">
        <v>431</v>
      </c>
      <c r="AB185" s="696">
        <v>82.32</v>
      </c>
      <c r="AC185" s="696">
        <v>2141.2872533333339</v>
      </c>
      <c r="AD185" s="696" t="s">
        <v>120</v>
      </c>
      <c r="AE185" s="696">
        <v>0.42</v>
      </c>
      <c r="AF185" s="630" t="s">
        <v>436</v>
      </c>
      <c r="AG185" s="403" t="s">
        <v>433</v>
      </c>
      <c r="AH185" s="404" t="s">
        <v>248</v>
      </c>
      <c r="AI185" s="90">
        <v>431.05985455173754</v>
      </c>
      <c r="AJ185" s="90">
        <v>224.02459053885329</v>
      </c>
      <c r="AK185" s="90">
        <v>162.7023911887058</v>
      </c>
      <c r="AL185" s="90">
        <v>140.40181273818763</v>
      </c>
      <c r="AM185" s="402"/>
    </row>
    <row r="186" spans="1:39">
      <c r="A186" s="770" t="s">
        <v>2943</v>
      </c>
      <c r="B186" s="580" t="s">
        <v>437</v>
      </c>
      <c r="C186" s="763">
        <v>1</v>
      </c>
      <c r="D186" s="764" t="s">
        <v>118</v>
      </c>
      <c r="E186" s="765">
        <v>383.33</v>
      </c>
      <c r="F186" s="766">
        <f t="shared" ref="F186:F206" si="33">rv_mbp16_eg_cto</f>
        <v>0.17599999999999999</v>
      </c>
      <c r="G186" s="767">
        <f t="shared" si="32"/>
        <v>315.86392000000001</v>
      </c>
      <c r="H186" s="767"/>
      <c r="I186" s="768"/>
      <c r="J186" s="768"/>
      <c r="K186" s="769"/>
      <c r="L186" s="768"/>
      <c r="M186" s="631" t="s">
        <v>432</v>
      </c>
      <c r="N186" s="360" t="s">
        <v>433</v>
      </c>
      <c r="O186" s="365" t="s">
        <v>248</v>
      </c>
      <c r="P186" s="1" t="str">
        <f t="shared" si="31"/>
        <v/>
      </c>
      <c r="Q186" s="1" t="str">
        <f t="shared" si="31"/>
        <v/>
      </c>
      <c r="R186" s="1" t="str">
        <f t="shared" si="31"/>
        <v/>
      </c>
      <c r="S186" s="1" t="str">
        <f t="shared" si="31"/>
        <v/>
      </c>
      <c r="T186" s="643" t="s">
        <v>438</v>
      </c>
      <c r="U186" s="644" t="s">
        <v>369</v>
      </c>
      <c r="V186" s="671">
        <v>1</v>
      </c>
      <c r="W186" s="659" t="s">
        <v>118</v>
      </c>
      <c r="X186" s="651">
        <v>383.33</v>
      </c>
      <c r="Y186" s="708">
        <v>0.17599999999999999</v>
      </c>
      <c r="Z186" s="655">
        <v>315.86392000000001</v>
      </c>
      <c r="AA186" s="655"/>
      <c r="AB186" s="709"/>
      <c r="AC186" s="709"/>
      <c r="AD186" s="656"/>
      <c r="AE186" s="709"/>
      <c r="AF186" s="631" t="s">
        <v>436</v>
      </c>
      <c r="AG186" s="360" t="s">
        <v>433</v>
      </c>
      <c r="AH186" s="365" t="s">
        <v>248</v>
      </c>
      <c r="AI186" s="1" t="s">
        <v>126</v>
      </c>
      <c r="AJ186" s="1" t="s">
        <v>126</v>
      </c>
      <c r="AK186" s="1" t="s">
        <v>126</v>
      </c>
      <c r="AL186" s="1" t="s">
        <v>126</v>
      </c>
      <c r="AM186" s="377"/>
    </row>
    <row r="187" spans="1:39">
      <c r="A187" s="770"/>
      <c r="B187" s="580"/>
      <c r="C187" s="763"/>
      <c r="D187" s="764"/>
      <c r="E187" s="765"/>
      <c r="F187" s="766"/>
      <c r="G187" s="767"/>
      <c r="H187" s="767"/>
      <c r="I187" s="768"/>
      <c r="J187" s="768"/>
      <c r="K187" s="769"/>
      <c r="L187" s="768"/>
      <c r="M187" s="631"/>
      <c r="N187" s="360"/>
      <c r="O187" s="365"/>
      <c r="P187" s="1" t="str">
        <f t="shared" ref="P187:S197" si="34">+IF($J187&lt;&gt;"",P$2*$J187,"")</f>
        <v/>
      </c>
      <c r="Q187" s="1" t="str">
        <f t="shared" si="34"/>
        <v/>
      </c>
      <c r="R187" s="1" t="str">
        <f t="shared" si="34"/>
        <v/>
      </c>
      <c r="S187" s="1" t="str">
        <f t="shared" si="34"/>
        <v/>
      </c>
      <c r="T187" s="643" t="s">
        <v>439</v>
      </c>
      <c r="U187" s="644" t="s">
        <v>377</v>
      </c>
      <c r="V187" s="671">
        <v>1</v>
      </c>
      <c r="W187" s="659" t="s">
        <v>118</v>
      </c>
      <c r="X187" s="651">
        <v>1150</v>
      </c>
      <c r="Y187" s="708">
        <v>0.17599999999999999</v>
      </c>
      <c r="Z187" s="655">
        <v>947.6</v>
      </c>
      <c r="AA187" s="655"/>
      <c r="AB187" s="709"/>
      <c r="AC187" s="709"/>
      <c r="AD187" s="656"/>
      <c r="AE187" s="709"/>
      <c r="AF187" s="631" t="s">
        <v>436</v>
      </c>
      <c r="AG187" s="360" t="s">
        <v>433</v>
      </c>
      <c r="AH187" s="365" t="s">
        <v>248</v>
      </c>
      <c r="AI187" s="1" t="s">
        <v>126</v>
      </c>
      <c r="AJ187" s="1" t="s">
        <v>126</v>
      </c>
      <c r="AK187" s="1" t="s">
        <v>126</v>
      </c>
      <c r="AL187" s="1" t="s">
        <v>126</v>
      </c>
      <c r="AM187" s="377"/>
    </row>
    <row r="188" spans="1:39">
      <c r="A188" s="770"/>
      <c r="B188" s="580"/>
      <c r="C188" s="763"/>
      <c r="D188" s="764"/>
      <c r="E188" s="765"/>
      <c r="F188" s="766"/>
      <c r="G188" s="767"/>
      <c r="H188" s="767"/>
      <c r="I188" s="768"/>
      <c r="J188" s="768"/>
      <c r="K188" s="769"/>
      <c r="L188" s="768"/>
      <c r="M188" s="631"/>
      <c r="N188" s="360"/>
      <c r="O188" s="365"/>
      <c r="P188" s="1" t="str">
        <f t="shared" ref="P188:S190" si="35">+IF($J188&lt;&gt;"",P$2*$J188,"")</f>
        <v/>
      </c>
      <c r="Q188" s="1" t="str">
        <f t="shared" si="35"/>
        <v/>
      </c>
      <c r="R188" s="1" t="str">
        <f t="shared" si="35"/>
        <v/>
      </c>
      <c r="S188" s="1" t="str">
        <f t="shared" si="35"/>
        <v/>
      </c>
      <c r="T188" s="643" t="s">
        <v>440</v>
      </c>
      <c r="U188" s="644" t="s">
        <v>371</v>
      </c>
      <c r="V188" s="671">
        <v>1</v>
      </c>
      <c r="W188" s="659" t="s">
        <v>118</v>
      </c>
      <c r="X188" s="651">
        <v>575</v>
      </c>
      <c r="Y188" s="708">
        <v>0.17599999999999999</v>
      </c>
      <c r="Z188" s="655">
        <v>473.8</v>
      </c>
      <c r="AA188" s="655"/>
      <c r="AB188" s="709"/>
      <c r="AC188" s="709"/>
      <c r="AD188" s="656"/>
      <c r="AE188" s="709"/>
      <c r="AF188" s="631" t="s">
        <v>436</v>
      </c>
      <c r="AG188" s="360" t="s">
        <v>433</v>
      </c>
      <c r="AH188" s="365" t="s">
        <v>248</v>
      </c>
      <c r="AI188" s="1" t="s">
        <v>126</v>
      </c>
      <c r="AJ188" s="1" t="s">
        <v>126</v>
      </c>
      <c r="AK188" s="1" t="s">
        <v>126</v>
      </c>
      <c r="AL188" s="1" t="s">
        <v>126</v>
      </c>
      <c r="AM188" s="377"/>
    </row>
    <row r="189" spans="1:39">
      <c r="A189" s="770"/>
      <c r="B189" s="580"/>
      <c r="C189" s="763"/>
      <c r="D189" s="764"/>
      <c r="E189" s="765"/>
      <c r="F189" s="766"/>
      <c r="G189" s="767"/>
      <c r="H189" s="767"/>
      <c r="I189" s="768"/>
      <c r="J189" s="768"/>
      <c r="K189" s="769"/>
      <c r="L189" s="768"/>
      <c r="M189" s="631"/>
      <c r="N189" s="360"/>
      <c r="O189" s="365"/>
      <c r="P189" s="1" t="str">
        <f t="shared" si="35"/>
        <v/>
      </c>
      <c r="Q189" s="1" t="str">
        <f t="shared" si="35"/>
        <v/>
      </c>
      <c r="R189" s="1" t="str">
        <f t="shared" si="35"/>
        <v/>
      </c>
      <c r="S189" s="1" t="str">
        <f t="shared" si="35"/>
        <v/>
      </c>
      <c r="T189" s="643" t="s">
        <v>441</v>
      </c>
      <c r="U189" s="644" t="s">
        <v>373</v>
      </c>
      <c r="V189" s="671">
        <v>1</v>
      </c>
      <c r="W189" s="659" t="s">
        <v>118</v>
      </c>
      <c r="X189" s="651">
        <v>958.33</v>
      </c>
      <c r="Y189" s="708">
        <v>0.17599999999999999</v>
      </c>
      <c r="Z189" s="655">
        <v>789.66392000000008</v>
      </c>
      <c r="AA189" s="655"/>
      <c r="AB189" s="709"/>
      <c r="AC189" s="709"/>
      <c r="AD189" s="656"/>
      <c r="AE189" s="709"/>
      <c r="AF189" s="631" t="s">
        <v>436</v>
      </c>
      <c r="AG189" s="360" t="s">
        <v>433</v>
      </c>
      <c r="AH189" s="365" t="s">
        <v>248</v>
      </c>
      <c r="AI189" s="1" t="s">
        <v>126</v>
      </c>
      <c r="AJ189" s="1" t="s">
        <v>126</v>
      </c>
      <c r="AK189" s="1" t="s">
        <v>126</v>
      </c>
      <c r="AL189" s="1" t="s">
        <v>126</v>
      </c>
      <c r="AM189" s="377"/>
    </row>
    <row r="190" spans="1:39">
      <c r="A190" s="770"/>
      <c r="B190" s="580"/>
      <c r="C190" s="763"/>
      <c r="D190" s="764"/>
      <c r="E190" s="765"/>
      <c r="F190" s="766"/>
      <c r="G190" s="767"/>
      <c r="H190" s="767"/>
      <c r="I190" s="768"/>
      <c r="J190" s="768"/>
      <c r="K190" s="769"/>
      <c r="L190" s="768"/>
      <c r="M190" s="631"/>
      <c r="N190" s="360"/>
      <c r="O190" s="365"/>
      <c r="P190" s="1" t="str">
        <f t="shared" si="35"/>
        <v/>
      </c>
      <c r="Q190" s="1" t="str">
        <f t="shared" si="35"/>
        <v/>
      </c>
      <c r="R190" s="1" t="str">
        <f t="shared" si="35"/>
        <v/>
      </c>
      <c r="S190" s="1" t="str">
        <f t="shared" si="35"/>
        <v/>
      </c>
      <c r="T190" s="643" t="s">
        <v>442</v>
      </c>
      <c r="U190" s="644" t="s">
        <v>379</v>
      </c>
      <c r="V190" s="671">
        <v>1</v>
      </c>
      <c r="W190" s="659" t="s">
        <v>118</v>
      </c>
      <c r="X190" s="651">
        <v>1533.33</v>
      </c>
      <c r="Y190" s="708">
        <v>0.17599999999999999</v>
      </c>
      <c r="Z190" s="655">
        <v>1263.4639199999999</v>
      </c>
      <c r="AA190" s="655"/>
      <c r="AB190" s="709"/>
      <c r="AC190" s="709"/>
      <c r="AD190" s="656"/>
      <c r="AE190" s="709"/>
      <c r="AF190" s="631" t="s">
        <v>436</v>
      </c>
      <c r="AG190" s="360" t="s">
        <v>433</v>
      </c>
      <c r="AH190" s="365" t="s">
        <v>248</v>
      </c>
      <c r="AI190" s="1" t="s">
        <v>126</v>
      </c>
      <c r="AJ190" s="1" t="s">
        <v>126</v>
      </c>
      <c r="AK190" s="1" t="s">
        <v>126</v>
      </c>
      <c r="AL190" s="1" t="s">
        <v>126</v>
      </c>
      <c r="AM190" s="377"/>
    </row>
    <row r="191" spans="1:39">
      <c r="A191" s="770"/>
      <c r="B191" s="580"/>
      <c r="C191" s="763"/>
      <c r="D191" s="764"/>
      <c r="E191" s="765"/>
      <c r="F191" s="766"/>
      <c r="G191" s="767"/>
      <c r="H191" s="767"/>
      <c r="I191" s="768"/>
      <c r="J191" s="768"/>
      <c r="K191" s="769"/>
      <c r="L191" s="768"/>
      <c r="M191" s="631"/>
      <c r="N191" s="360"/>
      <c r="O191" s="365"/>
      <c r="P191" s="1"/>
      <c r="Q191" s="1"/>
      <c r="R191" s="1"/>
      <c r="S191" s="1"/>
      <c r="T191" s="643" t="s">
        <v>443</v>
      </c>
      <c r="U191" s="644" t="s">
        <v>375</v>
      </c>
      <c r="V191" s="671">
        <v>1</v>
      </c>
      <c r="W191" s="659" t="s">
        <v>118</v>
      </c>
      <c r="X191" s="651">
        <v>766.67</v>
      </c>
      <c r="Y191" s="708">
        <v>0.17599999999999999</v>
      </c>
      <c r="Z191" s="655">
        <v>631.73608000000002</v>
      </c>
      <c r="AA191" s="655"/>
      <c r="AB191" s="709"/>
      <c r="AC191" s="709"/>
      <c r="AD191" s="656"/>
      <c r="AE191" s="709"/>
      <c r="AF191" s="631" t="s">
        <v>436</v>
      </c>
      <c r="AG191" s="360" t="s">
        <v>433</v>
      </c>
      <c r="AH191" s="365" t="s">
        <v>248</v>
      </c>
      <c r="AI191" s="1"/>
      <c r="AJ191" s="1"/>
      <c r="AK191" s="1"/>
      <c r="AL191" s="1"/>
      <c r="AM191" s="377"/>
    </row>
    <row r="192" spans="1:39">
      <c r="A192" s="770" t="s">
        <v>444</v>
      </c>
      <c r="B192" s="580" t="s">
        <v>445</v>
      </c>
      <c r="C192" s="763">
        <v>1</v>
      </c>
      <c r="D192" s="764" t="s">
        <v>118</v>
      </c>
      <c r="E192" s="765">
        <v>191.67</v>
      </c>
      <c r="F192" s="766">
        <f t="shared" si="33"/>
        <v>0.17599999999999999</v>
      </c>
      <c r="G192" s="767">
        <f t="shared" si="32"/>
        <v>157.93608</v>
      </c>
      <c r="H192" s="767"/>
      <c r="I192" s="768"/>
      <c r="J192" s="768"/>
      <c r="K192" s="769"/>
      <c r="L192" s="768"/>
      <c r="M192" s="631" t="s">
        <v>432</v>
      </c>
      <c r="N192" s="360" t="s">
        <v>433</v>
      </c>
      <c r="O192" s="365" t="s">
        <v>248</v>
      </c>
      <c r="P192" s="1" t="str">
        <f t="shared" si="34"/>
        <v/>
      </c>
      <c r="Q192" s="1" t="str">
        <f t="shared" si="34"/>
        <v/>
      </c>
      <c r="R192" s="1" t="str">
        <f t="shared" si="34"/>
        <v/>
      </c>
      <c r="S192" s="1" t="str">
        <f t="shared" si="34"/>
        <v/>
      </c>
      <c r="T192" s="643" t="s">
        <v>446</v>
      </c>
      <c r="U192" s="644" t="s">
        <v>447</v>
      </c>
      <c r="V192" s="671">
        <v>1</v>
      </c>
      <c r="W192" s="659" t="s">
        <v>118</v>
      </c>
      <c r="X192" s="651">
        <v>191.67</v>
      </c>
      <c r="Y192" s="708">
        <v>0.17599999999999999</v>
      </c>
      <c r="Z192" s="655">
        <v>157.93608</v>
      </c>
      <c r="AA192" s="655"/>
      <c r="AB192" s="709"/>
      <c r="AC192" s="709"/>
      <c r="AD192" s="656"/>
      <c r="AE192" s="709"/>
      <c r="AF192" s="631" t="s">
        <v>436</v>
      </c>
      <c r="AG192" s="360" t="s">
        <v>433</v>
      </c>
      <c r="AH192" s="365" t="s">
        <v>248</v>
      </c>
      <c r="AI192" s="1" t="s">
        <v>126</v>
      </c>
      <c r="AJ192" s="1" t="s">
        <v>126</v>
      </c>
      <c r="AK192" s="1" t="s">
        <v>126</v>
      </c>
      <c r="AL192" s="1" t="s">
        <v>126</v>
      </c>
      <c r="AM192" s="377"/>
    </row>
    <row r="193" spans="1:39">
      <c r="A193" s="770" t="s">
        <v>448</v>
      </c>
      <c r="B193" s="580" t="s">
        <v>449</v>
      </c>
      <c r="C193" s="763">
        <v>1</v>
      </c>
      <c r="D193" s="764" t="s">
        <v>118</v>
      </c>
      <c r="E193" s="765">
        <v>575</v>
      </c>
      <c r="F193" s="766">
        <f t="shared" si="33"/>
        <v>0.17599999999999999</v>
      </c>
      <c r="G193" s="767">
        <f t="shared" si="32"/>
        <v>473.8</v>
      </c>
      <c r="H193" s="767"/>
      <c r="I193" s="768"/>
      <c r="J193" s="768"/>
      <c r="K193" s="769"/>
      <c r="L193" s="768"/>
      <c r="M193" s="631" t="s">
        <v>432</v>
      </c>
      <c r="N193" s="360" t="s">
        <v>433</v>
      </c>
      <c r="O193" s="365" t="s">
        <v>248</v>
      </c>
      <c r="P193" s="1" t="str">
        <f t="shared" si="34"/>
        <v/>
      </c>
      <c r="Q193" s="1" t="str">
        <f t="shared" si="34"/>
        <v/>
      </c>
      <c r="R193" s="1" t="str">
        <f t="shared" si="34"/>
        <v/>
      </c>
      <c r="S193" s="1" t="str">
        <f t="shared" si="34"/>
        <v/>
      </c>
      <c r="T193" s="643" t="s">
        <v>450</v>
      </c>
      <c r="U193" s="644" t="s">
        <v>451</v>
      </c>
      <c r="V193" s="671">
        <v>1</v>
      </c>
      <c r="W193" s="659" t="s">
        <v>118</v>
      </c>
      <c r="X193" s="651">
        <v>575</v>
      </c>
      <c r="Y193" s="708">
        <v>0.17599999999999999</v>
      </c>
      <c r="Z193" s="655">
        <v>473.8</v>
      </c>
      <c r="AA193" s="655"/>
      <c r="AB193" s="709"/>
      <c r="AC193" s="709"/>
      <c r="AD193" s="656"/>
      <c r="AE193" s="709"/>
      <c r="AF193" s="631" t="s">
        <v>436</v>
      </c>
      <c r="AG193" s="360" t="s">
        <v>433</v>
      </c>
      <c r="AH193" s="365" t="s">
        <v>248</v>
      </c>
      <c r="AI193" s="1" t="s">
        <v>126</v>
      </c>
      <c r="AJ193" s="1" t="s">
        <v>126</v>
      </c>
      <c r="AK193" s="1" t="s">
        <v>126</v>
      </c>
      <c r="AL193" s="1" t="s">
        <v>126</v>
      </c>
      <c r="AM193" s="377"/>
    </row>
    <row r="194" spans="1:39">
      <c r="A194" s="770" t="s">
        <v>452</v>
      </c>
      <c r="B194" s="580" t="s">
        <v>453</v>
      </c>
      <c r="C194" s="763">
        <v>1</v>
      </c>
      <c r="D194" s="764" t="s">
        <v>118</v>
      </c>
      <c r="E194" s="765">
        <v>1150</v>
      </c>
      <c r="F194" s="766">
        <f t="shared" si="33"/>
        <v>0.17599999999999999</v>
      </c>
      <c r="G194" s="767">
        <f t="shared" si="32"/>
        <v>947.6</v>
      </c>
      <c r="H194" s="767"/>
      <c r="I194" s="768"/>
      <c r="J194" s="768"/>
      <c r="K194" s="769"/>
      <c r="L194" s="768"/>
      <c r="M194" s="631" t="s">
        <v>432</v>
      </c>
      <c r="N194" s="360" t="s">
        <v>433</v>
      </c>
      <c r="O194" s="365" t="s">
        <v>248</v>
      </c>
      <c r="P194" s="1" t="str">
        <f t="shared" si="34"/>
        <v/>
      </c>
      <c r="Q194" s="1" t="str">
        <f t="shared" si="34"/>
        <v/>
      </c>
      <c r="R194" s="1" t="str">
        <f t="shared" si="34"/>
        <v/>
      </c>
      <c r="S194" s="1" t="str">
        <f t="shared" si="34"/>
        <v/>
      </c>
      <c r="T194" s="643" t="s">
        <v>454</v>
      </c>
      <c r="U194" s="644" t="s">
        <v>455</v>
      </c>
      <c r="V194" s="671">
        <v>1</v>
      </c>
      <c r="W194" s="659" t="s">
        <v>118</v>
      </c>
      <c r="X194" s="651">
        <v>1150</v>
      </c>
      <c r="Y194" s="708">
        <v>0.17599999999999999</v>
      </c>
      <c r="Z194" s="655">
        <v>947.6</v>
      </c>
      <c r="AA194" s="655"/>
      <c r="AB194" s="709"/>
      <c r="AC194" s="709"/>
      <c r="AD194" s="656"/>
      <c r="AE194" s="709"/>
      <c r="AF194" s="631" t="s">
        <v>436</v>
      </c>
      <c r="AG194" s="360" t="s">
        <v>433</v>
      </c>
      <c r="AH194" s="365" t="s">
        <v>248</v>
      </c>
      <c r="AI194" s="1" t="s">
        <v>126</v>
      </c>
      <c r="AJ194" s="1" t="s">
        <v>126</v>
      </c>
      <c r="AK194" s="1" t="s">
        <v>126</v>
      </c>
      <c r="AL194" s="1" t="s">
        <v>126</v>
      </c>
      <c r="AM194" s="377"/>
    </row>
    <row r="195" spans="1:39">
      <c r="A195" s="770"/>
      <c r="B195" s="580"/>
      <c r="C195" s="763"/>
      <c r="D195" s="764"/>
      <c r="E195" s="765"/>
      <c r="F195" s="766"/>
      <c r="G195" s="767"/>
      <c r="H195" s="767"/>
      <c r="I195" s="768"/>
      <c r="J195" s="768"/>
      <c r="K195" s="769"/>
      <c r="L195" s="768"/>
      <c r="M195" s="631"/>
      <c r="N195" s="360"/>
      <c r="O195" s="365"/>
      <c r="P195" s="1"/>
      <c r="Q195" s="1"/>
      <c r="R195" s="1"/>
      <c r="S195" s="1"/>
      <c r="T195" s="643" t="s">
        <v>456</v>
      </c>
      <c r="U195" s="644" t="s">
        <v>457</v>
      </c>
      <c r="V195" s="671">
        <v>1</v>
      </c>
      <c r="W195" s="659" t="s">
        <v>118</v>
      </c>
      <c r="X195" s="651">
        <v>2300</v>
      </c>
      <c r="Y195" s="708">
        <v>0.17599999999999999</v>
      </c>
      <c r="Z195" s="655">
        <v>1895.2</v>
      </c>
      <c r="AA195" s="655"/>
      <c r="AB195" s="709"/>
      <c r="AC195" s="709"/>
      <c r="AD195" s="656"/>
      <c r="AE195" s="709"/>
      <c r="AF195" s="631" t="s">
        <v>436</v>
      </c>
      <c r="AG195" s="360" t="s">
        <v>433</v>
      </c>
      <c r="AH195" s="365" t="s">
        <v>248</v>
      </c>
      <c r="AI195" s="1" t="s">
        <v>126</v>
      </c>
      <c r="AJ195" s="1" t="s">
        <v>126</v>
      </c>
      <c r="AK195" s="1" t="s">
        <v>126</v>
      </c>
      <c r="AL195" s="1" t="s">
        <v>126</v>
      </c>
      <c r="AM195" s="377"/>
    </row>
    <row r="196" spans="1:39">
      <c r="A196" s="770" t="s">
        <v>458</v>
      </c>
      <c r="B196" s="580" t="s">
        <v>459</v>
      </c>
      <c r="C196" s="763">
        <v>1</v>
      </c>
      <c r="D196" s="767" t="s">
        <v>118</v>
      </c>
      <c r="E196" s="765">
        <v>0</v>
      </c>
      <c r="F196" s="771" t="s">
        <v>120</v>
      </c>
      <c r="G196" s="767">
        <f>E196</f>
        <v>0</v>
      </c>
      <c r="H196" s="767"/>
      <c r="I196" s="768"/>
      <c r="J196" s="768"/>
      <c r="K196" s="769"/>
      <c r="L196" s="768"/>
      <c r="M196" s="631" t="s">
        <v>432</v>
      </c>
      <c r="N196" s="360" t="s">
        <v>433</v>
      </c>
      <c r="O196" s="365" t="s">
        <v>248</v>
      </c>
      <c r="P196" s="1" t="str">
        <f>+IF($J196&lt;&gt;"",P$2*$J196,"")</f>
        <v/>
      </c>
      <c r="Q196" s="1" t="str">
        <f>+IF($J196&lt;&gt;"",Q$2*$J196,"")</f>
        <v/>
      </c>
      <c r="R196" s="1" t="str">
        <f>+IF($J196&lt;&gt;"",R$2*$J196,"")</f>
        <v/>
      </c>
      <c r="S196" s="1" t="str">
        <f>+IF($J196&lt;&gt;"",S$2*$J196,"")</f>
        <v/>
      </c>
      <c r="T196" s="643" t="s">
        <v>460</v>
      </c>
      <c r="U196" s="644" t="s">
        <v>461</v>
      </c>
      <c r="V196" s="671">
        <v>1</v>
      </c>
      <c r="W196" s="655" t="s">
        <v>118</v>
      </c>
      <c r="X196" s="651">
        <v>0</v>
      </c>
      <c r="Y196" s="648" t="s">
        <v>120</v>
      </c>
      <c r="Z196" s="655">
        <v>0</v>
      </c>
      <c r="AA196" s="655"/>
      <c r="AB196" s="709"/>
      <c r="AC196" s="709"/>
      <c r="AD196" s="656"/>
      <c r="AE196" s="709"/>
      <c r="AF196" s="631" t="s">
        <v>436</v>
      </c>
      <c r="AG196" s="360" t="s">
        <v>433</v>
      </c>
      <c r="AH196" s="365" t="s">
        <v>248</v>
      </c>
      <c r="AI196" s="1" t="s">
        <v>126</v>
      </c>
      <c r="AJ196" s="1" t="s">
        <v>126</v>
      </c>
      <c r="AK196" s="1" t="s">
        <v>126</v>
      </c>
      <c r="AL196" s="1" t="s">
        <v>126</v>
      </c>
      <c r="AM196" s="377"/>
    </row>
    <row r="197" spans="1:39">
      <c r="A197" s="770" t="s">
        <v>462</v>
      </c>
      <c r="B197" s="580" t="s">
        <v>463</v>
      </c>
      <c r="C197" s="763">
        <v>1</v>
      </c>
      <c r="D197" s="764" t="s">
        <v>118</v>
      </c>
      <c r="E197" s="765">
        <v>0</v>
      </c>
      <c r="F197" s="771" t="s">
        <v>120</v>
      </c>
      <c r="G197" s="767">
        <f t="shared" ref="G197" si="36">E197</f>
        <v>0</v>
      </c>
      <c r="H197" s="767"/>
      <c r="I197" s="768"/>
      <c r="J197" s="768"/>
      <c r="K197" s="769"/>
      <c r="L197" s="768"/>
      <c r="M197" s="631" t="s">
        <v>432</v>
      </c>
      <c r="N197" s="360" t="s">
        <v>433</v>
      </c>
      <c r="O197" s="365" t="s">
        <v>248</v>
      </c>
      <c r="P197" s="1" t="str">
        <f t="shared" si="34"/>
        <v/>
      </c>
      <c r="Q197" s="1" t="str">
        <f t="shared" si="34"/>
        <v/>
      </c>
      <c r="R197" s="1" t="str">
        <f t="shared" si="34"/>
        <v/>
      </c>
      <c r="S197" s="1" t="str">
        <f t="shared" si="34"/>
        <v/>
      </c>
      <c r="T197" s="643" t="s">
        <v>464</v>
      </c>
      <c r="U197" s="644" t="s">
        <v>465</v>
      </c>
      <c r="V197" s="671">
        <v>1</v>
      </c>
      <c r="W197" s="659" t="s">
        <v>118</v>
      </c>
      <c r="X197" s="651">
        <v>0</v>
      </c>
      <c r="Y197" s="648" t="s">
        <v>120</v>
      </c>
      <c r="Z197" s="655">
        <v>0</v>
      </c>
      <c r="AA197" s="655"/>
      <c r="AB197" s="709"/>
      <c r="AC197" s="709"/>
      <c r="AD197" s="656"/>
      <c r="AE197" s="709"/>
      <c r="AF197" s="631" t="s">
        <v>436</v>
      </c>
      <c r="AG197" s="360" t="s">
        <v>433</v>
      </c>
      <c r="AH197" s="365" t="s">
        <v>248</v>
      </c>
      <c r="AI197" s="1" t="s">
        <v>126</v>
      </c>
      <c r="AJ197" s="1" t="s">
        <v>126</v>
      </c>
      <c r="AK197" s="1" t="s">
        <v>126</v>
      </c>
      <c r="AL197" s="1" t="s">
        <v>126</v>
      </c>
      <c r="AM197" s="377"/>
    </row>
    <row r="198" spans="1:39" s="86" customFormat="1">
      <c r="A198" s="770" t="s">
        <v>466</v>
      </c>
      <c r="B198" s="580" t="s">
        <v>467</v>
      </c>
      <c r="C198" s="763">
        <v>1</v>
      </c>
      <c r="D198" s="767" t="s">
        <v>118</v>
      </c>
      <c r="E198" s="765">
        <v>0</v>
      </c>
      <c r="F198" s="771" t="s">
        <v>120</v>
      </c>
      <c r="G198" s="767">
        <f>E198</f>
        <v>0</v>
      </c>
      <c r="H198" s="767"/>
      <c r="I198" s="768"/>
      <c r="J198" s="768"/>
      <c r="K198" s="769"/>
      <c r="L198" s="768"/>
      <c r="M198" s="631" t="s">
        <v>432</v>
      </c>
      <c r="N198" s="360" t="s">
        <v>433</v>
      </c>
      <c r="O198" s="365" t="s">
        <v>248</v>
      </c>
      <c r="P198" s="1" t="str">
        <f>+IF($J198&lt;&gt;"",P$2*$J198,"")</f>
        <v/>
      </c>
      <c r="Q198" s="1" t="str">
        <f>+IF($J198&lt;&gt;"",Q$2*$J198,"")</f>
        <v/>
      </c>
      <c r="R198" s="1" t="str">
        <f>+IF($J198&lt;&gt;"",R$2*$J198,"")</f>
        <v/>
      </c>
      <c r="S198" s="1" t="str">
        <f>+IF($J198&lt;&gt;"",S$2*$J198,"")</f>
        <v/>
      </c>
      <c r="T198" s="643" t="s">
        <v>468</v>
      </c>
      <c r="U198" s="644" t="s">
        <v>469</v>
      </c>
      <c r="V198" s="671">
        <v>1</v>
      </c>
      <c r="W198" s="655" t="s">
        <v>118</v>
      </c>
      <c r="X198" s="651">
        <v>0</v>
      </c>
      <c r="Y198" s="648" t="s">
        <v>120</v>
      </c>
      <c r="Z198" s="655">
        <v>0</v>
      </c>
      <c r="AA198" s="655"/>
      <c r="AB198" s="709"/>
      <c r="AC198" s="709"/>
      <c r="AD198" s="656"/>
      <c r="AE198" s="709"/>
      <c r="AF198" s="631" t="s">
        <v>436</v>
      </c>
      <c r="AG198" s="360" t="s">
        <v>433</v>
      </c>
      <c r="AH198" s="365" t="s">
        <v>248</v>
      </c>
      <c r="AI198" s="1" t="s">
        <v>126</v>
      </c>
      <c r="AJ198" s="1" t="s">
        <v>126</v>
      </c>
      <c r="AK198" s="1" t="s">
        <v>126</v>
      </c>
      <c r="AL198" s="1" t="s">
        <v>126</v>
      </c>
      <c r="AM198" s="375"/>
    </row>
    <row r="199" spans="1:39" s="86" customFormat="1">
      <c r="A199" s="223" t="s">
        <v>470</v>
      </c>
      <c r="B199" s="52" t="s">
        <v>471</v>
      </c>
      <c r="C199" s="53">
        <v>1</v>
      </c>
      <c r="D199" s="54" t="s">
        <v>118</v>
      </c>
      <c r="E199" s="62">
        <v>3540.41</v>
      </c>
      <c r="F199" s="66">
        <f>rv_mbp16_eg</f>
        <v>0.17599999999999999</v>
      </c>
      <c r="G199" s="70">
        <f t="shared" ref="G199:G200" si="37">E199-(E199*F199)</f>
        <v>2917.2978400000002</v>
      </c>
      <c r="H199" s="53" t="s">
        <v>431</v>
      </c>
      <c r="I199" s="63">
        <v>82.32</v>
      </c>
      <c r="J199" s="63">
        <f>G199+I199</f>
        <v>2999.6178400000003</v>
      </c>
      <c r="K199" s="63" t="s">
        <v>120</v>
      </c>
      <c r="L199" s="63">
        <v>0.42</v>
      </c>
      <c r="M199" s="630" t="s">
        <v>472</v>
      </c>
      <c r="N199" s="403" t="s">
        <v>433</v>
      </c>
      <c r="O199" s="404" t="s">
        <v>248</v>
      </c>
      <c r="P199" s="90">
        <f t="shared" ref="P199:S206" si="38">+IF($J199&lt;&gt;"",P$2*$J199,"")</f>
        <v>603.84930971235451</v>
      </c>
      <c r="Q199" s="90">
        <f t="shared" si="38"/>
        <v>313.82438639792872</v>
      </c>
      <c r="R199" s="90">
        <f t="shared" si="38"/>
        <v>227.92130969843629</v>
      </c>
      <c r="S199" s="90">
        <f t="shared" si="38"/>
        <v>196.68159029210187</v>
      </c>
      <c r="T199" s="643"/>
      <c r="U199" s="658"/>
      <c r="V199" s="671"/>
      <c r="W199" s="672"/>
      <c r="X199" s="651"/>
      <c r="Y199" s="648"/>
      <c r="Z199" s="655"/>
      <c r="AA199" s="655"/>
      <c r="AB199" s="709"/>
      <c r="AC199" s="709"/>
      <c r="AD199" s="656"/>
      <c r="AE199" s="709"/>
      <c r="AF199" s="631"/>
      <c r="AG199" s="360"/>
      <c r="AH199" s="365"/>
      <c r="AI199" s="1"/>
      <c r="AJ199" s="1"/>
      <c r="AK199" s="1"/>
      <c r="AL199" s="1"/>
      <c r="AM199" s="375"/>
    </row>
    <row r="200" spans="1:39" s="86" customFormat="1">
      <c r="A200" s="770" t="s">
        <v>473</v>
      </c>
      <c r="B200" s="580" t="s">
        <v>474</v>
      </c>
      <c r="C200" s="763">
        <v>1</v>
      </c>
      <c r="D200" s="764" t="s">
        <v>118</v>
      </c>
      <c r="E200" s="765">
        <v>766.67</v>
      </c>
      <c r="F200" s="766">
        <f t="shared" si="33"/>
        <v>0.17599999999999999</v>
      </c>
      <c r="G200" s="767">
        <f t="shared" si="37"/>
        <v>631.73608000000002</v>
      </c>
      <c r="H200" s="767"/>
      <c r="I200" s="768"/>
      <c r="J200" s="768"/>
      <c r="K200" s="769"/>
      <c r="L200" s="768"/>
      <c r="M200" s="631" t="s">
        <v>472</v>
      </c>
      <c r="N200" s="360" t="s">
        <v>433</v>
      </c>
      <c r="O200" s="365" t="s">
        <v>248</v>
      </c>
      <c r="P200" s="1" t="str">
        <f t="shared" si="38"/>
        <v/>
      </c>
      <c r="Q200" s="1" t="str">
        <f t="shared" si="38"/>
        <v/>
      </c>
      <c r="R200" s="1" t="str">
        <f t="shared" si="38"/>
        <v/>
      </c>
      <c r="S200" s="1" t="str">
        <f t="shared" si="38"/>
        <v/>
      </c>
      <c r="T200" s="643"/>
      <c r="U200" s="658"/>
      <c r="V200" s="671"/>
      <c r="W200" s="672"/>
      <c r="X200" s="651"/>
      <c r="Y200" s="648"/>
      <c r="Z200" s="655"/>
      <c r="AA200" s="655"/>
      <c r="AB200" s="709"/>
      <c r="AC200" s="709"/>
      <c r="AD200" s="656"/>
      <c r="AE200" s="709"/>
      <c r="AF200" s="631"/>
      <c r="AG200" s="360"/>
      <c r="AH200" s="365"/>
      <c r="AI200" s="1"/>
      <c r="AJ200" s="1"/>
      <c r="AK200" s="1"/>
      <c r="AL200" s="1"/>
      <c r="AM200" s="375"/>
    </row>
    <row r="201" spans="1:39" s="86" customFormat="1">
      <c r="A201" s="770" t="s">
        <v>475</v>
      </c>
      <c r="B201" s="580" t="s">
        <v>476</v>
      </c>
      <c r="C201" s="763">
        <v>1</v>
      </c>
      <c r="D201" s="764" t="s">
        <v>118</v>
      </c>
      <c r="E201" s="765">
        <v>500</v>
      </c>
      <c r="F201" s="766">
        <f t="shared" si="33"/>
        <v>0.17599999999999999</v>
      </c>
      <c r="G201" s="767">
        <f>E201-(E201*F201)</f>
        <v>412</v>
      </c>
      <c r="H201" s="767"/>
      <c r="I201" s="768"/>
      <c r="J201" s="768"/>
      <c r="K201" s="769"/>
      <c r="L201" s="768"/>
      <c r="M201" s="631" t="s">
        <v>472</v>
      </c>
      <c r="N201" s="360" t="s">
        <v>433</v>
      </c>
      <c r="O201" s="365" t="s">
        <v>248</v>
      </c>
      <c r="P201" s="1" t="str">
        <f t="shared" ref="P201:S203" si="39">+IF($J201&lt;&gt;"",P$2*$J201,"")</f>
        <v/>
      </c>
      <c r="Q201" s="1" t="str">
        <f t="shared" si="39"/>
        <v/>
      </c>
      <c r="R201" s="1" t="str">
        <f t="shared" si="39"/>
        <v/>
      </c>
      <c r="S201" s="1" t="str">
        <f t="shared" si="39"/>
        <v/>
      </c>
      <c r="T201" s="643"/>
      <c r="U201" s="658"/>
      <c r="V201" s="671"/>
      <c r="W201" s="672"/>
      <c r="X201" s="651"/>
      <c r="Y201" s="648"/>
      <c r="Z201" s="655"/>
      <c r="AA201" s="655"/>
      <c r="AB201" s="709"/>
      <c r="AC201" s="709"/>
      <c r="AD201" s="656"/>
      <c r="AE201" s="709"/>
      <c r="AF201" s="631"/>
      <c r="AG201" s="360"/>
      <c r="AH201" s="365"/>
      <c r="AI201" s="1"/>
      <c r="AJ201" s="1"/>
      <c r="AK201" s="1"/>
      <c r="AL201" s="1"/>
      <c r="AM201" s="375"/>
    </row>
    <row r="202" spans="1:39" s="86" customFormat="1">
      <c r="A202" s="770" t="s">
        <v>477</v>
      </c>
      <c r="B202" s="580" t="s">
        <v>478</v>
      </c>
      <c r="C202" s="763">
        <v>1</v>
      </c>
      <c r="D202" s="764" t="s">
        <v>118</v>
      </c>
      <c r="E202" s="765">
        <v>691.67</v>
      </c>
      <c r="F202" s="766">
        <f t="shared" si="33"/>
        <v>0.17599999999999999</v>
      </c>
      <c r="G202" s="767">
        <f>E202-(E202*F202)</f>
        <v>569.93607999999995</v>
      </c>
      <c r="H202" s="767"/>
      <c r="I202" s="768"/>
      <c r="J202" s="768"/>
      <c r="K202" s="769"/>
      <c r="L202" s="768"/>
      <c r="M202" s="631" t="s">
        <v>472</v>
      </c>
      <c r="N202" s="360" t="s">
        <v>433</v>
      </c>
      <c r="O202" s="365" t="s">
        <v>248</v>
      </c>
      <c r="P202" s="1" t="str">
        <f t="shared" si="39"/>
        <v/>
      </c>
      <c r="Q202" s="1" t="str">
        <f t="shared" si="39"/>
        <v/>
      </c>
      <c r="R202" s="1" t="str">
        <f t="shared" si="39"/>
        <v/>
      </c>
      <c r="S202" s="1" t="str">
        <f t="shared" si="39"/>
        <v/>
      </c>
      <c r="T202" s="643"/>
      <c r="U202" s="658"/>
      <c r="V202" s="671"/>
      <c r="W202" s="672"/>
      <c r="X202" s="651"/>
      <c r="Y202" s="648"/>
      <c r="Z202" s="655"/>
      <c r="AA202" s="655"/>
      <c r="AB202" s="709"/>
      <c r="AC202" s="709"/>
      <c r="AD202" s="656"/>
      <c r="AE202" s="709"/>
      <c r="AF202" s="631"/>
      <c r="AG202" s="360"/>
      <c r="AH202" s="365"/>
      <c r="AI202" s="1"/>
      <c r="AJ202" s="1"/>
      <c r="AK202" s="1"/>
      <c r="AL202" s="1"/>
      <c r="AM202" s="375"/>
    </row>
    <row r="203" spans="1:39" s="86" customFormat="1">
      <c r="A203" s="770" t="s">
        <v>479</v>
      </c>
      <c r="B203" s="580" t="s">
        <v>480</v>
      </c>
      <c r="C203" s="763">
        <v>1</v>
      </c>
      <c r="D203" s="764" t="s">
        <v>118</v>
      </c>
      <c r="E203" s="765">
        <v>1458.33</v>
      </c>
      <c r="F203" s="766">
        <f t="shared" si="33"/>
        <v>0.17599999999999999</v>
      </c>
      <c r="G203" s="767">
        <f>E203-(E203*F203)</f>
        <v>1201.66392</v>
      </c>
      <c r="H203" s="767"/>
      <c r="I203" s="768"/>
      <c r="J203" s="768"/>
      <c r="K203" s="769"/>
      <c r="L203" s="768"/>
      <c r="M203" s="631" t="s">
        <v>472</v>
      </c>
      <c r="N203" s="360" t="s">
        <v>433</v>
      </c>
      <c r="O203" s="365" t="s">
        <v>248</v>
      </c>
      <c r="P203" s="1" t="str">
        <f t="shared" si="39"/>
        <v/>
      </c>
      <c r="Q203" s="1" t="str">
        <f t="shared" si="39"/>
        <v/>
      </c>
      <c r="R203" s="1" t="str">
        <f t="shared" si="39"/>
        <v/>
      </c>
      <c r="S203" s="1" t="str">
        <f t="shared" si="39"/>
        <v/>
      </c>
      <c r="T203" s="643"/>
      <c r="U203" s="658"/>
      <c r="V203" s="671"/>
      <c r="W203" s="672"/>
      <c r="X203" s="651"/>
      <c r="Y203" s="648"/>
      <c r="Z203" s="655"/>
      <c r="AA203" s="655"/>
      <c r="AB203" s="709"/>
      <c r="AC203" s="709"/>
      <c r="AD203" s="656"/>
      <c r="AE203" s="709"/>
      <c r="AF203" s="631"/>
      <c r="AG203" s="360"/>
      <c r="AH203" s="365"/>
      <c r="AI203" s="1"/>
      <c r="AJ203" s="1"/>
      <c r="AK203" s="1"/>
      <c r="AL203" s="1"/>
      <c r="AM203" s="375"/>
    </row>
    <row r="204" spans="1:39" s="86" customFormat="1">
      <c r="A204" s="770" t="s">
        <v>481</v>
      </c>
      <c r="B204" s="580" t="s">
        <v>449</v>
      </c>
      <c r="C204" s="763">
        <v>1</v>
      </c>
      <c r="D204" s="764" t="s">
        <v>118</v>
      </c>
      <c r="E204" s="765">
        <v>383.33</v>
      </c>
      <c r="F204" s="766">
        <f t="shared" si="33"/>
        <v>0.17599999999999999</v>
      </c>
      <c r="G204" s="767">
        <f t="shared" ref="G204:G206" si="40">E204-(E204*F204)</f>
        <v>315.86392000000001</v>
      </c>
      <c r="H204" s="767"/>
      <c r="I204" s="768"/>
      <c r="J204" s="768"/>
      <c r="K204" s="769"/>
      <c r="L204" s="768"/>
      <c r="M204" s="631" t="s">
        <v>472</v>
      </c>
      <c r="N204" s="360" t="s">
        <v>433</v>
      </c>
      <c r="O204" s="365" t="s">
        <v>248</v>
      </c>
      <c r="P204" s="1" t="str">
        <f t="shared" si="38"/>
        <v/>
      </c>
      <c r="Q204" s="1" t="str">
        <f t="shared" si="38"/>
        <v/>
      </c>
      <c r="R204" s="1" t="str">
        <f t="shared" si="38"/>
        <v/>
      </c>
      <c r="S204" s="1" t="str">
        <f t="shared" si="38"/>
        <v/>
      </c>
      <c r="T204" s="643"/>
      <c r="U204" s="658"/>
      <c r="V204" s="671"/>
      <c r="W204" s="672"/>
      <c r="X204" s="651"/>
      <c r="Y204" s="648"/>
      <c r="Z204" s="655"/>
      <c r="AA204" s="655"/>
      <c r="AB204" s="709"/>
      <c r="AC204" s="709"/>
      <c r="AD204" s="656"/>
      <c r="AE204" s="709"/>
      <c r="AF204" s="631"/>
      <c r="AG204" s="360"/>
      <c r="AH204" s="365"/>
      <c r="AI204" s="1"/>
      <c r="AJ204" s="1"/>
      <c r="AK204" s="1"/>
      <c r="AL204" s="1"/>
      <c r="AM204" s="375"/>
    </row>
    <row r="205" spans="1:39" s="86" customFormat="1">
      <c r="A205" s="770" t="s">
        <v>482</v>
      </c>
      <c r="B205" s="580" t="s">
        <v>453</v>
      </c>
      <c r="C205" s="763">
        <v>1</v>
      </c>
      <c r="D205" s="764" t="s">
        <v>118</v>
      </c>
      <c r="E205" s="765">
        <v>958.33</v>
      </c>
      <c r="F205" s="766">
        <f t="shared" si="33"/>
        <v>0.17599999999999999</v>
      </c>
      <c r="G205" s="767">
        <f t="shared" si="40"/>
        <v>789.66392000000008</v>
      </c>
      <c r="H205" s="767"/>
      <c r="I205" s="768"/>
      <c r="J205" s="768"/>
      <c r="K205" s="769"/>
      <c r="L205" s="768"/>
      <c r="M205" s="631" t="s">
        <v>472</v>
      </c>
      <c r="N205" s="360" t="s">
        <v>433</v>
      </c>
      <c r="O205" s="365" t="s">
        <v>248</v>
      </c>
      <c r="P205" s="1" t="str">
        <f t="shared" si="38"/>
        <v/>
      </c>
      <c r="Q205" s="1" t="str">
        <f t="shared" si="38"/>
        <v/>
      </c>
      <c r="R205" s="1" t="str">
        <f t="shared" si="38"/>
        <v/>
      </c>
      <c r="S205" s="1" t="str">
        <f t="shared" si="38"/>
        <v/>
      </c>
      <c r="T205" s="643"/>
      <c r="U205" s="658"/>
      <c r="V205" s="671"/>
      <c r="W205" s="672"/>
      <c r="X205" s="651"/>
      <c r="Y205" s="648"/>
      <c r="Z205" s="655"/>
      <c r="AA205" s="655"/>
      <c r="AB205" s="709"/>
      <c r="AC205" s="709"/>
      <c r="AD205" s="656"/>
      <c r="AE205" s="709"/>
      <c r="AF205" s="631"/>
      <c r="AG205" s="360"/>
      <c r="AH205" s="365"/>
      <c r="AI205" s="1"/>
      <c r="AJ205" s="1"/>
      <c r="AK205" s="1"/>
      <c r="AL205" s="1"/>
      <c r="AM205" s="375"/>
    </row>
    <row r="206" spans="1:39" s="86" customFormat="1">
      <c r="A206" s="770" t="s">
        <v>483</v>
      </c>
      <c r="B206" s="580" t="s">
        <v>484</v>
      </c>
      <c r="C206" s="763">
        <v>1</v>
      </c>
      <c r="D206" s="764" t="s">
        <v>118</v>
      </c>
      <c r="E206" s="765">
        <v>2108.33</v>
      </c>
      <c r="F206" s="766">
        <f t="shared" si="33"/>
        <v>0.17599999999999999</v>
      </c>
      <c r="G206" s="767">
        <f t="shared" si="40"/>
        <v>1737.2639199999999</v>
      </c>
      <c r="H206" s="767"/>
      <c r="I206" s="768"/>
      <c r="J206" s="768"/>
      <c r="K206" s="769"/>
      <c r="L206" s="768"/>
      <c r="M206" s="631" t="s">
        <v>472</v>
      </c>
      <c r="N206" s="360" t="s">
        <v>433</v>
      </c>
      <c r="O206" s="365" t="s">
        <v>248</v>
      </c>
      <c r="P206" s="1" t="str">
        <f t="shared" si="38"/>
        <v/>
      </c>
      <c r="Q206" s="1" t="str">
        <f t="shared" si="38"/>
        <v/>
      </c>
      <c r="R206" s="1" t="str">
        <f t="shared" si="38"/>
        <v/>
      </c>
      <c r="S206" s="1" t="str">
        <f t="shared" si="38"/>
        <v/>
      </c>
      <c r="T206" s="643"/>
      <c r="U206" s="658"/>
      <c r="V206" s="671"/>
      <c r="W206" s="672"/>
      <c r="X206" s="651"/>
      <c r="Y206" s="648"/>
      <c r="Z206" s="655"/>
      <c r="AA206" s="655"/>
      <c r="AB206" s="709"/>
      <c r="AC206" s="709"/>
      <c r="AD206" s="656"/>
      <c r="AE206" s="709"/>
      <c r="AF206" s="631"/>
      <c r="AG206" s="360"/>
      <c r="AH206" s="365"/>
      <c r="AI206" s="1"/>
      <c r="AJ206" s="1"/>
      <c r="AK206" s="1"/>
      <c r="AL206" s="1"/>
      <c r="AM206" s="375"/>
    </row>
    <row r="207" spans="1:39" s="86" customFormat="1">
      <c r="A207" s="770" t="s">
        <v>485</v>
      </c>
      <c r="B207" s="580" t="s">
        <v>459</v>
      </c>
      <c r="C207" s="763">
        <v>1</v>
      </c>
      <c r="D207" s="767" t="s">
        <v>118</v>
      </c>
      <c r="E207" s="765">
        <v>0</v>
      </c>
      <c r="F207" s="771" t="s">
        <v>120</v>
      </c>
      <c r="G207" s="767">
        <f>E207</f>
        <v>0</v>
      </c>
      <c r="H207" s="767"/>
      <c r="I207" s="768"/>
      <c r="J207" s="768"/>
      <c r="K207" s="769"/>
      <c r="L207" s="768"/>
      <c r="M207" s="631" t="s">
        <v>472</v>
      </c>
      <c r="N207" s="360" t="s">
        <v>433</v>
      </c>
      <c r="O207" s="365" t="s">
        <v>248</v>
      </c>
      <c r="P207" s="1" t="str">
        <f t="shared" ref="P207:S209" si="41">+IF($J207&lt;&gt;"",P$2*$J207,"")</f>
        <v/>
      </c>
      <c r="Q207" s="1" t="str">
        <f t="shared" si="41"/>
        <v/>
      </c>
      <c r="R207" s="1" t="str">
        <f t="shared" si="41"/>
        <v/>
      </c>
      <c r="S207" s="1" t="str">
        <f t="shared" si="41"/>
        <v/>
      </c>
      <c r="T207" s="643"/>
      <c r="U207" s="658"/>
      <c r="V207" s="671"/>
      <c r="W207" s="672"/>
      <c r="X207" s="651"/>
      <c r="Y207" s="648"/>
      <c r="Z207" s="655"/>
      <c r="AA207" s="655"/>
      <c r="AB207" s="709"/>
      <c r="AC207" s="709"/>
      <c r="AD207" s="656"/>
      <c r="AE207" s="709"/>
      <c r="AF207" s="631"/>
      <c r="AG207" s="360"/>
      <c r="AH207" s="365"/>
      <c r="AI207" s="1"/>
      <c r="AJ207" s="1"/>
      <c r="AK207" s="1"/>
      <c r="AL207" s="1"/>
      <c r="AM207" s="375"/>
    </row>
    <row r="208" spans="1:39" s="86" customFormat="1">
      <c r="A208" s="770" t="s">
        <v>486</v>
      </c>
      <c r="B208" s="580" t="s">
        <v>463</v>
      </c>
      <c r="C208" s="763">
        <v>1</v>
      </c>
      <c r="D208" s="764" t="s">
        <v>118</v>
      </c>
      <c r="E208" s="765">
        <v>0</v>
      </c>
      <c r="F208" s="771" t="s">
        <v>120</v>
      </c>
      <c r="G208" s="767">
        <f t="shared" ref="G208" si="42">E208</f>
        <v>0</v>
      </c>
      <c r="H208" s="767"/>
      <c r="I208" s="768"/>
      <c r="J208" s="768"/>
      <c r="K208" s="769"/>
      <c r="L208" s="768"/>
      <c r="M208" s="631" t="s">
        <v>472</v>
      </c>
      <c r="N208" s="360" t="s">
        <v>433</v>
      </c>
      <c r="O208" s="365" t="s">
        <v>248</v>
      </c>
      <c r="P208" s="1" t="str">
        <f t="shared" si="41"/>
        <v/>
      </c>
      <c r="Q208" s="1" t="str">
        <f t="shared" si="41"/>
        <v/>
      </c>
      <c r="R208" s="1" t="str">
        <f t="shared" si="41"/>
        <v/>
      </c>
      <c r="S208" s="1" t="str">
        <f t="shared" si="41"/>
        <v/>
      </c>
      <c r="T208" s="643"/>
      <c r="U208" s="658"/>
      <c r="V208" s="671"/>
      <c r="W208" s="672"/>
      <c r="X208" s="651"/>
      <c r="Y208" s="648"/>
      <c r="Z208" s="655"/>
      <c r="AA208" s="655"/>
      <c r="AB208" s="709"/>
      <c r="AC208" s="709"/>
      <c r="AD208" s="656"/>
      <c r="AE208" s="709"/>
      <c r="AF208" s="631"/>
      <c r="AG208" s="360"/>
      <c r="AH208" s="365"/>
      <c r="AI208" s="1"/>
      <c r="AJ208" s="1"/>
      <c r="AK208" s="1"/>
      <c r="AL208" s="1"/>
      <c r="AM208" s="375"/>
    </row>
    <row r="209" spans="1:39" s="86" customFormat="1">
      <c r="A209" s="770" t="s">
        <v>487</v>
      </c>
      <c r="B209" s="580" t="s">
        <v>467</v>
      </c>
      <c r="C209" s="763">
        <v>1</v>
      </c>
      <c r="D209" s="767" t="s">
        <v>118</v>
      </c>
      <c r="E209" s="765">
        <v>0</v>
      </c>
      <c r="F209" s="771" t="s">
        <v>120</v>
      </c>
      <c r="G209" s="767">
        <f>E209</f>
        <v>0</v>
      </c>
      <c r="H209" s="767"/>
      <c r="I209" s="768"/>
      <c r="J209" s="768"/>
      <c r="K209" s="769"/>
      <c r="L209" s="768"/>
      <c r="M209" s="631" t="s">
        <v>472</v>
      </c>
      <c r="N209" s="360" t="s">
        <v>433</v>
      </c>
      <c r="O209" s="365" t="s">
        <v>248</v>
      </c>
      <c r="P209" s="1" t="str">
        <f t="shared" si="41"/>
        <v/>
      </c>
      <c r="Q209" s="1" t="str">
        <f t="shared" si="41"/>
        <v/>
      </c>
      <c r="R209" s="1" t="str">
        <f t="shared" si="41"/>
        <v/>
      </c>
      <c r="S209" s="1" t="str">
        <f t="shared" si="41"/>
        <v/>
      </c>
      <c r="T209" s="643"/>
      <c r="U209" s="658"/>
      <c r="V209" s="671"/>
      <c r="W209" s="672"/>
      <c r="X209" s="651"/>
      <c r="Y209" s="648"/>
      <c r="Z209" s="655"/>
      <c r="AA209" s="655"/>
      <c r="AB209" s="709"/>
      <c r="AC209" s="709"/>
      <c r="AD209" s="656"/>
      <c r="AE209" s="709"/>
      <c r="AF209" s="631"/>
      <c r="AG209" s="360"/>
      <c r="AH209" s="365"/>
      <c r="AI209" s="1"/>
      <c r="AJ209" s="1"/>
      <c r="AK209" s="1"/>
      <c r="AL209" s="1"/>
      <c r="AM209" s="375"/>
    </row>
    <row r="210" spans="1:39" s="90" customFormat="1">
      <c r="A210" s="231" t="s">
        <v>431</v>
      </c>
      <c r="B210" s="58" t="s">
        <v>488</v>
      </c>
      <c r="C210" s="81">
        <v>1</v>
      </c>
      <c r="D210" s="74" t="s">
        <v>140</v>
      </c>
      <c r="E210" s="280">
        <v>99.9</v>
      </c>
      <c r="F210" s="112">
        <v>0.17599999999999999</v>
      </c>
      <c r="G210" s="68">
        <f>E210-(E210*F210)</f>
        <v>82.317599999999999</v>
      </c>
      <c r="H210" s="72"/>
      <c r="I210" s="56"/>
      <c r="J210" s="56"/>
      <c r="K210" s="56"/>
      <c r="L210" s="56"/>
      <c r="M210" s="630" t="s">
        <v>141</v>
      </c>
      <c r="N210" s="380" t="s">
        <v>142</v>
      </c>
      <c r="O210" s="381" t="s">
        <v>143</v>
      </c>
      <c r="P210" s="90" t="str">
        <f t="shared" ref="P210:S219" si="43">+IF($J210&lt;&gt;"",P$2*$J210,"")</f>
        <v/>
      </c>
      <c r="Q210" s="90" t="str">
        <f t="shared" si="43"/>
        <v/>
      </c>
      <c r="R210" s="90" t="str">
        <f t="shared" si="43"/>
        <v/>
      </c>
      <c r="S210" s="90" t="str">
        <f t="shared" si="43"/>
        <v/>
      </c>
      <c r="T210" s="231" t="s">
        <v>431</v>
      </c>
      <c r="U210" s="58" t="s">
        <v>488</v>
      </c>
      <c r="V210" s="81">
        <v>1</v>
      </c>
      <c r="W210" s="74" t="s">
        <v>140</v>
      </c>
      <c r="X210" s="280">
        <v>99.9</v>
      </c>
      <c r="Y210" s="112">
        <v>0.17599999999999999</v>
      </c>
      <c r="Z210" s="68">
        <v>82.317599999999999</v>
      </c>
      <c r="AA210" s="72"/>
      <c r="AB210" s="56"/>
      <c r="AC210" s="56"/>
      <c r="AD210" s="56"/>
      <c r="AE210" s="56"/>
      <c r="AF210" s="630" t="s">
        <v>141</v>
      </c>
      <c r="AG210" s="380" t="s">
        <v>142</v>
      </c>
      <c r="AH210" s="381" t="s">
        <v>143</v>
      </c>
      <c r="AI210" s="90" t="s">
        <v>126</v>
      </c>
      <c r="AJ210" s="90" t="s">
        <v>126</v>
      </c>
      <c r="AK210" s="90" t="s">
        <v>126</v>
      </c>
      <c r="AL210" s="90" t="s">
        <v>126</v>
      </c>
      <c r="AM210" s="402"/>
    </row>
    <row r="211" spans="1:39">
      <c r="A211" s="221" t="s">
        <v>489</v>
      </c>
      <c r="B211" s="69" t="s">
        <v>490</v>
      </c>
      <c r="C211" s="23">
        <v>1</v>
      </c>
      <c r="D211" s="30" t="s">
        <v>140</v>
      </c>
      <c r="E211" s="31"/>
      <c r="F211" s="19"/>
      <c r="G211" s="85">
        <v>34</v>
      </c>
      <c r="H211" s="64"/>
      <c r="I211" s="152"/>
      <c r="J211" s="152"/>
      <c r="K211" s="73"/>
      <c r="L211" s="152"/>
      <c r="M211" s="631" t="s">
        <v>141</v>
      </c>
      <c r="N211" s="360" t="s">
        <v>142</v>
      </c>
      <c r="O211" s="365" t="s">
        <v>143</v>
      </c>
      <c r="P211" s="1" t="str">
        <f t="shared" si="43"/>
        <v/>
      </c>
      <c r="Q211" s="1" t="str">
        <f t="shared" si="43"/>
        <v/>
      </c>
      <c r="R211" s="1" t="str">
        <f t="shared" si="43"/>
        <v/>
      </c>
      <c r="S211" s="1" t="str">
        <f t="shared" si="43"/>
        <v/>
      </c>
      <c r="T211" s="221" t="s">
        <v>489</v>
      </c>
      <c r="U211" s="69" t="s">
        <v>490</v>
      </c>
      <c r="V211" s="23">
        <v>1</v>
      </c>
      <c r="W211" s="30" t="s">
        <v>140</v>
      </c>
      <c r="X211" s="31"/>
      <c r="Y211" s="19"/>
      <c r="Z211" s="85">
        <v>34</v>
      </c>
      <c r="AA211" s="64"/>
      <c r="AB211" s="152"/>
      <c r="AC211" s="152"/>
      <c r="AD211" s="73"/>
      <c r="AE211" s="152"/>
      <c r="AF211" s="631" t="s">
        <v>141</v>
      </c>
      <c r="AG211" s="360" t="s">
        <v>142</v>
      </c>
      <c r="AH211" s="365" t="s">
        <v>143</v>
      </c>
      <c r="AI211" s="1" t="s">
        <v>126</v>
      </c>
      <c r="AJ211" s="1" t="s">
        <v>126</v>
      </c>
      <c r="AK211" s="1" t="s">
        <v>126</v>
      </c>
      <c r="AL211" s="1" t="s">
        <v>126</v>
      </c>
      <c r="AM211" s="377"/>
    </row>
    <row r="212" spans="1:39">
      <c r="A212" s="221" t="s">
        <v>491</v>
      </c>
      <c r="B212" s="69" t="s">
        <v>492</v>
      </c>
      <c r="C212" s="23">
        <v>1</v>
      </c>
      <c r="D212" s="30" t="s">
        <v>140</v>
      </c>
      <c r="E212" s="31"/>
      <c r="F212" s="19"/>
      <c r="G212" s="85">
        <v>64</v>
      </c>
      <c r="H212" s="64"/>
      <c r="I212" s="152"/>
      <c r="J212" s="152"/>
      <c r="K212" s="73"/>
      <c r="L212" s="152"/>
      <c r="M212" s="631" t="s">
        <v>141</v>
      </c>
      <c r="N212" s="360" t="s">
        <v>142</v>
      </c>
      <c r="O212" s="365" t="s">
        <v>143</v>
      </c>
      <c r="P212" s="1" t="str">
        <f t="shared" si="43"/>
        <v/>
      </c>
      <c r="Q212" s="1" t="str">
        <f t="shared" si="43"/>
        <v/>
      </c>
      <c r="R212" s="1" t="str">
        <f t="shared" si="43"/>
        <v/>
      </c>
      <c r="S212" s="1" t="str">
        <f t="shared" si="43"/>
        <v/>
      </c>
      <c r="T212" s="221" t="s">
        <v>491</v>
      </c>
      <c r="U212" s="69" t="s">
        <v>492</v>
      </c>
      <c r="V212" s="23">
        <v>1</v>
      </c>
      <c r="W212" s="30" t="s">
        <v>140</v>
      </c>
      <c r="X212" s="31"/>
      <c r="Y212" s="19"/>
      <c r="Z212" s="85">
        <v>64</v>
      </c>
      <c r="AA212" s="64"/>
      <c r="AB212" s="152"/>
      <c r="AC212" s="152"/>
      <c r="AD212" s="73"/>
      <c r="AE212" s="152"/>
      <c r="AF212" s="631" t="s">
        <v>141</v>
      </c>
      <c r="AG212" s="360" t="s">
        <v>142</v>
      </c>
      <c r="AH212" s="365" t="s">
        <v>143</v>
      </c>
      <c r="AI212" s="1" t="s">
        <v>126</v>
      </c>
      <c r="AJ212" s="1" t="s">
        <v>126</v>
      </c>
      <c r="AK212" s="1" t="s">
        <v>126</v>
      </c>
      <c r="AL212" s="1" t="s">
        <v>126</v>
      </c>
      <c r="AM212" s="377"/>
    </row>
    <row r="213" spans="1:39">
      <c r="A213" s="221" t="s">
        <v>493</v>
      </c>
      <c r="B213" s="69" t="s">
        <v>494</v>
      </c>
      <c r="C213" s="23">
        <v>1</v>
      </c>
      <c r="D213" s="30" t="s">
        <v>140</v>
      </c>
      <c r="E213" s="31"/>
      <c r="F213" s="19"/>
      <c r="G213" s="85">
        <v>96</v>
      </c>
      <c r="H213" s="64"/>
      <c r="I213" s="152"/>
      <c r="J213" s="152"/>
      <c r="K213" s="73"/>
      <c r="L213" s="152"/>
      <c r="M213" s="631" t="s">
        <v>141</v>
      </c>
      <c r="N213" s="360" t="s">
        <v>142</v>
      </c>
      <c r="O213" s="365" t="s">
        <v>143</v>
      </c>
      <c r="P213" s="1" t="str">
        <f t="shared" si="43"/>
        <v/>
      </c>
      <c r="Q213" s="1" t="str">
        <f t="shared" si="43"/>
        <v/>
      </c>
      <c r="R213" s="1" t="str">
        <f t="shared" si="43"/>
        <v/>
      </c>
      <c r="S213" s="1" t="str">
        <f t="shared" si="43"/>
        <v/>
      </c>
      <c r="T213" s="221" t="s">
        <v>493</v>
      </c>
      <c r="U213" s="69" t="s">
        <v>494</v>
      </c>
      <c r="V213" s="23">
        <v>1</v>
      </c>
      <c r="W213" s="30" t="s">
        <v>140</v>
      </c>
      <c r="X213" s="31"/>
      <c r="Y213" s="19"/>
      <c r="Z213" s="85">
        <v>96</v>
      </c>
      <c r="AA213" s="64"/>
      <c r="AB213" s="152"/>
      <c r="AC213" s="152"/>
      <c r="AD213" s="73"/>
      <c r="AE213" s="152"/>
      <c r="AF213" s="631" t="s">
        <v>141</v>
      </c>
      <c r="AG213" s="360" t="s">
        <v>142</v>
      </c>
      <c r="AH213" s="365" t="s">
        <v>143</v>
      </c>
      <c r="AI213" s="1" t="s">
        <v>126</v>
      </c>
      <c r="AJ213" s="1" t="s">
        <v>126</v>
      </c>
      <c r="AK213" s="1" t="s">
        <v>126</v>
      </c>
      <c r="AL213" s="1" t="s">
        <v>126</v>
      </c>
      <c r="AM213" s="377"/>
    </row>
    <row r="214" spans="1:39">
      <c r="A214" s="221" t="s">
        <v>495</v>
      </c>
      <c r="B214" s="69" t="s">
        <v>496</v>
      </c>
      <c r="C214" s="23">
        <v>1</v>
      </c>
      <c r="D214" s="30" t="s">
        <v>140</v>
      </c>
      <c r="E214" s="31"/>
      <c r="F214" s="19"/>
      <c r="G214" s="85">
        <v>25</v>
      </c>
      <c r="H214" s="64"/>
      <c r="I214" s="152"/>
      <c r="J214" s="152"/>
      <c r="K214" s="73"/>
      <c r="L214" s="152"/>
      <c r="M214" s="631" t="s">
        <v>141</v>
      </c>
      <c r="N214" s="360" t="s">
        <v>142</v>
      </c>
      <c r="O214" s="365" t="s">
        <v>143</v>
      </c>
      <c r="P214" s="1" t="str">
        <f t="shared" si="43"/>
        <v/>
      </c>
      <c r="Q214" s="1" t="str">
        <f t="shared" si="43"/>
        <v/>
      </c>
      <c r="R214" s="1" t="str">
        <f t="shared" si="43"/>
        <v/>
      </c>
      <c r="S214" s="1" t="str">
        <f t="shared" si="43"/>
        <v/>
      </c>
      <c r="T214" s="221" t="s">
        <v>495</v>
      </c>
      <c r="U214" s="69" t="s">
        <v>496</v>
      </c>
      <c r="V214" s="23">
        <v>1</v>
      </c>
      <c r="W214" s="30" t="s">
        <v>140</v>
      </c>
      <c r="X214" s="31"/>
      <c r="Y214" s="19"/>
      <c r="Z214" s="85">
        <v>25</v>
      </c>
      <c r="AA214" s="64"/>
      <c r="AB214" s="152"/>
      <c r="AC214" s="152"/>
      <c r="AD214" s="73"/>
      <c r="AE214" s="152"/>
      <c r="AF214" s="631" t="s">
        <v>141</v>
      </c>
      <c r="AG214" s="360" t="s">
        <v>142</v>
      </c>
      <c r="AH214" s="365" t="s">
        <v>143</v>
      </c>
      <c r="AI214" s="1" t="s">
        <v>126</v>
      </c>
      <c r="AJ214" s="1" t="s">
        <v>126</v>
      </c>
      <c r="AK214" s="1" t="s">
        <v>126</v>
      </c>
      <c r="AL214" s="1" t="s">
        <v>126</v>
      </c>
      <c r="AM214" s="377"/>
    </row>
    <row r="215" spans="1:39">
      <c r="A215" s="221" t="s">
        <v>497</v>
      </c>
      <c r="B215" s="69" t="s">
        <v>498</v>
      </c>
      <c r="C215" s="23">
        <v>1</v>
      </c>
      <c r="D215" s="30" t="s">
        <v>140</v>
      </c>
      <c r="E215" s="31"/>
      <c r="F215" s="19"/>
      <c r="G215" s="85">
        <v>81</v>
      </c>
      <c r="H215" s="64"/>
      <c r="I215" s="152"/>
      <c r="J215" s="152"/>
      <c r="K215" s="73"/>
      <c r="L215" s="152"/>
      <c r="M215" s="631" t="s">
        <v>141</v>
      </c>
      <c r="N215" s="360" t="s">
        <v>142</v>
      </c>
      <c r="O215" s="365" t="s">
        <v>143</v>
      </c>
      <c r="P215" s="1" t="str">
        <f t="shared" si="43"/>
        <v/>
      </c>
      <c r="Q215" s="1" t="str">
        <f t="shared" si="43"/>
        <v/>
      </c>
      <c r="R215" s="1" t="str">
        <f t="shared" si="43"/>
        <v/>
      </c>
      <c r="S215" s="1" t="str">
        <f t="shared" si="43"/>
        <v/>
      </c>
      <c r="T215" s="221" t="s">
        <v>497</v>
      </c>
      <c r="U215" s="69" t="s">
        <v>498</v>
      </c>
      <c r="V215" s="23">
        <v>1</v>
      </c>
      <c r="W215" s="30" t="s">
        <v>140</v>
      </c>
      <c r="X215" s="31"/>
      <c r="Y215" s="19"/>
      <c r="Z215" s="85">
        <v>81</v>
      </c>
      <c r="AA215" s="64"/>
      <c r="AB215" s="152"/>
      <c r="AC215" s="152"/>
      <c r="AD215" s="73"/>
      <c r="AE215" s="152"/>
      <c r="AF215" s="631" t="s">
        <v>141</v>
      </c>
      <c r="AG215" s="360" t="s">
        <v>142</v>
      </c>
      <c r="AH215" s="365" t="s">
        <v>143</v>
      </c>
      <c r="AI215" s="1" t="s">
        <v>126</v>
      </c>
      <c r="AJ215" s="1" t="s">
        <v>126</v>
      </c>
      <c r="AK215" s="1" t="s">
        <v>126</v>
      </c>
      <c r="AL215" s="1" t="s">
        <v>126</v>
      </c>
      <c r="AM215" s="377"/>
    </row>
    <row r="216" spans="1:39">
      <c r="A216" s="221" t="s">
        <v>499</v>
      </c>
      <c r="B216" s="69" t="s">
        <v>500</v>
      </c>
      <c r="C216" s="23">
        <v>1</v>
      </c>
      <c r="D216" s="30" t="s">
        <v>140</v>
      </c>
      <c r="E216" s="31"/>
      <c r="F216" s="19"/>
      <c r="G216" s="85">
        <v>117</v>
      </c>
      <c r="H216" s="64"/>
      <c r="I216" s="152"/>
      <c r="J216" s="152"/>
      <c r="K216" s="73"/>
      <c r="L216" s="152"/>
      <c r="M216" s="631" t="s">
        <v>141</v>
      </c>
      <c r="N216" s="360" t="s">
        <v>142</v>
      </c>
      <c r="O216" s="365" t="s">
        <v>143</v>
      </c>
      <c r="P216" s="1" t="str">
        <f t="shared" si="43"/>
        <v/>
      </c>
      <c r="Q216" s="1" t="str">
        <f t="shared" si="43"/>
        <v/>
      </c>
      <c r="R216" s="1" t="str">
        <f t="shared" si="43"/>
        <v/>
      </c>
      <c r="S216" s="1" t="str">
        <f t="shared" si="43"/>
        <v/>
      </c>
      <c r="T216" s="221" t="s">
        <v>499</v>
      </c>
      <c r="U216" s="69" t="s">
        <v>500</v>
      </c>
      <c r="V216" s="23">
        <v>1</v>
      </c>
      <c r="W216" s="30" t="s">
        <v>140</v>
      </c>
      <c r="X216" s="31"/>
      <c r="Y216" s="19"/>
      <c r="Z216" s="85">
        <v>117</v>
      </c>
      <c r="AA216" s="64"/>
      <c r="AB216" s="152"/>
      <c r="AC216" s="152"/>
      <c r="AD216" s="73"/>
      <c r="AE216" s="152"/>
      <c r="AF216" s="631" t="s">
        <v>141</v>
      </c>
      <c r="AG216" s="360" t="s">
        <v>142</v>
      </c>
      <c r="AH216" s="365" t="s">
        <v>143</v>
      </c>
      <c r="AI216" s="1" t="s">
        <v>126</v>
      </c>
      <c r="AJ216" s="1" t="s">
        <v>126</v>
      </c>
      <c r="AK216" s="1" t="s">
        <v>126</v>
      </c>
      <c r="AL216" s="1" t="s">
        <v>126</v>
      </c>
      <c r="AM216" s="377"/>
    </row>
    <row r="217" spans="1:39">
      <c r="A217" s="221" t="s">
        <v>501</v>
      </c>
      <c r="B217" s="69" t="s">
        <v>502</v>
      </c>
      <c r="C217" s="23">
        <v>1</v>
      </c>
      <c r="D217" s="30" t="s">
        <v>140</v>
      </c>
      <c r="E217" s="31"/>
      <c r="F217" s="19"/>
      <c r="G217" s="85">
        <v>116</v>
      </c>
      <c r="H217" s="64"/>
      <c r="I217" s="152"/>
      <c r="J217" s="152"/>
      <c r="K217" s="73"/>
      <c r="L217" s="152"/>
      <c r="M217" s="631" t="s">
        <v>141</v>
      </c>
      <c r="N217" s="360" t="s">
        <v>142</v>
      </c>
      <c r="O217" s="365" t="s">
        <v>143</v>
      </c>
      <c r="P217" s="1" t="str">
        <f t="shared" si="43"/>
        <v/>
      </c>
      <c r="Q217" s="1" t="str">
        <f t="shared" si="43"/>
        <v/>
      </c>
      <c r="R217" s="1" t="str">
        <f t="shared" si="43"/>
        <v/>
      </c>
      <c r="S217" s="1" t="str">
        <f t="shared" si="43"/>
        <v/>
      </c>
      <c r="T217" s="221" t="s">
        <v>501</v>
      </c>
      <c r="U217" s="69" t="s">
        <v>502</v>
      </c>
      <c r="V217" s="23">
        <v>1</v>
      </c>
      <c r="W217" s="30" t="s">
        <v>140</v>
      </c>
      <c r="X217" s="31"/>
      <c r="Y217" s="19"/>
      <c r="Z217" s="85">
        <v>116</v>
      </c>
      <c r="AA217" s="64"/>
      <c r="AB217" s="152"/>
      <c r="AC217" s="152"/>
      <c r="AD217" s="73"/>
      <c r="AE217" s="152"/>
      <c r="AF217" s="631" t="s">
        <v>141</v>
      </c>
      <c r="AG217" s="360" t="s">
        <v>142</v>
      </c>
      <c r="AH217" s="365" t="s">
        <v>143</v>
      </c>
      <c r="AI217" s="1" t="s">
        <v>126</v>
      </c>
      <c r="AJ217" s="1" t="s">
        <v>126</v>
      </c>
      <c r="AK217" s="1" t="s">
        <v>126</v>
      </c>
      <c r="AL217" s="1" t="s">
        <v>126</v>
      </c>
      <c r="AM217" s="377"/>
    </row>
    <row r="218" spans="1:39">
      <c r="A218" s="221" t="s">
        <v>503</v>
      </c>
      <c r="B218" s="69" t="s">
        <v>504</v>
      </c>
      <c r="C218" s="23">
        <v>1</v>
      </c>
      <c r="D218" s="30" t="s">
        <v>140</v>
      </c>
      <c r="E218" s="31"/>
      <c r="F218" s="19"/>
      <c r="G218" s="85">
        <v>43</v>
      </c>
      <c r="H218" s="64"/>
      <c r="I218" s="152"/>
      <c r="J218" s="152"/>
      <c r="K218" s="73"/>
      <c r="L218" s="152"/>
      <c r="M218" s="631" t="s">
        <v>141</v>
      </c>
      <c r="N218" s="360" t="s">
        <v>142</v>
      </c>
      <c r="O218" s="365" t="s">
        <v>143</v>
      </c>
      <c r="P218" s="1" t="str">
        <f t="shared" si="43"/>
        <v/>
      </c>
      <c r="Q218" s="1" t="str">
        <f t="shared" si="43"/>
        <v/>
      </c>
      <c r="R218" s="1" t="str">
        <f t="shared" si="43"/>
        <v/>
      </c>
      <c r="S218" s="1" t="str">
        <f t="shared" si="43"/>
        <v/>
      </c>
      <c r="T218" s="221" t="s">
        <v>503</v>
      </c>
      <c r="U218" s="69" t="s">
        <v>504</v>
      </c>
      <c r="V218" s="23">
        <v>1</v>
      </c>
      <c r="W218" s="30" t="s">
        <v>140</v>
      </c>
      <c r="X218" s="31"/>
      <c r="Y218" s="19"/>
      <c r="Z218" s="85">
        <v>43</v>
      </c>
      <c r="AA218" s="64"/>
      <c r="AB218" s="152"/>
      <c r="AC218" s="152"/>
      <c r="AD218" s="73"/>
      <c r="AE218" s="152"/>
      <c r="AF218" s="631" t="s">
        <v>141</v>
      </c>
      <c r="AG218" s="360" t="s">
        <v>142</v>
      </c>
      <c r="AH218" s="365" t="s">
        <v>143</v>
      </c>
      <c r="AI218" s="1" t="s">
        <v>126</v>
      </c>
      <c r="AJ218" s="1" t="s">
        <v>126</v>
      </c>
      <c r="AK218" s="1" t="s">
        <v>126</v>
      </c>
      <c r="AL218" s="1" t="s">
        <v>126</v>
      </c>
      <c r="AM218" s="377"/>
    </row>
    <row r="219" spans="1:39">
      <c r="A219" s="221" t="s">
        <v>505</v>
      </c>
      <c r="B219" s="69" t="s">
        <v>506</v>
      </c>
      <c r="C219" s="23">
        <v>1</v>
      </c>
      <c r="D219" s="30" t="s">
        <v>140</v>
      </c>
      <c r="E219" s="31"/>
      <c r="F219" s="19"/>
      <c r="G219" s="85">
        <v>106</v>
      </c>
      <c r="H219" s="64"/>
      <c r="I219" s="152"/>
      <c r="J219" s="152"/>
      <c r="K219" s="73"/>
      <c r="L219" s="152"/>
      <c r="M219" s="631" t="s">
        <v>141</v>
      </c>
      <c r="N219" s="360" t="s">
        <v>142</v>
      </c>
      <c r="O219" s="365" t="s">
        <v>143</v>
      </c>
      <c r="P219" s="1" t="str">
        <f t="shared" si="43"/>
        <v/>
      </c>
      <c r="Q219" s="1" t="str">
        <f t="shared" si="43"/>
        <v/>
      </c>
      <c r="R219" s="1" t="str">
        <f t="shared" si="43"/>
        <v/>
      </c>
      <c r="S219" s="1" t="str">
        <f t="shared" si="43"/>
        <v/>
      </c>
      <c r="T219" s="221" t="s">
        <v>505</v>
      </c>
      <c r="U219" s="69" t="s">
        <v>506</v>
      </c>
      <c r="V219" s="23">
        <v>1</v>
      </c>
      <c r="W219" s="30" t="s">
        <v>140</v>
      </c>
      <c r="X219" s="31"/>
      <c r="Y219" s="19"/>
      <c r="Z219" s="85">
        <v>106</v>
      </c>
      <c r="AA219" s="64"/>
      <c r="AB219" s="152"/>
      <c r="AC219" s="152"/>
      <c r="AD219" s="73"/>
      <c r="AE219" s="152"/>
      <c r="AF219" s="631" t="s">
        <v>141</v>
      </c>
      <c r="AG219" s="360" t="s">
        <v>142</v>
      </c>
      <c r="AH219" s="365" t="s">
        <v>143</v>
      </c>
      <c r="AI219" s="1" t="s">
        <v>126</v>
      </c>
      <c r="AJ219" s="1" t="s">
        <v>126</v>
      </c>
      <c r="AK219" s="1" t="s">
        <v>126</v>
      </c>
      <c r="AL219" s="1" t="s">
        <v>126</v>
      </c>
      <c r="AM219" s="377"/>
    </row>
    <row r="220" spans="1:39">
      <c r="A220" s="221" t="s">
        <v>507</v>
      </c>
      <c r="B220" s="69" t="s">
        <v>508</v>
      </c>
      <c r="C220" s="23">
        <v>1</v>
      </c>
      <c r="D220" s="30" t="s">
        <v>140</v>
      </c>
      <c r="E220" s="31"/>
      <c r="F220" s="19"/>
      <c r="G220" s="85">
        <v>169</v>
      </c>
      <c r="H220" s="64"/>
      <c r="I220" s="152"/>
      <c r="J220" s="152"/>
      <c r="K220" s="73"/>
      <c r="L220" s="152"/>
      <c r="M220" s="631" t="s">
        <v>141</v>
      </c>
      <c r="N220" s="360" t="s">
        <v>142</v>
      </c>
      <c r="O220" s="365" t="s">
        <v>143</v>
      </c>
      <c r="P220" s="1" t="str">
        <f t="shared" ref="P220:S225" si="44">+IF($J220&lt;&gt;"",P$2*$J220,"")</f>
        <v/>
      </c>
      <c r="Q220" s="1" t="str">
        <f t="shared" si="44"/>
        <v/>
      </c>
      <c r="R220" s="1" t="str">
        <f t="shared" si="44"/>
        <v/>
      </c>
      <c r="S220" s="1" t="str">
        <f t="shared" si="44"/>
        <v/>
      </c>
      <c r="T220" s="221" t="s">
        <v>507</v>
      </c>
      <c r="U220" s="69" t="s">
        <v>508</v>
      </c>
      <c r="V220" s="23">
        <v>1</v>
      </c>
      <c r="W220" s="30" t="s">
        <v>140</v>
      </c>
      <c r="X220" s="31"/>
      <c r="Y220" s="19"/>
      <c r="Z220" s="85">
        <v>169</v>
      </c>
      <c r="AA220" s="64"/>
      <c r="AB220" s="152"/>
      <c r="AC220" s="152"/>
      <c r="AD220" s="73"/>
      <c r="AE220" s="152"/>
      <c r="AF220" s="631" t="s">
        <v>141</v>
      </c>
      <c r="AG220" s="360" t="s">
        <v>142</v>
      </c>
      <c r="AH220" s="365" t="s">
        <v>143</v>
      </c>
      <c r="AI220" s="1" t="s">
        <v>126</v>
      </c>
      <c r="AJ220" s="1" t="s">
        <v>126</v>
      </c>
      <c r="AK220" s="1" t="s">
        <v>126</v>
      </c>
      <c r="AL220" s="1" t="s">
        <v>126</v>
      </c>
      <c r="AM220" s="377"/>
    </row>
    <row r="221" spans="1:39" ht="15" customHeight="1">
      <c r="A221" s="221" t="s">
        <v>509</v>
      </c>
      <c r="B221" s="69" t="s">
        <v>510</v>
      </c>
      <c r="C221" s="23">
        <v>1</v>
      </c>
      <c r="D221" s="30" t="s">
        <v>140</v>
      </c>
      <c r="E221" s="31"/>
      <c r="F221" s="19"/>
      <c r="G221" s="85">
        <v>248</v>
      </c>
      <c r="H221" s="64"/>
      <c r="I221" s="152"/>
      <c r="J221" s="152"/>
      <c r="K221" s="73"/>
      <c r="L221" s="152"/>
      <c r="M221" s="631" t="s">
        <v>141</v>
      </c>
      <c r="N221" s="360" t="s">
        <v>142</v>
      </c>
      <c r="O221" s="365" t="s">
        <v>143</v>
      </c>
      <c r="P221" s="1" t="str">
        <f t="shared" si="44"/>
        <v/>
      </c>
      <c r="Q221" s="1" t="str">
        <f t="shared" si="44"/>
        <v/>
      </c>
      <c r="R221" s="1" t="str">
        <f t="shared" si="44"/>
        <v/>
      </c>
      <c r="S221" s="1" t="str">
        <f t="shared" si="44"/>
        <v/>
      </c>
      <c r="T221" s="221" t="s">
        <v>509</v>
      </c>
      <c r="U221" s="69" t="s">
        <v>510</v>
      </c>
      <c r="V221" s="23">
        <v>1</v>
      </c>
      <c r="W221" s="30" t="s">
        <v>140</v>
      </c>
      <c r="X221" s="31"/>
      <c r="Y221" s="19"/>
      <c r="Z221" s="85">
        <v>248</v>
      </c>
      <c r="AA221" s="64"/>
      <c r="AB221" s="152"/>
      <c r="AC221" s="152"/>
      <c r="AD221" s="73"/>
      <c r="AE221" s="152"/>
      <c r="AF221" s="631" t="s">
        <v>141</v>
      </c>
      <c r="AG221" s="360" t="s">
        <v>142</v>
      </c>
      <c r="AH221" s="365" t="s">
        <v>143</v>
      </c>
      <c r="AI221" s="1" t="s">
        <v>126</v>
      </c>
      <c r="AJ221" s="1" t="s">
        <v>126</v>
      </c>
      <c r="AK221" s="1" t="s">
        <v>126</v>
      </c>
      <c r="AL221" s="1" t="s">
        <v>126</v>
      </c>
      <c r="AM221" s="377"/>
    </row>
    <row r="222" spans="1:39" ht="14.1" customHeight="1">
      <c r="A222" s="222" t="s">
        <v>511</v>
      </c>
      <c r="B222" s="229" t="s">
        <v>512</v>
      </c>
      <c r="C222" s="97">
        <v>1</v>
      </c>
      <c r="D222" s="34" t="s">
        <v>140</v>
      </c>
      <c r="E222" s="35"/>
      <c r="F222" s="38"/>
      <c r="G222" s="99">
        <v>602</v>
      </c>
      <c r="H222" s="151"/>
      <c r="I222" s="286"/>
      <c r="J222" s="286"/>
      <c r="K222" s="115"/>
      <c r="L222" s="286"/>
      <c r="M222" s="631" t="s">
        <v>141</v>
      </c>
      <c r="N222" s="360" t="s">
        <v>142</v>
      </c>
      <c r="O222" s="365" t="s">
        <v>143</v>
      </c>
      <c r="P222" s="1" t="str">
        <f t="shared" si="44"/>
        <v/>
      </c>
      <c r="Q222" s="1" t="str">
        <f t="shared" si="44"/>
        <v/>
      </c>
      <c r="R222" s="1" t="str">
        <f t="shared" si="44"/>
        <v/>
      </c>
      <c r="S222" s="1" t="str">
        <f t="shared" si="44"/>
        <v/>
      </c>
      <c r="T222" s="222" t="s">
        <v>511</v>
      </c>
      <c r="U222" s="229" t="s">
        <v>512</v>
      </c>
      <c r="V222" s="97">
        <v>1</v>
      </c>
      <c r="W222" s="34" t="s">
        <v>140</v>
      </c>
      <c r="X222" s="35"/>
      <c r="Y222" s="38"/>
      <c r="Z222" s="99">
        <v>602</v>
      </c>
      <c r="AA222" s="151"/>
      <c r="AB222" s="286"/>
      <c r="AC222" s="286"/>
      <c r="AD222" s="115"/>
      <c r="AE222" s="286"/>
      <c r="AF222" s="631" t="s">
        <v>141</v>
      </c>
      <c r="AG222" s="360" t="s">
        <v>142</v>
      </c>
      <c r="AH222" s="365" t="s">
        <v>143</v>
      </c>
      <c r="AI222" s="1" t="s">
        <v>126</v>
      </c>
      <c r="AJ222" s="1" t="s">
        <v>126</v>
      </c>
      <c r="AK222" s="1" t="s">
        <v>126</v>
      </c>
      <c r="AL222" s="1" t="s">
        <v>126</v>
      </c>
      <c r="AM222" s="377"/>
    </row>
    <row r="223" spans="1:39" ht="25.5">
      <c r="A223" s="222" t="s">
        <v>513</v>
      </c>
      <c r="B223" s="352" t="s">
        <v>514</v>
      </c>
      <c r="C223" s="97">
        <v>1</v>
      </c>
      <c r="D223" s="34" t="s">
        <v>140</v>
      </c>
      <c r="E223" s="35"/>
      <c r="F223" s="38"/>
      <c r="G223" s="99">
        <v>728</v>
      </c>
      <c r="H223" s="151"/>
      <c r="I223" s="286"/>
      <c r="J223" s="286"/>
      <c r="K223" s="115"/>
      <c r="L223" s="286"/>
      <c r="M223" s="631" t="s">
        <v>141</v>
      </c>
      <c r="N223" s="360" t="s">
        <v>142</v>
      </c>
      <c r="O223" s="365" t="s">
        <v>143</v>
      </c>
      <c r="P223" s="1" t="str">
        <f t="shared" si="44"/>
        <v/>
      </c>
      <c r="Q223" s="1" t="str">
        <f t="shared" si="44"/>
        <v/>
      </c>
      <c r="R223" s="1" t="str">
        <f t="shared" si="44"/>
        <v/>
      </c>
      <c r="S223" s="1" t="str">
        <f t="shared" si="44"/>
        <v/>
      </c>
      <c r="T223" s="222" t="s">
        <v>513</v>
      </c>
      <c r="U223" s="229" t="s">
        <v>514</v>
      </c>
      <c r="V223" s="97">
        <v>1</v>
      </c>
      <c r="W223" s="34" t="s">
        <v>140</v>
      </c>
      <c r="X223" s="35"/>
      <c r="Y223" s="38"/>
      <c r="Z223" s="99">
        <v>728</v>
      </c>
      <c r="AA223" s="151"/>
      <c r="AB223" s="286"/>
      <c r="AC223" s="286"/>
      <c r="AD223" s="115"/>
      <c r="AE223" s="286"/>
      <c r="AF223" s="631" t="s">
        <v>141</v>
      </c>
      <c r="AG223" s="360" t="s">
        <v>142</v>
      </c>
      <c r="AH223" s="365" t="s">
        <v>143</v>
      </c>
      <c r="AI223" s="1" t="s">
        <v>126</v>
      </c>
      <c r="AJ223" s="1" t="s">
        <v>126</v>
      </c>
      <c r="AK223" s="1" t="s">
        <v>126</v>
      </c>
      <c r="AL223" s="1" t="s">
        <v>126</v>
      </c>
      <c r="AM223" s="377"/>
    </row>
    <row r="224" spans="1:39">
      <c r="A224" s="221" t="s">
        <v>515</v>
      </c>
      <c r="B224" s="69" t="s">
        <v>516</v>
      </c>
      <c r="C224" s="23">
        <v>1</v>
      </c>
      <c r="D224" s="34" t="s">
        <v>140</v>
      </c>
      <c r="E224" s="31"/>
      <c r="F224" s="19"/>
      <c r="G224" s="24">
        <v>382.62</v>
      </c>
      <c r="H224" s="149"/>
      <c r="I224" s="152"/>
      <c r="J224" s="152"/>
      <c r="K224" s="73"/>
      <c r="L224" s="152"/>
      <c r="M224" s="631" t="s">
        <v>141</v>
      </c>
      <c r="N224" s="360" t="s">
        <v>142</v>
      </c>
      <c r="O224" s="365" t="s">
        <v>517</v>
      </c>
      <c r="P224" s="1" t="str">
        <f t="shared" si="44"/>
        <v/>
      </c>
      <c r="Q224" s="1" t="str">
        <f t="shared" si="44"/>
        <v/>
      </c>
      <c r="R224" s="1" t="str">
        <f t="shared" si="44"/>
        <v/>
      </c>
      <c r="S224" s="1" t="str">
        <f t="shared" si="44"/>
        <v/>
      </c>
      <c r="T224" s="221" t="s">
        <v>515</v>
      </c>
      <c r="U224" s="69" t="s">
        <v>516</v>
      </c>
      <c r="V224" s="23">
        <v>1</v>
      </c>
      <c r="W224" s="34" t="s">
        <v>140</v>
      </c>
      <c r="X224" s="31"/>
      <c r="Y224" s="19"/>
      <c r="Z224" s="24">
        <v>382.62</v>
      </c>
      <c r="AA224" s="149"/>
      <c r="AB224" s="152"/>
      <c r="AC224" s="152"/>
      <c r="AD224" s="73"/>
      <c r="AE224" s="152"/>
      <c r="AF224" s="631" t="s">
        <v>141</v>
      </c>
      <c r="AG224" s="360" t="s">
        <v>142</v>
      </c>
      <c r="AH224" s="365" t="s">
        <v>517</v>
      </c>
      <c r="AI224" s="1" t="s">
        <v>126</v>
      </c>
      <c r="AJ224" s="1" t="s">
        <v>126</v>
      </c>
      <c r="AK224" s="1" t="s">
        <v>126</v>
      </c>
      <c r="AL224" s="1" t="s">
        <v>126</v>
      </c>
      <c r="AM224" s="377"/>
    </row>
    <row r="225" spans="1:39">
      <c r="A225" s="221" t="s">
        <v>518</v>
      </c>
      <c r="B225" s="69" t="s">
        <v>519</v>
      </c>
      <c r="C225" s="23">
        <v>1</v>
      </c>
      <c r="D225" s="34" t="s">
        <v>140</v>
      </c>
      <c r="E225" s="31"/>
      <c r="F225" s="19"/>
      <c r="G225" s="24">
        <v>411.42</v>
      </c>
      <c r="H225" s="149"/>
      <c r="I225" s="152"/>
      <c r="J225" s="152"/>
      <c r="K225" s="73"/>
      <c r="L225" s="152"/>
      <c r="M225" s="631" t="s">
        <v>141</v>
      </c>
      <c r="N225" s="360" t="s">
        <v>142</v>
      </c>
      <c r="O225" s="365" t="s">
        <v>143</v>
      </c>
      <c r="P225" s="1" t="str">
        <f t="shared" si="44"/>
        <v/>
      </c>
      <c r="Q225" s="1" t="str">
        <f t="shared" si="44"/>
        <v/>
      </c>
      <c r="R225" s="1" t="str">
        <f t="shared" si="44"/>
        <v/>
      </c>
      <c r="S225" s="1" t="str">
        <f t="shared" si="44"/>
        <v/>
      </c>
      <c r="T225" s="221" t="s">
        <v>518</v>
      </c>
      <c r="U225" s="69" t="s">
        <v>519</v>
      </c>
      <c r="V225" s="23">
        <v>1</v>
      </c>
      <c r="W225" s="34" t="s">
        <v>140</v>
      </c>
      <c r="X225" s="31"/>
      <c r="Y225" s="19"/>
      <c r="Z225" s="24">
        <v>411.42</v>
      </c>
      <c r="AA225" s="149"/>
      <c r="AB225" s="152"/>
      <c r="AC225" s="152"/>
      <c r="AD225" s="73"/>
      <c r="AE225" s="152"/>
      <c r="AF225" s="631" t="s">
        <v>141</v>
      </c>
      <c r="AG225" s="360" t="s">
        <v>142</v>
      </c>
      <c r="AH225" s="365" t="s">
        <v>143</v>
      </c>
      <c r="AI225" s="1" t="s">
        <v>126</v>
      </c>
      <c r="AJ225" s="1" t="s">
        <v>126</v>
      </c>
      <c r="AK225" s="1" t="s">
        <v>126</v>
      </c>
      <c r="AL225" s="1" t="s">
        <v>126</v>
      </c>
      <c r="AM225" s="377"/>
    </row>
    <row r="226" spans="1:39" s="329" customFormat="1" ht="24.95" customHeight="1">
      <c r="A226" s="448" t="s">
        <v>520</v>
      </c>
      <c r="B226" s="449"/>
      <c r="C226" s="450"/>
      <c r="D226" s="451"/>
      <c r="E226" s="451"/>
      <c r="F226" s="452"/>
      <c r="G226" s="453"/>
      <c r="H226" s="453"/>
      <c r="I226" s="454"/>
      <c r="J226" s="454"/>
      <c r="K226" s="453"/>
      <c r="L226" s="454"/>
      <c r="M226" s="629"/>
      <c r="N226" s="455"/>
      <c r="O226" s="454"/>
      <c r="P226" s="454"/>
      <c r="Q226" s="454"/>
      <c r="R226" s="454"/>
      <c r="S226" s="456"/>
      <c r="T226" s="448" t="s">
        <v>521</v>
      </c>
      <c r="U226" s="449"/>
      <c r="V226" s="450"/>
      <c r="W226" s="451"/>
      <c r="X226" s="451"/>
      <c r="Y226" s="452"/>
      <c r="Z226" s="453"/>
      <c r="AA226" s="453"/>
      <c r="AB226" s="454"/>
      <c r="AC226" s="454"/>
      <c r="AD226" s="453"/>
      <c r="AE226" s="454"/>
      <c r="AF226" s="629"/>
      <c r="AG226" s="455"/>
      <c r="AH226" s="454"/>
      <c r="AI226" s="454"/>
      <c r="AJ226" s="454"/>
      <c r="AK226" s="454"/>
      <c r="AL226" s="456"/>
      <c r="AM226" s="373"/>
    </row>
    <row r="227" spans="1:39" s="90" customFormat="1">
      <c r="A227" s="223" t="s">
        <v>522</v>
      </c>
      <c r="B227" s="392" t="s">
        <v>523</v>
      </c>
      <c r="C227" s="53">
        <v>1</v>
      </c>
      <c r="D227" s="61" t="s">
        <v>118</v>
      </c>
      <c r="E227" s="62">
        <v>581.9</v>
      </c>
      <c r="F227" s="66">
        <v>0.16500000000000001</v>
      </c>
      <c r="G227" s="70">
        <f t="shared" ref="G227:G233" si="45">E227-(E227*F227)</f>
        <v>485.88649999999996</v>
      </c>
      <c r="H227" s="70" t="s">
        <v>524</v>
      </c>
      <c r="I227" s="63">
        <v>57.6</v>
      </c>
      <c r="J227" s="63">
        <f>G227+I227</f>
        <v>543.48649999999998</v>
      </c>
      <c r="K227" s="63" t="s">
        <v>120</v>
      </c>
      <c r="L227" s="63">
        <v>0.6</v>
      </c>
      <c r="M227" s="630" t="s">
        <v>525</v>
      </c>
      <c r="N227" s="383" t="s">
        <v>526</v>
      </c>
      <c r="O227" s="384" t="s">
        <v>527</v>
      </c>
      <c r="P227" s="90">
        <f t="shared" ref="P227:S229" si="46">+IF($J227&lt;&gt;"",P$2*$J227,"")</f>
        <v>109.40858648279793</v>
      </c>
      <c r="Q227" s="90">
        <f t="shared" si="46"/>
        <v>56.860349043016043</v>
      </c>
      <c r="R227" s="90">
        <f t="shared" si="46"/>
        <v>41.295978851565692</v>
      </c>
      <c r="S227" s="90">
        <f t="shared" si="46"/>
        <v>35.635802566865792</v>
      </c>
      <c r="T227" s="223" t="s">
        <v>522</v>
      </c>
      <c r="U227" s="392" t="s">
        <v>523</v>
      </c>
      <c r="V227" s="53">
        <v>1</v>
      </c>
      <c r="W227" s="61" t="s">
        <v>118</v>
      </c>
      <c r="X227" s="62">
        <v>581.9</v>
      </c>
      <c r="Y227" s="66">
        <v>0.16500000000000001</v>
      </c>
      <c r="Z227" s="70">
        <v>485.88649999999996</v>
      </c>
      <c r="AA227" s="70" t="s">
        <v>524</v>
      </c>
      <c r="AB227" s="63">
        <v>57.6</v>
      </c>
      <c r="AC227" s="63">
        <v>543.48649999999998</v>
      </c>
      <c r="AD227" s="63" t="s">
        <v>120</v>
      </c>
      <c r="AE227" s="63">
        <v>0.6</v>
      </c>
      <c r="AF227" s="630" t="s">
        <v>525</v>
      </c>
      <c r="AG227" s="383" t="s">
        <v>526</v>
      </c>
      <c r="AH227" s="384" t="s">
        <v>527</v>
      </c>
      <c r="AI227" s="90">
        <v>109.40858648279793</v>
      </c>
      <c r="AJ227" s="90">
        <v>56.860349043016043</v>
      </c>
      <c r="AK227" s="90">
        <v>41.295978851565692</v>
      </c>
      <c r="AL227" s="90">
        <v>35.635802566865792</v>
      </c>
      <c r="AM227" s="382"/>
    </row>
    <row r="228" spans="1:39">
      <c r="A228" s="241" t="s">
        <v>528</v>
      </c>
      <c r="B228" s="386" t="s">
        <v>529</v>
      </c>
      <c r="C228" s="239">
        <v>1</v>
      </c>
      <c r="D228" s="67" t="s">
        <v>118</v>
      </c>
      <c r="E228" s="224">
        <v>191.67</v>
      </c>
      <c r="F228" s="283">
        <f t="shared" ref="F228:F233" si="47">rv_mm_eg_cto</f>
        <v>0.16500000000000001</v>
      </c>
      <c r="G228" s="85">
        <f t="shared" si="45"/>
        <v>160.04444999999998</v>
      </c>
      <c r="H228" s="85"/>
      <c r="I228" s="282"/>
      <c r="J228" s="282"/>
      <c r="K228" s="246"/>
      <c r="L228" s="282"/>
      <c r="M228" s="631" t="s">
        <v>525</v>
      </c>
      <c r="N228" s="359" t="s">
        <v>526</v>
      </c>
      <c r="O228" s="363" t="s">
        <v>527</v>
      </c>
      <c r="P228" s="1" t="str">
        <f t="shared" si="46"/>
        <v/>
      </c>
      <c r="Q228" s="1" t="str">
        <f t="shared" si="46"/>
        <v/>
      </c>
      <c r="R228" s="1" t="str">
        <f t="shared" si="46"/>
        <v/>
      </c>
      <c r="S228" s="1" t="str">
        <f t="shared" si="46"/>
        <v/>
      </c>
      <c r="T228" s="241" t="s">
        <v>528</v>
      </c>
      <c r="U228" s="386" t="s">
        <v>529</v>
      </c>
      <c r="V228" s="239">
        <v>1</v>
      </c>
      <c r="W228" s="67" t="s">
        <v>118</v>
      </c>
      <c r="X228" s="224">
        <v>191.67</v>
      </c>
      <c r="Y228" s="283">
        <v>0.16500000000000001</v>
      </c>
      <c r="Z228" s="85">
        <v>160.04444999999998</v>
      </c>
      <c r="AA228" s="85"/>
      <c r="AB228" s="282"/>
      <c r="AC228" s="282"/>
      <c r="AD228" s="246"/>
      <c r="AE228" s="282"/>
      <c r="AF228" s="631" t="s">
        <v>525</v>
      </c>
      <c r="AG228" s="359" t="s">
        <v>526</v>
      </c>
      <c r="AH228" s="363" t="s">
        <v>527</v>
      </c>
      <c r="AI228" s="1" t="s">
        <v>126</v>
      </c>
      <c r="AJ228" s="1" t="s">
        <v>126</v>
      </c>
      <c r="AK228" s="1" t="s">
        <v>126</v>
      </c>
      <c r="AL228" s="1" t="s">
        <v>126</v>
      </c>
      <c r="AM228" s="374"/>
    </row>
    <row r="229" spans="1:39">
      <c r="A229" s="241" t="s">
        <v>530</v>
      </c>
      <c r="B229" s="386" t="s">
        <v>531</v>
      </c>
      <c r="C229" s="239">
        <v>1</v>
      </c>
      <c r="D229" s="67" t="s">
        <v>118</v>
      </c>
      <c r="E229" s="224">
        <v>383.33</v>
      </c>
      <c r="F229" s="283">
        <f t="shared" si="47"/>
        <v>0.16500000000000001</v>
      </c>
      <c r="G229" s="85">
        <f t="shared" ref="G229" si="48">E229-(E229*F229)</f>
        <v>320.08054999999996</v>
      </c>
      <c r="H229" s="85"/>
      <c r="I229" s="282"/>
      <c r="J229" s="282"/>
      <c r="K229" s="246"/>
      <c r="L229" s="282"/>
      <c r="M229" s="631" t="s">
        <v>525</v>
      </c>
      <c r="N229" s="359" t="s">
        <v>526</v>
      </c>
      <c r="O229" s="363" t="s">
        <v>527</v>
      </c>
      <c r="P229" s="1" t="str">
        <f t="shared" si="46"/>
        <v/>
      </c>
      <c r="Q229" s="1" t="str">
        <f t="shared" si="46"/>
        <v/>
      </c>
      <c r="R229" s="1" t="str">
        <f t="shared" si="46"/>
        <v/>
      </c>
      <c r="S229" s="1" t="str">
        <f t="shared" si="46"/>
        <v/>
      </c>
      <c r="T229" s="241" t="s">
        <v>530</v>
      </c>
      <c r="U229" s="386" t="s">
        <v>531</v>
      </c>
      <c r="V229" s="239">
        <v>1</v>
      </c>
      <c r="W229" s="67" t="s">
        <v>118</v>
      </c>
      <c r="X229" s="224">
        <v>383.33</v>
      </c>
      <c r="Y229" s="283">
        <v>0.16500000000000001</v>
      </c>
      <c r="Z229" s="85">
        <v>320.08054999999996</v>
      </c>
      <c r="AA229" s="85"/>
      <c r="AB229" s="282"/>
      <c r="AC229" s="282"/>
      <c r="AD229" s="246"/>
      <c r="AE229" s="282"/>
      <c r="AF229" s="631" t="s">
        <v>525</v>
      </c>
      <c r="AG229" s="359" t="s">
        <v>526</v>
      </c>
      <c r="AH229" s="363" t="s">
        <v>527</v>
      </c>
      <c r="AI229" s="1" t="s">
        <v>126</v>
      </c>
      <c r="AJ229" s="1" t="s">
        <v>126</v>
      </c>
      <c r="AK229" s="1" t="s">
        <v>126</v>
      </c>
      <c r="AL229" s="1" t="s">
        <v>126</v>
      </c>
      <c r="AM229" s="374"/>
    </row>
    <row r="230" spans="1:39">
      <c r="A230" s="241" t="s">
        <v>532</v>
      </c>
      <c r="B230" s="238" t="s">
        <v>533</v>
      </c>
      <c r="C230" s="239">
        <v>1</v>
      </c>
      <c r="D230" s="67" t="s">
        <v>118</v>
      </c>
      <c r="E230" s="224">
        <v>191.67</v>
      </c>
      <c r="F230" s="283">
        <f t="shared" si="47"/>
        <v>0.16500000000000001</v>
      </c>
      <c r="G230" s="85">
        <f t="shared" si="45"/>
        <v>160.04444999999998</v>
      </c>
      <c r="H230" s="85"/>
      <c r="I230" s="282"/>
      <c r="J230" s="282"/>
      <c r="K230" s="246"/>
      <c r="L230" s="282"/>
      <c r="M230" s="631" t="s">
        <v>525</v>
      </c>
      <c r="N230" s="359" t="s">
        <v>526</v>
      </c>
      <c r="O230" s="363" t="s">
        <v>527</v>
      </c>
      <c r="P230" s="1" t="str">
        <f t="shared" ref="P230:S241" si="49">+IF($J230&lt;&gt;"",P$2*$J230,"")</f>
        <v/>
      </c>
      <c r="Q230" s="1" t="str">
        <f t="shared" si="49"/>
        <v/>
      </c>
      <c r="R230" s="1" t="str">
        <f t="shared" si="49"/>
        <v/>
      </c>
      <c r="S230" s="1" t="str">
        <f t="shared" si="49"/>
        <v/>
      </c>
      <c r="T230" s="241" t="s">
        <v>532</v>
      </c>
      <c r="U230" s="238" t="s">
        <v>533</v>
      </c>
      <c r="V230" s="239">
        <v>1</v>
      </c>
      <c r="W230" s="67" t="s">
        <v>118</v>
      </c>
      <c r="X230" s="224">
        <v>191.67</v>
      </c>
      <c r="Y230" s="283">
        <v>0.16500000000000001</v>
      </c>
      <c r="Z230" s="85">
        <v>160.04444999999998</v>
      </c>
      <c r="AA230" s="85"/>
      <c r="AB230" s="282"/>
      <c r="AC230" s="282"/>
      <c r="AD230" s="246"/>
      <c r="AE230" s="282"/>
      <c r="AF230" s="631" t="s">
        <v>525</v>
      </c>
      <c r="AG230" s="359" t="s">
        <v>526</v>
      </c>
      <c r="AH230" s="363" t="s">
        <v>527</v>
      </c>
      <c r="AI230" s="1" t="s">
        <v>126</v>
      </c>
      <c r="AJ230" s="1" t="s">
        <v>126</v>
      </c>
      <c r="AK230" s="1" t="s">
        <v>126</v>
      </c>
      <c r="AL230" s="1" t="s">
        <v>126</v>
      </c>
      <c r="AM230" s="374"/>
    </row>
    <row r="231" spans="1:39">
      <c r="A231" s="241" t="s">
        <v>534</v>
      </c>
      <c r="B231" s="238" t="s">
        <v>535</v>
      </c>
      <c r="C231" s="239">
        <v>1</v>
      </c>
      <c r="D231" s="67" t="s">
        <v>118</v>
      </c>
      <c r="E231" s="224">
        <v>383.33</v>
      </c>
      <c r="F231" s="283">
        <f t="shared" si="47"/>
        <v>0.16500000000000001</v>
      </c>
      <c r="G231" s="85">
        <f t="shared" si="45"/>
        <v>320.08054999999996</v>
      </c>
      <c r="H231" s="85"/>
      <c r="I231" s="282"/>
      <c r="J231" s="282"/>
      <c r="K231" s="246"/>
      <c r="L231" s="282"/>
      <c r="M231" s="631" t="s">
        <v>525</v>
      </c>
      <c r="N231" s="359" t="s">
        <v>526</v>
      </c>
      <c r="O231" s="363" t="s">
        <v>527</v>
      </c>
      <c r="P231" s="1" t="str">
        <f t="shared" si="49"/>
        <v/>
      </c>
      <c r="Q231" s="1" t="str">
        <f t="shared" si="49"/>
        <v/>
      </c>
      <c r="R231" s="1" t="str">
        <f t="shared" si="49"/>
        <v/>
      </c>
      <c r="S231" s="1" t="str">
        <f t="shared" si="49"/>
        <v/>
      </c>
      <c r="T231" s="241" t="s">
        <v>534</v>
      </c>
      <c r="U231" s="238" t="s">
        <v>535</v>
      </c>
      <c r="V231" s="239">
        <v>1</v>
      </c>
      <c r="W231" s="67" t="s">
        <v>118</v>
      </c>
      <c r="X231" s="224">
        <v>383.33</v>
      </c>
      <c r="Y231" s="283">
        <v>0.16500000000000001</v>
      </c>
      <c r="Z231" s="85">
        <v>320.08054999999996</v>
      </c>
      <c r="AA231" s="85"/>
      <c r="AB231" s="282"/>
      <c r="AC231" s="282"/>
      <c r="AD231" s="246"/>
      <c r="AE231" s="282"/>
      <c r="AF231" s="631" t="s">
        <v>525</v>
      </c>
      <c r="AG231" s="359" t="s">
        <v>526</v>
      </c>
      <c r="AH231" s="363" t="s">
        <v>527</v>
      </c>
      <c r="AI231" s="1" t="s">
        <v>126</v>
      </c>
      <c r="AJ231" s="1" t="s">
        <v>126</v>
      </c>
      <c r="AK231" s="1" t="s">
        <v>126</v>
      </c>
      <c r="AL231" s="1" t="s">
        <v>126</v>
      </c>
      <c r="AM231" s="374"/>
    </row>
    <row r="232" spans="1:39">
      <c r="A232" s="241" t="s">
        <v>536</v>
      </c>
      <c r="B232" s="238" t="s">
        <v>537</v>
      </c>
      <c r="C232" s="239">
        <v>1</v>
      </c>
      <c r="D232" s="67" t="s">
        <v>118</v>
      </c>
      <c r="E232" s="224">
        <v>766.67</v>
      </c>
      <c r="F232" s="283">
        <f t="shared" si="47"/>
        <v>0.16500000000000001</v>
      </c>
      <c r="G232" s="85">
        <f t="shared" si="45"/>
        <v>640.16944999999998</v>
      </c>
      <c r="H232" s="85"/>
      <c r="I232" s="282"/>
      <c r="J232" s="282"/>
      <c r="K232" s="246"/>
      <c r="L232" s="282"/>
      <c r="M232" s="631" t="s">
        <v>525</v>
      </c>
      <c r="N232" s="359" t="s">
        <v>526</v>
      </c>
      <c r="O232" s="363" t="s">
        <v>527</v>
      </c>
      <c r="P232" s="1" t="str">
        <f t="shared" si="49"/>
        <v/>
      </c>
      <c r="Q232" s="1" t="str">
        <f t="shared" si="49"/>
        <v/>
      </c>
      <c r="R232" s="1" t="str">
        <f t="shared" si="49"/>
        <v/>
      </c>
      <c r="S232" s="1" t="str">
        <f t="shared" si="49"/>
        <v/>
      </c>
      <c r="T232" s="241" t="s">
        <v>536</v>
      </c>
      <c r="U232" s="238" t="s">
        <v>537</v>
      </c>
      <c r="V232" s="239">
        <v>1</v>
      </c>
      <c r="W232" s="67" t="s">
        <v>118</v>
      </c>
      <c r="X232" s="224">
        <v>766.67</v>
      </c>
      <c r="Y232" s="283">
        <v>0.16500000000000001</v>
      </c>
      <c r="Z232" s="85">
        <v>640.16944999999998</v>
      </c>
      <c r="AA232" s="85"/>
      <c r="AB232" s="282"/>
      <c r="AC232" s="282"/>
      <c r="AD232" s="246"/>
      <c r="AE232" s="282"/>
      <c r="AF232" s="631" t="s">
        <v>525</v>
      </c>
      <c r="AG232" s="359" t="s">
        <v>526</v>
      </c>
      <c r="AH232" s="363" t="s">
        <v>527</v>
      </c>
      <c r="AI232" s="1" t="s">
        <v>126</v>
      </c>
      <c r="AJ232" s="1" t="s">
        <v>126</v>
      </c>
      <c r="AK232" s="1" t="s">
        <v>126</v>
      </c>
      <c r="AL232" s="1" t="s">
        <v>126</v>
      </c>
      <c r="AM232" s="374"/>
    </row>
    <row r="233" spans="1:39">
      <c r="A233" s="241" t="s">
        <v>538</v>
      </c>
      <c r="B233" s="238" t="s">
        <v>539</v>
      </c>
      <c r="C233" s="239">
        <v>1</v>
      </c>
      <c r="D233" s="67" t="s">
        <v>118</v>
      </c>
      <c r="E233" s="224">
        <v>95.83</v>
      </c>
      <c r="F233" s="283">
        <f t="shared" si="47"/>
        <v>0.16500000000000001</v>
      </c>
      <c r="G233" s="85">
        <f t="shared" si="45"/>
        <v>80.018050000000002</v>
      </c>
      <c r="H233" s="85"/>
      <c r="I233" s="282"/>
      <c r="J233" s="282"/>
      <c r="K233" s="246"/>
      <c r="L233" s="282"/>
      <c r="M233" s="631" t="s">
        <v>525</v>
      </c>
      <c r="N233" s="359" t="s">
        <v>526</v>
      </c>
      <c r="O233" s="363" t="s">
        <v>527</v>
      </c>
      <c r="P233" s="1" t="str">
        <f t="shared" si="49"/>
        <v/>
      </c>
      <c r="Q233" s="1" t="str">
        <f t="shared" si="49"/>
        <v/>
      </c>
      <c r="R233" s="1" t="str">
        <f t="shared" si="49"/>
        <v/>
      </c>
      <c r="S233" s="1" t="str">
        <f t="shared" si="49"/>
        <v/>
      </c>
      <c r="T233" s="241" t="s">
        <v>538</v>
      </c>
      <c r="U233" s="238" t="s">
        <v>539</v>
      </c>
      <c r="V233" s="239">
        <v>1</v>
      </c>
      <c r="W233" s="67" t="s">
        <v>118</v>
      </c>
      <c r="X233" s="224">
        <v>95.83</v>
      </c>
      <c r="Y233" s="283">
        <v>0.16500000000000001</v>
      </c>
      <c r="Z233" s="85">
        <v>80.018050000000002</v>
      </c>
      <c r="AA233" s="85"/>
      <c r="AB233" s="282"/>
      <c r="AC233" s="282"/>
      <c r="AD233" s="246"/>
      <c r="AE233" s="282"/>
      <c r="AF233" s="631" t="s">
        <v>525</v>
      </c>
      <c r="AG233" s="359" t="s">
        <v>526</v>
      </c>
      <c r="AH233" s="363" t="s">
        <v>527</v>
      </c>
      <c r="AI233" s="1" t="s">
        <v>126</v>
      </c>
      <c r="AJ233" s="1" t="s">
        <v>126</v>
      </c>
      <c r="AK233" s="1" t="s">
        <v>126</v>
      </c>
      <c r="AL233" s="1" t="s">
        <v>126</v>
      </c>
      <c r="AM233" s="374"/>
    </row>
    <row r="234" spans="1:39" s="90" customFormat="1">
      <c r="A234" s="393" t="s">
        <v>540</v>
      </c>
      <c r="B234" s="52" t="s">
        <v>541</v>
      </c>
      <c r="C234" s="394">
        <v>1</v>
      </c>
      <c r="D234" s="65" t="s">
        <v>118</v>
      </c>
      <c r="E234" s="62">
        <v>1290.23</v>
      </c>
      <c r="F234" s="66">
        <f>rv_mm_hg</f>
        <v>0.16500000000000001</v>
      </c>
      <c r="G234" s="70">
        <f t="shared" ref="G234:G241" si="50">E234-(E234*F234)</f>
        <v>1077.34205</v>
      </c>
      <c r="H234" s="70" t="s">
        <v>542</v>
      </c>
      <c r="I234" s="63">
        <f>mm_5pl</f>
        <v>57.6</v>
      </c>
      <c r="J234" s="63">
        <f>G234+I234</f>
        <v>1134.9420499999999</v>
      </c>
      <c r="K234" s="63" t="s">
        <v>120</v>
      </c>
      <c r="L234" s="63">
        <v>0.6</v>
      </c>
      <c r="M234" s="630" t="s">
        <v>543</v>
      </c>
      <c r="N234" s="380" t="s">
        <v>526</v>
      </c>
      <c r="O234" s="381" t="s">
        <v>527</v>
      </c>
      <c r="P234" s="90">
        <f t="shared" si="49"/>
        <v>228.47376232967878</v>
      </c>
      <c r="Q234" s="90">
        <f t="shared" si="49"/>
        <v>118.73928994850132</v>
      </c>
      <c r="R234" s="90">
        <f t="shared" si="49"/>
        <v>86.236811575913322</v>
      </c>
      <c r="S234" s="90">
        <f t="shared" si="49"/>
        <v>74.416882146353075</v>
      </c>
      <c r="T234" s="393" t="s">
        <v>540</v>
      </c>
      <c r="U234" s="52" t="s">
        <v>541</v>
      </c>
      <c r="V234" s="394">
        <v>1</v>
      </c>
      <c r="W234" s="65" t="s">
        <v>118</v>
      </c>
      <c r="X234" s="62">
        <v>1290.23</v>
      </c>
      <c r="Y234" s="66">
        <v>0.16500000000000001</v>
      </c>
      <c r="Z234" s="70">
        <v>1077.34205</v>
      </c>
      <c r="AA234" s="70" t="s">
        <v>542</v>
      </c>
      <c r="AB234" s="63">
        <v>57.6</v>
      </c>
      <c r="AC234" s="63">
        <v>1134.9420499999999</v>
      </c>
      <c r="AD234" s="63" t="s">
        <v>120</v>
      </c>
      <c r="AE234" s="63">
        <v>0.6</v>
      </c>
      <c r="AF234" s="630" t="s">
        <v>543</v>
      </c>
      <c r="AG234" s="380" t="s">
        <v>526</v>
      </c>
      <c r="AH234" s="381" t="s">
        <v>527</v>
      </c>
      <c r="AI234" s="90">
        <v>228.47376232967878</v>
      </c>
      <c r="AJ234" s="90">
        <v>118.73928994850132</v>
      </c>
      <c r="AK234" s="90">
        <v>86.236811575913322</v>
      </c>
      <c r="AL234" s="90">
        <v>74.416882146353075</v>
      </c>
      <c r="AM234" s="382"/>
    </row>
    <row r="235" spans="1:39">
      <c r="A235" s="241" t="s">
        <v>544</v>
      </c>
      <c r="B235" s="238" t="s">
        <v>545</v>
      </c>
      <c r="C235" s="239">
        <v>1</v>
      </c>
      <c r="D235" s="67" t="s">
        <v>118</v>
      </c>
      <c r="E235" s="224">
        <v>287.5</v>
      </c>
      <c r="F235" s="283">
        <f t="shared" ref="F235:F241" si="51">rv_mm_hg_cto</f>
        <v>0.16500000000000001</v>
      </c>
      <c r="G235" s="85">
        <f t="shared" si="50"/>
        <v>240.0625</v>
      </c>
      <c r="H235" s="85"/>
      <c r="I235" s="282"/>
      <c r="J235" s="282"/>
      <c r="K235" s="246"/>
      <c r="L235" s="282"/>
      <c r="M235" s="631" t="s">
        <v>543</v>
      </c>
      <c r="N235" s="359" t="s">
        <v>526</v>
      </c>
      <c r="O235" s="363" t="s">
        <v>527</v>
      </c>
      <c r="P235" s="1" t="str">
        <f t="shared" si="49"/>
        <v/>
      </c>
      <c r="Q235" s="1" t="str">
        <f t="shared" si="49"/>
        <v/>
      </c>
      <c r="R235" s="1" t="str">
        <f t="shared" si="49"/>
        <v/>
      </c>
      <c r="S235" s="1" t="str">
        <f t="shared" si="49"/>
        <v/>
      </c>
      <c r="T235" s="241" t="s">
        <v>544</v>
      </c>
      <c r="U235" s="238" t="s">
        <v>545</v>
      </c>
      <c r="V235" s="239">
        <v>1</v>
      </c>
      <c r="W235" s="67" t="s">
        <v>118</v>
      </c>
      <c r="X235" s="224">
        <v>287.5</v>
      </c>
      <c r="Y235" s="283">
        <v>0.16500000000000001</v>
      </c>
      <c r="Z235" s="85">
        <v>240.0625</v>
      </c>
      <c r="AA235" s="85"/>
      <c r="AB235" s="282"/>
      <c r="AC235" s="282"/>
      <c r="AD235" s="246"/>
      <c r="AE235" s="282"/>
      <c r="AF235" s="631" t="s">
        <v>543</v>
      </c>
      <c r="AG235" s="359" t="s">
        <v>526</v>
      </c>
      <c r="AH235" s="363" t="s">
        <v>527</v>
      </c>
      <c r="AI235" s="1" t="s">
        <v>126</v>
      </c>
      <c r="AJ235" s="1" t="s">
        <v>126</v>
      </c>
      <c r="AK235" s="1" t="s">
        <v>126</v>
      </c>
      <c r="AL235" s="1" t="s">
        <v>126</v>
      </c>
      <c r="AM235" s="374"/>
    </row>
    <row r="236" spans="1:39">
      <c r="A236" s="241" t="s">
        <v>546</v>
      </c>
      <c r="B236" s="238" t="s">
        <v>547</v>
      </c>
      <c r="C236" s="239">
        <v>1</v>
      </c>
      <c r="D236" s="67" t="s">
        <v>118</v>
      </c>
      <c r="E236" s="224">
        <v>383.33</v>
      </c>
      <c r="F236" s="283">
        <f t="shared" si="51"/>
        <v>0.16500000000000001</v>
      </c>
      <c r="G236" s="85">
        <f t="shared" si="50"/>
        <v>320.08054999999996</v>
      </c>
      <c r="H236" s="85"/>
      <c r="I236" s="282"/>
      <c r="J236" s="282"/>
      <c r="K236" s="246"/>
      <c r="L236" s="282"/>
      <c r="M236" s="631" t="s">
        <v>543</v>
      </c>
      <c r="N236" s="359" t="s">
        <v>526</v>
      </c>
      <c r="O236" s="363" t="s">
        <v>527</v>
      </c>
      <c r="P236" s="1" t="str">
        <f t="shared" si="49"/>
        <v/>
      </c>
      <c r="Q236" s="1" t="str">
        <f t="shared" si="49"/>
        <v/>
      </c>
      <c r="R236" s="1" t="str">
        <f t="shared" si="49"/>
        <v/>
      </c>
      <c r="S236" s="1" t="str">
        <f t="shared" si="49"/>
        <v/>
      </c>
      <c r="T236" s="241" t="s">
        <v>546</v>
      </c>
      <c r="U236" s="238" t="s">
        <v>547</v>
      </c>
      <c r="V236" s="239">
        <v>1</v>
      </c>
      <c r="W236" s="67" t="s">
        <v>118</v>
      </c>
      <c r="X236" s="224">
        <v>383.33</v>
      </c>
      <c r="Y236" s="283">
        <v>0.16500000000000001</v>
      </c>
      <c r="Z236" s="85">
        <v>320.08054999999996</v>
      </c>
      <c r="AA236" s="85"/>
      <c r="AB236" s="282"/>
      <c r="AC236" s="282"/>
      <c r="AD236" s="246"/>
      <c r="AE236" s="282"/>
      <c r="AF236" s="631" t="s">
        <v>543</v>
      </c>
      <c r="AG236" s="359" t="s">
        <v>526</v>
      </c>
      <c r="AH236" s="363" t="s">
        <v>527</v>
      </c>
      <c r="AI236" s="1" t="s">
        <v>126</v>
      </c>
      <c r="AJ236" s="1" t="s">
        <v>126</v>
      </c>
      <c r="AK236" s="1" t="s">
        <v>126</v>
      </c>
      <c r="AL236" s="1" t="s">
        <v>126</v>
      </c>
      <c r="AM236" s="374"/>
    </row>
    <row r="237" spans="1:39">
      <c r="A237" s="241" t="s">
        <v>548</v>
      </c>
      <c r="B237" s="238" t="s">
        <v>549</v>
      </c>
      <c r="C237" s="239">
        <v>1</v>
      </c>
      <c r="D237" s="67" t="s">
        <v>118</v>
      </c>
      <c r="E237" s="224">
        <v>191.67</v>
      </c>
      <c r="F237" s="283">
        <f t="shared" si="51"/>
        <v>0.16500000000000001</v>
      </c>
      <c r="G237" s="85">
        <f t="shared" si="50"/>
        <v>160.04444999999998</v>
      </c>
      <c r="H237" s="85"/>
      <c r="I237" s="282"/>
      <c r="J237" s="282"/>
      <c r="K237" s="246"/>
      <c r="L237" s="282"/>
      <c r="M237" s="631" t="s">
        <v>543</v>
      </c>
      <c r="N237" s="359" t="s">
        <v>526</v>
      </c>
      <c r="O237" s="363" t="s">
        <v>527</v>
      </c>
      <c r="P237" s="1" t="str">
        <f t="shared" si="49"/>
        <v/>
      </c>
      <c r="Q237" s="1" t="str">
        <f t="shared" si="49"/>
        <v/>
      </c>
      <c r="R237" s="1" t="str">
        <f t="shared" si="49"/>
        <v/>
      </c>
      <c r="S237" s="1" t="str">
        <f t="shared" si="49"/>
        <v/>
      </c>
      <c r="T237" s="241" t="s">
        <v>548</v>
      </c>
      <c r="U237" s="238" t="s">
        <v>549</v>
      </c>
      <c r="V237" s="239">
        <v>1</v>
      </c>
      <c r="W237" s="67" t="s">
        <v>118</v>
      </c>
      <c r="X237" s="224">
        <v>191.67</v>
      </c>
      <c r="Y237" s="283">
        <v>0.16500000000000001</v>
      </c>
      <c r="Z237" s="85">
        <v>160.04444999999998</v>
      </c>
      <c r="AA237" s="85"/>
      <c r="AB237" s="282"/>
      <c r="AC237" s="282"/>
      <c r="AD237" s="246"/>
      <c r="AE237" s="282"/>
      <c r="AF237" s="631" t="s">
        <v>543</v>
      </c>
      <c r="AG237" s="359" t="s">
        <v>526</v>
      </c>
      <c r="AH237" s="363" t="s">
        <v>527</v>
      </c>
      <c r="AI237" s="1" t="s">
        <v>126</v>
      </c>
      <c r="AJ237" s="1" t="s">
        <v>126</v>
      </c>
      <c r="AK237" s="1" t="s">
        <v>126</v>
      </c>
      <c r="AL237" s="1" t="s">
        <v>126</v>
      </c>
      <c r="AM237" s="374"/>
    </row>
    <row r="238" spans="1:39">
      <c r="A238" s="241" t="s">
        <v>550</v>
      </c>
      <c r="B238" s="238" t="s">
        <v>551</v>
      </c>
      <c r="C238" s="239">
        <v>1</v>
      </c>
      <c r="D238" s="67" t="s">
        <v>118</v>
      </c>
      <c r="E238" s="224">
        <v>575</v>
      </c>
      <c r="F238" s="283">
        <f t="shared" si="51"/>
        <v>0.16500000000000001</v>
      </c>
      <c r="G238" s="85">
        <f t="shared" si="50"/>
        <v>480.125</v>
      </c>
      <c r="H238" s="85"/>
      <c r="I238" s="282"/>
      <c r="J238" s="282"/>
      <c r="K238" s="246"/>
      <c r="L238" s="282"/>
      <c r="M238" s="631" t="s">
        <v>543</v>
      </c>
      <c r="N238" s="359" t="s">
        <v>526</v>
      </c>
      <c r="O238" s="363" t="s">
        <v>527</v>
      </c>
      <c r="P238" s="1" t="str">
        <f t="shared" si="49"/>
        <v/>
      </c>
      <c r="Q238" s="1" t="str">
        <f t="shared" si="49"/>
        <v/>
      </c>
      <c r="R238" s="1" t="str">
        <f t="shared" si="49"/>
        <v/>
      </c>
      <c r="S238" s="1" t="str">
        <f t="shared" si="49"/>
        <v/>
      </c>
      <c r="T238" s="241" t="s">
        <v>550</v>
      </c>
      <c r="U238" s="238" t="s">
        <v>551</v>
      </c>
      <c r="V238" s="239">
        <v>1</v>
      </c>
      <c r="W238" s="67" t="s">
        <v>118</v>
      </c>
      <c r="X238" s="224">
        <v>575</v>
      </c>
      <c r="Y238" s="283">
        <v>0.16500000000000001</v>
      </c>
      <c r="Z238" s="85">
        <v>480.125</v>
      </c>
      <c r="AA238" s="85"/>
      <c r="AB238" s="282"/>
      <c r="AC238" s="282"/>
      <c r="AD238" s="246"/>
      <c r="AE238" s="282"/>
      <c r="AF238" s="631" t="s">
        <v>543</v>
      </c>
      <c r="AG238" s="359" t="s">
        <v>526</v>
      </c>
      <c r="AH238" s="363" t="s">
        <v>527</v>
      </c>
      <c r="AI238" s="1" t="s">
        <v>126</v>
      </c>
      <c r="AJ238" s="1" t="s">
        <v>126</v>
      </c>
      <c r="AK238" s="1" t="s">
        <v>126</v>
      </c>
      <c r="AL238" s="1" t="s">
        <v>126</v>
      </c>
      <c r="AM238" s="374"/>
    </row>
    <row r="239" spans="1:39">
      <c r="A239" s="241" t="s">
        <v>552</v>
      </c>
      <c r="B239" s="238" t="s">
        <v>553</v>
      </c>
      <c r="C239" s="239">
        <v>1</v>
      </c>
      <c r="D239" s="67" t="s">
        <v>118</v>
      </c>
      <c r="E239" s="224">
        <v>1150</v>
      </c>
      <c r="F239" s="283">
        <f t="shared" si="51"/>
        <v>0.16500000000000001</v>
      </c>
      <c r="G239" s="85">
        <f t="shared" si="50"/>
        <v>960.25</v>
      </c>
      <c r="H239" s="85"/>
      <c r="I239" s="282"/>
      <c r="J239" s="282"/>
      <c r="K239" s="246"/>
      <c r="L239" s="282"/>
      <c r="M239" s="631" t="s">
        <v>543</v>
      </c>
      <c r="N239" s="359" t="s">
        <v>526</v>
      </c>
      <c r="O239" s="363" t="s">
        <v>527</v>
      </c>
      <c r="P239" s="1" t="str">
        <f t="shared" si="49"/>
        <v/>
      </c>
      <c r="Q239" s="1" t="str">
        <f t="shared" si="49"/>
        <v/>
      </c>
      <c r="R239" s="1" t="str">
        <f t="shared" si="49"/>
        <v/>
      </c>
      <c r="S239" s="1" t="str">
        <f t="shared" si="49"/>
        <v/>
      </c>
      <c r="T239" s="241" t="s">
        <v>552</v>
      </c>
      <c r="U239" s="238" t="s">
        <v>553</v>
      </c>
      <c r="V239" s="239">
        <v>1</v>
      </c>
      <c r="W239" s="67" t="s">
        <v>118</v>
      </c>
      <c r="X239" s="224">
        <v>1150</v>
      </c>
      <c r="Y239" s="283">
        <v>0.16500000000000001</v>
      </c>
      <c r="Z239" s="85">
        <v>960.25</v>
      </c>
      <c r="AA239" s="85"/>
      <c r="AB239" s="282"/>
      <c r="AC239" s="282"/>
      <c r="AD239" s="246"/>
      <c r="AE239" s="282"/>
      <c r="AF239" s="631" t="s">
        <v>543</v>
      </c>
      <c r="AG239" s="359" t="s">
        <v>526</v>
      </c>
      <c r="AH239" s="363" t="s">
        <v>527</v>
      </c>
      <c r="AI239" s="1" t="s">
        <v>126</v>
      </c>
      <c r="AJ239" s="1" t="s">
        <v>126</v>
      </c>
      <c r="AK239" s="1" t="s">
        <v>126</v>
      </c>
      <c r="AL239" s="1" t="s">
        <v>126</v>
      </c>
      <c r="AM239" s="374"/>
    </row>
    <row r="240" spans="1:39">
      <c r="A240" s="241" t="s">
        <v>554</v>
      </c>
      <c r="B240" s="238" t="s">
        <v>555</v>
      </c>
      <c r="C240" s="239">
        <v>1</v>
      </c>
      <c r="D240" s="67" t="s">
        <v>118</v>
      </c>
      <c r="E240" s="224">
        <v>2300</v>
      </c>
      <c r="F240" s="283">
        <f t="shared" si="51"/>
        <v>0.16500000000000001</v>
      </c>
      <c r="G240" s="85">
        <f t="shared" si="50"/>
        <v>1920.5</v>
      </c>
      <c r="H240" s="85"/>
      <c r="I240" s="282"/>
      <c r="J240" s="282"/>
      <c r="K240" s="246"/>
      <c r="L240" s="282"/>
      <c r="M240" s="631" t="s">
        <v>543</v>
      </c>
      <c r="N240" s="359" t="s">
        <v>526</v>
      </c>
      <c r="O240" s="363" t="s">
        <v>527</v>
      </c>
      <c r="P240" s="1" t="str">
        <f t="shared" si="49"/>
        <v/>
      </c>
      <c r="Q240" s="1" t="str">
        <f t="shared" si="49"/>
        <v/>
      </c>
      <c r="R240" s="1" t="str">
        <f t="shared" si="49"/>
        <v/>
      </c>
      <c r="S240" s="1" t="str">
        <f t="shared" si="49"/>
        <v/>
      </c>
      <c r="T240" s="241" t="s">
        <v>554</v>
      </c>
      <c r="U240" s="238" t="s">
        <v>555</v>
      </c>
      <c r="V240" s="239">
        <v>1</v>
      </c>
      <c r="W240" s="67" t="s">
        <v>118</v>
      </c>
      <c r="X240" s="224">
        <v>2300</v>
      </c>
      <c r="Y240" s="283">
        <v>0.16500000000000001</v>
      </c>
      <c r="Z240" s="85">
        <v>1920.5</v>
      </c>
      <c r="AA240" s="85"/>
      <c r="AB240" s="282"/>
      <c r="AC240" s="282"/>
      <c r="AD240" s="246"/>
      <c r="AE240" s="282"/>
      <c r="AF240" s="631" t="s">
        <v>543</v>
      </c>
      <c r="AG240" s="359" t="s">
        <v>526</v>
      </c>
      <c r="AH240" s="363" t="s">
        <v>527</v>
      </c>
      <c r="AI240" s="1" t="s">
        <v>126</v>
      </c>
      <c r="AJ240" s="1" t="s">
        <v>126</v>
      </c>
      <c r="AK240" s="1" t="s">
        <v>126</v>
      </c>
      <c r="AL240" s="1" t="s">
        <v>126</v>
      </c>
      <c r="AM240" s="374"/>
    </row>
    <row r="241" spans="1:39">
      <c r="A241" s="241" t="s">
        <v>556</v>
      </c>
      <c r="B241" s="238" t="s">
        <v>557</v>
      </c>
      <c r="C241" s="239">
        <v>1</v>
      </c>
      <c r="D241" s="67" t="s">
        <v>118</v>
      </c>
      <c r="E241" s="224">
        <v>95.83</v>
      </c>
      <c r="F241" s="283">
        <f t="shared" si="51"/>
        <v>0.16500000000000001</v>
      </c>
      <c r="G241" s="85">
        <f t="shared" si="50"/>
        <v>80.018050000000002</v>
      </c>
      <c r="H241" s="85"/>
      <c r="I241" s="282"/>
      <c r="J241" s="282"/>
      <c r="K241" s="246"/>
      <c r="L241" s="282"/>
      <c r="M241" s="631" t="s">
        <v>543</v>
      </c>
      <c r="N241" s="359" t="s">
        <v>526</v>
      </c>
      <c r="O241" s="363" t="s">
        <v>527</v>
      </c>
      <c r="P241" s="1" t="str">
        <f t="shared" si="49"/>
        <v/>
      </c>
      <c r="Q241" s="1" t="str">
        <f t="shared" si="49"/>
        <v/>
      </c>
      <c r="R241" s="1" t="str">
        <f t="shared" si="49"/>
        <v/>
      </c>
      <c r="S241" s="1" t="str">
        <f t="shared" si="49"/>
        <v/>
      </c>
      <c r="T241" s="241" t="s">
        <v>556</v>
      </c>
      <c r="U241" s="238" t="s">
        <v>557</v>
      </c>
      <c r="V241" s="239">
        <v>1</v>
      </c>
      <c r="W241" s="67" t="s">
        <v>118</v>
      </c>
      <c r="X241" s="224">
        <v>95.83</v>
      </c>
      <c r="Y241" s="283">
        <v>0.16500000000000001</v>
      </c>
      <c r="Z241" s="85">
        <v>80.018050000000002</v>
      </c>
      <c r="AA241" s="85"/>
      <c r="AB241" s="282"/>
      <c r="AC241" s="282"/>
      <c r="AD241" s="246"/>
      <c r="AE241" s="282"/>
      <c r="AF241" s="631" t="s">
        <v>543</v>
      </c>
      <c r="AG241" s="359" t="s">
        <v>526</v>
      </c>
      <c r="AH241" s="363" t="s">
        <v>527</v>
      </c>
      <c r="AI241" s="1" t="s">
        <v>126</v>
      </c>
      <c r="AJ241" s="1" t="s">
        <v>126</v>
      </c>
      <c r="AK241" s="1" t="s">
        <v>126</v>
      </c>
      <c r="AL241" s="1" t="s">
        <v>126</v>
      </c>
      <c r="AM241" s="374"/>
    </row>
    <row r="242" spans="1:39" s="77" customFormat="1">
      <c r="A242" s="231" t="s">
        <v>524</v>
      </c>
      <c r="B242" s="58" t="s">
        <v>558</v>
      </c>
      <c r="C242" s="59">
        <v>1</v>
      </c>
      <c r="D242" s="71" t="s">
        <v>140</v>
      </c>
      <c r="E242" s="280">
        <v>68.98</v>
      </c>
      <c r="F242" s="112">
        <v>0.16500000000000001</v>
      </c>
      <c r="G242" s="68">
        <f>E242-(E242*F242)</f>
        <v>57.598300000000002</v>
      </c>
      <c r="H242" s="85"/>
      <c r="I242" s="76"/>
      <c r="J242" s="76"/>
      <c r="K242" s="14"/>
      <c r="L242" s="56"/>
      <c r="M242" s="631" t="s">
        <v>141</v>
      </c>
      <c r="N242" s="359" t="s">
        <v>142</v>
      </c>
      <c r="O242" s="363" t="s">
        <v>559</v>
      </c>
      <c r="P242" s="1" t="str">
        <f t="shared" ref="P242:S308" si="52">+IF($J242&lt;&gt;"",P$2*$J242,"")</f>
        <v/>
      </c>
      <c r="Q242" s="1" t="str">
        <f t="shared" si="52"/>
        <v/>
      </c>
      <c r="R242" s="1" t="str">
        <f t="shared" si="52"/>
        <v/>
      </c>
      <c r="S242" s="1" t="str">
        <f t="shared" si="52"/>
        <v/>
      </c>
      <c r="T242" s="231" t="s">
        <v>524</v>
      </c>
      <c r="U242" s="58" t="s">
        <v>558</v>
      </c>
      <c r="V242" s="59">
        <v>1</v>
      </c>
      <c r="W242" s="71" t="s">
        <v>140</v>
      </c>
      <c r="X242" s="280">
        <v>68.98</v>
      </c>
      <c r="Y242" s="112">
        <v>0.16500000000000001</v>
      </c>
      <c r="Z242" s="68">
        <v>57.598300000000002</v>
      </c>
      <c r="AA242" s="85"/>
      <c r="AB242" s="76"/>
      <c r="AC242" s="76"/>
      <c r="AD242" s="14"/>
      <c r="AE242" s="56"/>
      <c r="AF242" s="631" t="s">
        <v>141</v>
      </c>
      <c r="AG242" s="359" t="s">
        <v>142</v>
      </c>
      <c r="AH242" s="363" t="s">
        <v>559</v>
      </c>
      <c r="AI242" s="1" t="s">
        <v>126</v>
      </c>
      <c r="AJ242" s="1" t="s">
        <v>126</v>
      </c>
      <c r="AK242" s="1" t="s">
        <v>126</v>
      </c>
      <c r="AL242" s="1" t="s">
        <v>126</v>
      </c>
      <c r="AM242" s="374"/>
    </row>
    <row r="243" spans="1:39">
      <c r="A243" s="221" t="s">
        <v>560</v>
      </c>
      <c r="B243" s="69" t="s">
        <v>561</v>
      </c>
      <c r="C243" s="23">
        <v>1</v>
      </c>
      <c r="D243" s="30" t="s">
        <v>140</v>
      </c>
      <c r="E243" s="31"/>
      <c r="F243" s="19"/>
      <c r="G243" s="85">
        <v>9</v>
      </c>
      <c r="H243" s="85"/>
      <c r="I243" s="56"/>
      <c r="J243" s="56"/>
      <c r="K243" s="14"/>
      <c r="L243" s="56"/>
      <c r="M243" s="631" t="s">
        <v>141</v>
      </c>
      <c r="N243" s="359" t="s">
        <v>142</v>
      </c>
      <c r="O243" s="363" t="s">
        <v>559</v>
      </c>
      <c r="P243" s="1" t="str">
        <f t="shared" si="52"/>
        <v/>
      </c>
      <c r="Q243" s="1" t="str">
        <f t="shared" si="52"/>
        <v/>
      </c>
      <c r="R243" s="1" t="str">
        <f t="shared" si="52"/>
        <v/>
      </c>
      <c r="S243" s="1" t="str">
        <f t="shared" si="52"/>
        <v/>
      </c>
      <c r="T243" s="221" t="s">
        <v>560</v>
      </c>
      <c r="U243" s="69" t="s">
        <v>561</v>
      </c>
      <c r="V243" s="23">
        <v>1</v>
      </c>
      <c r="W243" s="30" t="s">
        <v>140</v>
      </c>
      <c r="X243" s="31"/>
      <c r="Y243" s="19"/>
      <c r="Z243" s="85">
        <v>9</v>
      </c>
      <c r="AA243" s="85"/>
      <c r="AB243" s="56"/>
      <c r="AC243" s="56"/>
      <c r="AD243" s="14"/>
      <c r="AE243" s="56"/>
      <c r="AF243" s="631" t="s">
        <v>141</v>
      </c>
      <c r="AG243" s="359" t="s">
        <v>142</v>
      </c>
      <c r="AH243" s="363" t="s">
        <v>559</v>
      </c>
      <c r="AI243" s="1" t="s">
        <v>126</v>
      </c>
      <c r="AJ243" s="1" t="s">
        <v>126</v>
      </c>
      <c r="AK243" s="1" t="s">
        <v>126</v>
      </c>
      <c r="AL243" s="1" t="s">
        <v>126</v>
      </c>
      <c r="AM243" s="374"/>
    </row>
    <row r="244" spans="1:39">
      <c r="A244" s="221" t="s">
        <v>562</v>
      </c>
      <c r="B244" s="69" t="s">
        <v>563</v>
      </c>
      <c r="C244" s="23">
        <v>1</v>
      </c>
      <c r="D244" s="30" t="s">
        <v>140</v>
      </c>
      <c r="E244" s="31"/>
      <c r="F244" s="19"/>
      <c r="G244" s="85">
        <v>14</v>
      </c>
      <c r="H244" s="85"/>
      <c r="I244" s="56"/>
      <c r="J244" s="56"/>
      <c r="K244" s="14"/>
      <c r="L244" s="56"/>
      <c r="M244" s="631" t="s">
        <v>141</v>
      </c>
      <c r="N244" s="359" t="s">
        <v>142</v>
      </c>
      <c r="O244" s="363" t="s">
        <v>559</v>
      </c>
      <c r="P244" s="1" t="str">
        <f t="shared" si="52"/>
        <v/>
      </c>
      <c r="Q244" s="1" t="str">
        <f t="shared" si="52"/>
        <v/>
      </c>
      <c r="R244" s="1" t="str">
        <f t="shared" si="52"/>
        <v/>
      </c>
      <c r="S244" s="1" t="str">
        <f t="shared" si="52"/>
        <v/>
      </c>
      <c r="T244" s="221" t="s">
        <v>562</v>
      </c>
      <c r="U244" s="69" t="s">
        <v>563</v>
      </c>
      <c r="V244" s="23">
        <v>1</v>
      </c>
      <c r="W244" s="30" t="s">
        <v>140</v>
      </c>
      <c r="X244" s="31"/>
      <c r="Y244" s="19"/>
      <c r="Z244" s="85">
        <v>14</v>
      </c>
      <c r="AA244" s="85"/>
      <c r="AB244" s="56"/>
      <c r="AC244" s="56"/>
      <c r="AD244" s="14"/>
      <c r="AE244" s="56"/>
      <c r="AF244" s="631" t="s">
        <v>141</v>
      </c>
      <c r="AG244" s="359" t="s">
        <v>142</v>
      </c>
      <c r="AH244" s="363" t="s">
        <v>559</v>
      </c>
      <c r="AI244" s="1" t="s">
        <v>126</v>
      </c>
      <c r="AJ244" s="1" t="s">
        <v>126</v>
      </c>
      <c r="AK244" s="1" t="s">
        <v>126</v>
      </c>
      <c r="AL244" s="1" t="s">
        <v>126</v>
      </c>
      <c r="AM244" s="374"/>
    </row>
    <row r="245" spans="1:39">
      <c r="A245" s="221" t="s">
        <v>564</v>
      </c>
      <c r="B245" s="69" t="s">
        <v>565</v>
      </c>
      <c r="C245" s="23">
        <v>1</v>
      </c>
      <c r="D245" s="30" t="s">
        <v>140</v>
      </c>
      <c r="E245" s="31"/>
      <c r="F245" s="19"/>
      <c r="G245" s="85">
        <v>19</v>
      </c>
      <c r="H245" s="85"/>
      <c r="I245" s="56"/>
      <c r="J245" s="56"/>
      <c r="K245" s="14"/>
      <c r="L245" s="56"/>
      <c r="M245" s="631" t="s">
        <v>141</v>
      </c>
      <c r="N245" s="359" t="s">
        <v>142</v>
      </c>
      <c r="O245" s="363" t="s">
        <v>559</v>
      </c>
      <c r="P245" s="1" t="str">
        <f t="shared" si="52"/>
        <v/>
      </c>
      <c r="Q245" s="1" t="str">
        <f t="shared" si="52"/>
        <v/>
      </c>
      <c r="R245" s="1" t="str">
        <f t="shared" si="52"/>
        <v/>
      </c>
      <c r="S245" s="1" t="str">
        <f t="shared" si="52"/>
        <v/>
      </c>
      <c r="T245" s="221" t="s">
        <v>564</v>
      </c>
      <c r="U245" s="69" t="s">
        <v>565</v>
      </c>
      <c r="V245" s="23">
        <v>1</v>
      </c>
      <c r="W245" s="30" t="s">
        <v>140</v>
      </c>
      <c r="X245" s="31"/>
      <c r="Y245" s="19"/>
      <c r="Z245" s="85">
        <v>19</v>
      </c>
      <c r="AA245" s="85"/>
      <c r="AB245" s="56"/>
      <c r="AC245" s="56"/>
      <c r="AD245" s="14"/>
      <c r="AE245" s="56"/>
      <c r="AF245" s="631" t="s">
        <v>141</v>
      </c>
      <c r="AG245" s="359" t="s">
        <v>142</v>
      </c>
      <c r="AH245" s="363" t="s">
        <v>559</v>
      </c>
      <c r="AI245" s="1" t="s">
        <v>126</v>
      </c>
      <c r="AJ245" s="1" t="s">
        <v>126</v>
      </c>
      <c r="AK245" s="1" t="s">
        <v>126</v>
      </c>
      <c r="AL245" s="1" t="s">
        <v>126</v>
      </c>
      <c r="AM245" s="374"/>
    </row>
    <row r="246" spans="1:39">
      <c r="A246" s="221" t="s">
        <v>566</v>
      </c>
      <c r="B246" s="69" t="s">
        <v>567</v>
      </c>
      <c r="C246" s="23">
        <v>1</v>
      </c>
      <c r="D246" s="30" t="s">
        <v>140</v>
      </c>
      <c r="E246" s="31"/>
      <c r="F246" s="19"/>
      <c r="G246" s="85">
        <v>21</v>
      </c>
      <c r="H246" s="85"/>
      <c r="I246" s="56"/>
      <c r="J246" s="56"/>
      <c r="K246" s="14"/>
      <c r="L246" s="56"/>
      <c r="M246" s="631" t="s">
        <v>141</v>
      </c>
      <c r="N246" s="359" t="s">
        <v>142</v>
      </c>
      <c r="O246" s="363" t="s">
        <v>559</v>
      </c>
      <c r="P246" s="1" t="str">
        <f t="shared" si="52"/>
        <v/>
      </c>
      <c r="Q246" s="1" t="str">
        <f t="shared" si="52"/>
        <v/>
      </c>
      <c r="R246" s="1" t="str">
        <f t="shared" si="52"/>
        <v/>
      </c>
      <c r="S246" s="1" t="str">
        <f t="shared" si="52"/>
        <v/>
      </c>
      <c r="T246" s="221" t="s">
        <v>566</v>
      </c>
      <c r="U246" s="69" t="s">
        <v>567</v>
      </c>
      <c r="V246" s="23">
        <v>1</v>
      </c>
      <c r="W246" s="30" t="s">
        <v>140</v>
      </c>
      <c r="X246" s="31"/>
      <c r="Y246" s="19"/>
      <c r="Z246" s="85">
        <v>21</v>
      </c>
      <c r="AA246" s="85"/>
      <c r="AB246" s="56"/>
      <c r="AC246" s="56"/>
      <c r="AD246" s="14"/>
      <c r="AE246" s="56"/>
      <c r="AF246" s="631" t="s">
        <v>141</v>
      </c>
      <c r="AG246" s="359" t="s">
        <v>142</v>
      </c>
      <c r="AH246" s="363" t="s">
        <v>559</v>
      </c>
      <c r="AI246" s="1" t="s">
        <v>126</v>
      </c>
      <c r="AJ246" s="1" t="s">
        <v>126</v>
      </c>
      <c r="AK246" s="1" t="s">
        <v>126</v>
      </c>
      <c r="AL246" s="1" t="s">
        <v>126</v>
      </c>
      <c r="AM246" s="374"/>
    </row>
    <row r="247" spans="1:39">
      <c r="A247" s="221" t="s">
        <v>568</v>
      </c>
      <c r="B247" s="69" t="s">
        <v>569</v>
      </c>
      <c r="C247" s="23">
        <v>1</v>
      </c>
      <c r="D247" s="30" t="s">
        <v>140</v>
      </c>
      <c r="E247" s="31"/>
      <c r="F247" s="19"/>
      <c r="G247" s="85">
        <v>24</v>
      </c>
      <c r="H247" s="85"/>
      <c r="I247" s="56"/>
      <c r="J247" s="56"/>
      <c r="K247" s="14"/>
      <c r="L247" s="56"/>
      <c r="M247" s="631" t="s">
        <v>141</v>
      </c>
      <c r="N247" s="359" t="s">
        <v>142</v>
      </c>
      <c r="O247" s="363" t="s">
        <v>559</v>
      </c>
      <c r="P247" s="1" t="str">
        <f t="shared" si="52"/>
        <v/>
      </c>
      <c r="Q247" s="1" t="str">
        <f t="shared" si="52"/>
        <v/>
      </c>
      <c r="R247" s="1" t="str">
        <f t="shared" si="52"/>
        <v/>
      </c>
      <c r="S247" s="1" t="str">
        <f t="shared" si="52"/>
        <v/>
      </c>
      <c r="T247" s="221" t="s">
        <v>568</v>
      </c>
      <c r="U247" s="69" t="s">
        <v>569</v>
      </c>
      <c r="V247" s="23">
        <v>1</v>
      </c>
      <c r="W247" s="30" t="s">
        <v>140</v>
      </c>
      <c r="X247" s="31"/>
      <c r="Y247" s="19"/>
      <c r="Z247" s="85">
        <v>24</v>
      </c>
      <c r="AA247" s="85"/>
      <c r="AB247" s="56"/>
      <c r="AC247" s="56"/>
      <c r="AD247" s="14"/>
      <c r="AE247" s="56"/>
      <c r="AF247" s="631" t="s">
        <v>141</v>
      </c>
      <c r="AG247" s="359" t="s">
        <v>142</v>
      </c>
      <c r="AH247" s="363" t="s">
        <v>559</v>
      </c>
      <c r="AI247" s="1" t="s">
        <v>126</v>
      </c>
      <c r="AJ247" s="1" t="s">
        <v>126</v>
      </c>
      <c r="AK247" s="1" t="s">
        <v>126</v>
      </c>
      <c r="AL247" s="1" t="s">
        <v>126</v>
      </c>
      <c r="AM247" s="374"/>
    </row>
    <row r="248" spans="1:39">
      <c r="A248" s="221" t="s">
        <v>570</v>
      </c>
      <c r="B248" s="69" t="s">
        <v>571</v>
      </c>
      <c r="C248" s="23">
        <v>1</v>
      </c>
      <c r="D248" s="30" t="s">
        <v>140</v>
      </c>
      <c r="E248" s="31"/>
      <c r="F248" s="19"/>
      <c r="G248" s="85">
        <v>55</v>
      </c>
      <c r="H248" s="85"/>
      <c r="I248" s="56"/>
      <c r="J248" s="56"/>
      <c r="K248" s="14"/>
      <c r="L248" s="56"/>
      <c r="M248" s="631" t="s">
        <v>141</v>
      </c>
      <c r="N248" s="359" t="s">
        <v>142</v>
      </c>
      <c r="O248" s="363" t="s">
        <v>559</v>
      </c>
      <c r="P248" s="1" t="str">
        <f t="shared" si="52"/>
        <v/>
      </c>
      <c r="Q248" s="1" t="str">
        <f t="shared" si="52"/>
        <v/>
      </c>
      <c r="R248" s="1" t="str">
        <f t="shared" si="52"/>
        <v/>
      </c>
      <c r="S248" s="1" t="str">
        <f t="shared" si="52"/>
        <v/>
      </c>
      <c r="T248" s="221" t="s">
        <v>570</v>
      </c>
      <c r="U248" s="69" t="s">
        <v>571</v>
      </c>
      <c r="V248" s="23">
        <v>1</v>
      </c>
      <c r="W248" s="30" t="s">
        <v>140</v>
      </c>
      <c r="X248" s="31"/>
      <c r="Y248" s="19"/>
      <c r="Z248" s="85">
        <v>55</v>
      </c>
      <c r="AA248" s="85"/>
      <c r="AB248" s="56"/>
      <c r="AC248" s="56"/>
      <c r="AD248" s="14"/>
      <c r="AE248" s="56"/>
      <c r="AF248" s="631" t="s">
        <v>141</v>
      </c>
      <c r="AG248" s="359" t="s">
        <v>142</v>
      </c>
      <c r="AH248" s="363" t="s">
        <v>559</v>
      </c>
      <c r="AI248" s="1" t="s">
        <v>126</v>
      </c>
      <c r="AJ248" s="1" t="s">
        <v>126</v>
      </c>
      <c r="AK248" s="1" t="s">
        <v>126</v>
      </c>
      <c r="AL248" s="1" t="s">
        <v>126</v>
      </c>
      <c r="AM248" s="374"/>
    </row>
    <row r="249" spans="1:39">
      <c r="A249" s="221" t="s">
        <v>572</v>
      </c>
      <c r="B249" s="69" t="s">
        <v>573</v>
      </c>
      <c r="C249" s="23">
        <v>1</v>
      </c>
      <c r="D249" s="30" t="s">
        <v>140</v>
      </c>
      <c r="E249" s="31"/>
      <c r="F249" s="19"/>
      <c r="G249" s="85">
        <v>60</v>
      </c>
      <c r="H249" s="85"/>
      <c r="I249" s="56"/>
      <c r="J249" s="56"/>
      <c r="K249" s="14"/>
      <c r="L249" s="56"/>
      <c r="M249" s="631" t="s">
        <v>141</v>
      </c>
      <c r="N249" s="359" t="s">
        <v>142</v>
      </c>
      <c r="O249" s="363" t="s">
        <v>559</v>
      </c>
      <c r="P249" s="1" t="str">
        <f t="shared" si="52"/>
        <v/>
      </c>
      <c r="Q249" s="1" t="str">
        <f t="shared" si="52"/>
        <v/>
      </c>
      <c r="R249" s="1" t="str">
        <f t="shared" si="52"/>
        <v/>
      </c>
      <c r="S249" s="1" t="str">
        <f t="shared" si="52"/>
        <v/>
      </c>
      <c r="T249" s="221" t="s">
        <v>572</v>
      </c>
      <c r="U249" s="69" t="s">
        <v>573</v>
      </c>
      <c r="V249" s="23">
        <v>1</v>
      </c>
      <c r="W249" s="30" t="s">
        <v>140</v>
      </c>
      <c r="X249" s="31"/>
      <c r="Y249" s="19"/>
      <c r="Z249" s="85">
        <v>60</v>
      </c>
      <c r="AA249" s="85"/>
      <c r="AB249" s="56"/>
      <c r="AC249" s="56"/>
      <c r="AD249" s="14"/>
      <c r="AE249" s="56"/>
      <c r="AF249" s="631" t="s">
        <v>141</v>
      </c>
      <c r="AG249" s="359" t="s">
        <v>142</v>
      </c>
      <c r="AH249" s="363" t="s">
        <v>559</v>
      </c>
      <c r="AI249" s="1" t="s">
        <v>126</v>
      </c>
      <c r="AJ249" s="1" t="s">
        <v>126</v>
      </c>
      <c r="AK249" s="1" t="s">
        <v>126</v>
      </c>
      <c r="AL249" s="1" t="s">
        <v>126</v>
      </c>
      <c r="AM249" s="374"/>
    </row>
    <row r="250" spans="1:39">
      <c r="A250" s="221" t="s">
        <v>574</v>
      </c>
      <c r="B250" s="69" t="s">
        <v>575</v>
      </c>
      <c r="C250" s="23">
        <v>1</v>
      </c>
      <c r="D250" s="30" t="s">
        <v>140</v>
      </c>
      <c r="E250" s="31"/>
      <c r="F250" s="19"/>
      <c r="G250" s="85">
        <v>39</v>
      </c>
      <c r="H250" s="85"/>
      <c r="I250" s="56"/>
      <c r="J250" s="56"/>
      <c r="K250" s="14"/>
      <c r="L250" s="56"/>
      <c r="M250" s="631" t="s">
        <v>141</v>
      </c>
      <c r="N250" s="359" t="s">
        <v>142</v>
      </c>
      <c r="O250" s="363" t="s">
        <v>559</v>
      </c>
      <c r="P250" s="1" t="str">
        <f t="shared" si="52"/>
        <v/>
      </c>
      <c r="Q250" s="1" t="str">
        <f t="shared" si="52"/>
        <v/>
      </c>
      <c r="R250" s="1" t="str">
        <f t="shared" si="52"/>
        <v/>
      </c>
      <c r="S250" s="1" t="str">
        <f t="shared" si="52"/>
        <v/>
      </c>
      <c r="T250" s="221" t="s">
        <v>574</v>
      </c>
      <c r="U250" s="69" t="s">
        <v>575</v>
      </c>
      <c r="V250" s="23">
        <v>1</v>
      </c>
      <c r="W250" s="30" t="s">
        <v>140</v>
      </c>
      <c r="X250" s="31"/>
      <c r="Y250" s="19"/>
      <c r="Z250" s="85">
        <v>39</v>
      </c>
      <c r="AA250" s="85"/>
      <c r="AB250" s="56"/>
      <c r="AC250" s="56"/>
      <c r="AD250" s="14"/>
      <c r="AE250" s="56"/>
      <c r="AF250" s="631" t="s">
        <v>141</v>
      </c>
      <c r="AG250" s="359" t="s">
        <v>142</v>
      </c>
      <c r="AH250" s="363" t="s">
        <v>559</v>
      </c>
      <c r="AI250" s="1" t="s">
        <v>126</v>
      </c>
      <c r="AJ250" s="1" t="s">
        <v>126</v>
      </c>
      <c r="AK250" s="1" t="s">
        <v>126</v>
      </c>
      <c r="AL250" s="1" t="s">
        <v>126</v>
      </c>
      <c r="AM250" s="374"/>
    </row>
    <row r="251" spans="1:39">
      <c r="A251" s="221" t="s">
        <v>576</v>
      </c>
      <c r="B251" s="69" t="s">
        <v>577</v>
      </c>
      <c r="C251" s="23">
        <v>1</v>
      </c>
      <c r="D251" s="30" t="s">
        <v>140</v>
      </c>
      <c r="E251" s="31"/>
      <c r="F251" s="19"/>
      <c r="G251" s="85">
        <v>45</v>
      </c>
      <c r="H251" s="85"/>
      <c r="I251" s="56"/>
      <c r="J251" s="56"/>
      <c r="K251" s="14"/>
      <c r="L251" s="56"/>
      <c r="M251" s="631" t="s">
        <v>141</v>
      </c>
      <c r="N251" s="359" t="s">
        <v>142</v>
      </c>
      <c r="O251" s="363" t="s">
        <v>559</v>
      </c>
      <c r="P251" s="1" t="str">
        <f t="shared" si="52"/>
        <v/>
      </c>
      <c r="Q251" s="1" t="str">
        <f t="shared" si="52"/>
        <v/>
      </c>
      <c r="R251" s="1" t="str">
        <f t="shared" si="52"/>
        <v/>
      </c>
      <c r="S251" s="1" t="str">
        <f t="shared" si="52"/>
        <v/>
      </c>
      <c r="T251" s="221" t="s">
        <v>576</v>
      </c>
      <c r="U251" s="69" t="s">
        <v>577</v>
      </c>
      <c r="V251" s="23">
        <v>1</v>
      </c>
      <c r="W251" s="30" t="s">
        <v>140</v>
      </c>
      <c r="X251" s="31"/>
      <c r="Y251" s="19"/>
      <c r="Z251" s="85">
        <v>45</v>
      </c>
      <c r="AA251" s="85"/>
      <c r="AB251" s="56"/>
      <c r="AC251" s="56"/>
      <c r="AD251" s="14"/>
      <c r="AE251" s="56"/>
      <c r="AF251" s="631" t="s">
        <v>141</v>
      </c>
      <c r="AG251" s="359" t="s">
        <v>142</v>
      </c>
      <c r="AH251" s="363" t="s">
        <v>559</v>
      </c>
      <c r="AI251" s="1" t="s">
        <v>126</v>
      </c>
      <c r="AJ251" s="1" t="s">
        <v>126</v>
      </c>
      <c r="AK251" s="1" t="s">
        <v>126</v>
      </c>
      <c r="AL251" s="1" t="s">
        <v>126</v>
      </c>
      <c r="AM251" s="374"/>
    </row>
    <row r="252" spans="1:39">
      <c r="A252" s="221" t="s">
        <v>578</v>
      </c>
      <c r="B252" s="69" t="s">
        <v>579</v>
      </c>
      <c r="C252" s="23">
        <v>1</v>
      </c>
      <c r="D252" s="30" t="s">
        <v>140</v>
      </c>
      <c r="E252" s="31"/>
      <c r="F252" s="19"/>
      <c r="G252" s="85">
        <v>55</v>
      </c>
      <c r="H252" s="85"/>
      <c r="I252" s="56"/>
      <c r="J252" s="56"/>
      <c r="K252" s="14"/>
      <c r="L252" s="56"/>
      <c r="M252" s="631" t="s">
        <v>141</v>
      </c>
      <c r="N252" s="359" t="s">
        <v>142</v>
      </c>
      <c r="O252" s="363" t="s">
        <v>559</v>
      </c>
      <c r="P252" s="1" t="str">
        <f t="shared" si="52"/>
        <v/>
      </c>
      <c r="Q252" s="1" t="str">
        <f t="shared" si="52"/>
        <v/>
      </c>
      <c r="R252" s="1" t="str">
        <f t="shared" si="52"/>
        <v/>
      </c>
      <c r="S252" s="1" t="str">
        <f t="shared" si="52"/>
        <v/>
      </c>
      <c r="T252" s="221" t="s">
        <v>578</v>
      </c>
      <c r="U252" s="69" t="s">
        <v>579</v>
      </c>
      <c r="V252" s="23">
        <v>1</v>
      </c>
      <c r="W252" s="30" t="s">
        <v>140</v>
      </c>
      <c r="X252" s="31"/>
      <c r="Y252" s="19"/>
      <c r="Z252" s="85">
        <v>55</v>
      </c>
      <c r="AA252" s="85"/>
      <c r="AB252" s="56"/>
      <c r="AC252" s="56"/>
      <c r="AD252" s="14"/>
      <c r="AE252" s="56"/>
      <c r="AF252" s="631" t="s">
        <v>141</v>
      </c>
      <c r="AG252" s="359" t="s">
        <v>142</v>
      </c>
      <c r="AH252" s="363" t="s">
        <v>559</v>
      </c>
      <c r="AI252" s="1" t="s">
        <v>126</v>
      </c>
      <c r="AJ252" s="1" t="s">
        <v>126</v>
      </c>
      <c r="AK252" s="1" t="s">
        <v>126</v>
      </c>
      <c r="AL252" s="1" t="s">
        <v>126</v>
      </c>
      <c r="AM252" s="374"/>
    </row>
    <row r="253" spans="1:39">
      <c r="A253" s="221" t="s">
        <v>580</v>
      </c>
      <c r="B253" s="69" t="s">
        <v>581</v>
      </c>
      <c r="C253" s="23">
        <v>1</v>
      </c>
      <c r="D253" s="30" t="s">
        <v>140</v>
      </c>
      <c r="E253" s="31"/>
      <c r="F253" s="19"/>
      <c r="G253" s="85">
        <v>62</v>
      </c>
      <c r="H253" s="85"/>
      <c r="I253" s="56"/>
      <c r="J253" s="56"/>
      <c r="K253" s="14"/>
      <c r="L253" s="56"/>
      <c r="M253" s="631" t="s">
        <v>141</v>
      </c>
      <c r="N253" s="359" t="s">
        <v>142</v>
      </c>
      <c r="O253" s="363" t="s">
        <v>559</v>
      </c>
      <c r="P253" s="1" t="str">
        <f t="shared" si="52"/>
        <v/>
      </c>
      <c r="Q253" s="1" t="str">
        <f t="shared" si="52"/>
        <v/>
      </c>
      <c r="R253" s="1" t="str">
        <f t="shared" si="52"/>
        <v/>
      </c>
      <c r="S253" s="1" t="str">
        <f t="shared" si="52"/>
        <v/>
      </c>
      <c r="T253" s="221" t="s">
        <v>580</v>
      </c>
      <c r="U253" s="69" t="s">
        <v>581</v>
      </c>
      <c r="V253" s="23">
        <v>1</v>
      </c>
      <c r="W253" s="30" t="s">
        <v>140</v>
      </c>
      <c r="X253" s="31"/>
      <c r="Y253" s="19"/>
      <c r="Z253" s="85">
        <v>62</v>
      </c>
      <c r="AA253" s="85"/>
      <c r="AB253" s="56"/>
      <c r="AC253" s="56"/>
      <c r="AD253" s="14"/>
      <c r="AE253" s="56"/>
      <c r="AF253" s="631" t="s">
        <v>141</v>
      </c>
      <c r="AG253" s="359" t="s">
        <v>142</v>
      </c>
      <c r="AH253" s="363" t="s">
        <v>559</v>
      </c>
      <c r="AI253" s="1" t="s">
        <v>126</v>
      </c>
      <c r="AJ253" s="1" t="s">
        <v>126</v>
      </c>
      <c r="AK253" s="1" t="s">
        <v>126</v>
      </c>
      <c r="AL253" s="1" t="s">
        <v>126</v>
      </c>
      <c r="AM253" s="374"/>
    </row>
    <row r="254" spans="1:39" s="75" customFormat="1">
      <c r="A254" s="232" t="s">
        <v>582</v>
      </c>
      <c r="B254" s="352" t="s">
        <v>583</v>
      </c>
      <c r="C254" s="97">
        <v>1</v>
      </c>
      <c r="D254" s="34" t="s">
        <v>140</v>
      </c>
      <c r="E254" s="35"/>
      <c r="F254" s="38"/>
      <c r="G254" s="99">
        <v>215</v>
      </c>
      <c r="H254" s="99"/>
      <c r="I254" s="98"/>
      <c r="J254" s="98"/>
      <c r="K254" s="35"/>
      <c r="L254" s="98"/>
      <c r="M254" s="631" t="s">
        <v>141</v>
      </c>
      <c r="N254" s="359" t="s">
        <v>142</v>
      </c>
      <c r="O254" s="364" t="s">
        <v>559</v>
      </c>
      <c r="P254" s="1" t="str">
        <f t="shared" si="52"/>
        <v/>
      </c>
      <c r="Q254" s="1" t="str">
        <f t="shared" si="52"/>
        <v/>
      </c>
      <c r="R254" s="1" t="str">
        <f t="shared" si="52"/>
        <v/>
      </c>
      <c r="S254" s="1" t="str">
        <f t="shared" si="52"/>
        <v/>
      </c>
      <c r="T254" s="232" t="s">
        <v>582</v>
      </c>
      <c r="U254" s="352" t="s">
        <v>583</v>
      </c>
      <c r="V254" s="97">
        <v>1</v>
      </c>
      <c r="W254" s="34" t="s">
        <v>140</v>
      </c>
      <c r="X254" s="35"/>
      <c r="Y254" s="38"/>
      <c r="Z254" s="99">
        <v>215</v>
      </c>
      <c r="AA254" s="99"/>
      <c r="AB254" s="98"/>
      <c r="AC254" s="98"/>
      <c r="AD254" s="35"/>
      <c r="AE254" s="98"/>
      <c r="AF254" s="631" t="s">
        <v>141</v>
      </c>
      <c r="AG254" s="359" t="s">
        <v>142</v>
      </c>
      <c r="AH254" s="364" t="s">
        <v>559</v>
      </c>
      <c r="AI254" s="1" t="s">
        <v>126</v>
      </c>
      <c r="AJ254" s="1" t="s">
        <v>126</v>
      </c>
      <c r="AK254" s="1" t="s">
        <v>126</v>
      </c>
      <c r="AL254" s="1" t="s">
        <v>126</v>
      </c>
      <c r="AM254" s="376"/>
    </row>
    <row r="255" spans="1:39">
      <c r="A255" s="233" t="s">
        <v>584</v>
      </c>
      <c r="B255" s="69" t="s">
        <v>585</v>
      </c>
      <c r="C255" s="23">
        <v>1</v>
      </c>
      <c r="D255" s="30" t="s">
        <v>140</v>
      </c>
      <c r="E255" s="31"/>
      <c r="F255" s="19"/>
      <c r="G255" s="85">
        <v>294</v>
      </c>
      <c r="H255" s="85"/>
      <c r="I255" s="56"/>
      <c r="J255" s="56"/>
      <c r="K255" s="14"/>
      <c r="L255" s="56"/>
      <c r="M255" s="631" t="s">
        <v>141</v>
      </c>
      <c r="N255" s="359" t="s">
        <v>142</v>
      </c>
      <c r="O255" s="363" t="s">
        <v>559</v>
      </c>
      <c r="P255" s="1" t="str">
        <f t="shared" si="52"/>
        <v/>
      </c>
      <c r="Q255" s="1" t="str">
        <f t="shared" si="52"/>
        <v/>
      </c>
      <c r="R255" s="1" t="str">
        <f t="shared" si="52"/>
        <v/>
      </c>
      <c r="S255" s="1" t="str">
        <f t="shared" si="52"/>
        <v/>
      </c>
      <c r="T255" s="233" t="s">
        <v>584</v>
      </c>
      <c r="U255" s="69" t="s">
        <v>585</v>
      </c>
      <c r="V255" s="23">
        <v>1</v>
      </c>
      <c r="W255" s="30" t="s">
        <v>140</v>
      </c>
      <c r="X255" s="31"/>
      <c r="Y255" s="19"/>
      <c r="Z255" s="85">
        <v>294</v>
      </c>
      <c r="AA255" s="85"/>
      <c r="AB255" s="56"/>
      <c r="AC255" s="56"/>
      <c r="AD255" s="14"/>
      <c r="AE255" s="56"/>
      <c r="AF255" s="631" t="s">
        <v>141</v>
      </c>
      <c r="AG255" s="359" t="s">
        <v>142</v>
      </c>
      <c r="AH255" s="363" t="s">
        <v>559</v>
      </c>
      <c r="AI255" s="1" t="s">
        <v>126</v>
      </c>
      <c r="AJ255" s="1" t="s">
        <v>126</v>
      </c>
      <c r="AK255" s="1" t="s">
        <v>126</v>
      </c>
      <c r="AL255" s="1" t="s">
        <v>126</v>
      </c>
      <c r="AM255" s="374"/>
    </row>
    <row r="256" spans="1:39">
      <c r="A256" s="221" t="s">
        <v>586</v>
      </c>
      <c r="B256" s="69" t="s">
        <v>587</v>
      </c>
      <c r="C256" s="23">
        <v>1</v>
      </c>
      <c r="D256" s="30" t="s">
        <v>140</v>
      </c>
      <c r="E256" s="31"/>
      <c r="F256" s="19"/>
      <c r="G256" s="24">
        <v>277.22000000000003</v>
      </c>
      <c r="H256" s="85"/>
      <c r="I256" s="56"/>
      <c r="J256" s="56"/>
      <c r="K256" s="14"/>
      <c r="L256" s="56"/>
      <c r="M256" s="631" t="s">
        <v>141</v>
      </c>
      <c r="N256" s="359" t="s">
        <v>142</v>
      </c>
      <c r="O256" s="363" t="s">
        <v>143</v>
      </c>
      <c r="P256" s="1" t="str">
        <f t="shared" si="52"/>
        <v/>
      </c>
      <c r="Q256" s="1" t="str">
        <f t="shared" si="52"/>
        <v/>
      </c>
      <c r="R256" s="1" t="str">
        <f t="shared" si="52"/>
        <v/>
      </c>
      <c r="S256" s="1" t="str">
        <f t="shared" si="52"/>
        <v/>
      </c>
      <c r="T256" s="221" t="s">
        <v>586</v>
      </c>
      <c r="U256" s="69" t="s">
        <v>587</v>
      </c>
      <c r="V256" s="23">
        <v>1</v>
      </c>
      <c r="W256" s="30" t="s">
        <v>140</v>
      </c>
      <c r="X256" s="31"/>
      <c r="Y256" s="19"/>
      <c r="Z256" s="24">
        <v>277.22000000000003</v>
      </c>
      <c r="AA256" s="85"/>
      <c r="AB256" s="56"/>
      <c r="AC256" s="56"/>
      <c r="AD256" s="14"/>
      <c r="AE256" s="56"/>
      <c r="AF256" s="631" t="s">
        <v>141</v>
      </c>
      <c r="AG256" s="359" t="s">
        <v>142</v>
      </c>
      <c r="AH256" s="363" t="s">
        <v>143</v>
      </c>
      <c r="AI256" s="1" t="s">
        <v>126</v>
      </c>
      <c r="AJ256" s="1" t="s">
        <v>126</v>
      </c>
      <c r="AK256" s="1" t="s">
        <v>126</v>
      </c>
      <c r="AL256" s="1" t="s">
        <v>126</v>
      </c>
      <c r="AM256" s="374"/>
    </row>
    <row r="257" spans="1:39" s="329" customFormat="1" ht="24.95" customHeight="1">
      <c r="A257" s="448" t="s">
        <v>588</v>
      </c>
      <c r="B257" s="549" t="s">
        <v>589</v>
      </c>
      <c r="C257" s="450"/>
      <c r="D257" s="451"/>
      <c r="E257" s="451"/>
      <c r="F257" s="452"/>
      <c r="G257" s="453"/>
      <c r="H257" s="453"/>
      <c r="I257" s="454"/>
      <c r="J257" s="454"/>
      <c r="K257" s="453"/>
      <c r="L257" s="454"/>
      <c r="M257" s="629"/>
      <c r="N257" s="455"/>
      <c r="O257" s="454"/>
      <c r="P257" s="454"/>
      <c r="Q257" s="454"/>
      <c r="R257" s="454"/>
      <c r="S257" s="456"/>
      <c r="T257" s="448" t="s">
        <v>590</v>
      </c>
      <c r="U257" s="549" t="s">
        <v>589</v>
      </c>
      <c r="V257" s="450"/>
      <c r="W257" s="451"/>
      <c r="X257" s="451"/>
      <c r="Y257" s="452"/>
      <c r="Z257" s="453"/>
      <c r="AA257" s="453"/>
      <c r="AB257" s="454"/>
      <c r="AC257" s="454"/>
      <c r="AD257" s="453"/>
      <c r="AE257" s="454"/>
      <c r="AF257" s="629"/>
      <c r="AG257" s="455"/>
      <c r="AH257" s="454"/>
      <c r="AI257" s="454"/>
      <c r="AJ257" s="454"/>
      <c r="AK257" s="454"/>
      <c r="AL257" s="456"/>
      <c r="AM257" s="373"/>
    </row>
    <row r="258" spans="1:39" s="90" customFormat="1">
      <c r="A258" s="223" t="s">
        <v>591</v>
      </c>
      <c r="B258" s="52" t="s">
        <v>592</v>
      </c>
      <c r="C258" s="53">
        <v>1</v>
      </c>
      <c r="D258" s="54" t="s">
        <v>118</v>
      </c>
      <c r="E258" s="62">
        <v>1331.08</v>
      </c>
      <c r="F258" s="66">
        <f>rv_im21_hg</f>
        <v>0.17199999999999999</v>
      </c>
      <c r="G258" s="70">
        <f t="shared" ref="G258:G273" si="53">E258-(E258*F258)</f>
        <v>1102.1342399999999</v>
      </c>
      <c r="H258" s="53" t="s">
        <v>593</v>
      </c>
      <c r="I258" s="63">
        <v>65.88</v>
      </c>
      <c r="J258" s="63">
        <f>G258+I258</f>
        <v>1168.01424</v>
      </c>
      <c r="K258" s="63" t="s">
        <v>120</v>
      </c>
      <c r="L258" s="63">
        <v>1.42</v>
      </c>
      <c r="M258" s="630" t="s">
        <v>594</v>
      </c>
      <c r="N258" s="400" t="s">
        <v>526</v>
      </c>
      <c r="O258" s="401" t="s">
        <v>527</v>
      </c>
      <c r="P258" s="90">
        <f t="shared" ref="P258:S277" si="54">+IF($J258&lt;&gt;"",P$2*$J258,"")</f>
        <v>235.13148346864088</v>
      </c>
      <c r="Q258" s="90">
        <f t="shared" si="54"/>
        <v>122.19935062529265</v>
      </c>
      <c r="R258" s="90">
        <f t="shared" si="54"/>
        <v>88.749750643976583</v>
      </c>
      <c r="S258" s="90">
        <f t="shared" si="54"/>
        <v>76.585388693054554</v>
      </c>
      <c r="T258" s="725" t="s">
        <v>595</v>
      </c>
      <c r="U258" s="691" t="s">
        <v>596</v>
      </c>
      <c r="V258" s="692">
        <v>1</v>
      </c>
      <c r="W258" s="707" t="s">
        <v>118</v>
      </c>
      <c r="X258" s="694">
        <v>1289.4100000000001</v>
      </c>
      <c r="Y258" s="695">
        <v>0.17199999999999999</v>
      </c>
      <c r="Z258" s="693">
        <v>1067.63148</v>
      </c>
      <c r="AA258" s="692" t="s">
        <v>593</v>
      </c>
      <c r="AB258" s="696">
        <v>65.88</v>
      </c>
      <c r="AC258" s="696">
        <v>1133.5114800000001</v>
      </c>
      <c r="AD258" s="696" t="s">
        <v>120</v>
      </c>
      <c r="AE258" s="696">
        <v>1.42</v>
      </c>
      <c r="AF258" s="630" t="s">
        <v>594</v>
      </c>
      <c r="AG258" s="400" t="s">
        <v>526</v>
      </c>
      <c r="AH258" s="401" t="s">
        <v>527</v>
      </c>
      <c r="AI258" s="90">
        <v>228.1857760750714</v>
      </c>
      <c r="AJ258" s="90">
        <v>118.58962163193696</v>
      </c>
      <c r="AK258" s="90">
        <v>86.128111933023064</v>
      </c>
      <c r="AL258" s="90">
        <v>74.323081269830709</v>
      </c>
      <c r="AM258" s="402"/>
    </row>
    <row r="259" spans="1:39">
      <c r="A259" s="770" t="s">
        <v>597</v>
      </c>
      <c r="B259" s="580" t="s">
        <v>598</v>
      </c>
      <c r="C259" s="763">
        <v>1</v>
      </c>
      <c r="D259" s="764" t="s">
        <v>118</v>
      </c>
      <c r="E259" s="765">
        <v>191.67</v>
      </c>
      <c r="F259" s="766">
        <f t="shared" ref="F259:F265" si="55">rv_im21_hg_cto</f>
        <v>0.17199999999999999</v>
      </c>
      <c r="G259" s="767">
        <f t="shared" si="53"/>
        <v>158.70275999999998</v>
      </c>
      <c r="H259" s="767"/>
      <c r="I259" s="768"/>
      <c r="J259" s="768"/>
      <c r="K259" s="769"/>
      <c r="L259" s="768"/>
      <c r="M259" s="631" t="s">
        <v>594</v>
      </c>
      <c r="N259" s="359" t="s">
        <v>526</v>
      </c>
      <c r="O259" s="364" t="s">
        <v>527</v>
      </c>
      <c r="P259" s="1" t="str">
        <f t="shared" si="54"/>
        <v/>
      </c>
      <c r="Q259" s="1" t="str">
        <f t="shared" si="54"/>
        <v/>
      </c>
      <c r="R259" s="1" t="str">
        <f t="shared" si="54"/>
        <v/>
      </c>
      <c r="S259" s="1" t="str">
        <f t="shared" si="54"/>
        <v/>
      </c>
      <c r="T259" s="711" t="s">
        <v>599</v>
      </c>
      <c r="U259" s="712" t="s">
        <v>600</v>
      </c>
      <c r="V259" s="698">
        <v>1</v>
      </c>
      <c r="W259" s="699" t="s">
        <v>118</v>
      </c>
      <c r="X259" s="700">
        <v>191.67</v>
      </c>
      <c r="Y259" s="701">
        <v>0.17199999999999999</v>
      </c>
      <c r="Z259" s="702">
        <v>158.70275999999998</v>
      </c>
      <c r="AA259" s="702"/>
      <c r="AB259" s="704"/>
      <c r="AC259" s="704"/>
      <c r="AD259" s="713"/>
      <c r="AE259" s="704"/>
      <c r="AF259" s="631" t="s">
        <v>594</v>
      </c>
      <c r="AG259" s="359" t="s">
        <v>526</v>
      </c>
      <c r="AH259" s="364" t="s">
        <v>527</v>
      </c>
      <c r="AI259" s="1" t="s">
        <v>126</v>
      </c>
      <c r="AJ259" s="1" t="s">
        <v>126</v>
      </c>
      <c r="AK259" s="1" t="s">
        <v>126</v>
      </c>
      <c r="AL259" s="1" t="s">
        <v>126</v>
      </c>
      <c r="AM259" s="377"/>
    </row>
    <row r="260" spans="1:39">
      <c r="A260" s="770" t="s">
        <v>601</v>
      </c>
      <c r="B260" s="580" t="s">
        <v>602</v>
      </c>
      <c r="C260" s="763">
        <v>1</v>
      </c>
      <c r="D260" s="764" t="s">
        <v>118</v>
      </c>
      <c r="E260" s="765">
        <v>383.33</v>
      </c>
      <c r="F260" s="766">
        <f t="shared" si="55"/>
        <v>0.17199999999999999</v>
      </c>
      <c r="G260" s="767">
        <f t="shared" ref="G260" si="56">E260-(E260*F260)</f>
        <v>317.39724000000001</v>
      </c>
      <c r="H260" s="767"/>
      <c r="I260" s="768"/>
      <c r="J260" s="768"/>
      <c r="K260" s="769"/>
      <c r="L260" s="768"/>
      <c r="M260" s="631" t="s">
        <v>594</v>
      </c>
      <c r="N260" s="359" t="s">
        <v>526</v>
      </c>
      <c r="O260" s="364" t="s">
        <v>527</v>
      </c>
      <c r="P260" s="1" t="str">
        <f t="shared" si="54"/>
        <v/>
      </c>
      <c r="Q260" s="1" t="str">
        <f t="shared" si="54"/>
        <v/>
      </c>
      <c r="R260" s="1" t="str">
        <f t="shared" si="54"/>
        <v/>
      </c>
      <c r="S260" s="1" t="str">
        <f t="shared" si="54"/>
        <v/>
      </c>
      <c r="T260" s="711"/>
      <c r="U260" s="712"/>
      <c r="V260" s="698"/>
      <c r="W260" s="699"/>
      <c r="X260" s="700"/>
      <c r="Y260" s="701"/>
      <c r="Z260" s="702"/>
      <c r="AA260" s="702"/>
      <c r="AB260" s="704"/>
      <c r="AC260" s="704"/>
      <c r="AD260" s="713"/>
      <c r="AE260" s="704"/>
      <c r="AF260" s="631"/>
      <c r="AG260" s="359"/>
      <c r="AH260" s="364"/>
      <c r="AI260" s="1"/>
      <c r="AJ260" s="1"/>
      <c r="AK260" s="1"/>
      <c r="AL260" s="1"/>
      <c r="AM260" s="377"/>
    </row>
    <row r="261" spans="1:39">
      <c r="A261" s="770" t="s">
        <v>603</v>
      </c>
      <c r="B261" s="580" t="s">
        <v>604</v>
      </c>
      <c r="C261" s="763">
        <v>1</v>
      </c>
      <c r="D261" s="764" t="s">
        <v>118</v>
      </c>
      <c r="E261" s="765">
        <v>191.67</v>
      </c>
      <c r="F261" s="766">
        <f t="shared" si="55"/>
        <v>0.17199999999999999</v>
      </c>
      <c r="G261" s="767">
        <f t="shared" si="53"/>
        <v>158.70275999999998</v>
      </c>
      <c r="H261" s="767"/>
      <c r="I261" s="768"/>
      <c r="J261" s="768"/>
      <c r="K261" s="769"/>
      <c r="L261" s="768"/>
      <c r="M261" s="631" t="s">
        <v>594</v>
      </c>
      <c r="N261" s="359" t="s">
        <v>526</v>
      </c>
      <c r="O261" s="364" t="s">
        <v>527</v>
      </c>
      <c r="P261" s="1" t="str">
        <f t="shared" si="54"/>
        <v/>
      </c>
      <c r="Q261" s="1" t="str">
        <f t="shared" si="54"/>
        <v/>
      </c>
      <c r="R261" s="1" t="str">
        <f t="shared" si="54"/>
        <v/>
      </c>
      <c r="S261" s="1" t="str">
        <f t="shared" si="54"/>
        <v/>
      </c>
      <c r="T261" s="711" t="s">
        <v>605</v>
      </c>
      <c r="U261" s="712" t="s">
        <v>606</v>
      </c>
      <c r="V261" s="698">
        <v>1</v>
      </c>
      <c r="W261" s="699" t="s">
        <v>118</v>
      </c>
      <c r="X261" s="700">
        <v>191.67</v>
      </c>
      <c r="Y261" s="701">
        <v>0.17199999999999999</v>
      </c>
      <c r="Z261" s="702">
        <v>158.70275999999998</v>
      </c>
      <c r="AA261" s="702"/>
      <c r="AB261" s="704"/>
      <c r="AC261" s="704"/>
      <c r="AD261" s="713"/>
      <c r="AE261" s="704"/>
      <c r="AF261" s="631" t="s">
        <v>594</v>
      </c>
      <c r="AG261" s="359" t="s">
        <v>526</v>
      </c>
      <c r="AH261" s="364" t="s">
        <v>527</v>
      </c>
      <c r="AI261" s="1" t="s">
        <v>126</v>
      </c>
      <c r="AJ261" s="1" t="s">
        <v>126</v>
      </c>
      <c r="AK261" s="1" t="s">
        <v>126</v>
      </c>
      <c r="AL261" s="1" t="s">
        <v>126</v>
      </c>
      <c r="AM261" s="377"/>
    </row>
    <row r="262" spans="1:39">
      <c r="A262" s="770" t="s">
        <v>607</v>
      </c>
      <c r="B262" s="580" t="s">
        <v>608</v>
      </c>
      <c r="C262" s="763">
        <v>1</v>
      </c>
      <c r="D262" s="764" t="s">
        <v>118</v>
      </c>
      <c r="E262" s="765">
        <v>383.33</v>
      </c>
      <c r="F262" s="766">
        <f t="shared" si="55"/>
        <v>0.17199999999999999</v>
      </c>
      <c r="G262" s="767">
        <f t="shared" si="53"/>
        <v>317.39724000000001</v>
      </c>
      <c r="H262" s="767"/>
      <c r="I262" s="768"/>
      <c r="J262" s="768"/>
      <c r="K262" s="769"/>
      <c r="L262" s="768"/>
      <c r="M262" s="631" t="s">
        <v>594</v>
      </c>
      <c r="N262" s="359" t="s">
        <v>526</v>
      </c>
      <c r="O262" s="364" t="s">
        <v>527</v>
      </c>
      <c r="P262" s="1" t="str">
        <f t="shared" si="54"/>
        <v/>
      </c>
      <c r="Q262" s="1" t="str">
        <f t="shared" si="54"/>
        <v/>
      </c>
      <c r="R262" s="1" t="str">
        <f t="shared" si="54"/>
        <v/>
      </c>
      <c r="S262" s="1" t="str">
        <f t="shared" si="54"/>
        <v/>
      </c>
      <c r="T262" s="711" t="s">
        <v>609</v>
      </c>
      <c r="U262" s="712" t="s">
        <v>610</v>
      </c>
      <c r="V262" s="698">
        <v>1</v>
      </c>
      <c r="W262" s="699" t="s">
        <v>118</v>
      </c>
      <c r="X262" s="700">
        <v>383.33</v>
      </c>
      <c r="Y262" s="701">
        <v>0.17199999999999999</v>
      </c>
      <c r="Z262" s="702">
        <v>317.39724000000001</v>
      </c>
      <c r="AA262" s="702"/>
      <c r="AB262" s="704"/>
      <c r="AC262" s="704"/>
      <c r="AD262" s="713"/>
      <c r="AE262" s="704"/>
      <c r="AF262" s="631" t="s">
        <v>594</v>
      </c>
      <c r="AG262" s="359" t="s">
        <v>526</v>
      </c>
      <c r="AH262" s="364" t="s">
        <v>527</v>
      </c>
      <c r="AI262" s="1" t="s">
        <v>126</v>
      </c>
      <c r="AJ262" s="1" t="s">
        <v>126</v>
      </c>
      <c r="AK262" s="1" t="s">
        <v>126</v>
      </c>
      <c r="AL262" s="1" t="s">
        <v>126</v>
      </c>
      <c r="AM262" s="377"/>
    </row>
    <row r="263" spans="1:39">
      <c r="A263" s="770" t="s">
        <v>611</v>
      </c>
      <c r="B263" s="580" t="s">
        <v>612</v>
      </c>
      <c r="C263" s="763">
        <v>1</v>
      </c>
      <c r="D263" s="764" t="s">
        <v>118</v>
      </c>
      <c r="E263" s="765">
        <v>21.67</v>
      </c>
      <c r="F263" s="766">
        <f t="shared" si="55"/>
        <v>0.17199999999999999</v>
      </c>
      <c r="G263" s="767">
        <f t="shared" si="53"/>
        <v>17.94276</v>
      </c>
      <c r="H263" s="767"/>
      <c r="I263" s="768"/>
      <c r="J263" s="768"/>
      <c r="K263" s="769"/>
      <c r="L263" s="768"/>
      <c r="M263" s="631" t="s">
        <v>594</v>
      </c>
      <c r="N263" s="359" t="s">
        <v>526</v>
      </c>
      <c r="O263" s="364" t="s">
        <v>527</v>
      </c>
      <c r="P263" s="1" t="str">
        <f t="shared" si="54"/>
        <v/>
      </c>
      <c r="Q263" s="1" t="str">
        <f t="shared" si="54"/>
        <v/>
      </c>
      <c r="R263" s="1" t="str">
        <f t="shared" si="54"/>
        <v/>
      </c>
      <c r="S263" s="1" t="str">
        <f t="shared" si="54"/>
        <v/>
      </c>
      <c r="T263" s="711" t="s">
        <v>613</v>
      </c>
      <c r="U263" s="712" t="s">
        <v>614</v>
      </c>
      <c r="V263" s="698">
        <v>1</v>
      </c>
      <c r="W263" s="699" t="s">
        <v>118</v>
      </c>
      <c r="X263" s="700">
        <v>21.67</v>
      </c>
      <c r="Y263" s="701">
        <v>0.17199999999999999</v>
      </c>
      <c r="Z263" s="702">
        <v>17.94276</v>
      </c>
      <c r="AA263" s="702"/>
      <c r="AB263" s="704"/>
      <c r="AC263" s="704"/>
      <c r="AD263" s="713"/>
      <c r="AE263" s="704"/>
      <c r="AF263" s="631" t="s">
        <v>594</v>
      </c>
      <c r="AG263" s="359" t="s">
        <v>526</v>
      </c>
      <c r="AH263" s="364" t="s">
        <v>527</v>
      </c>
      <c r="AI263" s="1" t="s">
        <v>126</v>
      </c>
      <c r="AJ263" s="1" t="s">
        <v>126</v>
      </c>
      <c r="AK263" s="1" t="s">
        <v>126</v>
      </c>
      <c r="AL263" s="1" t="s">
        <v>126</v>
      </c>
      <c r="AM263" s="377"/>
    </row>
    <row r="264" spans="1:39">
      <c r="A264" s="770" t="s">
        <v>615</v>
      </c>
      <c r="B264" s="580" t="s">
        <v>616</v>
      </c>
      <c r="C264" s="763">
        <v>1</v>
      </c>
      <c r="D264" s="764" t="s">
        <v>118</v>
      </c>
      <c r="E264" s="765">
        <v>41.67</v>
      </c>
      <c r="F264" s="766">
        <f t="shared" si="55"/>
        <v>0.17199999999999999</v>
      </c>
      <c r="G264" s="767">
        <f t="shared" si="53"/>
        <v>34.502760000000002</v>
      </c>
      <c r="H264" s="767"/>
      <c r="I264" s="768"/>
      <c r="J264" s="768"/>
      <c r="K264" s="769"/>
      <c r="L264" s="768"/>
      <c r="M264" s="631" t="s">
        <v>594</v>
      </c>
      <c r="N264" s="359" t="s">
        <v>526</v>
      </c>
      <c r="O264" s="364" t="s">
        <v>527</v>
      </c>
      <c r="P264" s="1" t="str">
        <f t="shared" si="54"/>
        <v/>
      </c>
      <c r="Q264" s="1" t="str">
        <f t="shared" si="54"/>
        <v/>
      </c>
      <c r="R264" s="1" t="str">
        <f t="shared" si="54"/>
        <v/>
      </c>
      <c r="S264" s="1" t="str">
        <f t="shared" si="54"/>
        <v/>
      </c>
      <c r="T264" s="711" t="s">
        <v>617</v>
      </c>
      <c r="U264" s="712" t="s">
        <v>618</v>
      </c>
      <c r="V264" s="698">
        <v>1</v>
      </c>
      <c r="W264" s="699" t="s">
        <v>118</v>
      </c>
      <c r="X264" s="700">
        <v>41.67</v>
      </c>
      <c r="Y264" s="701">
        <v>0.17199999999999999</v>
      </c>
      <c r="Z264" s="702">
        <v>34.502760000000002</v>
      </c>
      <c r="AA264" s="702"/>
      <c r="AB264" s="704"/>
      <c r="AC264" s="704"/>
      <c r="AD264" s="713"/>
      <c r="AE264" s="704"/>
      <c r="AF264" s="631" t="s">
        <v>594</v>
      </c>
      <c r="AG264" s="359" t="s">
        <v>526</v>
      </c>
      <c r="AH264" s="364" t="s">
        <v>527</v>
      </c>
      <c r="AI264" s="1" t="s">
        <v>126</v>
      </c>
      <c r="AJ264" s="1" t="s">
        <v>126</v>
      </c>
      <c r="AK264" s="1" t="s">
        <v>126</v>
      </c>
      <c r="AL264" s="1" t="s">
        <v>126</v>
      </c>
      <c r="AM264" s="377"/>
    </row>
    <row r="265" spans="1:39">
      <c r="A265" s="770" t="s">
        <v>619</v>
      </c>
      <c r="B265" s="580" t="s">
        <v>620</v>
      </c>
      <c r="C265" s="763">
        <v>1</v>
      </c>
      <c r="D265" s="764" t="s">
        <v>118</v>
      </c>
      <c r="E265" s="765">
        <v>112.5</v>
      </c>
      <c r="F265" s="766">
        <f t="shared" si="55"/>
        <v>0.17199999999999999</v>
      </c>
      <c r="G265" s="767">
        <f t="shared" si="53"/>
        <v>93.15</v>
      </c>
      <c r="H265" s="767"/>
      <c r="I265" s="768"/>
      <c r="J265" s="768"/>
      <c r="K265" s="769"/>
      <c r="L265" s="768"/>
      <c r="M265" s="631" t="s">
        <v>594</v>
      </c>
      <c r="N265" s="359" t="s">
        <v>526</v>
      </c>
      <c r="O265" s="364" t="s">
        <v>527</v>
      </c>
      <c r="P265" s="1" t="str">
        <f t="shared" si="54"/>
        <v/>
      </c>
      <c r="Q265" s="1" t="str">
        <f t="shared" si="54"/>
        <v/>
      </c>
      <c r="R265" s="1" t="str">
        <f t="shared" si="54"/>
        <v/>
      </c>
      <c r="S265" s="1" t="str">
        <f t="shared" si="54"/>
        <v/>
      </c>
      <c r="T265" s="711" t="s">
        <v>621</v>
      </c>
      <c r="U265" s="712" t="s">
        <v>622</v>
      </c>
      <c r="V265" s="698">
        <v>1</v>
      </c>
      <c r="W265" s="699" t="s">
        <v>118</v>
      </c>
      <c r="X265" s="700">
        <v>112.5</v>
      </c>
      <c r="Y265" s="701">
        <v>0.17199999999999999</v>
      </c>
      <c r="Z265" s="702">
        <v>93.15</v>
      </c>
      <c r="AA265" s="702"/>
      <c r="AB265" s="704"/>
      <c r="AC265" s="704"/>
      <c r="AD265" s="713"/>
      <c r="AE265" s="704"/>
      <c r="AF265" s="631" t="s">
        <v>594</v>
      </c>
      <c r="AG265" s="359" t="s">
        <v>526</v>
      </c>
      <c r="AH265" s="364" t="s">
        <v>527</v>
      </c>
      <c r="AI265" s="1" t="s">
        <v>126</v>
      </c>
      <c r="AJ265" s="1" t="s">
        <v>126</v>
      </c>
      <c r="AK265" s="1" t="s">
        <v>126</v>
      </c>
      <c r="AL265" s="1" t="s">
        <v>126</v>
      </c>
      <c r="AM265" s="377"/>
    </row>
    <row r="266" spans="1:39">
      <c r="A266" s="770" t="s">
        <v>623</v>
      </c>
      <c r="B266" s="580" t="s">
        <v>624</v>
      </c>
      <c r="C266" s="763">
        <v>1</v>
      </c>
      <c r="D266" s="764" t="s">
        <v>118</v>
      </c>
      <c r="E266" s="765">
        <v>0</v>
      </c>
      <c r="F266" s="766"/>
      <c r="G266" s="767">
        <f>E266-(E266*F266)</f>
        <v>0</v>
      </c>
      <c r="H266" s="767"/>
      <c r="I266" s="768"/>
      <c r="J266" s="768"/>
      <c r="K266" s="769"/>
      <c r="L266" s="768"/>
      <c r="M266" s="631" t="s">
        <v>594</v>
      </c>
      <c r="N266" s="359" t="s">
        <v>526</v>
      </c>
      <c r="O266" s="364" t="s">
        <v>527</v>
      </c>
      <c r="P266" s="1" t="str">
        <f>+IF($J266&lt;&gt;"",P$2*$J266,"")</f>
        <v/>
      </c>
      <c r="Q266" s="1" t="str">
        <f>+IF($J266&lt;&gt;"",Q$2*$J266,"")</f>
        <v/>
      </c>
      <c r="R266" s="1" t="str">
        <f>+IF($J266&lt;&gt;"",R$2*$J266,"")</f>
        <v/>
      </c>
      <c r="S266" s="1" t="str">
        <f>+IF($J266&lt;&gt;"",S$2*$J266,"")</f>
        <v/>
      </c>
      <c r="T266" s="711" t="s">
        <v>625</v>
      </c>
      <c r="U266" s="712" t="s">
        <v>626</v>
      </c>
      <c r="V266" s="698">
        <v>1</v>
      </c>
      <c r="W266" s="699" t="s">
        <v>118</v>
      </c>
      <c r="X266" s="700">
        <v>0</v>
      </c>
      <c r="Y266" s="701"/>
      <c r="Z266" s="702">
        <v>0</v>
      </c>
      <c r="AA266" s="702"/>
      <c r="AB266" s="704"/>
      <c r="AC266" s="704"/>
      <c r="AD266" s="713"/>
      <c r="AE266" s="704"/>
      <c r="AF266" s="631" t="s">
        <v>594</v>
      </c>
      <c r="AG266" s="359" t="s">
        <v>526</v>
      </c>
      <c r="AH266" s="364" t="s">
        <v>527</v>
      </c>
      <c r="AI266" s="1" t="s">
        <v>126</v>
      </c>
      <c r="AJ266" s="1" t="s">
        <v>126</v>
      </c>
      <c r="AK266" s="1" t="s">
        <v>126</v>
      </c>
      <c r="AL266" s="1" t="s">
        <v>126</v>
      </c>
      <c r="AM266" s="377"/>
    </row>
    <row r="267" spans="1:39">
      <c r="A267" s="770" t="s">
        <v>627</v>
      </c>
      <c r="B267" s="580" t="s">
        <v>628</v>
      </c>
      <c r="C267" s="763">
        <v>1</v>
      </c>
      <c r="D267" s="764" t="s">
        <v>118</v>
      </c>
      <c r="E267" s="765">
        <v>0</v>
      </c>
      <c r="F267" s="766"/>
      <c r="G267" s="767">
        <f t="shared" si="53"/>
        <v>0</v>
      </c>
      <c r="H267" s="767"/>
      <c r="I267" s="768"/>
      <c r="J267" s="768"/>
      <c r="K267" s="769"/>
      <c r="L267" s="768"/>
      <c r="M267" s="631" t="s">
        <v>594</v>
      </c>
      <c r="N267" s="359" t="s">
        <v>526</v>
      </c>
      <c r="O267" s="364" t="s">
        <v>527</v>
      </c>
      <c r="P267" s="1" t="str">
        <f t="shared" si="54"/>
        <v/>
      </c>
      <c r="Q267" s="1" t="str">
        <f t="shared" si="54"/>
        <v/>
      </c>
      <c r="R267" s="1" t="str">
        <f t="shared" si="54"/>
        <v/>
      </c>
      <c r="S267" s="1" t="str">
        <f t="shared" si="54"/>
        <v/>
      </c>
      <c r="T267" s="711" t="s">
        <v>629</v>
      </c>
      <c r="U267" s="712" t="s">
        <v>630</v>
      </c>
      <c r="V267" s="698">
        <v>1</v>
      </c>
      <c r="W267" s="699" t="s">
        <v>118</v>
      </c>
      <c r="X267" s="700">
        <v>0</v>
      </c>
      <c r="Y267" s="701"/>
      <c r="Z267" s="702">
        <v>0</v>
      </c>
      <c r="AA267" s="702"/>
      <c r="AB267" s="704"/>
      <c r="AC267" s="704"/>
      <c r="AD267" s="713"/>
      <c r="AE267" s="704"/>
      <c r="AF267" s="631" t="s">
        <v>594</v>
      </c>
      <c r="AG267" s="359" t="s">
        <v>526</v>
      </c>
      <c r="AH267" s="364" t="s">
        <v>527</v>
      </c>
      <c r="AI267" s="1" t="s">
        <v>126</v>
      </c>
      <c r="AJ267" s="1" t="s">
        <v>126</v>
      </c>
      <c r="AK267" s="1" t="s">
        <v>126</v>
      </c>
      <c r="AL267" s="1" t="s">
        <v>126</v>
      </c>
      <c r="AM267" s="377"/>
    </row>
    <row r="268" spans="1:39">
      <c r="A268" s="770" t="s">
        <v>631</v>
      </c>
      <c r="B268" s="580" t="s">
        <v>632</v>
      </c>
      <c r="C268" s="763">
        <v>1</v>
      </c>
      <c r="D268" s="764" t="s">
        <v>118</v>
      </c>
      <c r="E268" s="765">
        <v>41.67</v>
      </c>
      <c r="F268" s="766">
        <f t="shared" ref="F268:F273" si="57">rv_im21_hg_cto</f>
        <v>0.17199999999999999</v>
      </c>
      <c r="G268" s="767">
        <f t="shared" si="53"/>
        <v>34.502760000000002</v>
      </c>
      <c r="H268" s="767"/>
      <c r="I268" s="768"/>
      <c r="J268" s="768"/>
      <c r="K268" s="769"/>
      <c r="L268" s="768"/>
      <c r="M268" s="631" t="s">
        <v>594</v>
      </c>
      <c r="N268" s="359" t="s">
        <v>526</v>
      </c>
      <c r="O268" s="364" t="s">
        <v>527</v>
      </c>
      <c r="P268" s="1" t="str">
        <f t="shared" si="54"/>
        <v/>
      </c>
      <c r="Q268" s="1" t="str">
        <f t="shared" si="54"/>
        <v/>
      </c>
      <c r="R268" s="1" t="str">
        <f t="shared" si="54"/>
        <v/>
      </c>
      <c r="S268" s="1" t="str">
        <f t="shared" si="54"/>
        <v/>
      </c>
      <c r="T268" s="711" t="s">
        <v>633</v>
      </c>
      <c r="U268" s="712" t="s">
        <v>634</v>
      </c>
      <c r="V268" s="698">
        <v>1</v>
      </c>
      <c r="W268" s="699" t="s">
        <v>118</v>
      </c>
      <c r="X268" s="700">
        <v>41.67</v>
      </c>
      <c r="Y268" s="701">
        <v>0.17199999999999999</v>
      </c>
      <c r="Z268" s="702">
        <v>34.502760000000002</v>
      </c>
      <c r="AA268" s="702"/>
      <c r="AB268" s="704"/>
      <c r="AC268" s="704"/>
      <c r="AD268" s="713"/>
      <c r="AE268" s="704"/>
      <c r="AF268" s="631" t="s">
        <v>594</v>
      </c>
      <c r="AG268" s="359" t="s">
        <v>526</v>
      </c>
      <c r="AH268" s="364" t="s">
        <v>527</v>
      </c>
      <c r="AI268" s="1" t="s">
        <v>126</v>
      </c>
      <c r="AJ268" s="1" t="s">
        <v>126</v>
      </c>
      <c r="AK268" s="1" t="s">
        <v>126</v>
      </c>
      <c r="AL268" s="1" t="s">
        <v>126</v>
      </c>
      <c r="AM268" s="377"/>
    </row>
    <row r="269" spans="1:39">
      <c r="A269" s="770" t="s">
        <v>635</v>
      </c>
      <c r="B269" s="580" t="s">
        <v>636</v>
      </c>
      <c r="C269" s="763">
        <v>1</v>
      </c>
      <c r="D269" s="764" t="s">
        <v>118</v>
      </c>
      <c r="E269" s="765">
        <v>41.67</v>
      </c>
      <c r="F269" s="766">
        <f t="shared" si="57"/>
        <v>0.17199999999999999</v>
      </c>
      <c r="G269" s="767">
        <f>E269-(E269*F269)</f>
        <v>34.502760000000002</v>
      </c>
      <c r="H269" s="767"/>
      <c r="I269" s="768"/>
      <c r="J269" s="768"/>
      <c r="K269" s="769"/>
      <c r="L269" s="768"/>
      <c r="M269" s="631" t="s">
        <v>594</v>
      </c>
      <c r="N269" s="359" t="s">
        <v>526</v>
      </c>
      <c r="O269" s="364" t="s">
        <v>527</v>
      </c>
      <c r="P269" s="1" t="str">
        <f>+IF($J269&lt;&gt;"",P$2*$J269,"")</f>
        <v/>
      </c>
      <c r="Q269" s="1" t="str">
        <f>+IF($J269&lt;&gt;"",Q$2*$J269,"")</f>
        <v/>
      </c>
      <c r="R269" s="1" t="str">
        <f>+IF($J269&lt;&gt;"",R$2*$J269,"")</f>
        <v/>
      </c>
      <c r="S269" s="1" t="str">
        <f>+IF($J269&lt;&gt;"",S$2*$J269,"")</f>
        <v/>
      </c>
      <c r="T269" s="711" t="s">
        <v>637</v>
      </c>
      <c r="U269" s="712" t="s">
        <v>638</v>
      </c>
      <c r="V269" s="698">
        <v>1</v>
      </c>
      <c r="W269" s="699" t="s">
        <v>118</v>
      </c>
      <c r="X269" s="700">
        <v>41.67</v>
      </c>
      <c r="Y269" s="701">
        <v>0.17199999999999999</v>
      </c>
      <c r="Z269" s="702">
        <v>34.502760000000002</v>
      </c>
      <c r="AA269" s="702"/>
      <c r="AB269" s="704"/>
      <c r="AC269" s="704"/>
      <c r="AD269" s="713"/>
      <c r="AE269" s="704"/>
      <c r="AF269" s="631" t="s">
        <v>594</v>
      </c>
      <c r="AG269" s="359" t="s">
        <v>526</v>
      </c>
      <c r="AH269" s="364" t="s">
        <v>527</v>
      </c>
      <c r="AI269" s="1" t="s">
        <v>126</v>
      </c>
      <c r="AJ269" s="1" t="s">
        <v>126</v>
      </c>
      <c r="AK269" s="1" t="s">
        <v>126</v>
      </c>
      <c r="AL269" s="1" t="s">
        <v>126</v>
      </c>
      <c r="AM269" s="377"/>
    </row>
    <row r="270" spans="1:39">
      <c r="A270" s="770" t="s">
        <v>639</v>
      </c>
      <c r="B270" s="580" t="s">
        <v>640</v>
      </c>
      <c r="C270" s="763">
        <v>1</v>
      </c>
      <c r="D270" s="764" t="s">
        <v>118</v>
      </c>
      <c r="E270" s="765">
        <v>41.67</v>
      </c>
      <c r="F270" s="766">
        <f t="shared" si="57"/>
        <v>0.17199999999999999</v>
      </c>
      <c r="G270" s="767">
        <f t="shared" si="53"/>
        <v>34.502760000000002</v>
      </c>
      <c r="H270" s="767"/>
      <c r="I270" s="768"/>
      <c r="J270" s="768"/>
      <c r="K270" s="769"/>
      <c r="L270" s="768"/>
      <c r="M270" s="631" t="s">
        <v>594</v>
      </c>
      <c r="N270" s="359" t="s">
        <v>526</v>
      </c>
      <c r="O270" s="364" t="s">
        <v>527</v>
      </c>
      <c r="P270" s="1" t="str">
        <f t="shared" si="54"/>
        <v/>
      </c>
      <c r="Q270" s="1" t="str">
        <f t="shared" si="54"/>
        <v/>
      </c>
      <c r="R270" s="1" t="str">
        <f t="shared" si="54"/>
        <v/>
      </c>
      <c r="S270" s="1" t="str">
        <f t="shared" si="54"/>
        <v/>
      </c>
      <c r="T270" s="711" t="s">
        <v>641</v>
      </c>
      <c r="U270" s="712" t="s">
        <v>642</v>
      </c>
      <c r="V270" s="698">
        <v>1</v>
      </c>
      <c r="W270" s="699" t="s">
        <v>118</v>
      </c>
      <c r="X270" s="700">
        <v>41.67</v>
      </c>
      <c r="Y270" s="701">
        <v>0.17199999999999999</v>
      </c>
      <c r="Z270" s="702">
        <v>34.502760000000002</v>
      </c>
      <c r="AA270" s="702"/>
      <c r="AB270" s="704"/>
      <c r="AC270" s="704"/>
      <c r="AD270" s="713"/>
      <c r="AE270" s="704"/>
      <c r="AF270" s="631" t="s">
        <v>594</v>
      </c>
      <c r="AG270" s="359" t="s">
        <v>526</v>
      </c>
      <c r="AH270" s="364" t="s">
        <v>527</v>
      </c>
      <c r="AI270" s="1" t="s">
        <v>126</v>
      </c>
      <c r="AJ270" s="1" t="s">
        <v>126</v>
      </c>
      <c r="AK270" s="1" t="s">
        <v>126</v>
      </c>
      <c r="AL270" s="1" t="s">
        <v>126</v>
      </c>
      <c r="AM270" s="377"/>
    </row>
    <row r="271" spans="1:39">
      <c r="A271" s="770" t="s">
        <v>643</v>
      </c>
      <c r="B271" s="580" t="s">
        <v>644</v>
      </c>
      <c r="C271" s="763">
        <v>1</v>
      </c>
      <c r="D271" s="764" t="s">
        <v>118</v>
      </c>
      <c r="E271" s="765">
        <v>63.33</v>
      </c>
      <c r="F271" s="766">
        <f t="shared" si="57"/>
        <v>0.17199999999999999</v>
      </c>
      <c r="G271" s="767">
        <f t="shared" si="53"/>
        <v>52.437240000000003</v>
      </c>
      <c r="H271" s="767"/>
      <c r="I271" s="768"/>
      <c r="J271" s="768"/>
      <c r="K271" s="769"/>
      <c r="L271" s="768"/>
      <c r="M271" s="631" t="s">
        <v>594</v>
      </c>
      <c r="N271" s="359" t="s">
        <v>526</v>
      </c>
      <c r="O271" s="364" t="s">
        <v>527</v>
      </c>
      <c r="P271" s="1" t="str">
        <f t="shared" si="54"/>
        <v/>
      </c>
      <c r="Q271" s="1" t="str">
        <f t="shared" si="54"/>
        <v/>
      </c>
      <c r="R271" s="1" t="str">
        <f t="shared" si="54"/>
        <v/>
      </c>
      <c r="S271" s="1" t="str">
        <f t="shared" si="54"/>
        <v/>
      </c>
      <c r="T271" s="711" t="s">
        <v>645</v>
      </c>
      <c r="U271" s="712" t="s">
        <v>646</v>
      </c>
      <c r="V271" s="698">
        <v>1</v>
      </c>
      <c r="W271" s="699" t="s">
        <v>118</v>
      </c>
      <c r="X271" s="700">
        <v>63.33</v>
      </c>
      <c r="Y271" s="701">
        <v>0.17199999999999999</v>
      </c>
      <c r="Z271" s="702">
        <v>52.437240000000003</v>
      </c>
      <c r="AA271" s="702"/>
      <c r="AB271" s="704"/>
      <c r="AC271" s="704"/>
      <c r="AD271" s="713"/>
      <c r="AE271" s="704"/>
      <c r="AF271" s="631" t="s">
        <v>594</v>
      </c>
      <c r="AG271" s="359" t="s">
        <v>526</v>
      </c>
      <c r="AH271" s="364" t="s">
        <v>527</v>
      </c>
      <c r="AI271" s="1" t="s">
        <v>126</v>
      </c>
      <c r="AJ271" s="1" t="s">
        <v>126</v>
      </c>
      <c r="AK271" s="1" t="s">
        <v>126</v>
      </c>
      <c r="AL271" s="1" t="s">
        <v>126</v>
      </c>
      <c r="AM271" s="377"/>
    </row>
    <row r="272" spans="1:39">
      <c r="A272" s="770" t="s">
        <v>647</v>
      </c>
      <c r="B272" s="580" t="s">
        <v>648</v>
      </c>
      <c r="C272" s="763">
        <v>1</v>
      </c>
      <c r="D272" s="764" t="s">
        <v>118</v>
      </c>
      <c r="E272" s="765">
        <v>63.33</v>
      </c>
      <c r="F272" s="766">
        <f t="shared" si="57"/>
        <v>0.17199999999999999</v>
      </c>
      <c r="G272" s="767">
        <f>E272-(E272*F272)</f>
        <v>52.437240000000003</v>
      </c>
      <c r="H272" s="767"/>
      <c r="I272" s="768"/>
      <c r="J272" s="768"/>
      <c r="K272" s="769"/>
      <c r="L272" s="768"/>
      <c r="M272" s="631" t="s">
        <v>594</v>
      </c>
      <c r="N272" s="359" t="s">
        <v>526</v>
      </c>
      <c r="O272" s="364" t="s">
        <v>527</v>
      </c>
      <c r="P272" s="1" t="str">
        <f>+IF($J272&lt;&gt;"",P$2*$J272,"")</f>
        <v/>
      </c>
      <c r="Q272" s="1" t="str">
        <f>+IF($J272&lt;&gt;"",Q$2*$J272,"")</f>
        <v/>
      </c>
      <c r="R272" s="1" t="str">
        <f>+IF($J272&lt;&gt;"",R$2*$J272,"")</f>
        <v/>
      </c>
      <c r="S272" s="1" t="str">
        <f>+IF($J272&lt;&gt;"",S$2*$J272,"")</f>
        <v/>
      </c>
      <c r="T272" s="711" t="s">
        <v>649</v>
      </c>
      <c r="U272" s="712" t="s">
        <v>650</v>
      </c>
      <c r="V272" s="698">
        <v>1</v>
      </c>
      <c r="W272" s="699" t="s">
        <v>118</v>
      </c>
      <c r="X272" s="700">
        <v>63.33</v>
      </c>
      <c r="Y272" s="701">
        <v>0.17199999999999999</v>
      </c>
      <c r="Z272" s="702">
        <v>52.437240000000003</v>
      </c>
      <c r="AA272" s="702"/>
      <c r="AB272" s="704"/>
      <c r="AC272" s="704"/>
      <c r="AD272" s="713"/>
      <c r="AE272" s="704"/>
      <c r="AF272" s="631" t="s">
        <v>594</v>
      </c>
      <c r="AG272" s="359" t="s">
        <v>526</v>
      </c>
      <c r="AH272" s="364" t="s">
        <v>527</v>
      </c>
      <c r="AI272" s="1" t="s">
        <v>126</v>
      </c>
      <c r="AJ272" s="1" t="s">
        <v>126</v>
      </c>
      <c r="AK272" s="1" t="s">
        <v>126</v>
      </c>
      <c r="AL272" s="1" t="s">
        <v>126</v>
      </c>
      <c r="AM272" s="377"/>
    </row>
    <row r="273" spans="1:39">
      <c r="A273" s="770" t="s">
        <v>651</v>
      </c>
      <c r="B273" s="580" t="s">
        <v>652</v>
      </c>
      <c r="C273" s="763">
        <v>1</v>
      </c>
      <c r="D273" s="764" t="s">
        <v>118</v>
      </c>
      <c r="E273" s="765">
        <v>63.33</v>
      </c>
      <c r="F273" s="766">
        <f t="shared" si="57"/>
        <v>0.17199999999999999</v>
      </c>
      <c r="G273" s="767">
        <f t="shared" si="53"/>
        <v>52.437240000000003</v>
      </c>
      <c r="H273" s="767"/>
      <c r="I273" s="768"/>
      <c r="J273" s="768"/>
      <c r="K273" s="769"/>
      <c r="L273" s="768"/>
      <c r="M273" s="631" t="s">
        <v>594</v>
      </c>
      <c r="N273" s="359" t="s">
        <v>526</v>
      </c>
      <c r="O273" s="364" t="s">
        <v>527</v>
      </c>
      <c r="P273" s="1" t="str">
        <f t="shared" si="54"/>
        <v/>
      </c>
      <c r="Q273" s="1" t="str">
        <f t="shared" si="54"/>
        <v/>
      </c>
      <c r="R273" s="1" t="str">
        <f t="shared" si="54"/>
        <v/>
      </c>
      <c r="S273" s="1" t="str">
        <f t="shared" si="54"/>
        <v/>
      </c>
      <c r="T273" s="711" t="s">
        <v>653</v>
      </c>
      <c r="U273" s="712" t="s">
        <v>654</v>
      </c>
      <c r="V273" s="698">
        <v>1</v>
      </c>
      <c r="W273" s="699" t="s">
        <v>118</v>
      </c>
      <c r="X273" s="700">
        <v>63.33</v>
      </c>
      <c r="Y273" s="701">
        <v>0.17199999999999999</v>
      </c>
      <c r="Z273" s="702">
        <v>52.437240000000003</v>
      </c>
      <c r="AA273" s="702"/>
      <c r="AB273" s="704"/>
      <c r="AC273" s="704"/>
      <c r="AD273" s="713"/>
      <c r="AE273" s="704"/>
      <c r="AF273" s="631" t="s">
        <v>594</v>
      </c>
      <c r="AG273" s="359" t="s">
        <v>526</v>
      </c>
      <c r="AH273" s="364" t="s">
        <v>527</v>
      </c>
      <c r="AI273" s="1" t="s">
        <v>126</v>
      </c>
      <c r="AJ273" s="1" t="s">
        <v>126</v>
      </c>
      <c r="AK273" s="1" t="s">
        <v>126</v>
      </c>
      <c r="AL273" s="1" t="s">
        <v>126</v>
      </c>
      <c r="AM273" s="377"/>
    </row>
    <row r="274" spans="1:39" s="90" customFormat="1">
      <c r="A274" s="223" t="s">
        <v>655</v>
      </c>
      <c r="B274" s="52" t="s">
        <v>656</v>
      </c>
      <c r="C274" s="53">
        <v>1</v>
      </c>
      <c r="D274" s="54" t="s">
        <v>118</v>
      </c>
      <c r="E274" s="62">
        <v>1522.75</v>
      </c>
      <c r="F274" s="66">
        <f>rv_im21_hg</f>
        <v>0.17199999999999999</v>
      </c>
      <c r="G274" s="70">
        <f t="shared" ref="G274:G286" si="58">E274-(E274*F274)</f>
        <v>1260.837</v>
      </c>
      <c r="H274" s="53" t="s">
        <v>593</v>
      </c>
      <c r="I274" s="63">
        <v>65.88</v>
      </c>
      <c r="J274" s="63">
        <f>G274+I274</f>
        <v>1326.7170000000001</v>
      </c>
      <c r="K274" s="63" t="s">
        <v>120</v>
      </c>
      <c r="L274" s="63">
        <v>1.42</v>
      </c>
      <c r="M274" s="630" t="s">
        <v>657</v>
      </c>
      <c r="N274" s="403" t="s">
        <v>526</v>
      </c>
      <c r="O274" s="404" t="s">
        <v>527</v>
      </c>
      <c r="P274" s="90">
        <f t="shared" si="54"/>
        <v>267.07973727534767</v>
      </c>
      <c r="Q274" s="90">
        <f t="shared" si="54"/>
        <v>138.80306447594029</v>
      </c>
      <c r="R274" s="90">
        <f t="shared" si="54"/>
        <v>100.8085337428118</v>
      </c>
      <c r="S274" s="90">
        <f t="shared" si="54"/>
        <v>86.991351347465823</v>
      </c>
      <c r="T274" s="725" t="s">
        <v>658</v>
      </c>
      <c r="U274" s="691" t="s">
        <v>659</v>
      </c>
      <c r="V274" s="692">
        <v>1</v>
      </c>
      <c r="W274" s="707" t="s">
        <v>118</v>
      </c>
      <c r="X274" s="694">
        <v>1481.08</v>
      </c>
      <c r="Y274" s="695">
        <v>0.17199999999999999</v>
      </c>
      <c r="Z274" s="693">
        <v>1226.3342399999999</v>
      </c>
      <c r="AA274" s="692" t="s">
        <v>593</v>
      </c>
      <c r="AB274" s="696">
        <v>65.88</v>
      </c>
      <c r="AC274" s="696">
        <v>1292.2142399999998</v>
      </c>
      <c r="AD274" s="696" t="s">
        <v>120</v>
      </c>
      <c r="AE274" s="696">
        <v>1.42</v>
      </c>
      <c r="AF274" s="630" t="s">
        <v>657</v>
      </c>
      <c r="AG274" s="403" t="s">
        <v>526</v>
      </c>
      <c r="AH274" s="404" t="s">
        <v>527</v>
      </c>
      <c r="AI274" s="90">
        <v>260.13402988177808</v>
      </c>
      <c r="AJ274" s="90">
        <v>135.19333548258456</v>
      </c>
      <c r="AK274" s="90">
        <v>98.186895031858256</v>
      </c>
      <c r="AL274" s="90">
        <v>84.72904392424195</v>
      </c>
      <c r="AM274" s="402"/>
    </row>
    <row r="275" spans="1:39">
      <c r="A275" s="770" t="s">
        <v>660</v>
      </c>
      <c r="B275" s="580" t="s">
        <v>598</v>
      </c>
      <c r="C275" s="763">
        <v>1</v>
      </c>
      <c r="D275" s="764" t="s">
        <v>118</v>
      </c>
      <c r="E275" s="765">
        <v>191.67</v>
      </c>
      <c r="F275" s="766">
        <f t="shared" ref="F275:F281" si="59">rv_im21_hg_cto</f>
        <v>0.17199999999999999</v>
      </c>
      <c r="G275" s="767">
        <f t="shared" si="58"/>
        <v>158.70275999999998</v>
      </c>
      <c r="H275" s="767"/>
      <c r="I275" s="768"/>
      <c r="J275" s="768"/>
      <c r="K275" s="769"/>
      <c r="L275" s="768"/>
      <c r="M275" s="631" t="s">
        <v>657</v>
      </c>
      <c r="N275" s="360" t="s">
        <v>526</v>
      </c>
      <c r="O275" s="365" t="s">
        <v>527</v>
      </c>
      <c r="P275" s="1" t="str">
        <f t="shared" si="54"/>
        <v/>
      </c>
      <c r="Q275" s="1" t="str">
        <f t="shared" si="54"/>
        <v/>
      </c>
      <c r="R275" s="1" t="str">
        <f t="shared" si="54"/>
        <v/>
      </c>
      <c r="S275" s="1" t="str">
        <f t="shared" si="54"/>
        <v/>
      </c>
      <c r="T275" s="711" t="s">
        <v>661</v>
      </c>
      <c r="U275" s="712" t="s">
        <v>662</v>
      </c>
      <c r="V275" s="698">
        <v>1</v>
      </c>
      <c r="W275" s="699" t="s">
        <v>118</v>
      </c>
      <c r="X275" s="700">
        <v>191.67</v>
      </c>
      <c r="Y275" s="701">
        <v>0.17199999999999999</v>
      </c>
      <c r="Z275" s="702">
        <v>158.70275999999998</v>
      </c>
      <c r="AA275" s="702"/>
      <c r="AB275" s="704"/>
      <c r="AC275" s="704"/>
      <c r="AD275" s="713"/>
      <c r="AE275" s="704"/>
      <c r="AF275" s="631" t="s">
        <v>657</v>
      </c>
      <c r="AG275" s="360" t="s">
        <v>526</v>
      </c>
      <c r="AH275" s="365" t="s">
        <v>527</v>
      </c>
      <c r="AI275" s="1" t="s">
        <v>126</v>
      </c>
      <c r="AJ275" s="1" t="s">
        <v>126</v>
      </c>
      <c r="AK275" s="1" t="s">
        <v>126</v>
      </c>
      <c r="AL275" s="1" t="s">
        <v>126</v>
      </c>
      <c r="AM275" s="377"/>
    </row>
    <row r="276" spans="1:39">
      <c r="A276" s="770" t="s">
        <v>663</v>
      </c>
      <c r="B276" s="580" t="s">
        <v>602</v>
      </c>
      <c r="C276" s="763">
        <v>1</v>
      </c>
      <c r="D276" s="764" t="s">
        <v>118</v>
      </c>
      <c r="E276" s="765">
        <v>383.33</v>
      </c>
      <c r="F276" s="766">
        <f t="shared" si="59"/>
        <v>0.17199999999999999</v>
      </c>
      <c r="G276" s="767">
        <f t="shared" si="58"/>
        <v>317.39724000000001</v>
      </c>
      <c r="H276" s="767"/>
      <c r="I276" s="768"/>
      <c r="J276" s="768"/>
      <c r="K276" s="769"/>
      <c r="L276" s="768"/>
      <c r="M276" s="631" t="s">
        <v>594</v>
      </c>
      <c r="N276" s="359" t="s">
        <v>526</v>
      </c>
      <c r="O276" s="364" t="s">
        <v>527</v>
      </c>
      <c r="P276" s="1"/>
      <c r="Q276" s="1"/>
      <c r="R276" s="1"/>
      <c r="S276" s="1"/>
      <c r="T276" s="711"/>
      <c r="U276" s="712"/>
      <c r="V276" s="698"/>
      <c r="W276" s="699"/>
      <c r="X276" s="700"/>
      <c r="Y276" s="701"/>
      <c r="Z276" s="702"/>
      <c r="AA276" s="702"/>
      <c r="AB276" s="704"/>
      <c r="AC276" s="704"/>
      <c r="AD276" s="713"/>
      <c r="AE276" s="704"/>
      <c r="AF276" s="631"/>
      <c r="AG276" s="360"/>
      <c r="AH276" s="365"/>
      <c r="AI276" s="1"/>
      <c r="AJ276" s="1"/>
      <c r="AK276" s="1"/>
      <c r="AL276" s="1"/>
      <c r="AM276" s="377"/>
    </row>
    <row r="277" spans="1:39">
      <c r="A277" s="770" t="s">
        <v>664</v>
      </c>
      <c r="B277" s="580" t="s">
        <v>604</v>
      </c>
      <c r="C277" s="763">
        <v>1</v>
      </c>
      <c r="D277" s="764" t="s">
        <v>118</v>
      </c>
      <c r="E277" s="765">
        <v>191.67</v>
      </c>
      <c r="F277" s="766">
        <f t="shared" si="59"/>
        <v>0.17199999999999999</v>
      </c>
      <c r="G277" s="767">
        <f t="shared" si="58"/>
        <v>158.70275999999998</v>
      </c>
      <c r="H277" s="767"/>
      <c r="I277" s="768"/>
      <c r="J277" s="768"/>
      <c r="K277" s="769"/>
      <c r="L277" s="768"/>
      <c r="M277" s="631" t="s">
        <v>657</v>
      </c>
      <c r="N277" s="360" t="s">
        <v>526</v>
      </c>
      <c r="O277" s="365" t="s">
        <v>527</v>
      </c>
      <c r="P277" s="1" t="str">
        <f t="shared" si="54"/>
        <v/>
      </c>
      <c r="Q277" s="1" t="str">
        <f t="shared" si="54"/>
        <v/>
      </c>
      <c r="R277" s="1" t="str">
        <f t="shared" si="54"/>
        <v/>
      </c>
      <c r="S277" s="1" t="str">
        <f t="shared" si="54"/>
        <v/>
      </c>
      <c r="T277" s="711" t="s">
        <v>665</v>
      </c>
      <c r="U277" s="712" t="s">
        <v>666</v>
      </c>
      <c r="V277" s="698">
        <v>1</v>
      </c>
      <c r="W277" s="699" t="s">
        <v>118</v>
      </c>
      <c r="X277" s="700">
        <v>191.67</v>
      </c>
      <c r="Y277" s="701">
        <v>0.17199999999999999</v>
      </c>
      <c r="Z277" s="702">
        <v>158.70275999999998</v>
      </c>
      <c r="AA277" s="702"/>
      <c r="AB277" s="704"/>
      <c r="AC277" s="704"/>
      <c r="AD277" s="713"/>
      <c r="AE277" s="704"/>
      <c r="AF277" s="631" t="s">
        <v>657</v>
      </c>
      <c r="AG277" s="360" t="s">
        <v>526</v>
      </c>
      <c r="AH277" s="365" t="s">
        <v>527</v>
      </c>
      <c r="AI277" s="1" t="s">
        <v>126</v>
      </c>
      <c r="AJ277" s="1" t="s">
        <v>126</v>
      </c>
      <c r="AK277" s="1" t="s">
        <v>126</v>
      </c>
      <c r="AL277" s="1" t="s">
        <v>126</v>
      </c>
      <c r="AM277" s="377"/>
    </row>
    <row r="278" spans="1:39">
      <c r="A278" s="770" t="s">
        <v>667</v>
      </c>
      <c r="B278" s="580" t="s">
        <v>608</v>
      </c>
      <c r="C278" s="763">
        <v>1</v>
      </c>
      <c r="D278" s="764" t="s">
        <v>118</v>
      </c>
      <c r="E278" s="765">
        <v>383.33</v>
      </c>
      <c r="F278" s="766">
        <f t="shared" si="59"/>
        <v>0.17199999999999999</v>
      </c>
      <c r="G278" s="767">
        <f t="shared" si="58"/>
        <v>317.39724000000001</v>
      </c>
      <c r="H278" s="767"/>
      <c r="I278" s="768"/>
      <c r="J278" s="768"/>
      <c r="K278" s="769"/>
      <c r="L278" s="768"/>
      <c r="M278" s="631" t="s">
        <v>657</v>
      </c>
      <c r="N278" s="360" t="s">
        <v>526</v>
      </c>
      <c r="O278" s="365" t="s">
        <v>527</v>
      </c>
      <c r="P278" s="1" t="str">
        <f t="shared" ref="P278:S286" si="60">+IF($J278&lt;&gt;"",P$2*$J278,"")</f>
        <v/>
      </c>
      <c r="Q278" s="1" t="str">
        <f t="shared" si="60"/>
        <v/>
      </c>
      <c r="R278" s="1" t="str">
        <f t="shared" si="60"/>
        <v/>
      </c>
      <c r="S278" s="1" t="str">
        <f t="shared" si="60"/>
        <v/>
      </c>
      <c r="T278" s="711" t="s">
        <v>668</v>
      </c>
      <c r="U278" s="712" t="s">
        <v>669</v>
      </c>
      <c r="V278" s="698">
        <v>1</v>
      </c>
      <c r="W278" s="699" t="s">
        <v>118</v>
      </c>
      <c r="X278" s="700">
        <v>383.33</v>
      </c>
      <c r="Y278" s="701">
        <v>0.17199999999999999</v>
      </c>
      <c r="Z278" s="702">
        <v>317.39724000000001</v>
      </c>
      <c r="AA278" s="702"/>
      <c r="AB278" s="704"/>
      <c r="AC278" s="704"/>
      <c r="AD278" s="713"/>
      <c r="AE278" s="704"/>
      <c r="AF278" s="631" t="s">
        <v>657</v>
      </c>
      <c r="AG278" s="360" t="s">
        <v>526</v>
      </c>
      <c r="AH278" s="365" t="s">
        <v>527</v>
      </c>
      <c r="AI278" s="1" t="s">
        <v>126</v>
      </c>
      <c r="AJ278" s="1" t="s">
        <v>126</v>
      </c>
      <c r="AK278" s="1" t="s">
        <v>126</v>
      </c>
      <c r="AL278" s="1" t="s">
        <v>126</v>
      </c>
      <c r="AM278" s="377"/>
    </row>
    <row r="279" spans="1:39">
      <c r="A279" s="770" t="s">
        <v>670</v>
      </c>
      <c r="B279" s="580" t="s">
        <v>671</v>
      </c>
      <c r="C279" s="763">
        <v>1</v>
      </c>
      <c r="D279" s="764" t="s">
        <v>118</v>
      </c>
      <c r="E279" s="765">
        <v>766.67</v>
      </c>
      <c r="F279" s="766">
        <f t="shared" si="59"/>
        <v>0.17199999999999999</v>
      </c>
      <c r="G279" s="767">
        <f t="shared" si="58"/>
        <v>634.80276000000003</v>
      </c>
      <c r="H279" s="767"/>
      <c r="I279" s="768"/>
      <c r="J279" s="768"/>
      <c r="K279" s="769"/>
      <c r="L279" s="768"/>
      <c r="M279" s="631" t="s">
        <v>657</v>
      </c>
      <c r="N279" s="360" t="s">
        <v>526</v>
      </c>
      <c r="O279" s="365" t="s">
        <v>527</v>
      </c>
      <c r="P279" s="1" t="str">
        <f t="shared" si="60"/>
        <v/>
      </c>
      <c r="Q279" s="1" t="str">
        <f t="shared" si="60"/>
        <v/>
      </c>
      <c r="R279" s="1" t="str">
        <f t="shared" si="60"/>
        <v/>
      </c>
      <c r="S279" s="1" t="str">
        <f t="shared" si="60"/>
        <v/>
      </c>
      <c r="T279" s="711" t="s">
        <v>672</v>
      </c>
      <c r="U279" s="712" t="s">
        <v>673</v>
      </c>
      <c r="V279" s="698">
        <v>1</v>
      </c>
      <c r="W279" s="699" t="s">
        <v>118</v>
      </c>
      <c r="X279" s="700">
        <v>766.67</v>
      </c>
      <c r="Y279" s="701">
        <v>0.17199999999999999</v>
      </c>
      <c r="Z279" s="702">
        <v>634.80276000000003</v>
      </c>
      <c r="AA279" s="702"/>
      <c r="AB279" s="704"/>
      <c r="AC279" s="704"/>
      <c r="AD279" s="713"/>
      <c r="AE279" s="704"/>
      <c r="AF279" s="631" t="s">
        <v>657</v>
      </c>
      <c r="AG279" s="360" t="s">
        <v>526</v>
      </c>
      <c r="AH279" s="365" t="s">
        <v>527</v>
      </c>
      <c r="AI279" s="1" t="s">
        <v>126</v>
      </c>
      <c r="AJ279" s="1" t="s">
        <v>126</v>
      </c>
      <c r="AK279" s="1" t="s">
        <v>126</v>
      </c>
      <c r="AL279" s="1" t="s">
        <v>126</v>
      </c>
      <c r="AM279" s="377"/>
    </row>
    <row r="280" spans="1:39">
      <c r="A280" s="770" t="s">
        <v>674</v>
      </c>
      <c r="B280" s="580" t="s">
        <v>616</v>
      </c>
      <c r="C280" s="763">
        <v>1</v>
      </c>
      <c r="D280" s="764" t="s">
        <v>118</v>
      </c>
      <c r="E280" s="765">
        <v>41.67</v>
      </c>
      <c r="F280" s="766">
        <f t="shared" si="59"/>
        <v>0.17199999999999999</v>
      </c>
      <c r="G280" s="767">
        <f t="shared" si="58"/>
        <v>34.502760000000002</v>
      </c>
      <c r="H280" s="767"/>
      <c r="I280" s="768"/>
      <c r="J280" s="768"/>
      <c r="K280" s="769"/>
      <c r="L280" s="768"/>
      <c r="M280" s="631" t="s">
        <v>657</v>
      </c>
      <c r="N280" s="360" t="s">
        <v>526</v>
      </c>
      <c r="O280" s="365" t="s">
        <v>527</v>
      </c>
      <c r="P280" s="1" t="str">
        <f t="shared" si="60"/>
        <v/>
      </c>
      <c r="Q280" s="1" t="str">
        <f t="shared" si="60"/>
        <v/>
      </c>
      <c r="R280" s="1" t="str">
        <f t="shared" si="60"/>
        <v/>
      </c>
      <c r="S280" s="1" t="str">
        <f t="shared" si="60"/>
        <v/>
      </c>
      <c r="T280" s="711" t="s">
        <v>675</v>
      </c>
      <c r="U280" s="712" t="s">
        <v>676</v>
      </c>
      <c r="V280" s="698">
        <v>1</v>
      </c>
      <c r="W280" s="699" t="s">
        <v>118</v>
      </c>
      <c r="X280" s="700">
        <v>41.67</v>
      </c>
      <c r="Y280" s="701">
        <v>0.17199999999999999</v>
      </c>
      <c r="Z280" s="702">
        <v>34.502760000000002</v>
      </c>
      <c r="AA280" s="702"/>
      <c r="AB280" s="704"/>
      <c r="AC280" s="704"/>
      <c r="AD280" s="713"/>
      <c r="AE280" s="704"/>
      <c r="AF280" s="631" t="s">
        <v>657</v>
      </c>
      <c r="AG280" s="360" t="s">
        <v>526</v>
      </c>
      <c r="AH280" s="365" t="s">
        <v>527</v>
      </c>
      <c r="AI280" s="1" t="s">
        <v>126</v>
      </c>
      <c r="AJ280" s="1" t="s">
        <v>126</v>
      </c>
      <c r="AK280" s="1" t="s">
        <v>126</v>
      </c>
      <c r="AL280" s="1" t="s">
        <v>126</v>
      </c>
      <c r="AM280" s="377"/>
    </row>
    <row r="281" spans="1:39">
      <c r="A281" s="770" t="s">
        <v>677</v>
      </c>
      <c r="B281" s="580" t="s">
        <v>620</v>
      </c>
      <c r="C281" s="763">
        <v>1</v>
      </c>
      <c r="D281" s="764" t="s">
        <v>118</v>
      </c>
      <c r="E281" s="765">
        <v>112.5</v>
      </c>
      <c r="F281" s="766">
        <f t="shared" si="59"/>
        <v>0.17199999999999999</v>
      </c>
      <c r="G281" s="767">
        <f t="shared" si="58"/>
        <v>93.15</v>
      </c>
      <c r="H281" s="767"/>
      <c r="I281" s="768"/>
      <c r="J281" s="768"/>
      <c r="K281" s="769"/>
      <c r="L281" s="768"/>
      <c r="M281" s="631" t="s">
        <v>657</v>
      </c>
      <c r="N281" s="360" t="s">
        <v>526</v>
      </c>
      <c r="O281" s="365" t="s">
        <v>527</v>
      </c>
      <c r="P281" s="1" t="str">
        <f t="shared" si="60"/>
        <v/>
      </c>
      <c r="Q281" s="1" t="str">
        <f t="shared" si="60"/>
        <v/>
      </c>
      <c r="R281" s="1" t="str">
        <f t="shared" si="60"/>
        <v/>
      </c>
      <c r="S281" s="1" t="str">
        <f t="shared" si="60"/>
        <v/>
      </c>
      <c r="T281" s="711" t="s">
        <v>678</v>
      </c>
      <c r="U281" s="712" t="s">
        <v>679</v>
      </c>
      <c r="V281" s="698">
        <v>1</v>
      </c>
      <c r="W281" s="699" t="s">
        <v>118</v>
      </c>
      <c r="X281" s="700">
        <v>112.5</v>
      </c>
      <c r="Y281" s="701">
        <v>0.17199999999999999</v>
      </c>
      <c r="Z281" s="702">
        <v>93.15</v>
      </c>
      <c r="AA281" s="702"/>
      <c r="AB281" s="704"/>
      <c r="AC281" s="704"/>
      <c r="AD281" s="713"/>
      <c r="AE281" s="704"/>
      <c r="AF281" s="631" t="s">
        <v>657</v>
      </c>
      <c r="AG281" s="360" t="s">
        <v>526</v>
      </c>
      <c r="AH281" s="365" t="s">
        <v>527</v>
      </c>
      <c r="AI281" s="1" t="s">
        <v>126</v>
      </c>
      <c r="AJ281" s="1" t="s">
        <v>126</v>
      </c>
      <c r="AK281" s="1" t="s">
        <v>126</v>
      </c>
      <c r="AL281" s="1" t="s">
        <v>126</v>
      </c>
      <c r="AM281" s="377"/>
    </row>
    <row r="282" spans="1:39">
      <c r="A282" s="770" t="s">
        <v>680</v>
      </c>
      <c r="B282" s="580" t="s">
        <v>636</v>
      </c>
      <c r="C282" s="763">
        <v>1</v>
      </c>
      <c r="D282" s="764" t="s">
        <v>118</v>
      </c>
      <c r="E282" s="765">
        <v>0</v>
      </c>
      <c r="F282" s="766"/>
      <c r="G282" s="767">
        <f>E282-(E282*F282)</f>
        <v>0</v>
      </c>
      <c r="H282" s="767"/>
      <c r="I282" s="768"/>
      <c r="J282" s="768"/>
      <c r="K282" s="769"/>
      <c r="L282" s="768"/>
      <c r="M282" s="631" t="s">
        <v>657</v>
      </c>
      <c r="N282" s="360" t="s">
        <v>526</v>
      </c>
      <c r="O282" s="365" t="s">
        <v>527</v>
      </c>
      <c r="P282" s="1" t="str">
        <f>+IF($J282&lt;&gt;"",P$2*$J282,"")</f>
        <v/>
      </c>
      <c r="Q282" s="1" t="str">
        <f>+IF($J282&lt;&gt;"",Q$2*$J282,"")</f>
        <v/>
      </c>
      <c r="R282" s="1" t="str">
        <f>+IF($J282&lt;&gt;"",R$2*$J282,"")</f>
        <v/>
      </c>
      <c r="S282" s="1" t="str">
        <f>+IF($J282&lt;&gt;"",S$2*$J282,"")</f>
        <v/>
      </c>
      <c r="T282" s="711" t="s">
        <v>681</v>
      </c>
      <c r="U282" s="712" t="s">
        <v>682</v>
      </c>
      <c r="V282" s="698">
        <v>1</v>
      </c>
      <c r="W282" s="699" t="s">
        <v>118</v>
      </c>
      <c r="X282" s="700">
        <v>0</v>
      </c>
      <c r="Y282" s="701"/>
      <c r="Z282" s="702">
        <v>0</v>
      </c>
      <c r="AA282" s="702"/>
      <c r="AB282" s="704"/>
      <c r="AC282" s="704"/>
      <c r="AD282" s="713"/>
      <c r="AE282" s="704"/>
      <c r="AF282" s="631" t="s">
        <v>657</v>
      </c>
      <c r="AG282" s="360" t="s">
        <v>526</v>
      </c>
      <c r="AH282" s="365" t="s">
        <v>527</v>
      </c>
      <c r="AI282" s="1" t="s">
        <v>126</v>
      </c>
      <c r="AJ282" s="1" t="s">
        <v>126</v>
      </c>
      <c r="AK282" s="1" t="s">
        <v>126</v>
      </c>
      <c r="AL282" s="1" t="s">
        <v>126</v>
      </c>
      <c r="AM282" s="377"/>
    </row>
    <row r="283" spans="1:39">
      <c r="A283" s="770" t="s">
        <v>683</v>
      </c>
      <c r="B283" s="580" t="s">
        <v>640</v>
      </c>
      <c r="C283" s="763">
        <v>1</v>
      </c>
      <c r="D283" s="764" t="s">
        <v>118</v>
      </c>
      <c r="E283" s="765">
        <v>0</v>
      </c>
      <c r="F283" s="766"/>
      <c r="G283" s="767">
        <f t="shared" si="58"/>
        <v>0</v>
      </c>
      <c r="H283" s="767"/>
      <c r="I283" s="768"/>
      <c r="J283" s="768"/>
      <c r="K283" s="769"/>
      <c r="L283" s="768"/>
      <c r="M283" s="631" t="s">
        <v>657</v>
      </c>
      <c r="N283" s="360" t="s">
        <v>526</v>
      </c>
      <c r="O283" s="365" t="s">
        <v>527</v>
      </c>
      <c r="P283" s="1" t="str">
        <f t="shared" si="60"/>
        <v/>
      </c>
      <c r="Q283" s="1" t="str">
        <f t="shared" si="60"/>
        <v/>
      </c>
      <c r="R283" s="1" t="str">
        <f t="shared" si="60"/>
        <v/>
      </c>
      <c r="S283" s="1" t="str">
        <f t="shared" si="60"/>
        <v/>
      </c>
      <c r="T283" s="711" t="s">
        <v>684</v>
      </c>
      <c r="U283" s="712" t="s">
        <v>685</v>
      </c>
      <c r="V283" s="698">
        <v>1</v>
      </c>
      <c r="W283" s="699" t="s">
        <v>118</v>
      </c>
      <c r="X283" s="700">
        <v>0</v>
      </c>
      <c r="Y283" s="701"/>
      <c r="Z283" s="702">
        <v>0</v>
      </c>
      <c r="AA283" s="702"/>
      <c r="AB283" s="704"/>
      <c r="AC283" s="704"/>
      <c r="AD283" s="713"/>
      <c r="AE283" s="704"/>
      <c r="AF283" s="631" t="s">
        <v>657</v>
      </c>
      <c r="AG283" s="360" t="s">
        <v>526</v>
      </c>
      <c r="AH283" s="365" t="s">
        <v>527</v>
      </c>
      <c r="AI283" s="1" t="s">
        <v>126</v>
      </c>
      <c r="AJ283" s="1" t="s">
        <v>126</v>
      </c>
      <c r="AK283" s="1" t="s">
        <v>126</v>
      </c>
      <c r="AL283" s="1" t="s">
        <v>126</v>
      </c>
      <c r="AM283" s="377"/>
    </row>
    <row r="284" spans="1:39">
      <c r="A284" s="770" t="s">
        <v>686</v>
      </c>
      <c r="B284" s="580" t="s">
        <v>644</v>
      </c>
      <c r="C284" s="763">
        <v>1</v>
      </c>
      <c r="D284" s="764" t="s">
        <v>118</v>
      </c>
      <c r="E284" s="765">
        <v>21.67</v>
      </c>
      <c r="F284" s="766">
        <f>rv_im21_hg_cto</f>
        <v>0.17199999999999999</v>
      </c>
      <c r="G284" s="767">
        <f t="shared" si="58"/>
        <v>17.94276</v>
      </c>
      <c r="H284" s="767"/>
      <c r="I284" s="768"/>
      <c r="J284" s="768"/>
      <c r="K284" s="769"/>
      <c r="L284" s="768"/>
      <c r="M284" s="631" t="s">
        <v>657</v>
      </c>
      <c r="N284" s="360" t="s">
        <v>526</v>
      </c>
      <c r="O284" s="365" t="s">
        <v>527</v>
      </c>
      <c r="P284" s="1" t="str">
        <f t="shared" si="60"/>
        <v/>
      </c>
      <c r="Q284" s="1" t="str">
        <f t="shared" si="60"/>
        <v/>
      </c>
      <c r="R284" s="1" t="str">
        <f t="shared" si="60"/>
        <v/>
      </c>
      <c r="S284" s="1" t="str">
        <f t="shared" si="60"/>
        <v/>
      </c>
      <c r="T284" s="711" t="s">
        <v>687</v>
      </c>
      <c r="U284" s="712" t="s">
        <v>688</v>
      </c>
      <c r="V284" s="698">
        <v>1</v>
      </c>
      <c r="W284" s="699" t="s">
        <v>118</v>
      </c>
      <c r="X284" s="700">
        <v>21.67</v>
      </c>
      <c r="Y284" s="701">
        <v>0.17199999999999999</v>
      </c>
      <c r="Z284" s="702">
        <v>17.94276</v>
      </c>
      <c r="AA284" s="702"/>
      <c r="AB284" s="704"/>
      <c r="AC284" s="704"/>
      <c r="AD284" s="713"/>
      <c r="AE284" s="704"/>
      <c r="AF284" s="631" t="s">
        <v>657</v>
      </c>
      <c r="AG284" s="360" t="s">
        <v>526</v>
      </c>
      <c r="AH284" s="365" t="s">
        <v>527</v>
      </c>
      <c r="AI284" s="1" t="s">
        <v>126</v>
      </c>
      <c r="AJ284" s="1" t="s">
        <v>126</v>
      </c>
      <c r="AK284" s="1" t="s">
        <v>126</v>
      </c>
      <c r="AL284" s="1" t="s">
        <v>126</v>
      </c>
      <c r="AM284" s="377"/>
    </row>
    <row r="285" spans="1:39">
      <c r="A285" s="770" t="s">
        <v>689</v>
      </c>
      <c r="B285" s="580" t="s">
        <v>648</v>
      </c>
      <c r="C285" s="763">
        <v>1</v>
      </c>
      <c r="D285" s="764" t="s">
        <v>118</v>
      </c>
      <c r="E285" s="765">
        <v>21.67</v>
      </c>
      <c r="F285" s="766">
        <f>rv_im21_hg_cto</f>
        <v>0.17199999999999999</v>
      </c>
      <c r="G285" s="767">
        <f>E285-(E285*F285)</f>
        <v>17.94276</v>
      </c>
      <c r="H285" s="767"/>
      <c r="I285" s="768"/>
      <c r="J285" s="768"/>
      <c r="K285" s="769"/>
      <c r="L285" s="768"/>
      <c r="M285" s="631" t="s">
        <v>657</v>
      </c>
      <c r="N285" s="360" t="s">
        <v>526</v>
      </c>
      <c r="O285" s="365" t="s">
        <v>527</v>
      </c>
      <c r="P285" s="1" t="str">
        <f>+IF($J285&lt;&gt;"",P$2*$J285,"")</f>
        <v/>
      </c>
      <c r="Q285" s="1" t="str">
        <f>+IF($J285&lt;&gt;"",Q$2*$J285,"")</f>
        <v/>
      </c>
      <c r="R285" s="1" t="str">
        <f>+IF($J285&lt;&gt;"",R$2*$J285,"")</f>
        <v/>
      </c>
      <c r="S285" s="1" t="str">
        <f>+IF($J285&lt;&gt;"",S$2*$J285,"")</f>
        <v/>
      </c>
      <c r="T285" s="711" t="s">
        <v>690</v>
      </c>
      <c r="U285" s="712" t="s">
        <v>691</v>
      </c>
      <c r="V285" s="698">
        <v>1</v>
      </c>
      <c r="W285" s="699" t="s">
        <v>118</v>
      </c>
      <c r="X285" s="700">
        <v>21.67</v>
      </c>
      <c r="Y285" s="701">
        <v>0.17199999999999999</v>
      </c>
      <c r="Z285" s="702">
        <v>17.94276</v>
      </c>
      <c r="AA285" s="702"/>
      <c r="AB285" s="704"/>
      <c r="AC285" s="704"/>
      <c r="AD285" s="713"/>
      <c r="AE285" s="704"/>
      <c r="AF285" s="631" t="s">
        <v>657</v>
      </c>
      <c r="AG285" s="360" t="s">
        <v>526</v>
      </c>
      <c r="AH285" s="365" t="s">
        <v>527</v>
      </c>
      <c r="AI285" s="1" t="s">
        <v>126</v>
      </c>
      <c r="AJ285" s="1" t="s">
        <v>126</v>
      </c>
      <c r="AK285" s="1" t="s">
        <v>126</v>
      </c>
      <c r="AL285" s="1" t="s">
        <v>126</v>
      </c>
      <c r="AM285" s="377"/>
    </row>
    <row r="286" spans="1:39">
      <c r="A286" s="770" t="s">
        <v>692</v>
      </c>
      <c r="B286" s="580" t="s">
        <v>652</v>
      </c>
      <c r="C286" s="763">
        <v>1</v>
      </c>
      <c r="D286" s="764" t="s">
        <v>118</v>
      </c>
      <c r="E286" s="765">
        <v>21.67</v>
      </c>
      <c r="F286" s="766">
        <f>rv_im21_hg_cto</f>
        <v>0.17199999999999999</v>
      </c>
      <c r="G286" s="767">
        <f t="shared" si="58"/>
        <v>17.94276</v>
      </c>
      <c r="H286" s="767"/>
      <c r="I286" s="768"/>
      <c r="J286" s="768"/>
      <c r="K286" s="769"/>
      <c r="L286" s="768"/>
      <c r="M286" s="631" t="s">
        <v>657</v>
      </c>
      <c r="N286" s="360" t="s">
        <v>526</v>
      </c>
      <c r="O286" s="365" t="s">
        <v>527</v>
      </c>
      <c r="P286" s="1" t="str">
        <f t="shared" si="60"/>
        <v/>
      </c>
      <c r="Q286" s="1" t="str">
        <f t="shared" si="60"/>
        <v/>
      </c>
      <c r="R286" s="1" t="str">
        <f t="shared" si="60"/>
        <v/>
      </c>
      <c r="S286" s="1" t="str">
        <f t="shared" si="60"/>
        <v/>
      </c>
      <c r="T286" s="711" t="s">
        <v>693</v>
      </c>
      <c r="U286" s="712" t="s">
        <v>694</v>
      </c>
      <c r="V286" s="698">
        <v>1</v>
      </c>
      <c r="W286" s="699" t="s">
        <v>118</v>
      </c>
      <c r="X286" s="700">
        <v>21.67</v>
      </c>
      <c r="Y286" s="701">
        <v>0.17199999999999999</v>
      </c>
      <c r="Z286" s="702">
        <v>17.94276</v>
      </c>
      <c r="AA286" s="702"/>
      <c r="AB286" s="704"/>
      <c r="AC286" s="704"/>
      <c r="AD286" s="713"/>
      <c r="AE286" s="704"/>
      <c r="AF286" s="631" t="s">
        <v>657</v>
      </c>
      <c r="AG286" s="360" t="s">
        <v>526</v>
      </c>
      <c r="AH286" s="365" t="s">
        <v>527</v>
      </c>
      <c r="AI286" s="1" t="s">
        <v>126</v>
      </c>
      <c r="AJ286" s="1" t="s">
        <v>126</v>
      </c>
      <c r="AK286" s="1" t="s">
        <v>126</v>
      </c>
      <c r="AL286" s="1" t="s">
        <v>126</v>
      </c>
      <c r="AM286" s="377"/>
    </row>
    <row r="287" spans="1:39">
      <c r="A287" s="774" t="s">
        <v>593</v>
      </c>
      <c r="B287" s="775" t="s">
        <v>695</v>
      </c>
      <c r="C287" s="776">
        <v>1</v>
      </c>
      <c r="D287" s="777" t="s">
        <v>140</v>
      </c>
      <c r="E287" s="778">
        <v>79.56</v>
      </c>
      <c r="F287" s="779">
        <f>rv_im21_hg</f>
        <v>0.17199999999999999</v>
      </c>
      <c r="G287" s="767">
        <f t="shared" ref="G287" si="61">E287-(E287*F287)</f>
        <v>65.875680000000003</v>
      </c>
      <c r="H287" s="772"/>
      <c r="I287" s="768"/>
      <c r="J287" s="768"/>
      <c r="K287" s="769"/>
      <c r="L287" s="768"/>
      <c r="M287" s="631" t="s">
        <v>141</v>
      </c>
      <c r="N287" s="360" t="s">
        <v>142</v>
      </c>
      <c r="O287" s="365" t="s">
        <v>559</v>
      </c>
      <c r="P287" s="1" t="str">
        <f t="shared" ref="P287:S301" si="62">+IF($J287&lt;&gt;"",P$2*$J287,"")</f>
        <v/>
      </c>
      <c r="Q287" s="1" t="str">
        <f t="shared" si="62"/>
        <v/>
      </c>
      <c r="R287" s="1" t="str">
        <f t="shared" si="62"/>
        <v/>
      </c>
      <c r="S287" s="1" t="str">
        <f t="shared" si="62"/>
        <v/>
      </c>
      <c r="T287" s="231" t="s">
        <v>593</v>
      </c>
      <c r="U287" s="58" t="s">
        <v>696</v>
      </c>
      <c r="V287" s="59">
        <v>1</v>
      </c>
      <c r="W287" s="74" t="s">
        <v>140</v>
      </c>
      <c r="X287" s="280">
        <v>79.56</v>
      </c>
      <c r="Y287" s="112">
        <v>0.17199999999999999</v>
      </c>
      <c r="Z287" s="85">
        <v>65.875680000000003</v>
      </c>
      <c r="AA287" s="72"/>
      <c r="AB287" s="56"/>
      <c r="AC287" s="56"/>
      <c r="AD287" s="14"/>
      <c r="AE287" s="56"/>
      <c r="AF287" s="631" t="s">
        <v>141</v>
      </c>
      <c r="AG287" s="360" t="s">
        <v>142</v>
      </c>
      <c r="AH287" s="365" t="s">
        <v>559</v>
      </c>
      <c r="AI287" s="1" t="s">
        <v>126</v>
      </c>
      <c r="AJ287" s="1" t="s">
        <v>126</v>
      </c>
      <c r="AK287" s="1" t="s">
        <v>126</v>
      </c>
      <c r="AL287" s="1" t="s">
        <v>126</v>
      </c>
      <c r="AM287" s="377"/>
    </row>
    <row r="288" spans="1:39">
      <c r="A288" s="770" t="s">
        <v>697</v>
      </c>
      <c r="B288" s="762" t="s">
        <v>698</v>
      </c>
      <c r="C288" s="763">
        <v>1</v>
      </c>
      <c r="D288" s="581" t="s">
        <v>140</v>
      </c>
      <c r="E288" s="765"/>
      <c r="F288" s="771"/>
      <c r="G288" s="767">
        <v>12</v>
      </c>
      <c r="H288" s="767"/>
      <c r="I288" s="768"/>
      <c r="J288" s="768"/>
      <c r="K288" s="769"/>
      <c r="L288" s="768"/>
      <c r="M288" s="631" t="s">
        <v>141</v>
      </c>
      <c r="N288" s="360" t="s">
        <v>142</v>
      </c>
      <c r="O288" s="365" t="s">
        <v>559</v>
      </c>
      <c r="P288" s="1" t="str">
        <f t="shared" si="62"/>
        <v/>
      </c>
      <c r="Q288" s="1" t="str">
        <f t="shared" si="62"/>
        <v/>
      </c>
      <c r="R288" s="1" t="str">
        <f t="shared" si="62"/>
        <v/>
      </c>
      <c r="S288" s="1" t="str">
        <f t="shared" si="62"/>
        <v/>
      </c>
      <c r="T288" s="221" t="s">
        <v>697</v>
      </c>
      <c r="U288" s="69" t="s">
        <v>699</v>
      </c>
      <c r="V288" s="23">
        <v>1</v>
      </c>
      <c r="W288" s="30" t="s">
        <v>140</v>
      </c>
      <c r="X288" s="31"/>
      <c r="Y288" s="19"/>
      <c r="Z288" s="85">
        <v>12</v>
      </c>
      <c r="AA288" s="24"/>
      <c r="AB288" s="56"/>
      <c r="AC288" s="56"/>
      <c r="AD288" s="14"/>
      <c r="AE288" s="56"/>
      <c r="AF288" s="631" t="s">
        <v>141</v>
      </c>
      <c r="AG288" s="360" t="s">
        <v>142</v>
      </c>
      <c r="AH288" s="365" t="s">
        <v>559</v>
      </c>
      <c r="AI288" s="1" t="s">
        <v>126</v>
      </c>
      <c r="AJ288" s="1" t="s">
        <v>126</v>
      </c>
      <c r="AK288" s="1" t="s">
        <v>126</v>
      </c>
      <c r="AL288" s="1" t="s">
        <v>126</v>
      </c>
      <c r="AM288" s="377"/>
    </row>
    <row r="289" spans="1:39">
      <c r="A289" s="770" t="s">
        <v>700</v>
      </c>
      <c r="B289" s="762" t="s">
        <v>701</v>
      </c>
      <c r="C289" s="763">
        <v>1</v>
      </c>
      <c r="D289" s="581" t="s">
        <v>140</v>
      </c>
      <c r="E289" s="765"/>
      <c r="F289" s="771"/>
      <c r="G289" s="767">
        <v>17</v>
      </c>
      <c r="H289" s="767"/>
      <c r="I289" s="768"/>
      <c r="J289" s="768"/>
      <c r="K289" s="769"/>
      <c r="L289" s="768"/>
      <c r="M289" s="631" t="s">
        <v>141</v>
      </c>
      <c r="N289" s="360" t="s">
        <v>142</v>
      </c>
      <c r="O289" s="365" t="s">
        <v>559</v>
      </c>
      <c r="P289" s="1" t="str">
        <f t="shared" si="62"/>
        <v/>
      </c>
      <c r="Q289" s="1" t="str">
        <f t="shared" si="62"/>
        <v/>
      </c>
      <c r="R289" s="1" t="str">
        <f t="shared" si="62"/>
        <v/>
      </c>
      <c r="S289" s="1" t="str">
        <f t="shared" si="62"/>
        <v/>
      </c>
      <c r="T289" s="221" t="s">
        <v>700</v>
      </c>
      <c r="U289" s="69" t="s">
        <v>702</v>
      </c>
      <c r="V289" s="23">
        <v>1</v>
      </c>
      <c r="W289" s="30" t="s">
        <v>140</v>
      </c>
      <c r="X289" s="31"/>
      <c r="Y289" s="19"/>
      <c r="Z289" s="85">
        <v>17</v>
      </c>
      <c r="AA289" s="24"/>
      <c r="AB289" s="56"/>
      <c r="AC289" s="56"/>
      <c r="AD289" s="14"/>
      <c r="AE289" s="56"/>
      <c r="AF289" s="631" t="s">
        <v>141</v>
      </c>
      <c r="AG289" s="360" t="s">
        <v>142</v>
      </c>
      <c r="AH289" s="365" t="s">
        <v>559</v>
      </c>
      <c r="AI289" s="1" t="s">
        <v>126</v>
      </c>
      <c r="AJ289" s="1" t="s">
        <v>126</v>
      </c>
      <c r="AK289" s="1" t="s">
        <v>126</v>
      </c>
      <c r="AL289" s="1" t="s">
        <v>126</v>
      </c>
      <c r="AM289" s="377"/>
    </row>
    <row r="290" spans="1:39">
      <c r="A290" s="770" t="s">
        <v>703</v>
      </c>
      <c r="B290" s="762" t="s">
        <v>704</v>
      </c>
      <c r="C290" s="763">
        <v>1</v>
      </c>
      <c r="D290" s="581" t="s">
        <v>140</v>
      </c>
      <c r="E290" s="765"/>
      <c r="F290" s="771"/>
      <c r="G290" s="767">
        <v>23</v>
      </c>
      <c r="H290" s="767"/>
      <c r="I290" s="768"/>
      <c r="J290" s="768"/>
      <c r="K290" s="769"/>
      <c r="L290" s="768"/>
      <c r="M290" s="631" t="s">
        <v>141</v>
      </c>
      <c r="N290" s="360" t="s">
        <v>142</v>
      </c>
      <c r="O290" s="365" t="s">
        <v>559</v>
      </c>
      <c r="P290" s="1" t="str">
        <f t="shared" si="62"/>
        <v/>
      </c>
      <c r="Q290" s="1" t="str">
        <f t="shared" si="62"/>
        <v/>
      </c>
      <c r="R290" s="1" t="str">
        <f t="shared" si="62"/>
        <v/>
      </c>
      <c r="S290" s="1" t="str">
        <f t="shared" si="62"/>
        <v/>
      </c>
      <c r="T290" s="221" t="s">
        <v>703</v>
      </c>
      <c r="U290" s="69" t="s">
        <v>705</v>
      </c>
      <c r="V290" s="23">
        <v>1</v>
      </c>
      <c r="W290" s="30" t="s">
        <v>140</v>
      </c>
      <c r="X290" s="31"/>
      <c r="Y290" s="19"/>
      <c r="Z290" s="85">
        <v>23</v>
      </c>
      <c r="AA290" s="24"/>
      <c r="AB290" s="56"/>
      <c r="AC290" s="56"/>
      <c r="AD290" s="14"/>
      <c r="AE290" s="56"/>
      <c r="AF290" s="631" t="s">
        <v>141</v>
      </c>
      <c r="AG290" s="360" t="s">
        <v>142</v>
      </c>
      <c r="AH290" s="365" t="s">
        <v>559</v>
      </c>
      <c r="AI290" s="1" t="s">
        <v>126</v>
      </c>
      <c r="AJ290" s="1" t="s">
        <v>126</v>
      </c>
      <c r="AK290" s="1" t="s">
        <v>126</v>
      </c>
      <c r="AL290" s="1" t="s">
        <v>126</v>
      </c>
      <c r="AM290" s="377"/>
    </row>
    <row r="291" spans="1:39">
      <c r="A291" s="770" t="s">
        <v>706</v>
      </c>
      <c r="B291" s="762" t="s">
        <v>707</v>
      </c>
      <c r="C291" s="763">
        <v>1</v>
      </c>
      <c r="D291" s="581" t="s">
        <v>140</v>
      </c>
      <c r="E291" s="765"/>
      <c r="F291" s="771"/>
      <c r="G291" s="767">
        <v>21</v>
      </c>
      <c r="H291" s="767"/>
      <c r="I291" s="768"/>
      <c r="J291" s="768"/>
      <c r="K291" s="769"/>
      <c r="L291" s="768"/>
      <c r="M291" s="631" t="s">
        <v>141</v>
      </c>
      <c r="N291" s="360" t="s">
        <v>142</v>
      </c>
      <c r="O291" s="365" t="s">
        <v>559</v>
      </c>
      <c r="P291" s="1" t="str">
        <f t="shared" si="62"/>
        <v/>
      </c>
      <c r="Q291" s="1" t="str">
        <f t="shared" si="62"/>
        <v/>
      </c>
      <c r="R291" s="1" t="str">
        <f t="shared" si="62"/>
        <v/>
      </c>
      <c r="S291" s="1" t="str">
        <f t="shared" si="62"/>
        <v/>
      </c>
      <c r="T291" s="221" t="s">
        <v>706</v>
      </c>
      <c r="U291" s="69" t="s">
        <v>707</v>
      </c>
      <c r="V291" s="23">
        <v>1</v>
      </c>
      <c r="W291" s="30" t="s">
        <v>140</v>
      </c>
      <c r="X291" s="31"/>
      <c r="Y291" s="19"/>
      <c r="Z291" s="85">
        <v>21</v>
      </c>
      <c r="AA291" s="24"/>
      <c r="AB291" s="56"/>
      <c r="AC291" s="56"/>
      <c r="AD291" s="14"/>
      <c r="AE291" s="56"/>
      <c r="AF291" s="631" t="s">
        <v>141</v>
      </c>
      <c r="AG291" s="360" t="s">
        <v>142</v>
      </c>
      <c r="AH291" s="365" t="s">
        <v>559</v>
      </c>
      <c r="AI291" s="1" t="s">
        <v>126</v>
      </c>
      <c r="AJ291" s="1" t="s">
        <v>126</v>
      </c>
      <c r="AK291" s="1" t="s">
        <v>126</v>
      </c>
      <c r="AL291" s="1" t="s">
        <v>126</v>
      </c>
      <c r="AM291" s="377"/>
    </row>
    <row r="292" spans="1:39">
      <c r="A292" s="221" t="s">
        <v>708</v>
      </c>
      <c r="B292" s="69" t="s">
        <v>709</v>
      </c>
      <c r="C292" s="23">
        <v>1</v>
      </c>
      <c r="D292" s="30" t="s">
        <v>140</v>
      </c>
      <c r="E292" s="31"/>
      <c r="F292" s="19"/>
      <c r="G292" s="85">
        <v>30</v>
      </c>
      <c r="H292" s="24"/>
      <c r="I292" s="56"/>
      <c r="J292" s="56"/>
      <c r="K292" s="14"/>
      <c r="L292" s="56"/>
      <c r="M292" s="631" t="s">
        <v>141</v>
      </c>
      <c r="N292" s="360" t="s">
        <v>142</v>
      </c>
      <c r="O292" s="365" t="s">
        <v>559</v>
      </c>
      <c r="P292" s="1" t="str">
        <f t="shared" si="62"/>
        <v/>
      </c>
      <c r="Q292" s="1" t="str">
        <f t="shared" si="62"/>
        <v/>
      </c>
      <c r="R292" s="1" t="str">
        <f t="shared" si="62"/>
        <v/>
      </c>
      <c r="S292" s="1" t="str">
        <f t="shared" si="62"/>
        <v/>
      </c>
      <c r="T292" s="221" t="s">
        <v>708</v>
      </c>
      <c r="U292" s="69" t="s">
        <v>709</v>
      </c>
      <c r="V292" s="23">
        <v>1</v>
      </c>
      <c r="W292" s="30" t="s">
        <v>140</v>
      </c>
      <c r="X292" s="31"/>
      <c r="Y292" s="19"/>
      <c r="Z292" s="85">
        <v>30</v>
      </c>
      <c r="AA292" s="24"/>
      <c r="AB292" s="56"/>
      <c r="AC292" s="56"/>
      <c r="AD292" s="14"/>
      <c r="AE292" s="56"/>
      <c r="AF292" s="631" t="s">
        <v>141</v>
      </c>
      <c r="AG292" s="360" t="s">
        <v>142</v>
      </c>
      <c r="AH292" s="365" t="s">
        <v>559</v>
      </c>
      <c r="AI292" s="1" t="s">
        <v>126</v>
      </c>
      <c r="AJ292" s="1" t="s">
        <v>126</v>
      </c>
      <c r="AK292" s="1" t="s">
        <v>126</v>
      </c>
      <c r="AL292" s="1" t="s">
        <v>126</v>
      </c>
      <c r="AM292" s="377"/>
    </row>
    <row r="293" spans="1:39">
      <c r="A293" s="221" t="s">
        <v>710</v>
      </c>
      <c r="B293" s="69" t="s">
        <v>711</v>
      </c>
      <c r="C293" s="23">
        <v>1</v>
      </c>
      <c r="D293" s="30" t="s">
        <v>140</v>
      </c>
      <c r="E293" s="31"/>
      <c r="F293" s="19"/>
      <c r="G293" s="85">
        <v>36</v>
      </c>
      <c r="H293" s="24"/>
      <c r="I293" s="56"/>
      <c r="J293" s="56"/>
      <c r="K293" s="14"/>
      <c r="L293" s="56"/>
      <c r="M293" s="631" t="s">
        <v>141</v>
      </c>
      <c r="N293" s="360" t="s">
        <v>142</v>
      </c>
      <c r="O293" s="365" t="s">
        <v>559</v>
      </c>
      <c r="P293" s="1" t="str">
        <f t="shared" si="62"/>
        <v/>
      </c>
      <c r="Q293" s="1" t="str">
        <f t="shared" si="62"/>
        <v/>
      </c>
      <c r="R293" s="1" t="str">
        <f t="shared" si="62"/>
        <v/>
      </c>
      <c r="S293" s="1" t="str">
        <f t="shared" si="62"/>
        <v/>
      </c>
      <c r="T293" s="221" t="s">
        <v>710</v>
      </c>
      <c r="U293" s="69" t="s">
        <v>711</v>
      </c>
      <c r="V293" s="23">
        <v>1</v>
      </c>
      <c r="W293" s="30" t="s">
        <v>140</v>
      </c>
      <c r="X293" s="31"/>
      <c r="Y293" s="19"/>
      <c r="Z293" s="85">
        <v>36</v>
      </c>
      <c r="AA293" s="24"/>
      <c r="AB293" s="56"/>
      <c r="AC293" s="56"/>
      <c r="AD293" s="14"/>
      <c r="AE293" s="56"/>
      <c r="AF293" s="631" t="s">
        <v>141</v>
      </c>
      <c r="AG293" s="360" t="s">
        <v>142</v>
      </c>
      <c r="AH293" s="365" t="s">
        <v>559</v>
      </c>
      <c r="AI293" s="1" t="s">
        <v>126</v>
      </c>
      <c r="AJ293" s="1" t="s">
        <v>126</v>
      </c>
      <c r="AK293" s="1" t="s">
        <v>126</v>
      </c>
      <c r="AL293" s="1" t="s">
        <v>126</v>
      </c>
      <c r="AM293" s="377"/>
    </row>
    <row r="294" spans="1:39">
      <c r="A294" s="221" t="s">
        <v>712</v>
      </c>
      <c r="B294" s="69" t="s">
        <v>713</v>
      </c>
      <c r="C294" s="23">
        <v>1</v>
      </c>
      <c r="D294" s="30" t="s">
        <v>140</v>
      </c>
      <c r="E294" s="31"/>
      <c r="F294" s="19"/>
      <c r="G294" s="85">
        <v>37</v>
      </c>
      <c r="H294" s="24"/>
      <c r="I294" s="56"/>
      <c r="J294" s="56"/>
      <c r="K294" s="14"/>
      <c r="L294" s="56"/>
      <c r="M294" s="631" t="s">
        <v>141</v>
      </c>
      <c r="N294" s="360" t="s">
        <v>142</v>
      </c>
      <c r="O294" s="365" t="s">
        <v>559</v>
      </c>
      <c r="P294" s="1" t="str">
        <f t="shared" si="62"/>
        <v/>
      </c>
      <c r="Q294" s="1" t="str">
        <f t="shared" si="62"/>
        <v/>
      </c>
      <c r="R294" s="1" t="str">
        <f t="shared" si="62"/>
        <v/>
      </c>
      <c r="S294" s="1" t="str">
        <f t="shared" si="62"/>
        <v/>
      </c>
      <c r="T294" s="221" t="s">
        <v>712</v>
      </c>
      <c r="U294" s="69" t="s">
        <v>713</v>
      </c>
      <c r="V294" s="23">
        <v>1</v>
      </c>
      <c r="W294" s="30" t="s">
        <v>140</v>
      </c>
      <c r="X294" s="31"/>
      <c r="Y294" s="19"/>
      <c r="Z294" s="85">
        <v>37</v>
      </c>
      <c r="AA294" s="24"/>
      <c r="AB294" s="56"/>
      <c r="AC294" s="56"/>
      <c r="AD294" s="14"/>
      <c r="AE294" s="56"/>
      <c r="AF294" s="631" t="s">
        <v>141</v>
      </c>
      <c r="AG294" s="360" t="s">
        <v>142</v>
      </c>
      <c r="AH294" s="365" t="s">
        <v>559</v>
      </c>
      <c r="AI294" s="1" t="s">
        <v>126</v>
      </c>
      <c r="AJ294" s="1" t="s">
        <v>126</v>
      </c>
      <c r="AK294" s="1" t="s">
        <v>126</v>
      </c>
      <c r="AL294" s="1" t="s">
        <v>126</v>
      </c>
      <c r="AM294" s="377"/>
    </row>
    <row r="295" spans="1:39">
      <c r="A295" s="221" t="s">
        <v>714</v>
      </c>
      <c r="B295" s="69" t="s">
        <v>715</v>
      </c>
      <c r="C295" s="23">
        <v>1</v>
      </c>
      <c r="D295" s="30" t="s">
        <v>140</v>
      </c>
      <c r="E295" s="31"/>
      <c r="F295" s="19"/>
      <c r="G295" s="85">
        <v>16</v>
      </c>
      <c r="H295" s="24"/>
      <c r="I295" s="56"/>
      <c r="J295" s="56"/>
      <c r="K295" s="14"/>
      <c r="L295" s="56"/>
      <c r="M295" s="631" t="s">
        <v>141</v>
      </c>
      <c r="N295" s="360" t="s">
        <v>142</v>
      </c>
      <c r="O295" s="365" t="s">
        <v>559</v>
      </c>
      <c r="P295" s="1" t="str">
        <f t="shared" si="62"/>
        <v/>
      </c>
      <c r="Q295" s="1" t="str">
        <f t="shared" si="62"/>
        <v/>
      </c>
      <c r="R295" s="1" t="str">
        <f t="shared" si="62"/>
        <v/>
      </c>
      <c r="S295" s="1" t="str">
        <f t="shared" si="62"/>
        <v/>
      </c>
      <c r="T295" s="221" t="s">
        <v>714</v>
      </c>
      <c r="U295" s="69" t="s">
        <v>715</v>
      </c>
      <c r="V295" s="23">
        <v>1</v>
      </c>
      <c r="W295" s="30" t="s">
        <v>140</v>
      </c>
      <c r="X295" s="31"/>
      <c r="Y295" s="19"/>
      <c r="Z295" s="85">
        <v>16</v>
      </c>
      <c r="AA295" s="24"/>
      <c r="AB295" s="56"/>
      <c r="AC295" s="56"/>
      <c r="AD295" s="14"/>
      <c r="AE295" s="56"/>
      <c r="AF295" s="631" t="s">
        <v>141</v>
      </c>
      <c r="AG295" s="360" t="s">
        <v>142</v>
      </c>
      <c r="AH295" s="365" t="s">
        <v>559</v>
      </c>
      <c r="AI295" s="1" t="s">
        <v>126</v>
      </c>
      <c r="AJ295" s="1" t="s">
        <v>126</v>
      </c>
      <c r="AK295" s="1" t="s">
        <v>126</v>
      </c>
      <c r="AL295" s="1" t="s">
        <v>126</v>
      </c>
      <c r="AM295" s="377"/>
    </row>
    <row r="296" spans="1:39">
      <c r="A296" s="221" t="s">
        <v>716</v>
      </c>
      <c r="B296" s="69" t="s">
        <v>717</v>
      </c>
      <c r="C296" s="23">
        <v>1</v>
      </c>
      <c r="D296" s="30" t="s">
        <v>140</v>
      </c>
      <c r="E296" s="31"/>
      <c r="F296" s="19"/>
      <c r="G296" s="85">
        <v>35</v>
      </c>
      <c r="H296" s="24"/>
      <c r="I296" s="56"/>
      <c r="J296" s="56"/>
      <c r="K296" s="14"/>
      <c r="L296" s="56"/>
      <c r="M296" s="631" t="s">
        <v>141</v>
      </c>
      <c r="N296" s="360" t="s">
        <v>142</v>
      </c>
      <c r="O296" s="365" t="s">
        <v>559</v>
      </c>
      <c r="P296" s="1" t="str">
        <f t="shared" si="62"/>
        <v/>
      </c>
      <c r="Q296" s="1" t="str">
        <f t="shared" si="62"/>
        <v/>
      </c>
      <c r="R296" s="1" t="str">
        <f t="shared" si="62"/>
        <v/>
      </c>
      <c r="S296" s="1" t="str">
        <f t="shared" si="62"/>
        <v/>
      </c>
      <c r="T296" s="221" t="s">
        <v>716</v>
      </c>
      <c r="U296" s="69" t="s">
        <v>717</v>
      </c>
      <c r="V296" s="23">
        <v>1</v>
      </c>
      <c r="W296" s="30" t="s">
        <v>140</v>
      </c>
      <c r="X296" s="31"/>
      <c r="Y296" s="19"/>
      <c r="Z296" s="85">
        <v>35</v>
      </c>
      <c r="AA296" s="24"/>
      <c r="AB296" s="56"/>
      <c r="AC296" s="56"/>
      <c r="AD296" s="14"/>
      <c r="AE296" s="56"/>
      <c r="AF296" s="631" t="s">
        <v>141</v>
      </c>
      <c r="AG296" s="360" t="s">
        <v>142</v>
      </c>
      <c r="AH296" s="365" t="s">
        <v>559</v>
      </c>
      <c r="AI296" s="1" t="s">
        <v>126</v>
      </c>
      <c r="AJ296" s="1" t="s">
        <v>126</v>
      </c>
      <c r="AK296" s="1" t="s">
        <v>126</v>
      </c>
      <c r="AL296" s="1" t="s">
        <v>126</v>
      </c>
      <c r="AM296" s="377"/>
    </row>
    <row r="297" spans="1:39">
      <c r="A297" s="221" t="s">
        <v>718</v>
      </c>
      <c r="B297" s="69" t="s">
        <v>719</v>
      </c>
      <c r="C297" s="23">
        <v>1</v>
      </c>
      <c r="D297" s="30" t="s">
        <v>140</v>
      </c>
      <c r="E297" s="31"/>
      <c r="F297" s="19"/>
      <c r="G297" s="85">
        <v>46</v>
      </c>
      <c r="H297" s="24"/>
      <c r="I297" s="56"/>
      <c r="J297" s="56"/>
      <c r="K297" s="14"/>
      <c r="L297" s="56"/>
      <c r="M297" s="631" t="s">
        <v>141</v>
      </c>
      <c r="N297" s="360" t="s">
        <v>142</v>
      </c>
      <c r="O297" s="365" t="s">
        <v>559</v>
      </c>
      <c r="P297" s="1" t="str">
        <f t="shared" si="62"/>
        <v/>
      </c>
      <c r="Q297" s="1" t="str">
        <f t="shared" si="62"/>
        <v/>
      </c>
      <c r="R297" s="1" t="str">
        <f t="shared" si="62"/>
        <v/>
      </c>
      <c r="S297" s="1" t="str">
        <f t="shared" si="62"/>
        <v/>
      </c>
      <c r="T297" s="221" t="s">
        <v>718</v>
      </c>
      <c r="U297" s="69" t="s">
        <v>719</v>
      </c>
      <c r="V297" s="23">
        <v>1</v>
      </c>
      <c r="W297" s="30" t="s">
        <v>140</v>
      </c>
      <c r="X297" s="31"/>
      <c r="Y297" s="19"/>
      <c r="Z297" s="85">
        <v>46</v>
      </c>
      <c r="AA297" s="24"/>
      <c r="AB297" s="56"/>
      <c r="AC297" s="56"/>
      <c r="AD297" s="14"/>
      <c r="AE297" s="56"/>
      <c r="AF297" s="631" t="s">
        <v>141</v>
      </c>
      <c r="AG297" s="360" t="s">
        <v>142</v>
      </c>
      <c r="AH297" s="365" t="s">
        <v>559</v>
      </c>
      <c r="AI297" s="1" t="s">
        <v>126</v>
      </c>
      <c r="AJ297" s="1" t="s">
        <v>126</v>
      </c>
      <c r="AK297" s="1" t="s">
        <v>126</v>
      </c>
      <c r="AL297" s="1" t="s">
        <v>126</v>
      </c>
      <c r="AM297" s="377"/>
    </row>
    <row r="298" spans="1:39">
      <c r="A298" s="221" t="s">
        <v>720</v>
      </c>
      <c r="B298" s="69" t="s">
        <v>721</v>
      </c>
      <c r="C298" s="23">
        <v>1</v>
      </c>
      <c r="D298" s="30" t="s">
        <v>140</v>
      </c>
      <c r="E298" s="31"/>
      <c r="F298" s="19"/>
      <c r="G298" s="85">
        <v>53</v>
      </c>
      <c r="H298" s="24"/>
      <c r="I298" s="56"/>
      <c r="J298" s="56"/>
      <c r="K298" s="14"/>
      <c r="L298" s="56"/>
      <c r="M298" s="631" t="s">
        <v>141</v>
      </c>
      <c r="N298" s="360" t="s">
        <v>142</v>
      </c>
      <c r="O298" s="365" t="s">
        <v>559</v>
      </c>
      <c r="P298" s="1" t="str">
        <f t="shared" si="62"/>
        <v/>
      </c>
      <c r="Q298" s="1" t="str">
        <f t="shared" si="62"/>
        <v/>
      </c>
      <c r="R298" s="1" t="str">
        <f t="shared" si="62"/>
        <v/>
      </c>
      <c r="S298" s="1" t="str">
        <f t="shared" si="62"/>
        <v/>
      </c>
      <c r="T298" s="221" t="s">
        <v>720</v>
      </c>
      <c r="U298" s="69" t="s">
        <v>721</v>
      </c>
      <c r="V298" s="23">
        <v>1</v>
      </c>
      <c r="W298" s="30" t="s">
        <v>140</v>
      </c>
      <c r="X298" s="31"/>
      <c r="Y298" s="19"/>
      <c r="Z298" s="85">
        <v>53</v>
      </c>
      <c r="AA298" s="24"/>
      <c r="AB298" s="56"/>
      <c r="AC298" s="56"/>
      <c r="AD298" s="14"/>
      <c r="AE298" s="56"/>
      <c r="AF298" s="631" t="s">
        <v>141</v>
      </c>
      <c r="AG298" s="360" t="s">
        <v>142</v>
      </c>
      <c r="AH298" s="365" t="s">
        <v>559</v>
      </c>
      <c r="AI298" s="1" t="s">
        <v>126</v>
      </c>
      <c r="AJ298" s="1" t="s">
        <v>126</v>
      </c>
      <c r="AK298" s="1" t="s">
        <v>126</v>
      </c>
      <c r="AL298" s="1" t="s">
        <v>126</v>
      </c>
      <c r="AM298" s="377"/>
    </row>
    <row r="299" spans="1:39" s="75" customFormat="1">
      <c r="A299" s="232" t="s">
        <v>722</v>
      </c>
      <c r="B299" s="577" t="s">
        <v>723</v>
      </c>
      <c r="C299" s="97">
        <v>1</v>
      </c>
      <c r="D299" s="34" t="s">
        <v>140</v>
      </c>
      <c r="E299" s="35"/>
      <c r="F299" s="38"/>
      <c r="G299" s="99">
        <v>226</v>
      </c>
      <c r="H299" s="33"/>
      <c r="I299" s="98"/>
      <c r="J299" s="98"/>
      <c r="K299" s="35"/>
      <c r="L299" s="98"/>
      <c r="M299" s="631" t="s">
        <v>141</v>
      </c>
      <c r="N299" s="360" t="s">
        <v>142</v>
      </c>
      <c r="O299" s="366" t="s">
        <v>559</v>
      </c>
      <c r="P299" s="1" t="str">
        <f t="shared" si="62"/>
        <v/>
      </c>
      <c r="Q299" s="1" t="str">
        <f t="shared" si="62"/>
        <v/>
      </c>
      <c r="R299" s="1" t="str">
        <f t="shared" si="62"/>
        <v/>
      </c>
      <c r="S299" s="1" t="str">
        <f t="shared" si="62"/>
        <v/>
      </c>
      <c r="T299" s="232" t="s">
        <v>722</v>
      </c>
      <c r="U299" s="352" t="s">
        <v>724</v>
      </c>
      <c r="V299" s="97">
        <v>1</v>
      </c>
      <c r="W299" s="34" t="s">
        <v>140</v>
      </c>
      <c r="X299" s="35"/>
      <c r="Y299" s="38"/>
      <c r="Z299" s="99">
        <v>226</v>
      </c>
      <c r="AA299" s="33"/>
      <c r="AB299" s="98"/>
      <c r="AC299" s="98"/>
      <c r="AD299" s="35"/>
      <c r="AE299" s="98"/>
      <c r="AF299" s="631" t="s">
        <v>141</v>
      </c>
      <c r="AG299" s="360" t="s">
        <v>142</v>
      </c>
      <c r="AH299" s="366" t="s">
        <v>559</v>
      </c>
      <c r="AI299" s="1" t="s">
        <v>126</v>
      </c>
      <c r="AJ299" s="1" t="s">
        <v>126</v>
      </c>
      <c r="AK299" s="1" t="s">
        <v>126</v>
      </c>
      <c r="AL299" s="1" t="s">
        <v>126</v>
      </c>
      <c r="AM299" s="405"/>
    </row>
    <row r="300" spans="1:39" s="75" customFormat="1" ht="25.5">
      <c r="A300" s="232" t="s">
        <v>725</v>
      </c>
      <c r="B300" s="229" t="s">
        <v>726</v>
      </c>
      <c r="C300" s="97">
        <v>1</v>
      </c>
      <c r="D300" s="34" t="s">
        <v>140</v>
      </c>
      <c r="E300" s="35"/>
      <c r="F300" s="38"/>
      <c r="G300" s="99">
        <v>383</v>
      </c>
      <c r="H300" s="33"/>
      <c r="I300" s="98"/>
      <c r="J300" s="98"/>
      <c r="K300" s="35"/>
      <c r="L300" s="98"/>
      <c r="M300" s="631" t="s">
        <v>141</v>
      </c>
      <c r="N300" s="360" t="s">
        <v>142</v>
      </c>
      <c r="O300" s="366" t="s">
        <v>559</v>
      </c>
      <c r="P300" s="1" t="str">
        <f t="shared" si="62"/>
        <v/>
      </c>
      <c r="Q300" s="1" t="str">
        <f t="shared" si="62"/>
        <v/>
      </c>
      <c r="R300" s="1" t="str">
        <f t="shared" si="62"/>
        <v/>
      </c>
      <c r="S300" s="1" t="str">
        <f t="shared" si="62"/>
        <v/>
      </c>
      <c r="T300" s="232" t="s">
        <v>725</v>
      </c>
      <c r="U300" s="229" t="s">
        <v>726</v>
      </c>
      <c r="V300" s="97">
        <v>1</v>
      </c>
      <c r="W300" s="34" t="s">
        <v>140</v>
      </c>
      <c r="X300" s="35"/>
      <c r="Y300" s="38"/>
      <c r="Z300" s="99">
        <v>383</v>
      </c>
      <c r="AA300" s="33"/>
      <c r="AB300" s="98"/>
      <c r="AC300" s="98"/>
      <c r="AD300" s="35"/>
      <c r="AE300" s="98"/>
      <c r="AF300" s="631" t="s">
        <v>141</v>
      </c>
      <c r="AG300" s="360" t="s">
        <v>142</v>
      </c>
      <c r="AH300" s="366" t="s">
        <v>559</v>
      </c>
      <c r="AI300" s="1" t="s">
        <v>126</v>
      </c>
      <c r="AJ300" s="1" t="s">
        <v>126</v>
      </c>
      <c r="AK300" s="1" t="s">
        <v>126</v>
      </c>
      <c r="AL300" s="1" t="s">
        <v>126</v>
      </c>
      <c r="AM300" s="405"/>
    </row>
    <row r="301" spans="1:39">
      <c r="A301" s="221" t="s">
        <v>727</v>
      </c>
      <c r="B301" s="69" t="s">
        <v>728</v>
      </c>
      <c r="C301" s="23">
        <v>1</v>
      </c>
      <c r="D301" s="34" t="s">
        <v>140</v>
      </c>
      <c r="E301" s="31"/>
      <c r="F301" s="19"/>
      <c r="G301" s="24">
        <v>284.06</v>
      </c>
      <c r="H301" s="24"/>
      <c r="I301" s="56"/>
      <c r="J301" s="56"/>
      <c r="K301" s="14"/>
      <c r="L301" s="56"/>
      <c r="M301" s="631" t="s">
        <v>141</v>
      </c>
      <c r="N301" s="360" t="s">
        <v>526</v>
      </c>
      <c r="O301" s="365" t="s">
        <v>527</v>
      </c>
      <c r="P301" s="1" t="str">
        <f t="shared" si="62"/>
        <v/>
      </c>
      <c r="Q301" s="1" t="str">
        <f t="shared" si="62"/>
        <v/>
      </c>
      <c r="R301" s="1" t="str">
        <f t="shared" si="62"/>
        <v/>
      </c>
      <c r="S301" s="1" t="str">
        <f t="shared" si="62"/>
        <v/>
      </c>
      <c r="T301" s="221" t="s">
        <v>727</v>
      </c>
      <c r="U301" s="69" t="s">
        <v>728</v>
      </c>
      <c r="V301" s="23">
        <v>1</v>
      </c>
      <c r="W301" s="34" t="s">
        <v>140</v>
      </c>
      <c r="X301" s="31"/>
      <c r="Y301" s="19"/>
      <c r="Z301" s="24">
        <v>284.06</v>
      </c>
      <c r="AA301" s="24"/>
      <c r="AB301" s="56"/>
      <c r="AC301" s="56"/>
      <c r="AD301" s="14"/>
      <c r="AE301" s="56"/>
      <c r="AF301" s="631" t="s">
        <v>141</v>
      </c>
      <c r="AG301" s="360" t="s">
        <v>526</v>
      </c>
      <c r="AH301" s="365" t="s">
        <v>527</v>
      </c>
      <c r="AI301" s="1" t="s">
        <v>126</v>
      </c>
      <c r="AJ301" s="1" t="s">
        <v>126</v>
      </c>
      <c r="AK301" s="1" t="s">
        <v>126</v>
      </c>
      <c r="AL301" s="1" t="s">
        <v>126</v>
      </c>
      <c r="AM301" s="377"/>
    </row>
    <row r="302" spans="1:39" s="329" customFormat="1" ht="24.95" customHeight="1">
      <c r="A302" s="468" t="s">
        <v>729</v>
      </c>
      <c r="B302" s="469"/>
      <c r="C302" s="450"/>
      <c r="D302" s="451"/>
      <c r="E302" s="451"/>
      <c r="F302" s="452"/>
      <c r="G302" s="453"/>
      <c r="H302" s="453"/>
      <c r="I302" s="454"/>
      <c r="J302" s="454"/>
      <c r="K302" s="453"/>
      <c r="L302" s="454"/>
      <c r="M302" s="629"/>
      <c r="N302" s="455"/>
      <c r="O302" s="454"/>
      <c r="P302" s="454"/>
      <c r="Q302" s="454"/>
      <c r="R302" s="454"/>
      <c r="S302" s="456"/>
      <c r="T302" s="468" t="s">
        <v>730</v>
      </c>
      <c r="U302" s="469"/>
      <c r="V302" s="450"/>
      <c r="W302" s="451"/>
      <c r="X302" s="451"/>
      <c r="Y302" s="452"/>
      <c r="Z302" s="453"/>
      <c r="AA302" s="453"/>
      <c r="AB302" s="454"/>
      <c r="AC302" s="454"/>
      <c r="AD302" s="453"/>
      <c r="AE302" s="454"/>
      <c r="AF302" s="629"/>
      <c r="AG302" s="455"/>
      <c r="AH302" s="454"/>
      <c r="AI302" s="454"/>
      <c r="AJ302" s="454"/>
      <c r="AK302" s="454"/>
      <c r="AL302" s="456"/>
      <c r="AM302" s="373"/>
    </row>
    <row r="303" spans="1:39" s="90" customFormat="1">
      <c r="A303" s="206" t="s">
        <v>731</v>
      </c>
      <c r="B303" s="52" t="s">
        <v>732</v>
      </c>
      <c r="C303" s="566">
        <v>1</v>
      </c>
      <c r="D303" s="65" t="s">
        <v>118</v>
      </c>
      <c r="E303" s="62">
        <v>1998.57</v>
      </c>
      <c r="F303" s="567">
        <f>rv_ms_eg</f>
        <v>0.17199999999999999</v>
      </c>
      <c r="G303" s="568">
        <f t="shared" ref="G303:G321" si="63">E303-(E303*F303)</f>
        <v>1654.8159599999999</v>
      </c>
      <c r="H303" s="54" t="s">
        <v>733</v>
      </c>
      <c r="I303" s="568">
        <v>102.59</v>
      </c>
      <c r="J303" s="63">
        <f>G303+I303</f>
        <v>1757.4059599999998</v>
      </c>
      <c r="K303" s="569"/>
      <c r="L303" s="62">
        <v>0.6</v>
      </c>
      <c r="M303" s="630" t="s">
        <v>734</v>
      </c>
      <c r="N303" s="383" t="s">
        <v>526</v>
      </c>
      <c r="O303" s="384" t="s">
        <v>527</v>
      </c>
      <c r="P303" s="90">
        <f t="shared" si="52"/>
        <v>353.78119228360686</v>
      </c>
      <c r="Q303" s="90">
        <f t="shared" si="52"/>
        <v>183.86237063087435</v>
      </c>
      <c r="R303" s="90">
        <f t="shared" si="52"/>
        <v>133.53376644640758</v>
      </c>
      <c r="S303" s="90">
        <f t="shared" si="52"/>
        <v>115.23114524536163</v>
      </c>
      <c r="T303" s="206" t="s">
        <v>731</v>
      </c>
      <c r="U303" s="52" t="s">
        <v>732</v>
      </c>
      <c r="V303" s="566">
        <v>1</v>
      </c>
      <c r="W303" s="65" t="s">
        <v>118</v>
      </c>
      <c r="X303" s="62">
        <v>1998.57</v>
      </c>
      <c r="Y303" s="567">
        <v>0.17199999999999999</v>
      </c>
      <c r="Z303" s="568">
        <v>1654.8159599999999</v>
      </c>
      <c r="AA303" s="54" t="s">
        <v>733</v>
      </c>
      <c r="AB303" s="568">
        <v>102.59</v>
      </c>
      <c r="AC303" s="63">
        <v>1757.4059599999998</v>
      </c>
      <c r="AD303" s="569"/>
      <c r="AE303" s="62">
        <v>0.6</v>
      </c>
      <c r="AF303" s="630" t="s">
        <v>734</v>
      </c>
      <c r="AG303" s="383" t="s">
        <v>526</v>
      </c>
      <c r="AH303" s="384" t="s">
        <v>527</v>
      </c>
      <c r="AI303" s="90">
        <v>353.78119228360686</v>
      </c>
      <c r="AJ303" s="90">
        <v>183.86237063087435</v>
      </c>
      <c r="AK303" s="90">
        <v>133.53376644640758</v>
      </c>
      <c r="AL303" s="90">
        <v>115.23114524536163</v>
      </c>
      <c r="AM303" s="402"/>
    </row>
    <row r="304" spans="1:39">
      <c r="A304" s="572" t="s">
        <v>735</v>
      </c>
      <c r="B304" s="238" t="s">
        <v>736</v>
      </c>
      <c r="C304" s="249">
        <v>1</v>
      </c>
      <c r="D304" s="272" t="s">
        <v>118</v>
      </c>
      <c r="E304" s="247">
        <v>383.33</v>
      </c>
      <c r="F304" s="283">
        <f t="shared" ref="F304:F311" si="64">rv_ms_eg_cto</f>
        <v>0.17199999999999999</v>
      </c>
      <c r="G304" s="99">
        <f t="shared" si="63"/>
        <v>317.39724000000001</v>
      </c>
      <c r="I304" s="642"/>
      <c r="J304" s="642"/>
      <c r="K304" s="93"/>
      <c r="L304" s="280"/>
      <c r="M304" s="631" t="s">
        <v>734</v>
      </c>
      <c r="N304" s="359" t="s">
        <v>526</v>
      </c>
      <c r="O304" s="363" t="s">
        <v>527</v>
      </c>
      <c r="P304" s="1" t="str">
        <f t="shared" si="52"/>
        <v/>
      </c>
      <c r="Q304" s="1" t="str">
        <f t="shared" si="52"/>
        <v/>
      </c>
      <c r="R304" s="1" t="str">
        <f t="shared" si="52"/>
        <v/>
      </c>
      <c r="S304" s="1" t="str">
        <f t="shared" si="52"/>
        <v/>
      </c>
      <c r="T304" s="572" t="s">
        <v>735</v>
      </c>
      <c r="U304" s="238" t="s">
        <v>736</v>
      </c>
      <c r="V304" s="249">
        <v>1</v>
      </c>
      <c r="W304" s="272" t="s">
        <v>118</v>
      </c>
      <c r="X304" s="247">
        <v>383.33</v>
      </c>
      <c r="Y304" s="283">
        <v>0.17199999999999999</v>
      </c>
      <c r="Z304" s="99">
        <v>317.39724000000001</v>
      </c>
      <c r="AB304" s="642"/>
      <c r="AC304" s="642"/>
      <c r="AD304" s="93"/>
      <c r="AE304" s="280"/>
      <c r="AF304" s="631" t="s">
        <v>734</v>
      </c>
      <c r="AG304" s="359" t="s">
        <v>526</v>
      </c>
      <c r="AH304" s="363" t="s">
        <v>527</v>
      </c>
      <c r="AI304" s="1" t="s">
        <v>126</v>
      </c>
      <c r="AJ304" s="1" t="s">
        <v>126</v>
      </c>
      <c r="AK304" s="1" t="s">
        <v>126</v>
      </c>
      <c r="AL304" s="1" t="s">
        <v>126</v>
      </c>
      <c r="AM304" s="377"/>
    </row>
    <row r="305" spans="1:39">
      <c r="A305" s="572" t="s">
        <v>737</v>
      </c>
      <c r="B305" s="238" t="s">
        <v>738</v>
      </c>
      <c r="C305" s="249">
        <v>1</v>
      </c>
      <c r="D305" s="272" t="s">
        <v>118</v>
      </c>
      <c r="E305" s="247">
        <v>191.67</v>
      </c>
      <c r="F305" s="283">
        <f t="shared" si="64"/>
        <v>0.17199999999999999</v>
      </c>
      <c r="G305" s="99">
        <f t="shared" ref="G305" si="65">E305-(E305*F305)</f>
        <v>158.70275999999998</v>
      </c>
      <c r="I305" s="642"/>
      <c r="J305" s="642"/>
      <c r="K305" s="93"/>
      <c r="L305" s="280"/>
      <c r="M305" s="631" t="s">
        <v>734</v>
      </c>
      <c r="N305" s="359" t="s">
        <v>526</v>
      </c>
      <c r="O305" s="363" t="s">
        <v>527</v>
      </c>
      <c r="P305" s="1"/>
      <c r="Q305" s="1"/>
      <c r="R305" s="1"/>
      <c r="S305" s="1"/>
      <c r="T305" s="572" t="s">
        <v>737</v>
      </c>
      <c r="U305" s="238" t="s">
        <v>738</v>
      </c>
      <c r="V305" s="249">
        <v>1</v>
      </c>
      <c r="W305" s="272" t="s">
        <v>118</v>
      </c>
      <c r="X305" s="247">
        <v>191.67</v>
      </c>
      <c r="Y305" s="283">
        <v>0.17199999999999999</v>
      </c>
      <c r="Z305" s="99">
        <v>158.70275999999998</v>
      </c>
      <c r="AB305" s="642"/>
      <c r="AC305" s="642"/>
      <c r="AD305" s="93"/>
      <c r="AE305" s="280"/>
      <c r="AF305" s="631" t="s">
        <v>734</v>
      </c>
      <c r="AG305" s="359" t="s">
        <v>526</v>
      </c>
      <c r="AH305" s="363" t="s">
        <v>527</v>
      </c>
      <c r="AI305" s="1"/>
      <c r="AJ305" s="1"/>
      <c r="AK305" s="1"/>
      <c r="AL305" s="1"/>
      <c r="AM305" s="377"/>
    </row>
    <row r="306" spans="1:39" ht="12.95" customHeight="1">
      <c r="A306" s="572" t="s">
        <v>739</v>
      </c>
      <c r="B306" s="238" t="s">
        <v>740</v>
      </c>
      <c r="C306" s="249">
        <v>1</v>
      </c>
      <c r="D306" s="272" t="s">
        <v>118</v>
      </c>
      <c r="E306" s="247">
        <v>575</v>
      </c>
      <c r="F306" s="283">
        <f t="shared" si="64"/>
        <v>0.17199999999999999</v>
      </c>
      <c r="G306" s="99">
        <f t="shared" si="63"/>
        <v>476.1</v>
      </c>
      <c r="I306" s="642"/>
      <c r="J306" s="642"/>
      <c r="K306" s="93"/>
      <c r="L306" s="280"/>
      <c r="M306" s="631" t="s">
        <v>734</v>
      </c>
      <c r="N306" s="359" t="s">
        <v>526</v>
      </c>
      <c r="O306" s="363" t="s">
        <v>527</v>
      </c>
      <c r="P306" s="1" t="str">
        <f t="shared" si="52"/>
        <v/>
      </c>
      <c r="Q306" s="1" t="str">
        <f t="shared" si="52"/>
        <v/>
      </c>
      <c r="R306" s="1" t="str">
        <f t="shared" si="52"/>
        <v/>
      </c>
      <c r="S306" s="1" t="str">
        <f t="shared" si="52"/>
        <v/>
      </c>
      <c r="T306" s="572" t="s">
        <v>739</v>
      </c>
      <c r="U306" s="238" t="s">
        <v>740</v>
      </c>
      <c r="V306" s="249">
        <v>1</v>
      </c>
      <c r="W306" s="272" t="s">
        <v>118</v>
      </c>
      <c r="X306" s="247">
        <v>575</v>
      </c>
      <c r="Y306" s="283">
        <v>0.17199999999999999</v>
      </c>
      <c r="Z306" s="99">
        <v>476.1</v>
      </c>
      <c r="AB306" s="642"/>
      <c r="AC306" s="642"/>
      <c r="AD306" s="93"/>
      <c r="AE306" s="280"/>
      <c r="AF306" s="631" t="s">
        <v>734</v>
      </c>
      <c r="AG306" s="359" t="s">
        <v>526</v>
      </c>
      <c r="AH306" s="363" t="s">
        <v>527</v>
      </c>
      <c r="AI306" s="1" t="s">
        <v>126</v>
      </c>
      <c r="AJ306" s="1" t="s">
        <v>126</v>
      </c>
      <c r="AK306" s="1" t="s">
        <v>126</v>
      </c>
      <c r="AL306" s="1" t="s">
        <v>126</v>
      </c>
      <c r="AM306" s="377"/>
    </row>
    <row r="307" spans="1:39" ht="12.95" customHeight="1">
      <c r="A307" s="572" t="s">
        <v>741</v>
      </c>
      <c r="B307" s="238" t="s">
        <v>742</v>
      </c>
      <c r="C307" s="249">
        <v>1</v>
      </c>
      <c r="D307" s="272" t="s">
        <v>118</v>
      </c>
      <c r="E307" s="247">
        <v>958.33</v>
      </c>
      <c r="F307" s="283">
        <f t="shared" si="64"/>
        <v>0.17199999999999999</v>
      </c>
      <c r="G307" s="99">
        <f t="shared" ref="G307" si="66">E307-(E307*F307)</f>
        <v>793.49724000000003</v>
      </c>
      <c r="I307" s="642"/>
      <c r="J307" s="642"/>
      <c r="K307" s="93"/>
      <c r="L307" s="280"/>
      <c r="M307" s="631" t="s">
        <v>734</v>
      </c>
      <c r="N307" s="359" t="s">
        <v>526</v>
      </c>
      <c r="O307" s="363" t="s">
        <v>527</v>
      </c>
      <c r="P307" s="1"/>
      <c r="Q307" s="1"/>
      <c r="R307" s="1"/>
      <c r="S307" s="1"/>
      <c r="T307" s="572" t="s">
        <v>741</v>
      </c>
      <c r="U307" s="238" t="s">
        <v>742</v>
      </c>
      <c r="V307" s="249">
        <v>1</v>
      </c>
      <c r="W307" s="272" t="s">
        <v>118</v>
      </c>
      <c r="X307" s="247">
        <v>958.33</v>
      </c>
      <c r="Y307" s="283">
        <v>0.17199999999999999</v>
      </c>
      <c r="Z307" s="99">
        <v>793.49724000000003</v>
      </c>
      <c r="AB307" s="642"/>
      <c r="AC307" s="642"/>
      <c r="AD307" s="93"/>
      <c r="AE307" s="280"/>
      <c r="AF307" s="631" t="s">
        <v>734</v>
      </c>
      <c r="AG307" s="359" t="s">
        <v>526</v>
      </c>
      <c r="AH307" s="363" t="s">
        <v>527</v>
      </c>
      <c r="AI307" s="1"/>
      <c r="AJ307" s="1"/>
      <c r="AK307" s="1"/>
      <c r="AL307" s="1"/>
      <c r="AM307" s="377"/>
    </row>
    <row r="308" spans="1:39">
      <c r="A308" s="572" t="s">
        <v>743</v>
      </c>
      <c r="B308" s="238" t="s">
        <v>744</v>
      </c>
      <c r="C308" s="249">
        <v>1</v>
      </c>
      <c r="D308" s="272" t="s">
        <v>118</v>
      </c>
      <c r="E308" s="247">
        <v>191.67</v>
      </c>
      <c r="F308" s="283">
        <f t="shared" si="64"/>
        <v>0.17199999999999999</v>
      </c>
      <c r="G308" s="99">
        <f t="shared" si="63"/>
        <v>158.70275999999998</v>
      </c>
      <c r="I308" s="642"/>
      <c r="J308" s="642"/>
      <c r="K308" s="93"/>
      <c r="L308" s="280"/>
      <c r="M308" s="631" t="s">
        <v>734</v>
      </c>
      <c r="N308" s="359" t="s">
        <v>526</v>
      </c>
      <c r="O308" s="363" t="s">
        <v>527</v>
      </c>
      <c r="P308" s="1" t="str">
        <f t="shared" si="52"/>
        <v/>
      </c>
      <c r="Q308" s="1" t="str">
        <f t="shared" si="52"/>
        <v/>
      </c>
      <c r="R308" s="1" t="str">
        <f t="shared" si="52"/>
        <v/>
      </c>
      <c r="S308" s="1" t="str">
        <f t="shared" si="52"/>
        <v/>
      </c>
      <c r="T308" s="572" t="s">
        <v>743</v>
      </c>
      <c r="U308" s="238" t="s">
        <v>744</v>
      </c>
      <c r="V308" s="249">
        <v>1</v>
      </c>
      <c r="W308" s="272" t="s">
        <v>118</v>
      </c>
      <c r="X308" s="247">
        <v>191.67</v>
      </c>
      <c r="Y308" s="283">
        <v>0.17199999999999999</v>
      </c>
      <c r="Z308" s="99">
        <v>158.70275999999998</v>
      </c>
      <c r="AB308" s="642"/>
      <c r="AC308" s="642"/>
      <c r="AD308" s="93"/>
      <c r="AE308" s="280"/>
      <c r="AF308" s="631" t="s">
        <v>734</v>
      </c>
      <c r="AG308" s="359" t="s">
        <v>526</v>
      </c>
      <c r="AH308" s="363" t="s">
        <v>527</v>
      </c>
      <c r="AI308" s="1" t="s">
        <v>126</v>
      </c>
      <c r="AJ308" s="1" t="s">
        <v>126</v>
      </c>
      <c r="AK308" s="1" t="s">
        <v>126</v>
      </c>
      <c r="AL308" s="1" t="s">
        <v>126</v>
      </c>
      <c r="AM308" s="377"/>
    </row>
    <row r="309" spans="1:39">
      <c r="A309" s="572" t="s">
        <v>745</v>
      </c>
      <c r="B309" s="238" t="s">
        <v>746</v>
      </c>
      <c r="C309" s="249">
        <v>1</v>
      </c>
      <c r="D309" s="272" t="s">
        <v>118</v>
      </c>
      <c r="E309" s="247">
        <v>575</v>
      </c>
      <c r="F309" s="283">
        <f t="shared" si="64"/>
        <v>0.17199999999999999</v>
      </c>
      <c r="G309" s="99">
        <f t="shared" si="63"/>
        <v>476.1</v>
      </c>
      <c r="H309" s="553"/>
      <c r="I309" s="552"/>
      <c r="J309" s="552"/>
      <c r="K309" s="113"/>
      <c r="L309" s="230"/>
      <c r="M309" s="631" t="s">
        <v>734</v>
      </c>
      <c r="N309" s="359" t="s">
        <v>526</v>
      </c>
      <c r="O309" s="363" t="s">
        <v>527</v>
      </c>
      <c r="P309" s="1" t="str">
        <f t="shared" ref="P309:S335" si="67">+IF($J309&lt;&gt;"",P$2*$J309,"")</f>
        <v/>
      </c>
      <c r="Q309" s="1" t="str">
        <f t="shared" si="67"/>
        <v/>
      </c>
      <c r="R309" s="1" t="str">
        <f t="shared" si="67"/>
        <v/>
      </c>
      <c r="S309" s="1" t="str">
        <f t="shared" si="67"/>
        <v/>
      </c>
      <c r="T309" s="572" t="s">
        <v>745</v>
      </c>
      <c r="U309" s="238" t="s">
        <v>746</v>
      </c>
      <c r="V309" s="249">
        <v>1</v>
      </c>
      <c r="W309" s="272" t="s">
        <v>118</v>
      </c>
      <c r="X309" s="247">
        <v>575</v>
      </c>
      <c r="Y309" s="283">
        <v>0.17199999999999999</v>
      </c>
      <c r="Z309" s="99">
        <v>476.1</v>
      </c>
      <c r="AA309" s="553"/>
      <c r="AB309" s="552"/>
      <c r="AC309" s="552"/>
      <c r="AD309" s="113"/>
      <c r="AE309" s="230"/>
      <c r="AF309" s="631" t="s">
        <v>734</v>
      </c>
      <c r="AG309" s="359" t="s">
        <v>526</v>
      </c>
      <c r="AH309" s="363" t="s">
        <v>527</v>
      </c>
      <c r="AI309" s="1" t="s">
        <v>126</v>
      </c>
      <c r="AJ309" s="1" t="s">
        <v>126</v>
      </c>
      <c r="AK309" s="1" t="s">
        <v>126</v>
      </c>
      <c r="AL309" s="1" t="s">
        <v>126</v>
      </c>
      <c r="AM309" s="377"/>
    </row>
    <row r="310" spans="1:39">
      <c r="A310" s="572" t="s">
        <v>747</v>
      </c>
      <c r="B310" s="238" t="s">
        <v>748</v>
      </c>
      <c r="C310" s="249">
        <v>1</v>
      </c>
      <c r="D310" s="272" t="s">
        <v>118</v>
      </c>
      <c r="E310" s="247">
        <v>1150</v>
      </c>
      <c r="F310" s="283">
        <f t="shared" si="64"/>
        <v>0.17199999999999999</v>
      </c>
      <c r="G310" s="99">
        <f t="shared" si="63"/>
        <v>952.2</v>
      </c>
      <c r="H310" s="553"/>
      <c r="I310" s="552"/>
      <c r="J310" s="552"/>
      <c r="K310" s="113"/>
      <c r="L310" s="230"/>
      <c r="M310" s="631" t="s">
        <v>734</v>
      </c>
      <c r="N310" s="359" t="s">
        <v>526</v>
      </c>
      <c r="O310" s="363" t="s">
        <v>527</v>
      </c>
      <c r="P310" s="1" t="str">
        <f t="shared" si="67"/>
        <v/>
      </c>
      <c r="Q310" s="1" t="str">
        <f t="shared" si="67"/>
        <v/>
      </c>
      <c r="R310" s="1" t="str">
        <f t="shared" si="67"/>
        <v/>
      </c>
      <c r="S310" s="1" t="str">
        <f t="shared" si="67"/>
        <v/>
      </c>
      <c r="T310" s="572" t="s">
        <v>747</v>
      </c>
      <c r="U310" s="238" t="s">
        <v>748</v>
      </c>
      <c r="V310" s="249">
        <v>1</v>
      </c>
      <c r="W310" s="272" t="s">
        <v>118</v>
      </c>
      <c r="X310" s="247">
        <v>1150</v>
      </c>
      <c r="Y310" s="283">
        <v>0.17199999999999999</v>
      </c>
      <c r="Z310" s="99">
        <v>952.2</v>
      </c>
      <c r="AA310" s="553"/>
      <c r="AB310" s="552"/>
      <c r="AC310" s="552"/>
      <c r="AD310" s="113"/>
      <c r="AE310" s="230"/>
      <c r="AF310" s="631" t="s">
        <v>734</v>
      </c>
      <c r="AG310" s="359" t="s">
        <v>526</v>
      </c>
      <c r="AH310" s="363" t="s">
        <v>527</v>
      </c>
      <c r="AI310" s="1" t="s">
        <v>126</v>
      </c>
      <c r="AJ310" s="1" t="s">
        <v>126</v>
      </c>
      <c r="AK310" s="1" t="s">
        <v>126</v>
      </c>
      <c r="AL310" s="1" t="s">
        <v>126</v>
      </c>
      <c r="AM310" s="377"/>
    </row>
    <row r="311" spans="1:39">
      <c r="A311" s="572" t="s">
        <v>749</v>
      </c>
      <c r="B311" s="238" t="s">
        <v>750</v>
      </c>
      <c r="C311" s="249">
        <v>1</v>
      </c>
      <c r="D311" s="272" t="s">
        <v>118</v>
      </c>
      <c r="E311" s="247">
        <v>2300</v>
      </c>
      <c r="F311" s="283">
        <f t="shared" si="64"/>
        <v>0.17199999999999999</v>
      </c>
      <c r="G311" s="99">
        <f t="shared" si="63"/>
        <v>1904.4</v>
      </c>
      <c r="H311" s="553"/>
      <c r="I311" s="552"/>
      <c r="J311" s="552"/>
      <c r="K311" s="113"/>
      <c r="L311" s="230"/>
      <c r="M311" s="631" t="s">
        <v>734</v>
      </c>
      <c r="N311" s="359" t="s">
        <v>526</v>
      </c>
      <c r="O311" s="363" t="s">
        <v>527</v>
      </c>
      <c r="P311" s="1" t="str">
        <f t="shared" si="67"/>
        <v/>
      </c>
      <c r="Q311" s="1" t="str">
        <f t="shared" si="67"/>
        <v/>
      </c>
      <c r="R311" s="1" t="str">
        <f t="shared" si="67"/>
        <v/>
      </c>
      <c r="S311" s="1" t="str">
        <f t="shared" si="67"/>
        <v/>
      </c>
      <c r="T311" s="572" t="s">
        <v>749</v>
      </c>
      <c r="U311" s="238" t="s">
        <v>750</v>
      </c>
      <c r="V311" s="249">
        <v>1</v>
      </c>
      <c r="W311" s="272" t="s">
        <v>118</v>
      </c>
      <c r="X311" s="247">
        <v>2300</v>
      </c>
      <c r="Y311" s="283">
        <v>0.17199999999999999</v>
      </c>
      <c r="Z311" s="99">
        <v>1904.4</v>
      </c>
      <c r="AA311" s="553"/>
      <c r="AB311" s="552"/>
      <c r="AC311" s="552"/>
      <c r="AD311" s="113"/>
      <c r="AE311" s="230"/>
      <c r="AF311" s="631" t="s">
        <v>734</v>
      </c>
      <c r="AG311" s="359" t="s">
        <v>526</v>
      </c>
      <c r="AH311" s="363" t="s">
        <v>527</v>
      </c>
      <c r="AI311" s="1" t="s">
        <v>126</v>
      </c>
      <c r="AJ311" s="1" t="s">
        <v>126</v>
      </c>
      <c r="AK311" s="1" t="s">
        <v>126</v>
      </c>
      <c r="AL311" s="1" t="s">
        <v>126</v>
      </c>
      <c r="AM311" s="377"/>
    </row>
    <row r="312" spans="1:39" s="90" customFormat="1">
      <c r="A312" s="206" t="s">
        <v>751</v>
      </c>
      <c r="B312" s="105" t="s">
        <v>752</v>
      </c>
      <c r="C312" s="570">
        <v>1</v>
      </c>
      <c r="D312" s="61" t="s">
        <v>118</v>
      </c>
      <c r="E312" s="568">
        <v>3998.57</v>
      </c>
      <c r="F312" s="66">
        <f>rv_ms_hg</f>
        <v>0.17199999999999999</v>
      </c>
      <c r="G312" s="571">
        <f t="shared" si="63"/>
        <v>3310.8159600000004</v>
      </c>
      <c r="H312" s="54" t="s">
        <v>733</v>
      </c>
      <c r="I312" s="568">
        <v>102.59</v>
      </c>
      <c r="J312" s="63">
        <f>G312+I312</f>
        <v>3413.4059600000005</v>
      </c>
      <c r="K312" s="569"/>
      <c r="L312" s="62">
        <v>0.6</v>
      </c>
      <c r="M312" s="630" t="s">
        <v>753</v>
      </c>
      <c r="N312" s="380" t="s">
        <v>526</v>
      </c>
      <c r="O312" s="381" t="s">
        <v>527</v>
      </c>
      <c r="P312" s="90">
        <f t="shared" si="67"/>
        <v>687.14847779210334</v>
      </c>
      <c r="Q312" s="90">
        <f t="shared" si="67"/>
        <v>357.11550206143352</v>
      </c>
      <c r="R312" s="90">
        <f t="shared" si="67"/>
        <v>259.36235828483012</v>
      </c>
      <c r="S312" s="90">
        <f t="shared" si="67"/>
        <v>223.81321499452702</v>
      </c>
      <c r="T312" s="206" t="s">
        <v>751</v>
      </c>
      <c r="U312" s="105" t="s">
        <v>752</v>
      </c>
      <c r="V312" s="570">
        <v>1</v>
      </c>
      <c r="W312" s="61" t="s">
        <v>118</v>
      </c>
      <c r="X312" s="568">
        <v>3998.57</v>
      </c>
      <c r="Y312" s="66">
        <v>0.17199999999999999</v>
      </c>
      <c r="Z312" s="571">
        <v>3310.8159600000004</v>
      </c>
      <c r="AA312" s="54" t="s">
        <v>733</v>
      </c>
      <c r="AB312" s="568">
        <v>102.59</v>
      </c>
      <c r="AC312" s="63">
        <v>3413.4059600000005</v>
      </c>
      <c r="AD312" s="569"/>
      <c r="AE312" s="62">
        <v>0.6</v>
      </c>
      <c r="AF312" s="630" t="s">
        <v>753</v>
      </c>
      <c r="AG312" s="380" t="s">
        <v>526</v>
      </c>
      <c r="AH312" s="381" t="s">
        <v>527</v>
      </c>
      <c r="AI312" s="90">
        <v>687.14847779210334</v>
      </c>
      <c r="AJ312" s="90">
        <v>357.11550206143352</v>
      </c>
      <c r="AK312" s="90">
        <v>259.36235828483012</v>
      </c>
      <c r="AL312" s="90">
        <v>223.81321499452702</v>
      </c>
      <c r="AM312" s="402"/>
    </row>
    <row r="313" spans="1:39">
      <c r="A313" s="573" t="s">
        <v>754</v>
      </c>
      <c r="B313" s="574" t="s">
        <v>755</v>
      </c>
      <c r="C313" s="249">
        <v>1</v>
      </c>
      <c r="D313" s="272" t="s">
        <v>118</v>
      </c>
      <c r="E313" s="247">
        <v>766.67</v>
      </c>
      <c r="F313" s="283">
        <f t="shared" ref="F313:F320" si="68">rv_ms_hg_cto</f>
        <v>0.17199999999999999</v>
      </c>
      <c r="G313" s="99">
        <f t="shared" si="63"/>
        <v>634.80276000000003</v>
      </c>
      <c r="I313" s="642"/>
      <c r="J313" s="642"/>
      <c r="K313" s="93"/>
      <c r="L313" s="280"/>
      <c r="M313" s="631" t="s">
        <v>753</v>
      </c>
      <c r="N313" s="359" t="s">
        <v>526</v>
      </c>
      <c r="O313" s="363" t="s">
        <v>527</v>
      </c>
      <c r="P313" s="1" t="str">
        <f t="shared" si="67"/>
        <v/>
      </c>
      <c r="Q313" s="1" t="str">
        <f t="shared" si="67"/>
        <v/>
      </c>
      <c r="R313" s="1" t="str">
        <f t="shared" si="67"/>
        <v/>
      </c>
      <c r="S313" s="1" t="str">
        <f t="shared" si="67"/>
        <v/>
      </c>
      <c r="T313" s="573" t="s">
        <v>754</v>
      </c>
      <c r="U313" s="574" t="s">
        <v>755</v>
      </c>
      <c r="V313" s="249">
        <v>1</v>
      </c>
      <c r="W313" s="272" t="s">
        <v>118</v>
      </c>
      <c r="X313" s="247">
        <v>766.67</v>
      </c>
      <c r="Y313" s="283">
        <v>0.17199999999999999</v>
      </c>
      <c r="Z313" s="99">
        <v>634.80276000000003</v>
      </c>
      <c r="AB313" s="642"/>
      <c r="AC313" s="642"/>
      <c r="AD313" s="93"/>
      <c r="AE313" s="280"/>
      <c r="AF313" s="631" t="s">
        <v>753</v>
      </c>
      <c r="AG313" s="359" t="s">
        <v>526</v>
      </c>
      <c r="AH313" s="363" t="s">
        <v>527</v>
      </c>
      <c r="AI313" s="1" t="s">
        <v>126</v>
      </c>
      <c r="AJ313" s="1" t="s">
        <v>126</v>
      </c>
      <c r="AK313" s="1" t="s">
        <v>126</v>
      </c>
      <c r="AL313" s="1" t="s">
        <v>126</v>
      </c>
      <c r="AM313" s="377"/>
    </row>
    <row r="314" spans="1:39">
      <c r="A314" s="573" t="s">
        <v>756</v>
      </c>
      <c r="B314" s="574" t="s">
        <v>757</v>
      </c>
      <c r="C314" s="249">
        <v>1</v>
      </c>
      <c r="D314" s="272" t="s">
        <v>118</v>
      </c>
      <c r="E314" s="247">
        <v>1533.33</v>
      </c>
      <c r="F314" s="283">
        <f t="shared" si="68"/>
        <v>0.17199999999999999</v>
      </c>
      <c r="G314" s="99">
        <f t="shared" si="63"/>
        <v>1269.5972400000001</v>
      </c>
      <c r="I314" s="642"/>
      <c r="J314" s="642"/>
      <c r="K314" s="93"/>
      <c r="L314" s="280"/>
      <c r="M314" s="631" t="s">
        <v>753</v>
      </c>
      <c r="N314" s="359" t="s">
        <v>526</v>
      </c>
      <c r="O314" s="363" t="s">
        <v>527</v>
      </c>
      <c r="P314" s="1" t="str">
        <f t="shared" si="67"/>
        <v/>
      </c>
      <c r="Q314" s="1" t="str">
        <f t="shared" si="67"/>
        <v/>
      </c>
      <c r="R314" s="1" t="str">
        <f t="shared" si="67"/>
        <v/>
      </c>
      <c r="S314" s="1" t="str">
        <f t="shared" si="67"/>
        <v/>
      </c>
      <c r="T314" s="573" t="s">
        <v>756</v>
      </c>
      <c r="U314" s="574" t="s">
        <v>757</v>
      </c>
      <c r="V314" s="249">
        <v>1</v>
      </c>
      <c r="W314" s="272" t="s">
        <v>118</v>
      </c>
      <c r="X314" s="247">
        <v>1533.33</v>
      </c>
      <c r="Y314" s="283">
        <v>0.17199999999999999</v>
      </c>
      <c r="Z314" s="99">
        <v>1269.5972400000001</v>
      </c>
      <c r="AB314" s="642"/>
      <c r="AC314" s="642"/>
      <c r="AD314" s="93"/>
      <c r="AE314" s="280"/>
      <c r="AF314" s="631" t="s">
        <v>753</v>
      </c>
      <c r="AG314" s="359" t="s">
        <v>526</v>
      </c>
      <c r="AH314" s="363" t="s">
        <v>527</v>
      </c>
      <c r="AI314" s="1" t="s">
        <v>126</v>
      </c>
      <c r="AJ314" s="1" t="s">
        <v>126</v>
      </c>
      <c r="AK314" s="1" t="s">
        <v>126</v>
      </c>
      <c r="AL314" s="1" t="s">
        <v>126</v>
      </c>
      <c r="AM314" s="377"/>
    </row>
    <row r="315" spans="1:39">
      <c r="A315" s="573" t="s">
        <v>758</v>
      </c>
      <c r="B315" s="574" t="s">
        <v>759</v>
      </c>
      <c r="C315" s="249">
        <v>1</v>
      </c>
      <c r="D315" s="272" t="s">
        <v>118</v>
      </c>
      <c r="E315" s="247">
        <v>958.33</v>
      </c>
      <c r="F315" s="283">
        <f t="shared" si="68"/>
        <v>0.17199999999999999</v>
      </c>
      <c r="G315" s="99">
        <f t="shared" si="63"/>
        <v>793.49724000000003</v>
      </c>
      <c r="I315" s="642"/>
      <c r="J315" s="642"/>
      <c r="K315" s="93"/>
      <c r="L315" s="280"/>
      <c r="M315" s="631" t="s">
        <v>753</v>
      </c>
      <c r="N315" s="359" t="s">
        <v>526</v>
      </c>
      <c r="O315" s="363" t="s">
        <v>527</v>
      </c>
      <c r="P315" s="1" t="str">
        <f t="shared" si="67"/>
        <v/>
      </c>
      <c r="Q315" s="1" t="str">
        <f t="shared" si="67"/>
        <v/>
      </c>
      <c r="R315" s="1" t="str">
        <f t="shared" si="67"/>
        <v/>
      </c>
      <c r="S315" s="1" t="str">
        <f t="shared" si="67"/>
        <v/>
      </c>
      <c r="T315" s="573" t="s">
        <v>758</v>
      </c>
      <c r="U315" s="574" t="s">
        <v>759</v>
      </c>
      <c r="V315" s="249">
        <v>1</v>
      </c>
      <c r="W315" s="272" t="s">
        <v>118</v>
      </c>
      <c r="X315" s="247">
        <v>958.33</v>
      </c>
      <c r="Y315" s="283">
        <v>0.17199999999999999</v>
      </c>
      <c r="Z315" s="99">
        <v>793.49724000000003</v>
      </c>
      <c r="AB315" s="642"/>
      <c r="AC315" s="642"/>
      <c r="AD315" s="93"/>
      <c r="AE315" s="280"/>
      <c r="AF315" s="631" t="s">
        <v>753</v>
      </c>
      <c r="AG315" s="359" t="s">
        <v>526</v>
      </c>
      <c r="AH315" s="363" t="s">
        <v>527</v>
      </c>
      <c r="AI315" s="1" t="s">
        <v>126</v>
      </c>
      <c r="AJ315" s="1" t="s">
        <v>126</v>
      </c>
      <c r="AK315" s="1" t="s">
        <v>126</v>
      </c>
      <c r="AL315" s="1" t="s">
        <v>126</v>
      </c>
      <c r="AM315" s="377"/>
    </row>
    <row r="316" spans="1:39">
      <c r="A316" s="573" t="s">
        <v>760</v>
      </c>
      <c r="B316" s="574" t="s">
        <v>761</v>
      </c>
      <c r="C316" s="249">
        <v>1</v>
      </c>
      <c r="D316" s="272" t="s">
        <v>118</v>
      </c>
      <c r="E316" s="247">
        <v>1725</v>
      </c>
      <c r="F316" s="283">
        <f t="shared" si="68"/>
        <v>0.17199999999999999</v>
      </c>
      <c r="G316" s="99">
        <f t="shared" ref="G316:G317" si="69">E316-(E316*F316)</f>
        <v>1428.3</v>
      </c>
      <c r="I316" s="642"/>
      <c r="J316" s="642"/>
      <c r="K316" s="93"/>
      <c r="L316" s="280"/>
      <c r="M316" s="631" t="s">
        <v>753</v>
      </c>
      <c r="N316" s="359" t="s">
        <v>526</v>
      </c>
      <c r="O316" s="363" t="s">
        <v>527</v>
      </c>
      <c r="P316" s="1"/>
      <c r="Q316" s="1"/>
      <c r="R316" s="1"/>
      <c r="S316" s="1"/>
      <c r="T316" s="573" t="s">
        <v>760</v>
      </c>
      <c r="U316" s="574" t="s">
        <v>761</v>
      </c>
      <c r="V316" s="249">
        <v>1</v>
      </c>
      <c r="W316" s="272" t="s">
        <v>118</v>
      </c>
      <c r="X316" s="247">
        <v>1725</v>
      </c>
      <c r="Y316" s="283">
        <v>0.17199999999999999</v>
      </c>
      <c r="Z316" s="99">
        <v>1428.3</v>
      </c>
      <c r="AB316" s="642"/>
      <c r="AC316" s="642"/>
      <c r="AD316" s="93"/>
      <c r="AE316" s="280"/>
      <c r="AF316" s="631" t="s">
        <v>753</v>
      </c>
      <c r="AG316" s="359" t="s">
        <v>526</v>
      </c>
      <c r="AH316" s="363" t="s">
        <v>527</v>
      </c>
      <c r="AI316" s="1"/>
      <c r="AJ316" s="1"/>
      <c r="AK316" s="1"/>
      <c r="AL316" s="1"/>
      <c r="AM316" s="377"/>
    </row>
    <row r="317" spans="1:39">
      <c r="A317" s="573" t="s">
        <v>762</v>
      </c>
      <c r="B317" s="574" t="s">
        <v>763</v>
      </c>
      <c r="C317" s="249">
        <v>1</v>
      </c>
      <c r="D317" s="272" t="s">
        <v>118</v>
      </c>
      <c r="E317" s="247">
        <v>2491.67</v>
      </c>
      <c r="F317" s="283">
        <f t="shared" si="68"/>
        <v>0.17199999999999999</v>
      </c>
      <c r="G317" s="99">
        <f t="shared" si="69"/>
        <v>2063.1027600000002</v>
      </c>
      <c r="I317" s="642"/>
      <c r="J317" s="642"/>
      <c r="K317" s="93"/>
      <c r="L317" s="280"/>
      <c r="M317" s="631" t="s">
        <v>753</v>
      </c>
      <c r="N317" s="359" t="s">
        <v>526</v>
      </c>
      <c r="O317" s="363" t="s">
        <v>527</v>
      </c>
      <c r="P317" s="1"/>
      <c r="Q317" s="1"/>
      <c r="R317" s="1"/>
      <c r="S317" s="1"/>
      <c r="T317" s="573" t="s">
        <v>762</v>
      </c>
      <c r="U317" s="574" t="s">
        <v>763</v>
      </c>
      <c r="V317" s="249">
        <v>1</v>
      </c>
      <c r="W317" s="272" t="s">
        <v>118</v>
      </c>
      <c r="X317" s="247">
        <v>2491.67</v>
      </c>
      <c r="Y317" s="283">
        <v>0.17199999999999999</v>
      </c>
      <c r="Z317" s="99">
        <v>2063.1027600000002</v>
      </c>
      <c r="AB317" s="642"/>
      <c r="AC317" s="642"/>
      <c r="AD317" s="93"/>
      <c r="AE317" s="280"/>
      <c r="AF317" s="631" t="s">
        <v>753</v>
      </c>
      <c r="AG317" s="359" t="s">
        <v>526</v>
      </c>
      <c r="AH317" s="363" t="s">
        <v>527</v>
      </c>
      <c r="AI317" s="1"/>
      <c r="AJ317" s="1"/>
      <c r="AK317" s="1"/>
      <c r="AL317" s="1"/>
      <c r="AM317" s="377"/>
    </row>
    <row r="318" spans="1:39">
      <c r="A318" s="573" t="s">
        <v>764</v>
      </c>
      <c r="B318" s="574" t="s">
        <v>746</v>
      </c>
      <c r="C318" s="249">
        <v>1</v>
      </c>
      <c r="D318" s="272" t="s">
        <v>118</v>
      </c>
      <c r="E318" s="247">
        <v>383.33333333333337</v>
      </c>
      <c r="F318" s="283">
        <f t="shared" si="68"/>
        <v>0.17199999999999999</v>
      </c>
      <c r="G318" s="99">
        <f t="shared" si="63"/>
        <v>317.40000000000003</v>
      </c>
      <c r="I318" s="642"/>
      <c r="J318" s="642"/>
      <c r="K318" s="93"/>
      <c r="L318" s="280"/>
      <c r="M318" s="631" t="s">
        <v>753</v>
      </c>
      <c r="N318" s="359" t="s">
        <v>526</v>
      </c>
      <c r="O318" s="363" t="s">
        <v>527</v>
      </c>
      <c r="P318" s="1" t="str">
        <f t="shared" si="67"/>
        <v/>
      </c>
      <c r="Q318" s="1" t="str">
        <f t="shared" si="67"/>
        <v/>
      </c>
      <c r="R318" s="1" t="str">
        <f t="shared" si="67"/>
        <v/>
      </c>
      <c r="S318" s="1" t="str">
        <f t="shared" si="67"/>
        <v/>
      </c>
      <c r="T318" s="573" t="s">
        <v>764</v>
      </c>
      <c r="U318" s="574" t="s">
        <v>746</v>
      </c>
      <c r="V318" s="249">
        <v>1</v>
      </c>
      <c r="W318" s="272" t="s">
        <v>118</v>
      </c>
      <c r="X318" s="247">
        <v>383.33333333333337</v>
      </c>
      <c r="Y318" s="283">
        <v>0.17199999999999999</v>
      </c>
      <c r="Z318" s="99">
        <v>317.40000000000003</v>
      </c>
      <c r="AB318" s="642"/>
      <c r="AC318" s="642"/>
      <c r="AD318" s="93"/>
      <c r="AE318" s="280"/>
      <c r="AF318" s="631" t="s">
        <v>753</v>
      </c>
      <c r="AG318" s="359" t="s">
        <v>526</v>
      </c>
      <c r="AH318" s="363" t="s">
        <v>527</v>
      </c>
      <c r="AI318" s="1" t="s">
        <v>126</v>
      </c>
      <c r="AJ318" s="1" t="s">
        <v>126</v>
      </c>
      <c r="AK318" s="1" t="s">
        <v>126</v>
      </c>
      <c r="AL318" s="1" t="s">
        <v>126</v>
      </c>
      <c r="AM318" s="377"/>
    </row>
    <row r="319" spans="1:39">
      <c r="A319" s="573" t="s">
        <v>765</v>
      </c>
      <c r="B319" s="574" t="s">
        <v>748</v>
      </c>
      <c r="C319" s="249">
        <v>1</v>
      </c>
      <c r="D319" s="272" t="s">
        <v>118</v>
      </c>
      <c r="E319" s="247">
        <v>958.33333333333337</v>
      </c>
      <c r="F319" s="283">
        <f t="shared" si="68"/>
        <v>0.17199999999999999</v>
      </c>
      <c r="G319" s="99">
        <f t="shared" ref="G319" si="70">E319-(E319*F319)</f>
        <v>793.5</v>
      </c>
      <c r="I319" s="642"/>
      <c r="J319" s="642"/>
      <c r="K319" s="93"/>
      <c r="L319" s="280"/>
      <c r="M319" s="631" t="s">
        <v>753</v>
      </c>
      <c r="N319" s="359" t="s">
        <v>526</v>
      </c>
      <c r="O319" s="363" t="s">
        <v>527</v>
      </c>
      <c r="P319" s="1" t="str">
        <f t="shared" si="67"/>
        <v/>
      </c>
      <c r="Q319" s="1" t="str">
        <f t="shared" si="67"/>
        <v/>
      </c>
      <c r="R319" s="1" t="str">
        <f t="shared" si="67"/>
        <v/>
      </c>
      <c r="S319" s="1" t="str">
        <f t="shared" si="67"/>
        <v/>
      </c>
      <c r="T319" s="573" t="s">
        <v>765</v>
      </c>
      <c r="U319" s="574" t="s">
        <v>748</v>
      </c>
      <c r="V319" s="249">
        <v>1</v>
      </c>
      <c r="W319" s="272" t="s">
        <v>118</v>
      </c>
      <c r="X319" s="247">
        <v>958.33333333333337</v>
      </c>
      <c r="Y319" s="283">
        <v>0.17199999999999999</v>
      </c>
      <c r="Z319" s="99">
        <v>793.5</v>
      </c>
      <c r="AB319" s="642"/>
      <c r="AC319" s="642"/>
      <c r="AD319" s="93"/>
      <c r="AE319" s="280"/>
      <c r="AF319" s="631" t="s">
        <v>753</v>
      </c>
      <c r="AG319" s="359" t="s">
        <v>526</v>
      </c>
      <c r="AH319" s="363" t="s">
        <v>527</v>
      </c>
      <c r="AI319" s="1" t="s">
        <v>126</v>
      </c>
      <c r="AJ319" s="1" t="s">
        <v>126</v>
      </c>
      <c r="AK319" s="1" t="s">
        <v>126</v>
      </c>
      <c r="AL319" s="1" t="s">
        <v>126</v>
      </c>
      <c r="AM319" s="377"/>
    </row>
    <row r="320" spans="1:39">
      <c r="A320" s="573" t="s">
        <v>766</v>
      </c>
      <c r="B320" s="574" t="s">
        <v>750</v>
      </c>
      <c r="C320" s="249">
        <v>1</v>
      </c>
      <c r="D320" s="272" t="s">
        <v>118</v>
      </c>
      <c r="E320" s="247">
        <v>2108.3333333333335</v>
      </c>
      <c r="F320" s="283">
        <f t="shared" si="68"/>
        <v>0.17199999999999999</v>
      </c>
      <c r="G320" s="99">
        <f t="shared" si="63"/>
        <v>1745.7000000000003</v>
      </c>
      <c r="H320" s="22"/>
      <c r="M320" s="631" t="s">
        <v>753</v>
      </c>
      <c r="N320" s="359" t="s">
        <v>526</v>
      </c>
      <c r="O320" s="363" t="s">
        <v>527</v>
      </c>
      <c r="P320" s="1" t="str">
        <f t="shared" si="67"/>
        <v/>
      </c>
      <c r="Q320" s="1" t="str">
        <f t="shared" si="67"/>
        <v/>
      </c>
      <c r="R320" s="1" t="str">
        <f t="shared" si="67"/>
        <v/>
      </c>
      <c r="S320" s="1" t="str">
        <f t="shared" si="67"/>
        <v/>
      </c>
      <c r="T320" s="573" t="s">
        <v>766</v>
      </c>
      <c r="U320" s="574" t="s">
        <v>750</v>
      </c>
      <c r="V320" s="249">
        <v>1</v>
      </c>
      <c r="W320" s="272" t="s">
        <v>118</v>
      </c>
      <c r="X320" s="247">
        <v>2108.3333333333335</v>
      </c>
      <c r="Y320" s="283">
        <v>0.17199999999999999</v>
      </c>
      <c r="Z320" s="99">
        <v>1745.7000000000003</v>
      </c>
      <c r="AA320" s="22"/>
      <c r="AB320" s="285"/>
      <c r="AC320" s="285"/>
      <c r="AE320" s="107"/>
      <c r="AF320" s="631" t="s">
        <v>753</v>
      </c>
      <c r="AG320" s="359" t="s">
        <v>526</v>
      </c>
      <c r="AH320" s="363" t="s">
        <v>527</v>
      </c>
      <c r="AI320" s="1" t="s">
        <v>126</v>
      </c>
      <c r="AJ320" s="1" t="s">
        <v>126</v>
      </c>
      <c r="AK320" s="1" t="s">
        <v>126</v>
      </c>
      <c r="AL320" s="1" t="s">
        <v>126</v>
      </c>
      <c r="AM320" s="377"/>
    </row>
    <row r="321" spans="1:39" s="77" customFormat="1">
      <c r="A321" s="231" t="s">
        <v>733</v>
      </c>
      <c r="B321" s="58" t="s">
        <v>767</v>
      </c>
      <c r="C321" s="59">
        <v>1</v>
      </c>
      <c r="D321" s="74" t="s">
        <v>140</v>
      </c>
      <c r="E321" s="280">
        <v>123.9</v>
      </c>
      <c r="F321" s="281">
        <f>rv_ms_eg</f>
        <v>0.17199999999999999</v>
      </c>
      <c r="G321" s="282">
        <f t="shared" si="63"/>
        <v>102.58920000000001</v>
      </c>
      <c r="H321" s="24"/>
      <c r="I321" s="76"/>
      <c r="J321" s="76"/>
      <c r="K321" s="14"/>
      <c r="L321" s="56"/>
      <c r="M321" s="631" t="s">
        <v>141</v>
      </c>
      <c r="N321" s="359" t="s">
        <v>142</v>
      </c>
      <c r="O321" s="363" t="s">
        <v>559</v>
      </c>
      <c r="P321" s="1" t="str">
        <f t="shared" si="67"/>
        <v/>
      </c>
      <c r="Q321" s="1" t="str">
        <f t="shared" si="67"/>
        <v/>
      </c>
      <c r="R321" s="1" t="str">
        <f t="shared" si="67"/>
        <v/>
      </c>
      <c r="S321" s="1" t="str">
        <f t="shared" si="67"/>
        <v/>
      </c>
      <c r="T321" s="231" t="s">
        <v>733</v>
      </c>
      <c r="U321" s="58" t="s">
        <v>767</v>
      </c>
      <c r="V321" s="59">
        <v>1</v>
      </c>
      <c r="W321" s="74" t="s">
        <v>140</v>
      </c>
      <c r="X321" s="280">
        <v>123.9</v>
      </c>
      <c r="Y321" s="281">
        <v>0.17199999999999999</v>
      </c>
      <c r="Z321" s="282">
        <v>102.58920000000001</v>
      </c>
      <c r="AA321" s="24"/>
      <c r="AB321" s="76"/>
      <c r="AC321" s="76"/>
      <c r="AD321" s="14"/>
      <c r="AE321" s="56"/>
      <c r="AF321" s="631" t="s">
        <v>141</v>
      </c>
      <c r="AG321" s="359" t="s">
        <v>142</v>
      </c>
      <c r="AH321" s="363" t="s">
        <v>559</v>
      </c>
      <c r="AI321" s="1" t="s">
        <v>126</v>
      </c>
      <c r="AJ321" s="1" t="s">
        <v>126</v>
      </c>
      <c r="AK321" s="1" t="s">
        <v>126</v>
      </c>
      <c r="AL321" s="1" t="s">
        <v>126</v>
      </c>
      <c r="AM321" s="374"/>
    </row>
    <row r="322" spans="1:39">
      <c r="A322" s="221" t="s">
        <v>768</v>
      </c>
      <c r="B322" s="69" t="s">
        <v>769</v>
      </c>
      <c r="C322" s="23">
        <v>1</v>
      </c>
      <c r="D322" s="30" t="s">
        <v>140</v>
      </c>
      <c r="E322" s="31"/>
      <c r="F322" s="19"/>
      <c r="G322" s="85">
        <v>26</v>
      </c>
      <c r="H322" s="64"/>
      <c r="I322" s="152"/>
      <c r="J322" s="152"/>
      <c r="K322" s="73"/>
      <c r="L322" s="152"/>
      <c r="M322" s="631" t="s">
        <v>141</v>
      </c>
      <c r="N322" s="360" t="s">
        <v>142</v>
      </c>
      <c r="O322" s="365" t="s">
        <v>559</v>
      </c>
      <c r="P322" s="1" t="str">
        <f t="shared" si="67"/>
        <v/>
      </c>
      <c r="Q322" s="1" t="str">
        <f t="shared" si="67"/>
        <v/>
      </c>
      <c r="R322" s="1" t="str">
        <f t="shared" si="67"/>
        <v/>
      </c>
      <c r="S322" s="1" t="str">
        <f t="shared" si="67"/>
        <v/>
      </c>
      <c r="T322" s="221" t="s">
        <v>768</v>
      </c>
      <c r="U322" s="69" t="s">
        <v>769</v>
      </c>
      <c r="V322" s="23">
        <v>1</v>
      </c>
      <c r="W322" s="30" t="s">
        <v>140</v>
      </c>
      <c r="X322" s="31"/>
      <c r="Y322" s="19"/>
      <c r="Z322" s="85">
        <v>26</v>
      </c>
      <c r="AA322" s="64"/>
      <c r="AB322" s="152"/>
      <c r="AC322" s="152"/>
      <c r="AD322" s="73"/>
      <c r="AE322" s="152"/>
      <c r="AF322" s="631" t="s">
        <v>141</v>
      </c>
      <c r="AG322" s="360" t="s">
        <v>142</v>
      </c>
      <c r="AH322" s="365" t="s">
        <v>559</v>
      </c>
      <c r="AI322" s="1" t="s">
        <v>126</v>
      </c>
      <c r="AJ322" s="1" t="s">
        <v>126</v>
      </c>
      <c r="AK322" s="1" t="s">
        <v>126</v>
      </c>
      <c r="AL322" s="1" t="s">
        <v>126</v>
      </c>
      <c r="AM322" s="377"/>
    </row>
    <row r="323" spans="1:39">
      <c r="A323" s="221" t="s">
        <v>770</v>
      </c>
      <c r="B323" s="69" t="s">
        <v>771</v>
      </c>
      <c r="C323" s="23">
        <v>1</v>
      </c>
      <c r="D323" s="30" t="s">
        <v>140</v>
      </c>
      <c r="E323" s="31"/>
      <c r="F323" s="19"/>
      <c r="G323" s="85">
        <v>51</v>
      </c>
      <c r="H323" s="64"/>
      <c r="I323" s="152"/>
      <c r="J323" s="152"/>
      <c r="K323" s="73"/>
      <c r="L323" s="152"/>
      <c r="M323" s="631" t="s">
        <v>141</v>
      </c>
      <c r="N323" s="360" t="s">
        <v>142</v>
      </c>
      <c r="O323" s="365" t="s">
        <v>559</v>
      </c>
      <c r="P323" s="1" t="str">
        <f t="shared" si="67"/>
        <v/>
      </c>
      <c r="Q323" s="1" t="str">
        <f t="shared" si="67"/>
        <v/>
      </c>
      <c r="R323" s="1" t="str">
        <f t="shared" si="67"/>
        <v/>
      </c>
      <c r="S323" s="1" t="str">
        <f t="shared" si="67"/>
        <v/>
      </c>
      <c r="T323" s="221" t="s">
        <v>770</v>
      </c>
      <c r="U323" s="69" t="s">
        <v>771</v>
      </c>
      <c r="V323" s="23">
        <v>1</v>
      </c>
      <c r="W323" s="30" t="s">
        <v>140</v>
      </c>
      <c r="X323" s="31"/>
      <c r="Y323" s="19"/>
      <c r="Z323" s="85">
        <v>51</v>
      </c>
      <c r="AA323" s="64"/>
      <c r="AB323" s="152"/>
      <c r="AC323" s="152"/>
      <c r="AD323" s="73"/>
      <c r="AE323" s="152"/>
      <c r="AF323" s="631" t="s">
        <v>141</v>
      </c>
      <c r="AG323" s="360" t="s">
        <v>142</v>
      </c>
      <c r="AH323" s="365" t="s">
        <v>559</v>
      </c>
      <c r="AI323" s="1" t="s">
        <v>126</v>
      </c>
      <c r="AJ323" s="1" t="s">
        <v>126</v>
      </c>
      <c r="AK323" s="1" t="s">
        <v>126</v>
      </c>
      <c r="AL323" s="1" t="s">
        <v>126</v>
      </c>
      <c r="AM323" s="377"/>
    </row>
    <row r="324" spans="1:39">
      <c r="A324" s="221" t="s">
        <v>772</v>
      </c>
      <c r="B324" s="69" t="s">
        <v>773</v>
      </c>
      <c r="C324" s="23">
        <v>1</v>
      </c>
      <c r="D324" s="30" t="s">
        <v>140</v>
      </c>
      <c r="E324" s="31"/>
      <c r="F324" s="19"/>
      <c r="G324" s="85">
        <v>79</v>
      </c>
      <c r="H324" s="64"/>
      <c r="I324" s="152"/>
      <c r="J324" s="152"/>
      <c r="K324" s="73"/>
      <c r="L324" s="152"/>
      <c r="M324" s="631" t="s">
        <v>141</v>
      </c>
      <c r="N324" s="360" t="s">
        <v>142</v>
      </c>
      <c r="O324" s="365" t="s">
        <v>559</v>
      </c>
      <c r="P324" s="1" t="str">
        <f t="shared" si="67"/>
        <v/>
      </c>
      <c r="Q324" s="1" t="str">
        <f t="shared" si="67"/>
        <v/>
      </c>
      <c r="R324" s="1" t="str">
        <f t="shared" si="67"/>
        <v/>
      </c>
      <c r="S324" s="1" t="str">
        <f t="shared" si="67"/>
        <v/>
      </c>
      <c r="T324" s="221" t="s">
        <v>772</v>
      </c>
      <c r="U324" s="69" t="s">
        <v>773</v>
      </c>
      <c r="V324" s="23">
        <v>1</v>
      </c>
      <c r="W324" s="30" t="s">
        <v>140</v>
      </c>
      <c r="X324" s="31"/>
      <c r="Y324" s="19"/>
      <c r="Z324" s="85">
        <v>79</v>
      </c>
      <c r="AA324" s="64"/>
      <c r="AB324" s="152"/>
      <c r="AC324" s="152"/>
      <c r="AD324" s="73"/>
      <c r="AE324" s="152"/>
      <c r="AF324" s="631" t="s">
        <v>141</v>
      </c>
      <c r="AG324" s="360" t="s">
        <v>142</v>
      </c>
      <c r="AH324" s="365" t="s">
        <v>559</v>
      </c>
      <c r="AI324" s="1" t="s">
        <v>126</v>
      </c>
      <c r="AJ324" s="1" t="s">
        <v>126</v>
      </c>
      <c r="AK324" s="1" t="s">
        <v>126</v>
      </c>
      <c r="AL324" s="1" t="s">
        <v>126</v>
      </c>
      <c r="AM324" s="377"/>
    </row>
    <row r="325" spans="1:39">
      <c r="A325" s="221" t="s">
        <v>774</v>
      </c>
      <c r="B325" s="69" t="s">
        <v>775</v>
      </c>
      <c r="C325" s="23">
        <v>1</v>
      </c>
      <c r="D325" s="30" t="s">
        <v>140</v>
      </c>
      <c r="E325" s="31"/>
      <c r="F325" s="19"/>
      <c r="G325" s="85">
        <v>42</v>
      </c>
      <c r="H325" s="64"/>
      <c r="I325" s="152"/>
      <c r="J325" s="152"/>
      <c r="K325" s="73"/>
      <c r="L325" s="152"/>
      <c r="M325" s="631" t="s">
        <v>141</v>
      </c>
      <c r="N325" s="360" t="s">
        <v>142</v>
      </c>
      <c r="O325" s="365" t="s">
        <v>559</v>
      </c>
      <c r="P325" s="1" t="str">
        <f t="shared" si="67"/>
        <v/>
      </c>
      <c r="Q325" s="1" t="str">
        <f t="shared" si="67"/>
        <v/>
      </c>
      <c r="R325" s="1" t="str">
        <f t="shared" si="67"/>
        <v/>
      </c>
      <c r="S325" s="1" t="str">
        <f t="shared" si="67"/>
        <v/>
      </c>
      <c r="T325" s="221" t="s">
        <v>774</v>
      </c>
      <c r="U325" s="69" t="s">
        <v>775</v>
      </c>
      <c r="V325" s="23">
        <v>1</v>
      </c>
      <c r="W325" s="30" t="s">
        <v>140</v>
      </c>
      <c r="X325" s="31"/>
      <c r="Y325" s="19"/>
      <c r="Z325" s="85">
        <v>42</v>
      </c>
      <c r="AA325" s="64"/>
      <c r="AB325" s="152"/>
      <c r="AC325" s="152"/>
      <c r="AD325" s="73"/>
      <c r="AE325" s="152"/>
      <c r="AF325" s="631" t="s">
        <v>141</v>
      </c>
      <c r="AG325" s="360" t="s">
        <v>142</v>
      </c>
      <c r="AH325" s="365" t="s">
        <v>559</v>
      </c>
      <c r="AI325" s="1" t="s">
        <v>126</v>
      </c>
      <c r="AJ325" s="1" t="s">
        <v>126</v>
      </c>
      <c r="AK325" s="1" t="s">
        <v>126</v>
      </c>
      <c r="AL325" s="1" t="s">
        <v>126</v>
      </c>
      <c r="AM325" s="377"/>
    </row>
    <row r="326" spans="1:39">
      <c r="A326" s="221" t="s">
        <v>776</v>
      </c>
      <c r="B326" s="69" t="s">
        <v>777</v>
      </c>
      <c r="C326" s="23">
        <v>1</v>
      </c>
      <c r="D326" s="30" t="s">
        <v>140</v>
      </c>
      <c r="E326" s="31"/>
      <c r="F326" s="19"/>
      <c r="G326" s="85">
        <v>79</v>
      </c>
      <c r="H326" s="64"/>
      <c r="I326" s="152"/>
      <c r="J326" s="152"/>
      <c r="K326" s="73"/>
      <c r="L326" s="152"/>
      <c r="M326" s="631" t="s">
        <v>141</v>
      </c>
      <c r="N326" s="360" t="s">
        <v>142</v>
      </c>
      <c r="O326" s="365" t="s">
        <v>559</v>
      </c>
      <c r="P326" s="1" t="str">
        <f t="shared" si="67"/>
        <v/>
      </c>
      <c r="Q326" s="1" t="str">
        <f t="shared" si="67"/>
        <v/>
      </c>
      <c r="R326" s="1" t="str">
        <f t="shared" si="67"/>
        <v/>
      </c>
      <c r="S326" s="1" t="str">
        <f t="shared" si="67"/>
        <v/>
      </c>
      <c r="T326" s="221" t="s">
        <v>776</v>
      </c>
      <c r="U326" s="69" t="s">
        <v>777</v>
      </c>
      <c r="V326" s="23">
        <v>1</v>
      </c>
      <c r="W326" s="30" t="s">
        <v>140</v>
      </c>
      <c r="X326" s="31"/>
      <c r="Y326" s="19"/>
      <c r="Z326" s="85">
        <v>79</v>
      </c>
      <c r="AA326" s="64"/>
      <c r="AB326" s="152"/>
      <c r="AC326" s="152"/>
      <c r="AD326" s="73"/>
      <c r="AE326" s="152"/>
      <c r="AF326" s="631" t="s">
        <v>141</v>
      </c>
      <c r="AG326" s="360" t="s">
        <v>142</v>
      </c>
      <c r="AH326" s="365" t="s">
        <v>559</v>
      </c>
      <c r="AI326" s="1" t="s">
        <v>126</v>
      </c>
      <c r="AJ326" s="1" t="s">
        <v>126</v>
      </c>
      <c r="AK326" s="1" t="s">
        <v>126</v>
      </c>
      <c r="AL326" s="1" t="s">
        <v>126</v>
      </c>
      <c r="AM326" s="377"/>
    </row>
    <row r="327" spans="1:39">
      <c r="A327" s="221" t="s">
        <v>778</v>
      </c>
      <c r="B327" s="69" t="s">
        <v>779</v>
      </c>
      <c r="C327" s="23">
        <v>1</v>
      </c>
      <c r="D327" s="30" t="s">
        <v>140</v>
      </c>
      <c r="E327" s="31"/>
      <c r="F327" s="19"/>
      <c r="G327" s="85">
        <v>100</v>
      </c>
      <c r="H327" s="64"/>
      <c r="I327" s="152"/>
      <c r="J327" s="152"/>
      <c r="K327" s="73"/>
      <c r="L327" s="152"/>
      <c r="M327" s="631" t="s">
        <v>141</v>
      </c>
      <c r="N327" s="360" t="s">
        <v>142</v>
      </c>
      <c r="O327" s="365" t="s">
        <v>559</v>
      </c>
      <c r="P327" s="1" t="str">
        <f t="shared" si="67"/>
        <v/>
      </c>
      <c r="Q327" s="1" t="str">
        <f t="shared" si="67"/>
        <v/>
      </c>
      <c r="R327" s="1" t="str">
        <f t="shared" si="67"/>
        <v/>
      </c>
      <c r="S327" s="1" t="str">
        <f t="shared" si="67"/>
        <v/>
      </c>
      <c r="T327" s="221" t="s">
        <v>778</v>
      </c>
      <c r="U327" s="69" t="s">
        <v>779</v>
      </c>
      <c r="V327" s="23">
        <v>1</v>
      </c>
      <c r="W327" s="30" t="s">
        <v>140</v>
      </c>
      <c r="X327" s="31"/>
      <c r="Y327" s="19"/>
      <c r="Z327" s="85">
        <v>100</v>
      </c>
      <c r="AA327" s="64"/>
      <c r="AB327" s="152"/>
      <c r="AC327" s="152"/>
      <c r="AD327" s="73"/>
      <c r="AE327" s="152"/>
      <c r="AF327" s="631" t="s">
        <v>141</v>
      </c>
      <c r="AG327" s="360" t="s">
        <v>142</v>
      </c>
      <c r="AH327" s="365" t="s">
        <v>559</v>
      </c>
      <c r="AI327" s="1" t="s">
        <v>126</v>
      </c>
      <c r="AJ327" s="1" t="s">
        <v>126</v>
      </c>
      <c r="AK327" s="1" t="s">
        <v>126</v>
      </c>
      <c r="AL327" s="1" t="s">
        <v>126</v>
      </c>
      <c r="AM327" s="377"/>
    </row>
    <row r="328" spans="1:39">
      <c r="A328" s="221" t="s">
        <v>780</v>
      </c>
      <c r="B328" s="69" t="s">
        <v>781</v>
      </c>
      <c r="C328" s="23">
        <v>1</v>
      </c>
      <c r="D328" s="30" t="s">
        <v>140</v>
      </c>
      <c r="E328" s="31"/>
      <c r="F328" s="19"/>
      <c r="G328" s="85">
        <v>105</v>
      </c>
      <c r="H328" s="64"/>
      <c r="I328" s="152"/>
      <c r="J328" s="152"/>
      <c r="K328" s="73"/>
      <c r="L328" s="152"/>
      <c r="M328" s="631" t="s">
        <v>141</v>
      </c>
      <c r="N328" s="360" t="s">
        <v>142</v>
      </c>
      <c r="O328" s="365" t="s">
        <v>559</v>
      </c>
      <c r="P328" s="1" t="str">
        <f t="shared" si="67"/>
        <v/>
      </c>
      <c r="Q328" s="1" t="str">
        <f t="shared" si="67"/>
        <v/>
      </c>
      <c r="R328" s="1" t="str">
        <f t="shared" si="67"/>
        <v/>
      </c>
      <c r="S328" s="1" t="str">
        <f t="shared" si="67"/>
        <v/>
      </c>
      <c r="T328" s="221" t="s">
        <v>780</v>
      </c>
      <c r="U328" s="69" t="s">
        <v>781</v>
      </c>
      <c r="V328" s="23">
        <v>1</v>
      </c>
      <c r="W328" s="30" t="s">
        <v>140</v>
      </c>
      <c r="X328" s="31"/>
      <c r="Y328" s="19"/>
      <c r="Z328" s="85">
        <v>105</v>
      </c>
      <c r="AA328" s="64"/>
      <c r="AB328" s="152"/>
      <c r="AC328" s="152"/>
      <c r="AD328" s="73"/>
      <c r="AE328" s="152"/>
      <c r="AF328" s="631" t="s">
        <v>141</v>
      </c>
      <c r="AG328" s="360" t="s">
        <v>142</v>
      </c>
      <c r="AH328" s="365" t="s">
        <v>559</v>
      </c>
      <c r="AI328" s="1" t="s">
        <v>126</v>
      </c>
      <c r="AJ328" s="1" t="s">
        <v>126</v>
      </c>
      <c r="AK328" s="1" t="s">
        <v>126</v>
      </c>
      <c r="AL328" s="1" t="s">
        <v>126</v>
      </c>
      <c r="AM328" s="377"/>
    </row>
    <row r="329" spans="1:39">
      <c r="A329" s="221" t="s">
        <v>782</v>
      </c>
      <c r="B329" s="69" t="s">
        <v>783</v>
      </c>
      <c r="C329" s="23">
        <v>1</v>
      </c>
      <c r="D329" s="30" t="s">
        <v>140</v>
      </c>
      <c r="E329" s="31"/>
      <c r="F329" s="19"/>
      <c r="G329" s="85">
        <v>32</v>
      </c>
      <c r="H329" s="64"/>
      <c r="I329" s="152"/>
      <c r="J329" s="152"/>
      <c r="K329" s="73"/>
      <c r="L329" s="152"/>
      <c r="M329" s="631" t="s">
        <v>141</v>
      </c>
      <c r="N329" s="360" t="s">
        <v>142</v>
      </c>
      <c r="O329" s="365" t="s">
        <v>559</v>
      </c>
      <c r="P329" s="1" t="str">
        <f t="shared" si="67"/>
        <v/>
      </c>
      <c r="Q329" s="1" t="str">
        <f t="shared" si="67"/>
        <v/>
      </c>
      <c r="R329" s="1" t="str">
        <f t="shared" si="67"/>
        <v/>
      </c>
      <c r="S329" s="1" t="str">
        <f t="shared" si="67"/>
        <v/>
      </c>
      <c r="T329" s="221" t="s">
        <v>782</v>
      </c>
      <c r="U329" s="69" t="s">
        <v>783</v>
      </c>
      <c r="V329" s="23">
        <v>1</v>
      </c>
      <c r="W329" s="30" t="s">
        <v>140</v>
      </c>
      <c r="X329" s="31"/>
      <c r="Y329" s="19"/>
      <c r="Z329" s="85">
        <v>32</v>
      </c>
      <c r="AA329" s="64"/>
      <c r="AB329" s="152"/>
      <c r="AC329" s="152"/>
      <c r="AD329" s="73"/>
      <c r="AE329" s="152"/>
      <c r="AF329" s="631" t="s">
        <v>141</v>
      </c>
      <c r="AG329" s="360" t="s">
        <v>142</v>
      </c>
      <c r="AH329" s="365" t="s">
        <v>559</v>
      </c>
      <c r="AI329" s="1" t="s">
        <v>126</v>
      </c>
      <c r="AJ329" s="1" t="s">
        <v>126</v>
      </c>
      <c r="AK329" s="1" t="s">
        <v>126</v>
      </c>
      <c r="AL329" s="1" t="s">
        <v>126</v>
      </c>
      <c r="AM329" s="377"/>
    </row>
    <row r="330" spans="1:39">
      <c r="A330" s="221" t="s">
        <v>784</v>
      </c>
      <c r="B330" s="69" t="s">
        <v>785</v>
      </c>
      <c r="C330" s="23">
        <v>1</v>
      </c>
      <c r="D330" s="30" t="s">
        <v>140</v>
      </c>
      <c r="E330" s="31"/>
      <c r="F330" s="19"/>
      <c r="G330" s="85">
        <v>79</v>
      </c>
      <c r="H330" s="64"/>
      <c r="I330" s="152"/>
      <c r="J330" s="152"/>
      <c r="K330" s="73"/>
      <c r="L330" s="152"/>
      <c r="M330" s="631" t="s">
        <v>141</v>
      </c>
      <c r="N330" s="360" t="s">
        <v>142</v>
      </c>
      <c r="O330" s="365" t="s">
        <v>559</v>
      </c>
      <c r="P330" s="1" t="str">
        <f t="shared" si="67"/>
        <v/>
      </c>
      <c r="Q330" s="1" t="str">
        <f t="shared" si="67"/>
        <v/>
      </c>
      <c r="R330" s="1" t="str">
        <f t="shared" si="67"/>
        <v/>
      </c>
      <c r="S330" s="1" t="str">
        <f t="shared" si="67"/>
        <v/>
      </c>
      <c r="T330" s="221" t="s">
        <v>784</v>
      </c>
      <c r="U330" s="69" t="s">
        <v>785</v>
      </c>
      <c r="V330" s="23">
        <v>1</v>
      </c>
      <c r="W330" s="30" t="s">
        <v>140</v>
      </c>
      <c r="X330" s="31"/>
      <c r="Y330" s="19"/>
      <c r="Z330" s="85">
        <v>79</v>
      </c>
      <c r="AA330" s="64"/>
      <c r="AB330" s="152"/>
      <c r="AC330" s="152"/>
      <c r="AD330" s="73"/>
      <c r="AE330" s="152"/>
      <c r="AF330" s="631" t="s">
        <v>141</v>
      </c>
      <c r="AG330" s="360" t="s">
        <v>142</v>
      </c>
      <c r="AH330" s="365" t="s">
        <v>559</v>
      </c>
      <c r="AI330" s="1" t="s">
        <v>126</v>
      </c>
      <c r="AJ330" s="1" t="s">
        <v>126</v>
      </c>
      <c r="AK330" s="1" t="s">
        <v>126</v>
      </c>
      <c r="AL330" s="1" t="s">
        <v>126</v>
      </c>
      <c r="AM330" s="377"/>
    </row>
    <row r="331" spans="1:39">
      <c r="A331" s="221" t="s">
        <v>786</v>
      </c>
      <c r="B331" s="69" t="s">
        <v>787</v>
      </c>
      <c r="C331" s="23">
        <v>1</v>
      </c>
      <c r="D331" s="30" t="s">
        <v>140</v>
      </c>
      <c r="E331" s="31"/>
      <c r="F331" s="19"/>
      <c r="G331" s="85">
        <v>105</v>
      </c>
      <c r="H331" s="64"/>
      <c r="I331" s="152"/>
      <c r="J331" s="152"/>
      <c r="K331" s="73"/>
      <c r="L331" s="152"/>
      <c r="M331" s="631" t="s">
        <v>141</v>
      </c>
      <c r="N331" s="360" t="s">
        <v>142</v>
      </c>
      <c r="O331" s="365" t="s">
        <v>559</v>
      </c>
      <c r="P331" s="1" t="str">
        <f t="shared" si="67"/>
        <v/>
      </c>
      <c r="Q331" s="1" t="str">
        <f t="shared" si="67"/>
        <v/>
      </c>
      <c r="R331" s="1" t="str">
        <f t="shared" si="67"/>
        <v/>
      </c>
      <c r="S331" s="1" t="str">
        <f t="shared" si="67"/>
        <v/>
      </c>
      <c r="T331" s="221" t="s">
        <v>786</v>
      </c>
      <c r="U331" s="69" t="s">
        <v>787</v>
      </c>
      <c r="V331" s="23">
        <v>1</v>
      </c>
      <c r="W331" s="30" t="s">
        <v>140</v>
      </c>
      <c r="X331" s="31"/>
      <c r="Y331" s="19"/>
      <c r="Z331" s="85">
        <v>105</v>
      </c>
      <c r="AA331" s="64"/>
      <c r="AB331" s="152"/>
      <c r="AC331" s="152"/>
      <c r="AD331" s="73"/>
      <c r="AE331" s="152"/>
      <c r="AF331" s="631" t="s">
        <v>141</v>
      </c>
      <c r="AG331" s="360" t="s">
        <v>142</v>
      </c>
      <c r="AH331" s="365" t="s">
        <v>559</v>
      </c>
      <c r="AI331" s="1" t="s">
        <v>126</v>
      </c>
      <c r="AJ331" s="1" t="s">
        <v>126</v>
      </c>
      <c r="AK331" s="1" t="s">
        <v>126</v>
      </c>
      <c r="AL331" s="1" t="s">
        <v>126</v>
      </c>
      <c r="AM331" s="377"/>
    </row>
    <row r="332" spans="1:39">
      <c r="A332" s="221" t="s">
        <v>788</v>
      </c>
      <c r="B332" s="69" t="s">
        <v>789</v>
      </c>
      <c r="C332" s="23">
        <v>1</v>
      </c>
      <c r="D332" s="30" t="s">
        <v>140</v>
      </c>
      <c r="E332" s="31"/>
      <c r="F332" s="19"/>
      <c r="G332" s="85">
        <v>137</v>
      </c>
      <c r="H332" s="64"/>
      <c r="I332" s="152"/>
      <c r="J332" s="152"/>
      <c r="K332" s="73"/>
      <c r="L332" s="152"/>
      <c r="M332" s="631" t="s">
        <v>141</v>
      </c>
      <c r="N332" s="360" t="s">
        <v>142</v>
      </c>
      <c r="O332" s="365" t="s">
        <v>559</v>
      </c>
      <c r="P332" s="1" t="str">
        <f t="shared" si="67"/>
        <v/>
      </c>
      <c r="Q332" s="1" t="str">
        <f t="shared" si="67"/>
        <v/>
      </c>
      <c r="R332" s="1" t="str">
        <f t="shared" si="67"/>
        <v/>
      </c>
      <c r="S332" s="1" t="str">
        <f t="shared" si="67"/>
        <v/>
      </c>
      <c r="T332" s="221" t="s">
        <v>788</v>
      </c>
      <c r="U332" s="69" t="s">
        <v>789</v>
      </c>
      <c r="V332" s="23">
        <v>1</v>
      </c>
      <c r="W332" s="30" t="s">
        <v>140</v>
      </c>
      <c r="X332" s="31"/>
      <c r="Y332" s="19"/>
      <c r="Z332" s="85">
        <v>137</v>
      </c>
      <c r="AA332" s="64"/>
      <c r="AB332" s="152"/>
      <c r="AC332" s="152"/>
      <c r="AD332" s="73"/>
      <c r="AE332" s="152"/>
      <c r="AF332" s="631" t="s">
        <v>141</v>
      </c>
      <c r="AG332" s="360" t="s">
        <v>142</v>
      </c>
      <c r="AH332" s="365" t="s">
        <v>559</v>
      </c>
      <c r="AI332" s="1" t="s">
        <v>126</v>
      </c>
      <c r="AJ332" s="1" t="s">
        <v>126</v>
      </c>
      <c r="AK332" s="1" t="s">
        <v>126</v>
      </c>
      <c r="AL332" s="1" t="s">
        <v>126</v>
      </c>
      <c r="AM332" s="377"/>
    </row>
    <row r="333" spans="1:39" ht="12.95" customHeight="1">
      <c r="A333" s="222" t="s">
        <v>790</v>
      </c>
      <c r="B333" s="229" t="s">
        <v>791</v>
      </c>
      <c r="C333" s="97">
        <v>1</v>
      </c>
      <c r="D333" s="34" t="s">
        <v>140</v>
      </c>
      <c r="E333" s="35"/>
      <c r="F333" s="38"/>
      <c r="G333" s="99">
        <v>326</v>
      </c>
      <c r="H333" s="151"/>
      <c r="I333" s="286"/>
      <c r="J333" s="286"/>
      <c r="K333" s="115"/>
      <c r="L333" s="286"/>
      <c r="M333" s="631" t="s">
        <v>141</v>
      </c>
      <c r="N333" s="360" t="s">
        <v>142</v>
      </c>
      <c r="O333" s="366" t="s">
        <v>559</v>
      </c>
      <c r="P333" s="1" t="str">
        <f t="shared" si="67"/>
        <v/>
      </c>
      <c r="Q333" s="1" t="str">
        <f t="shared" si="67"/>
        <v/>
      </c>
      <c r="R333" s="1" t="str">
        <f t="shared" si="67"/>
        <v/>
      </c>
      <c r="S333" s="1" t="str">
        <f t="shared" si="67"/>
        <v/>
      </c>
      <c r="T333" s="222" t="s">
        <v>790</v>
      </c>
      <c r="U333" s="229" t="s">
        <v>791</v>
      </c>
      <c r="V333" s="97">
        <v>1</v>
      </c>
      <c r="W333" s="34" t="s">
        <v>140</v>
      </c>
      <c r="X333" s="35"/>
      <c r="Y333" s="38"/>
      <c r="Z333" s="99">
        <v>326</v>
      </c>
      <c r="AA333" s="151"/>
      <c r="AB333" s="286"/>
      <c r="AC333" s="286"/>
      <c r="AD333" s="115"/>
      <c r="AE333" s="286"/>
      <c r="AF333" s="631" t="s">
        <v>141</v>
      </c>
      <c r="AG333" s="360" t="s">
        <v>142</v>
      </c>
      <c r="AH333" s="366" t="s">
        <v>559</v>
      </c>
      <c r="AI333" s="1" t="s">
        <v>126</v>
      </c>
      <c r="AJ333" s="1" t="s">
        <v>126</v>
      </c>
      <c r="AK333" s="1" t="s">
        <v>126</v>
      </c>
      <c r="AL333" s="1" t="s">
        <v>126</v>
      </c>
      <c r="AM333" s="377"/>
    </row>
    <row r="334" spans="1:39">
      <c r="A334" s="221" t="s">
        <v>792</v>
      </c>
      <c r="B334" s="69" t="s">
        <v>793</v>
      </c>
      <c r="C334" s="23">
        <v>1</v>
      </c>
      <c r="D334" s="30" t="s">
        <v>140</v>
      </c>
      <c r="E334" s="31"/>
      <c r="F334" s="19"/>
      <c r="G334" s="85">
        <v>620</v>
      </c>
      <c r="H334" s="64"/>
      <c r="I334" s="152"/>
      <c r="J334" s="152"/>
      <c r="K334" s="73"/>
      <c r="L334" s="152"/>
      <c r="M334" s="631" t="s">
        <v>141</v>
      </c>
      <c r="N334" s="360" t="s">
        <v>142</v>
      </c>
      <c r="O334" s="365" t="s">
        <v>559</v>
      </c>
      <c r="P334" s="1" t="str">
        <f t="shared" si="67"/>
        <v/>
      </c>
      <c r="Q334" s="1" t="str">
        <f t="shared" si="67"/>
        <v/>
      </c>
      <c r="R334" s="1" t="str">
        <f t="shared" si="67"/>
        <v/>
      </c>
      <c r="S334" s="1" t="str">
        <f t="shared" si="67"/>
        <v/>
      </c>
      <c r="T334" s="221" t="s">
        <v>792</v>
      </c>
      <c r="U334" s="69" t="s">
        <v>793</v>
      </c>
      <c r="V334" s="23">
        <v>1</v>
      </c>
      <c r="W334" s="30" t="s">
        <v>140</v>
      </c>
      <c r="X334" s="31"/>
      <c r="Y334" s="19"/>
      <c r="Z334" s="85">
        <v>620</v>
      </c>
      <c r="AA334" s="64"/>
      <c r="AB334" s="152"/>
      <c r="AC334" s="152"/>
      <c r="AD334" s="73"/>
      <c r="AE334" s="152"/>
      <c r="AF334" s="631" t="s">
        <v>141</v>
      </c>
      <c r="AG334" s="360" t="s">
        <v>142</v>
      </c>
      <c r="AH334" s="365" t="s">
        <v>559</v>
      </c>
      <c r="AI334" s="1" t="s">
        <v>126</v>
      </c>
      <c r="AJ334" s="1" t="s">
        <v>126</v>
      </c>
      <c r="AK334" s="1" t="s">
        <v>126</v>
      </c>
      <c r="AL334" s="1" t="s">
        <v>126</v>
      </c>
      <c r="AM334" s="377"/>
    </row>
    <row r="335" spans="1:39">
      <c r="A335" s="221" t="s">
        <v>794</v>
      </c>
      <c r="B335" s="69" t="s">
        <v>795</v>
      </c>
      <c r="C335" s="23">
        <v>1</v>
      </c>
      <c r="D335" s="30" t="s">
        <v>140</v>
      </c>
      <c r="E335" s="31"/>
      <c r="F335" s="19"/>
      <c r="G335" s="85">
        <v>480</v>
      </c>
      <c r="H335" s="64"/>
      <c r="I335" s="152"/>
      <c r="J335" s="152"/>
      <c r="K335" s="73"/>
      <c r="L335" s="152"/>
      <c r="M335" s="631" t="s">
        <v>141</v>
      </c>
      <c r="N335" s="360" t="s">
        <v>142</v>
      </c>
      <c r="O335" s="365" t="s">
        <v>143</v>
      </c>
      <c r="P335" s="1" t="str">
        <f t="shared" si="67"/>
        <v/>
      </c>
      <c r="Q335" s="1" t="str">
        <f t="shared" si="67"/>
        <v/>
      </c>
      <c r="R335" s="1" t="str">
        <f t="shared" si="67"/>
        <v/>
      </c>
      <c r="S335" s="1" t="str">
        <f t="shared" si="67"/>
        <v/>
      </c>
      <c r="T335" s="221" t="s">
        <v>794</v>
      </c>
      <c r="U335" s="69" t="s">
        <v>795</v>
      </c>
      <c r="V335" s="23">
        <v>1</v>
      </c>
      <c r="W335" s="30" t="s">
        <v>140</v>
      </c>
      <c r="X335" s="31"/>
      <c r="Y335" s="19"/>
      <c r="Z335" s="85">
        <v>480</v>
      </c>
      <c r="AA335" s="64"/>
      <c r="AB335" s="152"/>
      <c r="AC335" s="152"/>
      <c r="AD335" s="73"/>
      <c r="AE335" s="152"/>
      <c r="AF335" s="631" t="s">
        <v>141</v>
      </c>
      <c r="AG335" s="360" t="s">
        <v>142</v>
      </c>
      <c r="AH335" s="365" t="s">
        <v>143</v>
      </c>
      <c r="AI335" s="1" t="s">
        <v>126</v>
      </c>
      <c r="AJ335" s="1" t="s">
        <v>126</v>
      </c>
      <c r="AK335" s="1" t="s">
        <v>126</v>
      </c>
      <c r="AL335" s="1" t="s">
        <v>126</v>
      </c>
      <c r="AM335" s="377"/>
    </row>
    <row r="336" spans="1:39" s="329" customFormat="1" ht="24.95" customHeight="1">
      <c r="A336" s="448" t="s">
        <v>796</v>
      </c>
      <c r="B336" s="449"/>
      <c r="C336" s="450"/>
      <c r="D336" s="451"/>
      <c r="E336" s="451"/>
      <c r="F336" s="452"/>
      <c r="G336" s="453"/>
      <c r="H336" s="453"/>
      <c r="I336" s="454"/>
      <c r="J336" s="454"/>
      <c r="K336" s="453"/>
      <c r="L336" s="454"/>
      <c r="M336" s="629"/>
      <c r="N336" s="455"/>
      <c r="O336" s="454"/>
      <c r="P336" s="454"/>
      <c r="Q336" s="454"/>
      <c r="R336" s="454"/>
      <c r="S336" s="456"/>
      <c r="T336" s="448" t="s">
        <v>797</v>
      </c>
      <c r="U336" s="449"/>
      <c r="V336" s="450"/>
      <c r="W336" s="451"/>
      <c r="X336" s="451"/>
      <c r="Y336" s="452"/>
      <c r="Z336" s="453"/>
      <c r="AA336" s="453"/>
      <c r="AB336" s="454"/>
      <c r="AC336" s="454"/>
      <c r="AD336" s="453"/>
      <c r="AE336" s="454"/>
      <c r="AF336" s="629"/>
      <c r="AG336" s="455"/>
      <c r="AH336" s="454"/>
      <c r="AI336" s="454"/>
      <c r="AJ336" s="454"/>
      <c r="AK336" s="454"/>
      <c r="AL336" s="456"/>
      <c r="AM336" s="373"/>
    </row>
    <row r="337" spans="1:39" s="90" customFormat="1">
      <c r="A337" s="223" t="s">
        <v>798</v>
      </c>
      <c r="B337" s="52" t="s">
        <v>799</v>
      </c>
      <c r="C337" s="53">
        <v>1</v>
      </c>
      <c r="D337" s="54" t="s">
        <v>118</v>
      </c>
      <c r="E337" s="62">
        <v>6914.63</v>
      </c>
      <c r="F337" s="66">
        <f>rv_mp_eg</f>
        <v>0.17199999999999999</v>
      </c>
      <c r="G337" s="70">
        <f t="shared" ref="G337:G349" si="71">E337-(E337*F337)</f>
        <v>5725.3136400000003</v>
      </c>
      <c r="H337" s="565" t="s">
        <v>800</v>
      </c>
      <c r="I337" s="63">
        <v>113.35</v>
      </c>
      <c r="J337" s="63">
        <f>G337+I337</f>
        <v>5838.6636400000007</v>
      </c>
      <c r="K337" s="63" t="s">
        <v>120</v>
      </c>
      <c r="L337" s="63">
        <v>1.2</v>
      </c>
      <c r="M337" s="630" t="s">
        <v>801</v>
      </c>
      <c r="N337" s="383" t="s">
        <v>526</v>
      </c>
      <c r="O337" s="384" t="s">
        <v>527</v>
      </c>
      <c r="P337" s="90">
        <f t="shared" ref="P337:S337" si="72">+IF($J337&lt;&gt;"",P$2*$J337,"")</f>
        <v>1175.3740632028723</v>
      </c>
      <c r="Q337" s="90">
        <f t="shared" si="72"/>
        <v>610.84949214960557</v>
      </c>
      <c r="R337" s="90">
        <f t="shared" si="72"/>
        <v>443.6418019561583</v>
      </c>
      <c r="S337" s="90">
        <f t="shared" si="72"/>
        <v>382.83465132874136</v>
      </c>
      <c r="T337" s="223" t="s">
        <v>798</v>
      </c>
      <c r="U337" s="52" t="s">
        <v>799</v>
      </c>
      <c r="V337" s="53">
        <v>1</v>
      </c>
      <c r="W337" s="54" t="s">
        <v>118</v>
      </c>
      <c r="X337" s="62">
        <v>6914.63</v>
      </c>
      <c r="Y337" s="66">
        <v>0.17199999999999999</v>
      </c>
      <c r="Z337" s="70">
        <v>5725.3136400000003</v>
      </c>
      <c r="AA337" s="565" t="s">
        <v>800</v>
      </c>
      <c r="AB337" s="63">
        <v>113.35</v>
      </c>
      <c r="AC337" s="63">
        <v>5838.6636400000007</v>
      </c>
      <c r="AD337" s="63" t="s">
        <v>120</v>
      </c>
      <c r="AE337" s="63">
        <v>1.2</v>
      </c>
      <c r="AF337" s="630" t="s">
        <v>801</v>
      </c>
      <c r="AG337" s="383" t="s">
        <v>526</v>
      </c>
      <c r="AH337" s="384" t="s">
        <v>527</v>
      </c>
      <c r="AI337" s="90">
        <v>1175.3740632028723</v>
      </c>
      <c r="AJ337" s="90">
        <v>610.84949214960557</v>
      </c>
      <c r="AK337" s="90">
        <v>443.6418019561583</v>
      </c>
      <c r="AL337" s="90">
        <v>382.83465132874136</v>
      </c>
      <c r="AM337" s="382"/>
    </row>
    <row r="338" spans="1:39">
      <c r="A338" s="241" t="s">
        <v>802</v>
      </c>
      <c r="B338" s="238" t="s">
        <v>803</v>
      </c>
      <c r="C338" s="239">
        <v>1</v>
      </c>
      <c r="D338" s="67" t="s">
        <v>118</v>
      </c>
      <c r="E338" s="224">
        <v>958.33</v>
      </c>
      <c r="F338" s="283">
        <f t="shared" ref="F338:F345" si="73">rv_mp_eg_cto</f>
        <v>0.17199999999999999</v>
      </c>
      <c r="G338" s="85">
        <f t="shared" ref="G338" si="74">E338-(E338*F338)</f>
        <v>793.49724000000003</v>
      </c>
      <c r="H338" s="64"/>
      <c r="I338" s="152"/>
      <c r="J338" s="152"/>
      <c r="K338" s="73"/>
      <c r="L338" s="152"/>
      <c r="M338" s="631" t="s">
        <v>801</v>
      </c>
      <c r="N338" s="359" t="s">
        <v>526</v>
      </c>
      <c r="O338" s="363" t="s">
        <v>527</v>
      </c>
      <c r="P338" s="1" t="str">
        <f t="shared" ref="P338:S343" si="75">+IF($J338&lt;&gt;"",P$2*$J338,"")</f>
        <v/>
      </c>
      <c r="Q338" s="1" t="str">
        <f t="shared" si="75"/>
        <v/>
      </c>
      <c r="R338" s="1" t="str">
        <f t="shared" si="75"/>
        <v/>
      </c>
      <c r="S338" s="1" t="str">
        <f t="shared" si="75"/>
        <v/>
      </c>
      <c r="T338" s="241" t="s">
        <v>802</v>
      </c>
      <c r="U338" s="238" t="s">
        <v>803</v>
      </c>
      <c r="V338" s="239">
        <v>1</v>
      </c>
      <c r="W338" s="67" t="s">
        <v>118</v>
      </c>
      <c r="X338" s="224">
        <v>958.33</v>
      </c>
      <c r="Y338" s="283">
        <v>0.17199999999999999</v>
      </c>
      <c r="Z338" s="85">
        <v>793.49724000000003</v>
      </c>
      <c r="AA338" s="64"/>
      <c r="AB338" s="152"/>
      <c r="AC338" s="152"/>
      <c r="AD338" s="73"/>
      <c r="AE338" s="152"/>
      <c r="AF338" s="631" t="s">
        <v>801</v>
      </c>
      <c r="AG338" s="359" t="s">
        <v>526</v>
      </c>
      <c r="AH338" s="363" t="s">
        <v>527</v>
      </c>
      <c r="AI338" s="1" t="s">
        <v>126</v>
      </c>
      <c r="AJ338" s="1" t="s">
        <v>126</v>
      </c>
      <c r="AK338" s="1" t="s">
        <v>126</v>
      </c>
      <c r="AL338" s="1" t="s">
        <v>126</v>
      </c>
      <c r="AM338" s="374"/>
    </row>
    <row r="339" spans="1:39">
      <c r="A339" s="241" t="s">
        <v>804</v>
      </c>
      <c r="B339" s="238" t="s">
        <v>805</v>
      </c>
      <c r="C339" s="239">
        <v>1</v>
      </c>
      <c r="D339" s="67" t="s">
        <v>118</v>
      </c>
      <c r="E339" s="224">
        <v>766.67</v>
      </c>
      <c r="F339" s="283">
        <f t="shared" si="73"/>
        <v>0.17199999999999999</v>
      </c>
      <c r="G339" s="85">
        <f t="shared" ref="G339" si="76">E339-(E339*F339)</f>
        <v>634.80276000000003</v>
      </c>
      <c r="H339" s="64"/>
      <c r="I339" s="152"/>
      <c r="J339" s="152"/>
      <c r="K339" s="73"/>
      <c r="L339" s="152"/>
      <c r="M339" s="631" t="s">
        <v>801</v>
      </c>
      <c r="N339" s="359" t="s">
        <v>526</v>
      </c>
      <c r="O339" s="363" t="s">
        <v>527</v>
      </c>
      <c r="P339" s="1" t="str">
        <f t="shared" si="75"/>
        <v/>
      </c>
      <c r="Q339" s="1" t="str">
        <f t="shared" si="75"/>
        <v/>
      </c>
      <c r="R339" s="1" t="str">
        <f t="shared" si="75"/>
        <v/>
      </c>
      <c r="S339" s="1" t="str">
        <f t="shared" si="75"/>
        <v/>
      </c>
      <c r="T339" s="241" t="s">
        <v>804</v>
      </c>
      <c r="U339" s="238" t="s">
        <v>805</v>
      </c>
      <c r="V339" s="239">
        <v>1</v>
      </c>
      <c r="W339" s="67" t="s">
        <v>118</v>
      </c>
      <c r="X339" s="224">
        <v>766.67</v>
      </c>
      <c r="Y339" s="283">
        <v>0.17199999999999999</v>
      </c>
      <c r="Z339" s="85">
        <v>634.80276000000003</v>
      </c>
      <c r="AA339" s="64"/>
      <c r="AB339" s="152"/>
      <c r="AC339" s="152"/>
      <c r="AD339" s="73"/>
      <c r="AE339" s="152"/>
      <c r="AF339" s="631" t="s">
        <v>801</v>
      </c>
      <c r="AG339" s="359" t="s">
        <v>526</v>
      </c>
      <c r="AH339" s="363" t="s">
        <v>527</v>
      </c>
      <c r="AI339" s="1" t="s">
        <v>126</v>
      </c>
      <c r="AJ339" s="1" t="s">
        <v>126</v>
      </c>
      <c r="AK339" s="1" t="s">
        <v>126</v>
      </c>
      <c r="AL339" s="1" t="s">
        <v>126</v>
      </c>
      <c r="AM339" s="374"/>
    </row>
    <row r="340" spans="1:39">
      <c r="A340" s="241" t="s">
        <v>806</v>
      </c>
      <c r="B340" s="238" t="s">
        <v>807</v>
      </c>
      <c r="C340" s="239">
        <v>1</v>
      </c>
      <c r="D340" s="67" t="s">
        <v>118</v>
      </c>
      <c r="E340" s="224">
        <v>1533.33</v>
      </c>
      <c r="F340" s="283">
        <f t="shared" si="73"/>
        <v>0.17199999999999999</v>
      </c>
      <c r="G340" s="85">
        <f t="shared" si="71"/>
        <v>1269.5972400000001</v>
      </c>
      <c r="H340" s="64"/>
      <c r="I340" s="152"/>
      <c r="J340" s="152"/>
      <c r="K340" s="73"/>
      <c r="L340" s="152"/>
      <c r="M340" s="631" t="s">
        <v>801</v>
      </c>
      <c r="N340" s="359" t="s">
        <v>526</v>
      </c>
      <c r="O340" s="363" t="s">
        <v>527</v>
      </c>
      <c r="P340" s="1" t="str">
        <f t="shared" si="75"/>
        <v/>
      </c>
      <c r="Q340" s="1" t="str">
        <f t="shared" si="75"/>
        <v/>
      </c>
      <c r="R340" s="1" t="str">
        <f t="shared" si="75"/>
        <v/>
      </c>
      <c r="S340" s="1" t="str">
        <f t="shared" si="75"/>
        <v/>
      </c>
      <c r="T340" s="241" t="s">
        <v>806</v>
      </c>
      <c r="U340" s="238" t="s">
        <v>807</v>
      </c>
      <c r="V340" s="239">
        <v>1</v>
      </c>
      <c r="W340" s="67" t="s">
        <v>118</v>
      </c>
      <c r="X340" s="224">
        <v>1533.33</v>
      </c>
      <c r="Y340" s="283">
        <v>0.17199999999999999</v>
      </c>
      <c r="Z340" s="85">
        <v>1269.5972400000001</v>
      </c>
      <c r="AA340" s="64"/>
      <c r="AB340" s="152"/>
      <c r="AC340" s="152"/>
      <c r="AD340" s="73"/>
      <c r="AE340" s="152"/>
      <c r="AF340" s="631" t="s">
        <v>801</v>
      </c>
      <c r="AG340" s="359" t="s">
        <v>526</v>
      </c>
      <c r="AH340" s="363" t="s">
        <v>527</v>
      </c>
      <c r="AI340" s="1" t="s">
        <v>126</v>
      </c>
      <c r="AJ340" s="1" t="s">
        <v>126</v>
      </c>
      <c r="AK340" s="1" t="s">
        <v>126</v>
      </c>
      <c r="AL340" s="1" t="s">
        <v>126</v>
      </c>
      <c r="AM340" s="374"/>
    </row>
    <row r="341" spans="1:39">
      <c r="A341" s="241" t="s">
        <v>808</v>
      </c>
      <c r="B341" s="238" t="s">
        <v>809</v>
      </c>
      <c r="C341" s="239">
        <v>1</v>
      </c>
      <c r="D341" s="67" t="s">
        <v>118</v>
      </c>
      <c r="E341" s="224">
        <v>383.33</v>
      </c>
      <c r="F341" s="283">
        <f t="shared" si="73"/>
        <v>0.17199999999999999</v>
      </c>
      <c r="G341" s="85">
        <f t="shared" si="71"/>
        <v>317.39724000000001</v>
      </c>
      <c r="H341" s="64"/>
      <c r="I341" s="152"/>
      <c r="J341" s="152"/>
      <c r="K341" s="73"/>
      <c r="L341" s="152"/>
      <c r="M341" s="631" t="s">
        <v>801</v>
      </c>
      <c r="N341" s="359" t="s">
        <v>526</v>
      </c>
      <c r="O341" s="363" t="s">
        <v>527</v>
      </c>
      <c r="P341" s="1" t="str">
        <f t="shared" si="75"/>
        <v/>
      </c>
      <c r="Q341" s="1" t="str">
        <f t="shared" si="75"/>
        <v/>
      </c>
      <c r="R341" s="1" t="str">
        <f t="shared" si="75"/>
        <v/>
      </c>
      <c r="S341" s="1" t="str">
        <f t="shared" si="75"/>
        <v/>
      </c>
      <c r="T341" s="241" t="s">
        <v>808</v>
      </c>
      <c r="U341" s="238" t="s">
        <v>809</v>
      </c>
      <c r="V341" s="239">
        <v>1</v>
      </c>
      <c r="W341" s="67" t="s">
        <v>118</v>
      </c>
      <c r="X341" s="224">
        <v>383.33</v>
      </c>
      <c r="Y341" s="283">
        <v>0.17199999999999999</v>
      </c>
      <c r="Z341" s="85">
        <v>317.39724000000001</v>
      </c>
      <c r="AA341" s="64"/>
      <c r="AB341" s="152"/>
      <c r="AC341" s="152"/>
      <c r="AD341" s="73"/>
      <c r="AE341" s="152"/>
      <c r="AF341" s="631" t="s">
        <v>801</v>
      </c>
      <c r="AG341" s="359" t="s">
        <v>526</v>
      </c>
      <c r="AH341" s="363" t="s">
        <v>527</v>
      </c>
      <c r="AI341" s="1" t="s">
        <v>126</v>
      </c>
      <c r="AJ341" s="1" t="s">
        <v>126</v>
      </c>
      <c r="AK341" s="1" t="s">
        <v>126</v>
      </c>
      <c r="AL341" s="1" t="s">
        <v>126</v>
      </c>
      <c r="AM341" s="374"/>
    </row>
    <row r="342" spans="1:39">
      <c r="A342" s="241" t="s">
        <v>810</v>
      </c>
      <c r="B342" s="238" t="s">
        <v>811</v>
      </c>
      <c r="C342" s="239">
        <v>1</v>
      </c>
      <c r="D342" s="67" t="s">
        <v>118</v>
      </c>
      <c r="E342" s="224">
        <v>958.33</v>
      </c>
      <c r="F342" s="283">
        <f t="shared" si="73"/>
        <v>0.17199999999999999</v>
      </c>
      <c r="G342" s="85">
        <f t="shared" si="71"/>
        <v>793.49724000000003</v>
      </c>
      <c r="H342" s="64"/>
      <c r="I342" s="152"/>
      <c r="J342" s="152"/>
      <c r="K342" s="73"/>
      <c r="L342" s="152"/>
      <c r="M342" s="631" t="s">
        <v>801</v>
      </c>
      <c r="N342" s="359" t="s">
        <v>526</v>
      </c>
      <c r="O342" s="363" t="s">
        <v>527</v>
      </c>
      <c r="P342" s="1" t="str">
        <f t="shared" si="75"/>
        <v/>
      </c>
      <c r="Q342" s="1" t="str">
        <f t="shared" si="75"/>
        <v/>
      </c>
      <c r="R342" s="1" t="str">
        <f t="shared" si="75"/>
        <v/>
      </c>
      <c r="S342" s="1" t="str">
        <f t="shared" si="75"/>
        <v/>
      </c>
      <c r="T342" s="241" t="s">
        <v>810</v>
      </c>
      <c r="U342" s="238" t="s">
        <v>811</v>
      </c>
      <c r="V342" s="239">
        <v>1</v>
      </c>
      <c r="W342" s="67" t="s">
        <v>118</v>
      </c>
      <c r="X342" s="224">
        <v>958.33</v>
      </c>
      <c r="Y342" s="283">
        <v>0.17199999999999999</v>
      </c>
      <c r="Z342" s="85">
        <v>793.49724000000003</v>
      </c>
      <c r="AA342" s="64"/>
      <c r="AB342" s="152"/>
      <c r="AC342" s="152"/>
      <c r="AD342" s="73"/>
      <c r="AE342" s="152"/>
      <c r="AF342" s="631" t="s">
        <v>801</v>
      </c>
      <c r="AG342" s="359" t="s">
        <v>526</v>
      </c>
      <c r="AH342" s="363" t="s">
        <v>527</v>
      </c>
      <c r="AI342" s="1" t="s">
        <v>126</v>
      </c>
      <c r="AJ342" s="1" t="s">
        <v>126</v>
      </c>
      <c r="AK342" s="1" t="s">
        <v>126</v>
      </c>
      <c r="AL342" s="1" t="s">
        <v>126</v>
      </c>
      <c r="AM342" s="374"/>
    </row>
    <row r="343" spans="1:39">
      <c r="A343" s="241" t="s">
        <v>812</v>
      </c>
      <c r="B343" s="238" t="s">
        <v>813</v>
      </c>
      <c r="C343" s="239">
        <v>1</v>
      </c>
      <c r="D343" s="67" t="s">
        <v>118</v>
      </c>
      <c r="E343" s="224">
        <v>2108.33</v>
      </c>
      <c r="F343" s="283">
        <f t="shared" si="73"/>
        <v>0.17199999999999999</v>
      </c>
      <c r="G343" s="85">
        <f t="shared" si="71"/>
        <v>1745.69724</v>
      </c>
      <c r="H343" s="64"/>
      <c r="I343" s="152"/>
      <c r="J343" s="152"/>
      <c r="K343" s="73"/>
      <c r="L343" s="152"/>
      <c r="M343" s="631" t="s">
        <v>801</v>
      </c>
      <c r="N343" s="359" t="s">
        <v>526</v>
      </c>
      <c r="O343" s="363" t="s">
        <v>527</v>
      </c>
      <c r="P343" s="1" t="str">
        <f t="shared" si="75"/>
        <v/>
      </c>
      <c r="Q343" s="1" t="str">
        <f t="shared" si="75"/>
        <v/>
      </c>
      <c r="R343" s="1" t="str">
        <f t="shared" si="75"/>
        <v/>
      </c>
      <c r="S343" s="1" t="str">
        <f t="shared" si="75"/>
        <v/>
      </c>
      <c r="T343" s="241" t="s">
        <v>812</v>
      </c>
      <c r="U343" s="238" t="s">
        <v>813</v>
      </c>
      <c r="V343" s="239">
        <v>1</v>
      </c>
      <c r="W343" s="67" t="s">
        <v>118</v>
      </c>
      <c r="X343" s="224">
        <v>2108.33</v>
      </c>
      <c r="Y343" s="283">
        <v>0.17199999999999999</v>
      </c>
      <c r="Z343" s="85">
        <v>1745.69724</v>
      </c>
      <c r="AA343" s="64"/>
      <c r="AB343" s="152"/>
      <c r="AC343" s="152"/>
      <c r="AD343" s="73"/>
      <c r="AE343" s="152"/>
      <c r="AF343" s="631" t="s">
        <v>801</v>
      </c>
      <c r="AG343" s="359" t="s">
        <v>526</v>
      </c>
      <c r="AH343" s="363" t="s">
        <v>527</v>
      </c>
      <c r="AI343" s="1" t="s">
        <v>126</v>
      </c>
      <c r="AJ343" s="1" t="s">
        <v>126</v>
      </c>
      <c r="AK343" s="1" t="s">
        <v>126</v>
      </c>
      <c r="AL343" s="1" t="s">
        <v>126</v>
      </c>
      <c r="AM343" s="374"/>
    </row>
    <row r="344" spans="1:39">
      <c r="A344" s="241" t="s">
        <v>814</v>
      </c>
      <c r="B344" s="238" t="s">
        <v>815</v>
      </c>
      <c r="C344" s="239">
        <v>1</v>
      </c>
      <c r="D344" s="67" t="s">
        <v>118</v>
      </c>
      <c r="E344" s="224">
        <v>41.67</v>
      </c>
      <c r="F344" s="283">
        <f t="shared" si="73"/>
        <v>0.17199999999999999</v>
      </c>
      <c r="G344" s="85">
        <f t="shared" si="71"/>
        <v>34.502760000000002</v>
      </c>
      <c r="H344" s="64"/>
      <c r="I344" s="152"/>
      <c r="J344" s="152"/>
      <c r="K344" s="73"/>
      <c r="L344" s="152"/>
      <c r="M344" s="631" t="s">
        <v>801</v>
      </c>
      <c r="N344" s="359" t="s">
        <v>526</v>
      </c>
      <c r="O344" s="363" t="s">
        <v>527</v>
      </c>
      <c r="P344" s="1" t="str">
        <f t="shared" ref="P344:S349" si="77">+IF($J344&lt;&gt;"",P$2*$J344,"")</f>
        <v/>
      </c>
      <c r="Q344" s="1" t="str">
        <f t="shared" si="77"/>
        <v/>
      </c>
      <c r="R344" s="1" t="str">
        <f t="shared" si="77"/>
        <v/>
      </c>
      <c r="S344" s="1" t="str">
        <f t="shared" si="77"/>
        <v/>
      </c>
      <c r="T344" s="241" t="s">
        <v>814</v>
      </c>
      <c r="U344" s="238" t="s">
        <v>815</v>
      </c>
      <c r="V344" s="239">
        <v>1</v>
      </c>
      <c r="W344" s="67" t="s">
        <v>118</v>
      </c>
      <c r="X344" s="224">
        <v>41.67</v>
      </c>
      <c r="Y344" s="283">
        <v>0.17199999999999999</v>
      </c>
      <c r="Z344" s="85">
        <v>34.502760000000002</v>
      </c>
      <c r="AA344" s="64"/>
      <c r="AB344" s="152"/>
      <c r="AC344" s="152"/>
      <c r="AD344" s="73"/>
      <c r="AE344" s="152"/>
      <c r="AF344" s="631" t="s">
        <v>801</v>
      </c>
      <c r="AG344" s="359" t="s">
        <v>526</v>
      </c>
      <c r="AH344" s="363" t="s">
        <v>527</v>
      </c>
      <c r="AI344" s="1" t="s">
        <v>126</v>
      </c>
      <c r="AJ344" s="1" t="s">
        <v>126</v>
      </c>
      <c r="AK344" s="1" t="s">
        <v>126</v>
      </c>
      <c r="AL344" s="1" t="s">
        <v>126</v>
      </c>
      <c r="AM344" s="374"/>
    </row>
    <row r="345" spans="1:39">
      <c r="A345" s="241" t="s">
        <v>816</v>
      </c>
      <c r="B345" s="238" t="s">
        <v>817</v>
      </c>
      <c r="C345" s="239">
        <v>1</v>
      </c>
      <c r="D345" s="67" t="s">
        <v>118</v>
      </c>
      <c r="E345" s="224">
        <v>132.5</v>
      </c>
      <c r="F345" s="283">
        <f t="shared" si="73"/>
        <v>0.17199999999999999</v>
      </c>
      <c r="G345" s="85">
        <f t="shared" si="71"/>
        <v>109.71000000000001</v>
      </c>
      <c r="H345" s="64"/>
      <c r="I345" s="152"/>
      <c r="J345" s="152"/>
      <c r="K345" s="73"/>
      <c r="L345" s="152"/>
      <c r="M345" s="631" t="s">
        <v>801</v>
      </c>
      <c r="N345" s="359" t="s">
        <v>526</v>
      </c>
      <c r="O345" s="363" t="s">
        <v>527</v>
      </c>
      <c r="P345" s="1" t="str">
        <f t="shared" si="77"/>
        <v/>
      </c>
      <c r="Q345" s="1" t="str">
        <f t="shared" si="77"/>
        <v/>
      </c>
      <c r="R345" s="1" t="str">
        <f t="shared" si="77"/>
        <v/>
      </c>
      <c r="S345" s="1" t="str">
        <f t="shared" si="77"/>
        <v/>
      </c>
      <c r="T345" s="241" t="s">
        <v>816</v>
      </c>
      <c r="U345" s="238" t="s">
        <v>817</v>
      </c>
      <c r="V345" s="239">
        <v>1</v>
      </c>
      <c r="W345" s="67" t="s">
        <v>118</v>
      </c>
      <c r="X345" s="224">
        <v>132.5</v>
      </c>
      <c r="Y345" s="283">
        <v>0.17199999999999999</v>
      </c>
      <c r="Z345" s="85">
        <v>109.71000000000001</v>
      </c>
      <c r="AA345" s="64"/>
      <c r="AB345" s="152"/>
      <c r="AC345" s="152"/>
      <c r="AD345" s="73"/>
      <c r="AE345" s="152"/>
      <c r="AF345" s="631" t="s">
        <v>801</v>
      </c>
      <c r="AG345" s="359" t="s">
        <v>526</v>
      </c>
      <c r="AH345" s="363" t="s">
        <v>527</v>
      </c>
      <c r="AI345" s="1" t="s">
        <v>126</v>
      </c>
      <c r="AJ345" s="1" t="s">
        <v>126</v>
      </c>
      <c r="AK345" s="1" t="s">
        <v>126</v>
      </c>
      <c r="AL345" s="1" t="s">
        <v>126</v>
      </c>
      <c r="AM345" s="374"/>
    </row>
    <row r="346" spans="1:39">
      <c r="A346" s="241" t="s">
        <v>818</v>
      </c>
      <c r="B346" s="238" t="s">
        <v>819</v>
      </c>
      <c r="C346" s="239">
        <v>1</v>
      </c>
      <c r="D346" s="67" t="s">
        <v>118</v>
      </c>
      <c r="E346" s="224">
        <v>416.67</v>
      </c>
      <c r="F346" s="283">
        <f>rv_mp_eg_cto</f>
        <v>0.17199999999999999</v>
      </c>
      <c r="G346" s="85">
        <f>E346-(E346*F346)</f>
        <v>345.00276000000002</v>
      </c>
      <c r="H346" s="64"/>
      <c r="I346" s="152"/>
      <c r="J346" s="152"/>
      <c r="K346" s="73"/>
      <c r="L346" s="152"/>
      <c r="M346" s="631" t="s">
        <v>801</v>
      </c>
      <c r="N346" s="359" t="s">
        <v>526</v>
      </c>
      <c r="O346" s="363" t="s">
        <v>527</v>
      </c>
      <c r="P346" s="1" t="str">
        <f t="shared" ref="P346:S348" si="78">+IF($J346&lt;&gt;"",P$2*$J346,"")</f>
        <v/>
      </c>
      <c r="Q346" s="1" t="str">
        <f t="shared" si="78"/>
        <v/>
      </c>
      <c r="R346" s="1" t="str">
        <f t="shared" si="78"/>
        <v/>
      </c>
      <c r="S346" s="1" t="str">
        <f t="shared" si="78"/>
        <v/>
      </c>
      <c r="T346" s="241" t="s">
        <v>818</v>
      </c>
      <c r="U346" s="238" t="s">
        <v>819</v>
      </c>
      <c r="V346" s="239">
        <v>1</v>
      </c>
      <c r="W346" s="67" t="s">
        <v>118</v>
      </c>
      <c r="X346" s="224">
        <v>416.67</v>
      </c>
      <c r="Y346" s="283">
        <v>0.17199999999999999</v>
      </c>
      <c r="Z346" s="85">
        <v>345.00276000000002</v>
      </c>
      <c r="AA346" s="64"/>
      <c r="AB346" s="152"/>
      <c r="AC346" s="152"/>
      <c r="AD346" s="73"/>
      <c r="AE346" s="152"/>
      <c r="AF346" s="631" t="s">
        <v>801</v>
      </c>
      <c r="AG346" s="359" t="s">
        <v>526</v>
      </c>
      <c r="AH346" s="363" t="s">
        <v>527</v>
      </c>
      <c r="AI346" s="1" t="s">
        <v>126</v>
      </c>
      <c r="AJ346" s="1" t="s">
        <v>126</v>
      </c>
      <c r="AK346" s="1" t="s">
        <v>126</v>
      </c>
      <c r="AL346" s="1" t="s">
        <v>126</v>
      </c>
      <c r="AM346" s="374"/>
    </row>
    <row r="347" spans="1:39">
      <c r="A347" s="241" t="s">
        <v>820</v>
      </c>
      <c r="B347" s="238" t="s">
        <v>821</v>
      </c>
      <c r="C347" s="239">
        <v>1</v>
      </c>
      <c r="D347" s="67" t="s">
        <v>118</v>
      </c>
      <c r="E347" s="224">
        <v>0</v>
      </c>
      <c r="F347" s="226"/>
      <c r="G347" s="85">
        <f>E347-(E347*F347)</f>
        <v>0</v>
      </c>
      <c r="H347" s="85"/>
      <c r="I347" s="56"/>
      <c r="J347" s="56"/>
      <c r="K347" s="14"/>
      <c r="L347" s="56"/>
      <c r="M347" s="631" t="s">
        <v>801</v>
      </c>
      <c r="N347" s="359" t="s">
        <v>526</v>
      </c>
      <c r="O347" s="363" t="s">
        <v>527</v>
      </c>
      <c r="P347" s="1" t="str">
        <f t="shared" si="78"/>
        <v/>
      </c>
      <c r="Q347" s="1" t="str">
        <f t="shared" si="78"/>
        <v/>
      </c>
      <c r="R347" s="1" t="str">
        <f t="shared" si="78"/>
        <v/>
      </c>
      <c r="S347" s="1" t="str">
        <f t="shared" si="78"/>
        <v/>
      </c>
      <c r="T347" s="241" t="s">
        <v>820</v>
      </c>
      <c r="U347" s="238" t="s">
        <v>821</v>
      </c>
      <c r="V347" s="239">
        <v>1</v>
      </c>
      <c r="W347" s="67" t="s">
        <v>118</v>
      </c>
      <c r="X347" s="224">
        <v>0</v>
      </c>
      <c r="Y347" s="226"/>
      <c r="Z347" s="85">
        <v>0</v>
      </c>
      <c r="AA347" s="85"/>
      <c r="AB347" s="56"/>
      <c r="AC347" s="56"/>
      <c r="AD347" s="14"/>
      <c r="AE347" s="56"/>
      <c r="AF347" s="631" t="s">
        <v>801</v>
      </c>
      <c r="AG347" s="359" t="s">
        <v>526</v>
      </c>
      <c r="AH347" s="363" t="s">
        <v>527</v>
      </c>
      <c r="AI347" s="1" t="s">
        <v>126</v>
      </c>
      <c r="AJ347" s="1" t="s">
        <v>126</v>
      </c>
      <c r="AK347" s="1" t="s">
        <v>126</v>
      </c>
      <c r="AL347" s="1" t="s">
        <v>126</v>
      </c>
      <c r="AM347" s="374"/>
    </row>
    <row r="348" spans="1:39">
      <c r="A348" s="241" t="s">
        <v>822</v>
      </c>
      <c r="B348" s="238" t="s">
        <v>823</v>
      </c>
      <c r="C348" s="239">
        <v>1</v>
      </c>
      <c r="D348" s="67" t="s">
        <v>118</v>
      </c>
      <c r="E348" s="224">
        <v>0</v>
      </c>
      <c r="F348" s="226"/>
      <c r="G348" s="85">
        <f t="shared" ref="G348" si="79">E348-(E348*F348)</f>
        <v>0</v>
      </c>
      <c r="H348" s="85"/>
      <c r="I348" s="56"/>
      <c r="J348" s="56"/>
      <c r="K348" s="14"/>
      <c r="L348" s="56"/>
      <c r="M348" s="631" t="s">
        <v>801</v>
      </c>
      <c r="N348" s="359" t="s">
        <v>526</v>
      </c>
      <c r="O348" s="363" t="s">
        <v>527</v>
      </c>
      <c r="P348" s="1" t="str">
        <f t="shared" si="78"/>
        <v/>
      </c>
      <c r="Q348" s="1" t="str">
        <f t="shared" si="78"/>
        <v/>
      </c>
      <c r="R348" s="1" t="str">
        <f t="shared" si="78"/>
        <v/>
      </c>
      <c r="S348" s="1" t="str">
        <f t="shared" si="78"/>
        <v/>
      </c>
      <c r="T348" s="241" t="s">
        <v>822</v>
      </c>
      <c r="U348" s="238" t="s">
        <v>823</v>
      </c>
      <c r="V348" s="239">
        <v>1</v>
      </c>
      <c r="W348" s="67" t="s">
        <v>118</v>
      </c>
      <c r="X348" s="224">
        <v>0</v>
      </c>
      <c r="Y348" s="226"/>
      <c r="Z348" s="85">
        <v>0</v>
      </c>
      <c r="AA348" s="85"/>
      <c r="AB348" s="56"/>
      <c r="AC348" s="56"/>
      <c r="AD348" s="14"/>
      <c r="AE348" s="56"/>
      <c r="AF348" s="631" t="s">
        <v>801</v>
      </c>
      <c r="AG348" s="359" t="s">
        <v>526</v>
      </c>
      <c r="AH348" s="363" t="s">
        <v>527</v>
      </c>
      <c r="AI348" s="1" t="s">
        <v>126</v>
      </c>
      <c r="AJ348" s="1" t="s">
        <v>126</v>
      </c>
      <c r="AK348" s="1" t="s">
        <v>126</v>
      </c>
      <c r="AL348" s="1" t="s">
        <v>126</v>
      </c>
      <c r="AM348" s="374"/>
    </row>
    <row r="349" spans="1:39">
      <c r="A349" s="241" t="s">
        <v>824</v>
      </c>
      <c r="B349" s="238" t="s">
        <v>825</v>
      </c>
      <c r="C349" s="239">
        <v>1</v>
      </c>
      <c r="D349" s="67" t="s">
        <v>118</v>
      </c>
      <c r="E349" s="224">
        <v>0</v>
      </c>
      <c r="F349" s="226"/>
      <c r="G349" s="85">
        <f t="shared" si="71"/>
        <v>0</v>
      </c>
      <c r="H349" s="85"/>
      <c r="I349" s="56"/>
      <c r="J349" s="56"/>
      <c r="K349" s="14"/>
      <c r="L349" s="56"/>
      <c r="M349" s="631" t="s">
        <v>801</v>
      </c>
      <c r="N349" s="359" t="s">
        <v>526</v>
      </c>
      <c r="O349" s="363" t="s">
        <v>527</v>
      </c>
      <c r="P349" s="1" t="str">
        <f t="shared" si="77"/>
        <v/>
      </c>
      <c r="Q349" s="1" t="str">
        <f t="shared" si="77"/>
        <v/>
      </c>
      <c r="R349" s="1" t="str">
        <f t="shared" si="77"/>
        <v/>
      </c>
      <c r="S349" s="1" t="str">
        <f t="shared" si="77"/>
        <v/>
      </c>
      <c r="T349" s="241" t="s">
        <v>824</v>
      </c>
      <c r="U349" s="238" t="s">
        <v>825</v>
      </c>
      <c r="V349" s="239">
        <v>1</v>
      </c>
      <c r="W349" s="67" t="s">
        <v>118</v>
      </c>
      <c r="X349" s="224">
        <v>0</v>
      </c>
      <c r="Y349" s="226"/>
      <c r="Z349" s="85">
        <v>0</v>
      </c>
      <c r="AA349" s="85"/>
      <c r="AB349" s="56"/>
      <c r="AC349" s="56"/>
      <c r="AD349" s="14"/>
      <c r="AE349" s="56"/>
      <c r="AF349" s="631" t="s">
        <v>801</v>
      </c>
      <c r="AG349" s="359" t="s">
        <v>526</v>
      </c>
      <c r="AH349" s="363" t="s">
        <v>527</v>
      </c>
      <c r="AI349" s="1" t="s">
        <v>126</v>
      </c>
      <c r="AJ349" s="1" t="s">
        <v>126</v>
      </c>
      <c r="AK349" s="1" t="s">
        <v>126</v>
      </c>
      <c r="AL349" s="1" t="s">
        <v>126</v>
      </c>
      <c r="AM349" s="374"/>
    </row>
    <row r="350" spans="1:39" s="90" customFormat="1">
      <c r="A350" s="223" t="s">
        <v>826</v>
      </c>
      <c r="B350" s="52" t="s">
        <v>827</v>
      </c>
      <c r="C350" s="53">
        <v>1</v>
      </c>
      <c r="D350" s="54" t="s">
        <v>118</v>
      </c>
      <c r="E350" s="62">
        <v>7497.97</v>
      </c>
      <c r="F350" s="66">
        <f>rv_mp_eg</f>
        <v>0.17199999999999999</v>
      </c>
      <c r="G350" s="70">
        <f t="shared" ref="G350:G361" si="80">E350-(E350*F350)</f>
        <v>6208.31916</v>
      </c>
      <c r="H350" s="565" t="s">
        <v>800</v>
      </c>
      <c r="I350" s="63">
        <v>113.35</v>
      </c>
      <c r="J350" s="63">
        <f>G350+I350</f>
        <v>6321.6691600000004</v>
      </c>
      <c r="K350" s="63" t="s">
        <v>120</v>
      </c>
      <c r="L350" s="63">
        <v>1.2</v>
      </c>
      <c r="M350" s="630" t="s">
        <v>828</v>
      </c>
      <c r="N350" s="380" t="s">
        <v>526</v>
      </c>
      <c r="O350" s="381" t="s">
        <v>527</v>
      </c>
      <c r="P350" s="90">
        <f t="shared" ref="P350:S356" si="81">+IF($J350&lt;&gt;"",P$2*$J350,"")</f>
        <v>1272.6072993671353</v>
      </c>
      <c r="Q350" s="90">
        <f t="shared" si="81"/>
        <v>661.38223299395679</v>
      </c>
      <c r="R350" s="90">
        <f t="shared" si="81"/>
        <v>480.34222733767092</v>
      </c>
      <c r="S350" s="90">
        <f t="shared" si="81"/>
        <v>414.50478361248037</v>
      </c>
      <c r="T350" s="223" t="s">
        <v>826</v>
      </c>
      <c r="U350" s="52" t="s">
        <v>827</v>
      </c>
      <c r="V350" s="53">
        <v>1</v>
      </c>
      <c r="W350" s="54" t="s">
        <v>118</v>
      </c>
      <c r="X350" s="62">
        <v>7497.97</v>
      </c>
      <c r="Y350" s="66">
        <v>0.17199999999999999</v>
      </c>
      <c r="Z350" s="70">
        <v>6208.31916</v>
      </c>
      <c r="AA350" s="565" t="s">
        <v>800</v>
      </c>
      <c r="AB350" s="63">
        <v>113.35</v>
      </c>
      <c r="AC350" s="63">
        <v>6321.6691600000004</v>
      </c>
      <c r="AD350" s="63" t="s">
        <v>120</v>
      </c>
      <c r="AE350" s="63">
        <v>1.2</v>
      </c>
      <c r="AF350" s="630" t="s">
        <v>828</v>
      </c>
      <c r="AG350" s="380" t="s">
        <v>526</v>
      </c>
      <c r="AH350" s="381" t="s">
        <v>527</v>
      </c>
      <c r="AI350" s="90">
        <v>1272.6072993671353</v>
      </c>
      <c r="AJ350" s="90">
        <v>661.38223299395679</v>
      </c>
      <c r="AK350" s="90">
        <v>480.34222733767092</v>
      </c>
      <c r="AL350" s="90">
        <v>414.50478361248037</v>
      </c>
      <c r="AM350" s="382"/>
    </row>
    <row r="351" spans="1:39">
      <c r="A351" s="241" t="s">
        <v>829</v>
      </c>
      <c r="B351" s="238" t="s">
        <v>830</v>
      </c>
      <c r="C351" s="239">
        <v>1</v>
      </c>
      <c r="D351" s="67" t="s">
        <v>118</v>
      </c>
      <c r="E351" s="224">
        <v>958.33</v>
      </c>
      <c r="F351" s="283">
        <f t="shared" ref="F351:F358" si="82">rv_mp_eg_cto</f>
        <v>0.17199999999999999</v>
      </c>
      <c r="G351" s="85">
        <f t="shared" ref="G351" si="83">E351-(E351*F351)</f>
        <v>793.49724000000003</v>
      </c>
      <c r="H351" s="64"/>
      <c r="I351" s="152"/>
      <c r="J351" s="152"/>
      <c r="K351" s="73"/>
      <c r="L351" s="152"/>
      <c r="M351" s="631" t="s">
        <v>828</v>
      </c>
      <c r="N351" s="359" t="s">
        <v>526</v>
      </c>
      <c r="O351" s="363" t="s">
        <v>527</v>
      </c>
      <c r="P351" s="1" t="str">
        <f t="shared" si="81"/>
        <v/>
      </c>
      <c r="Q351" s="1" t="str">
        <f t="shared" si="81"/>
        <v/>
      </c>
      <c r="R351" s="1" t="str">
        <f t="shared" si="81"/>
        <v/>
      </c>
      <c r="S351" s="1" t="str">
        <f t="shared" si="81"/>
        <v/>
      </c>
      <c r="T351" s="241" t="s">
        <v>829</v>
      </c>
      <c r="U351" s="238" t="s">
        <v>830</v>
      </c>
      <c r="V351" s="239">
        <v>1</v>
      </c>
      <c r="W351" s="67" t="s">
        <v>118</v>
      </c>
      <c r="X351" s="224">
        <v>958.33</v>
      </c>
      <c r="Y351" s="283">
        <v>0.17199999999999999</v>
      </c>
      <c r="Z351" s="85">
        <v>793.49724000000003</v>
      </c>
      <c r="AA351" s="64"/>
      <c r="AB351" s="152"/>
      <c r="AC351" s="152"/>
      <c r="AD351" s="73"/>
      <c r="AE351" s="152"/>
      <c r="AF351" s="631" t="s">
        <v>828</v>
      </c>
      <c r="AG351" s="359" t="s">
        <v>526</v>
      </c>
      <c r="AH351" s="363" t="s">
        <v>527</v>
      </c>
      <c r="AI351" s="1" t="s">
        <v>126</v>
      </c>
      <c r="AJ351" s="1" t="s">
        <v>126</v>
      </c>
      <c r="AK351" s="1" t="s">
        <v>126</v>
      </c>
      <c r="AL351" s="1" t="s">
        <v>126</v>
      </c>
      <c r="AM351" s="374"/>
    </row>
    <row r="352" spans="1:39">
      <c r="A352" s="241" t="s">
        <v>831</v>
      </c>
      <c r="B352" s="238" t="s">
        <v>832</v>
      </c>
      <c r="C352" s="239">
        <v>1</v>
      </c>
      <c r="D352" s="67" t="s">
        <v>118</v>
      </c>
      <c r="E352" s="224">
        <v>766.67</v>
      </c>
      <c r="F352" s="283">
        <f t="shared" si="82"/>
        <v>0.17199999999999999</v>
      </c>
      <c r="G352" s="85">
        <f t="shared" si="80"/>
        <v>634.80276000000003</v>
      </c>
      <c r="H352" s="64"/>
      <c r="I352" s="152"/>
      <c r="J352" s="152"/>
      <c r="K352" s="73"/>
      <c r="L352" s="152"/>
      <c r="M352" s="631" t="s">
        <v>828</v>
      </c>
      <c r="N352" s="359" t="s">
        <v>526</v>
      </c>
      <c r="O352" s="363" t="s">
        <v>527</v>
      </c>
      <c r="P352" s="1"/>
      <c r="Q352" s="1"/>
      <c r="R352" s="1"/>
      <c r="S352" s="1"/>
      <c r="T352" s="241" t="s">
        <v>831</v>
      </c>
      <c r="U352" s="238" t="s">
        <v>832</v>
      </c>
      <c r="V352" s="239">
        <v>1</v>
      </c>
      <c r="W352" s="67" t="s">
        <v>118</v>
      </c>
      <c r="X352" s="224">
        <v>766.67</v>
      </c>
      <c r="Y352" s="283">
        <v>0.17199999999999999</v>
      </c>
      <c r="Z352" s="85">
        <v>634.80276000000003</v>
      </c>
      <c r="AA352" s="64"/>
      <c r="AB352" s="152"/>
      <c r="AC352" s="152"/>
      <c r="AD352" s="73"/>
      <c r="AE352" s="152"/>
      <c r="AF352" s="631" t="s">
        <v>828</v>
      </c>
      <c r="AG352" s="359" t="s">
        <v>526</v>
      </c>
      <c r="AH352" s="363" t="s">
        <v>527</v>
      </c>
      <c r="AI352" s="1"/>
      <c r="AJ352" s="1"/>
      <c r="AK352" s="1"/>
      <c r="AL352" s="1"/>
      <c r="AM352" s="374"/>
    </row>
    <row r="353" spans="1:39">
      <c r="A353" s="241" t="s">
        <v>833</v>
      </c>
      <c r="B353" s="238" t="s">
        <v>834</v>
      </c>
      <c r="C353" s="239">
        <v>1</v>
      </c>
      <c r="D353" s="67" t="s">
        <v>118</v>
      </c>
      <c r="E353" s="224">
        <v>1533.33</v>
      </c>
      <c r="F353" s="283">
        <f t="shared" si="82"/>
        <v>0.17199999999999999</v>
      </c>
      <c r="G353" s="85">
        <f t="shared" si="80"/>
        <v>1269.5972400000001</v>
      </c>
      <c r="H353" s="64"/>
      <c r="I353" s="152"/>
      <c r="J353" s="152"/>
      <c r="K353" s="73"/>
      <c r="L353" s="152"/>
      <c r="M353" s="631" t="s">
        <v>828</v>
      </c>
      <c r="N353" s="359" t="s">
        <v>526</v>
      </c>
      <c r="O353" s="363" t="s">
        <v>527</v>
      </c>
      <c r="P353" s="1" t="str">
        <f t="shared" si="81"/>
        <v/>
      </c>
      <c r="Q353" s="1" t="str">
        <f t="shared" si="81"/>
        <v/>
      </c>
      <c r="R353" s="1" t="str">
        <f t="shared" si="81"/>
        <v/>
      </c>
      <c r="S353" s="1" t="str">
        <f t="shared" si="81"/>
        <v/>
      </c>
      <c r="T353" s="241" t="s">
        <v>833</v>
      </c>
      <c r="U353" s="238" t="s">
        <v>834</v>
      </c>
      <c r="V353" s="239">
        <v>1</v>
      </c>
      <c r="W353" s="67" t="s">
        <v>118</v>
      </c>
      <c r="X353" s="224">
        <v>1533.33</v>
      </c>
      <c r="Y353" s="283">
        <v>0.17199999999999999</v>
      </c>
      <c r="Z353" s="85">
        <v>1269.5972400000001</v>
      </c>
      <c r="AA353" s="64"/>
      <c r="AB353" s="152"/>
      <c r="AC353" s="152"/>
      <c r="AD353" s="73"/>
      <c r="AE353" s="152"/>
      <c r="AF353" s="631" t="s">
        <v>828</v>
      </c>
      <c r="AG353" s="359" t="s">
        <v>526</v>
      </c>
      <c r="AH353" s="363" t="s">
        <v>527</v>
      </c>
      <c r="AI353" s="1" t="s">
        <v>126</v>
      </c>
      <c r="AJ353" s="1" t="s">
        <v>126</v>
      </c>
      <c r="AK353" s="1" t="s">
        <v>126</v>
      </c>
      <c r="AL353" s="1" t="s">
        <v>126</v>
      </c>
      <c r="AM353" s="374"/>
    </row>
    <row r="354" spans="1:39">
      <c r="A354" s="241" t="s">
        <v>835</v>
      </c>
      <c r="B354" s="238" t="s">
        <v>836</v>
      </c>
      <c r="C354" s="239">
        <v>1</v>
      </c>
      <c r="D354" s="67" t="s">
        <v>118</v>
      </c>
      <c r="E354" s="224">
        <v>383.33</v>
      </c>
      <c r="F354" s="283">
        <f t="shared" si="82"/>
        <v>0.17199999999999999</v>
      </c>
      <c r="G354" s="85">
        <f t="shared" si="80"/>
        <v>317.39724000000001</v>
      </c>
      <c r="H354" s="64"/>
      <c r="I354" s="152"/>
      <c r="J354" s="152"/>
      <c r="K354" s="73"/>
      <c r="L354" s="152"/>
      <c r="M354" s="631" t="s">
        <v>828</v>
      </c>
      <c r="N354" s="359" t="s">
        <v>526</v>
      </c>
      <c r="O354" s="363" t="s">
        <v>527</v>
      </c>
      <c r="P354" s="1" t="str">
        <f t="shared" si="81"/>
        <v/>
      </c>
      <c r="Q354" s="1" t="str">
        <f t="shared" si="81"/>
        <v/>
      </c>
      <c r="R354" s="1" t="str">
        <f t="shared" si="81"/>
        <v/>
      </c>
      <c r="S354" s="1" t="str">
        <f t="shared" si="81"/>
        <v/>
      </c>
      <c r="T354" s="241" t="s">
        <v>835</v>
      </c>
      <c r="U354" s="238" t="s">
        <v>836</v>
      </c>
      <c r="V354" s="239">
        <v>1</v>
      </c>
      <c r="W354" s="67" t="s">
        <v>118</v>
      </c>
      <c r="X354" s="224">
        <v>383.33</v>
      </c>
      <c r="Y354" s="283">
        <v>0.17199999999999999</v>
      </c>
      <c r="Z354" s="85">
        <v>317.39724000000001</v>
      </c>
      <c r="AA354" s="64"/>
      <c r="AB354" s="152"/>
      <c r="AC354" s="152"/>
      <c r="AD354" s="73"/>
      <c r="AE354" s="152"/>
      <c r="AF354" s="631" t="s">
        <v>828</v>
      </c>
      <c r="AG354" s="359" t="s">
        <v>526</v>
      </c>
      <c r="AH354" s="363" t="s">
        <v>527</v>
      </c>
      <c r="AI354" s="1" t="s">
        <v>126</v>
      </c>
      <c r="AJ354" s="1" t="s">
        <v>126</v>
      </c>
      <c r="AK354" s="1" t="s">
        <v>126</v>
      </c>
      <c r="AL354" s="1" t="s">
        <v>126</v>
      </c>
      <c r="AM354" s="374"/>
    </row>
    <row r="355" spans="1:39">
      <c r="A355" s="241" t="s">
        <v>837</v>
      </c>
      <c r="B355" s="238" t="s">
        <v>838</v>
      </c>
      <c r="C355" s="239">
        <v>1</v>
      </c>
      <c r="D355" s="67" t="s">
        <v>118</v>
      </c>
      <c r="E355" s="224">
        <v>958.33</v>
      </c>
      <c r="F355" s="283">
        <f t="shared" si="82"/>
        <v>0.17199999999999999</v>
      </c>
      <c r="G355" s="85">
        <f t="shared" si="80"/>
        <v>793.49724000000003</v>
      </c>
      <c r="H355" s="64"/>
      <c r="I355" s="152"/>
      <c r="J355" s="152"/>
      <c r="K355" s="73"/>
      <c r="L355" s="152"/>
      <c r="M355" s="631" t="s">
        <v>828</v>
      </c>
      <c r="N355" s="359" t="s">
        <v>526</v>
      </c>
      <c r="O355" s="363" t="s">
        <v>527</v>
      </c>
      <c r="P355" s="1" t="str">
        <f t="shared" si="81"/>
        <v/>
      </c>
      <c r="Q355" s="1" t="str">
        <f t="shared" si="81"/>
        <v/>
      </c>
      <c r="R355" s="1" t="str">
        <f t="shared" si="81"/>
        <v/>
      </c>
      <c r="S355" s="1" t="str">
        <f t="shared" si="81"/>
        <v/>
      </c>
      <c r="T355" s="241" t="s">
        <v>837</v>
      </c>
      <c r="U355" s="238" t="s">
        <v>838</v>
      </c>
      <c r="V355" s="239">
        <v>1</v>
      </c>
      <c r="W355" s="67" t="s">
        <v>118</v>
      </c>
      <c r="X355" s="224">
        <v>958.33</v>
      </c>
      <c r="Y355" s="283">
        <v>0.17199999999999999</v>
      </c>
      <c r="Z355" s="85">
        <v>793.49724000000003</v>
      </c>
      <c r="AA355" s="64"/>
      <c r="AB355" s="152"/>
      <c r="AC355" s="152"/>
      <c r="AD355" s="73"/>
      <c r="AE355" s="152"/>
      <c r="AF355" s="631" t="s">
        <v>828</v>
      </c>
      <c r="AG355" s="359" t="s">
        <v>526</v>
      </c>
      <c r="AH355" s="363" t="s">
        <v>527</v>
      </c>
      <c r="AI355" s="1" t="s">
        <v>126</v>
      </c>
      <c r="AJ355" s="1" t="s">
        <v>126</v>
      </c>
      <c r="AK355" s="1" t="s">
        <v>126</v>
      </c>
      <c r="AL355" s="1" t="s">
        <v>126</v>
      </c>
      <c r="AM355" s="374"/>
    </row>
    <row r="356" spans="1:39">
      <c r="A356" s="241" t="s">
        <v>839</v>
      </c>
      <c r="B356" s="238" t="s">
        <v>840</v>
      </c>
      <c r="C356" s="239">
        <v>1</v>
      </c>
      <c r="D356" s="67" t="s">
        <v>118</v>
      </c>
      <c r="E356" s="224">
        <v>2108.33</v>
      </c>
      <c r="F356" s="283">
        <f t="shared" si="82"/>
        <v>0.17199999999999999</v>
      </c>
      <c r="G356" s="85">
        <f t="shared" si="80"/>
        <v>1745.69724</v>
      </c>
      <c r="H356" s="64"/>
      <c r="I356" s="152"/>
      <c r="J356" s="152"/>
      <c r="K356" s="73"/>
      <c r="L356" s="152"/>
      <c r="M356" s="631" t="s">
        <v>828</v>
      </c>
      <c r="N356" s="359" t="s">
        <v>526</v>
      </c>
      <c r="O356" s="363" t="s">
        <v>527</v>
      </c>
      <c r="P356" s="1" t="str">
        <f t="shared" si="81"/>
        <v/>
      </c>
      <c r="Q356" s="1" t="str">
        <f t="shared" si="81"/>
        <v/>
      </c>
      <c r="R356" s="1" t="str">
        <f t="shared" si="81"/>
        <v/>
      </c>
      <c r="S356" s="1" t="str">
        <f t="shared" si="81"/>
        <v/>
      </c>
      <c r="T356" s="241" t="s">
        <v>839</v>
      </c>
      <c r="U356" s="238" t="s">
        <v>840</v>
      </c>
      <c r="V356" s="239">
        <v>1</v>
      </c>
      <c r="W356" s="67" t="s">
        <v>118</v>
      </c>
      <c r="X356" s="224">
        <v>2108.33</v>
      </c>
      <c r="Y356" s="283">
        <v>0.17199999999999999</v>
      </c>
      <c r="Z356" s="85">
        <v>1745.69724</v>
      </c>
      <c r="AA356" s="64"/>
      <c r="AB356" s="152"/>
      <c r="AC356" s="152"/>
      <c r="AD356" s="73"/>
      <c r="AE356" s="152"/>
      <c r="AF356" s="631" t="s">
        <v>828</v>
      </c>
      <c r="AG356" s="359" t="s">
        <v>526</v>
      </c>
      <c r="AH356" s="363" t="s">
        <v>527</v>
      </c>
      <c r="AI356" s="1" t="s">
        <v>126</v>
      </c>
      <c r="AJ356" s="1" t="s">
        <v>126</v>
      </c>
      <c r="AK356" s="1" t="s">
        <v>126</v>
      </c>
      <c r="AL356" s="1" t="s">
        <v>126</v>
      </c>
      <c r="AM356" s="374"/>
    </row>
    <row r="357" spans="1:39">
      <c r="A357" s="241" t="s">
        <v>841</v>
      </c>
      <c r="B357" s="238" t="s">
        <v>842</v>
      </c>
      <c r="C357" s="239">
        <v>1</v>
      </c>
      <c r="D357" s="67" t="s">
        <v>118</v>
      </c>
      <c r="E357" s="224">
        <v>41.67</v>
      </c>
      <c r="F357" s="283">
        <f t="shared" si="82"/>
        <v>0.17199999999999999</v>
      </c>
      <c r="G357" s="85">
        <f t="shared" si="80"/>
        <v>34.502760000000002</v>
      </c>
      <c r="H357" s="64"/>
      <c r="I357" s="152"/>
      <c r="J357" s="152"/>
      <c r="K357" s="73"/>
      <c r="L357" s="152"/>
      <c r="M357" s="631" t="s">
        <v>828</v>
      </c>
      <c r="N357" s="359" t="s">
        <v>526</v>
      </c>
      <c r="O357" s="363" t="s">
        <v>527</v>
      </c>
      <c r="P357" s="1" t="str">
        <f t="shared" ref="P357:S361" si="84">+IF($J357&lt;&gt;"",P$2*$J357,"")</f>
        <v/>
      </c>
      <c r="Q357" s="1" t="str">
        <f t="shared" si="84"/>
        <v/>
      </c>
      <c r="R357" s="1" t="str">
        <f t="shared" si="84"/>
        <v/>
      </c>
      <c r="S357" s="1" t="str">
        <f t="shared" si="84"/>
        <v/>
      </c>
      <c r="T357" s="241" t="s">
        <v>841</v>
      </c>
      <c r="U357" s="238" t="s">
        <v>842</v>
      </c>
      <c r="V357" s="239">
        <v>1</v>
      </c>
      <c r="W357" s="67" t="s">
        <v>118</v>
      </c>
      <c r="X357" s="224">
        <v>41.67</v>
      </c>
      <c r="Y357" s="283">
        <v>0.17199999999999999</v>
      </c>
      <c r="Z357" s="85">
        <v>34.502760000000002</v>
      </c>
      <c r="AA357" s="64"/>
      <c r="AB357" s="152"/>
      <c r="AC357" s="152"/>
      <c r="AD357" s="73"/>
      <c r="AE357" s="152"/>
      <c r="AF357" s="631" t="s">
        <v>828</v>
      </c>
      <c r="AG357" s="359" t="s">
        <v>526</v>
      </c>
      <c r="AH357" s="363" t="s">
        <v>527</v>
      </c>
      <c r="AI357" s="1" t="s">
        <v>126</v>
      </c>
      <c r="AJ357" s="1" t="s">
        <v>126</v>
      </c>
      <c r="AK357" s="1" t="s">
        <v>126</v>
      </c>
      <c r="AL357" s="1" t="s">
        <v>126</v>
      </c>
      <c r="AM357" s="374"/>
    </row>
    <row r="358" spans="1:39">
      <c r="A358" s="241" t="s">
        <v>843</v>
      </c>
      <c r="B358" s="238" t="s">
        <v>844</v>
      </c>
      <c r="C358" s="239">
        <v>1</v>
      </c>
      <c r="D358" s="67" t="s">
        <v>118</v>
      </c>
      <c r="E358" s="224">
        <v>132.5</v>
      </c>
      <c r="F358" s="283">
        <f t="shared" si="82"/>
        <v>0.17199999999999999</v>
      </c>
      <c r="G358" s="85">
        <f t="shared" si="80"/>
        <v>109.71000000000001</v>
      </c>
      <c r="H358" s="64"/>
      <c r="I358" s="152"/>
      <c r="J358" s="152"/>
      <c r="K358" s="73"/>
      <c r="L358" s="152"/>
      <c r="M358" s="631" t="s">
        <v>828</v>
      </c>
      <c r="N358" s="359" t="s">
        <v>526</v>
      </c>
      <c r="O358" s="363" t="s">
        <v>527</v>
      </c>
      <c r="P358" s="1" t="str">
        <f t="shared" si="84"/>
        <v/>
      </c>
      <c r="Q358" s="1" t="str">
        <f t="shared" si="84"/>
        <v/>
      </c>
      <c r="R358" s="1" t="str">
        <f t="shared" si="84"/>
        <v/>
      </c>
      <c r="S358" s="1" t="str">
        <f t="shared" si="84"/>
        <v/>
      </c>
      <c r="T358" s="241" t="s">
        <v>843</v>
      </c>
      <c r="U358" s="238" t="s">
        <v>844</v>
      </c>
      <c r="V358" s="239">
        <v>1</v>
      </c>
      <c r="W358" s="67" t="s">
        <v>118</v>
      </c>
      <c r="X358" s="224">
        <v>132.5</v>
      </c>
      <c r="Y358" s="283">
        <v>0.17199999999999999</v>
      </c>
      <c r="Z358" s="85">
        <v>109.71000000000001</v>
      </c>
      <c r="AA358" s="64"/>
      <c r="AB358" s="152"/>
      <c r="AC358" s="152"/>
      <c r="AD358" s="73"/>
      <c r="AE358" s="152"/>
      <c r="AF358" s="631" t="s">
        <v>828</v>
      </c>
      <c r="AG358" s="359" t="s">
        <v>526</v>
      </c>
      <c r="AH358" s="363" t="s">
        <v>527</v>
      </c>
      <c r="AI358" s="1" t="s">
        <v>126</v>
      </c>
      <c r="AJ358" s="1" t="s">
        <v>126</v>
      </c>
      <c r="AK358" s="1" t="s">
        <v>126</v>
      </c>
      <c r="AL358" s="1" t="s">
        <v>126</v>
      </c>
      <c r="AM358" s="374"/>
    </row>
    <row r="359" spans="1:39">
      <c r="A359" s="241" t="s">
        <v>845</v>
      </c>
      <c r="B359" s="238" t="s">
        <v>846</v>
      </c>
      <c r="C359" s="239">
        <v>1</v>
      </c>
      <c r="D359" s="67" t="s">
        <v>118</v>
      </c>
      <c r="E359" s="224">
        <v>0</v>
      </c>
      <c r="F359" s="226"/>
      <c r="G359" s="85">
        <f>E359-(E359*F359)</f>
        <v>0</v>
      </c>
      <c r="H359" s="64"/>
      <c r="I359" s="152"/>
      <c r="J359" s="152"/>
      <c r="K359" s="73"/>
      <c r="L359" s="152"/>
      <c r="M359" s="631" t="s">
        <v>828</v>
      </c>
      <c r="N359" s="359" t="s">
        <v>526</v>
      </c>
      <c r="O359" s="363" t="s">
        <v>527</v>
      </c>
      <c r="P359" s="1" t="str">
        <f>+IF($J359&lt;&gt;"",P$2*$J359,"")</f>
        <v/>
      </c>
      <c r="Q359" s="1" t="str">
        <f>+IF($J359&lt;&gt;"",Q$2*$J359,"")</f>
        <v/>
      </c>
      <c r="R359" s="1" t="str">
        <f>+IF($J359&lt;&gt;"",R$2*$J359,"")</f>
        <v/>
      </c>
      <c r="S359" s="1" t="str">
        <f>+IF($J359&lt;&gt;"",S$2*$J359,"")</f>
        <v/>
      </c>
      <c r="T359" s="241" t="s">
        <v>845</v>
      </c>
      <c r="U359" s="238" t="s">
        <v>846</v>
      </c>
      <c r="V359" s="239">
        <v>1</v>
      </c>
      <c r="W359" s="67" t="s">
        <v>118</v>
      </c>
      <c r="X359" s="224">
        <v>0</v>
      </c>
      <c r="Y359" s="226"/>
      <c r="Z359" s="85">
        <v>0</v>
      </c>
      <c r="AA359" s="64"/>
      <c r="AB359" s="152"/>
      <c r="AC359" s="152"/>
      <c r="AD359" s="73"/>
      <c r="AE359" s="152"/>
      <c r="AF359" s="631" t="s">
        <v>828</v>
      </c>
      <c r="AG359" s="359" t="s">
        <v>526</v>
      </c>
      <c r="AH359" s="363" t="s">
        <v>527</v>
      </c>
      <c r="AI359" s="1" t="s">
        <v>126</v>
      </c>
      <c r="AJ359" s="1" t="s">
        <v>126</v>
      </c>
      <c r="AK359" s="1" t="s">
        <v>126</v>
      </c>
      <c r="AL359" s="1" t="s">
        <v>126</v>
      </c>
      <c r="AM359" s="374"/>
    </row>
    <row r="360" spans="1:39">
      <c r="A360" s="241" t="s">
        <v>847</v>
      </c>
      <c r="B360" s="504" t="s">
        <v>848</v>
      </c>
      <c r="C360" s="239">
        <v>1</v>
      </c>
      <c r="D360" s="67" t="s">
        <v>118</v>
      </c>
      <c r="E360" s="224">
        <v>0</v>
      </c>
      <c r="F360" s="226"/>
      <c r="G360" s="85">
        <f t="shared" ref="G360" si="85">E360-(E360*F360)</f>
        <v>0</v>
      </c>
      <c r="H360" s="64"/>
      <c r="I360" s="152"/>
      <c r="J360" s="152"/>
      <c r="K360" s="73"/>
      <c r="L360" s="152"/>
      <c r="M360" s="631" t="s">
        <v>828</v>
      </c>
      <c r="N360" s="359" t="s">
        <v>526</v>
      </c>
      <c r="O360" s="363" t="s">
        <v>527</v>
      </c>
      <c r="P360" s="1"/>
      <c r="Q360" s="1"/>
      <c r="R360" s="1"/>
      <c r="S360" s="1"/>
      <c r="T360" s="241" t="s">
        <v>847</v>
      </c>
      <c r="U360" s="504" t="s">
        <v>848</v>
      </c>
      <c r="V360" s="239">
        <v>1</v>
      </c>
      <c r="W360" s="67" t="s">
        <v>118</v>
      </c>
      <c r="X360" s="224">
        <v>0</v>
      </c>
      <c r="Y360" s="226"/>
      <c r="Z360" s="85">
        <v>0</v>
      </c>
      <c r="AA360" s="64"/>
      <c r="AB360" s="152"/>
      <c r="AC360" s="152"/>
      <c r="AD360" s="73"/>
      <c r="AE360" s="152"/>
      <c r="AF360" s="631" t="s">
        <v>828</v>
      </c>
      <c r="AG360" s="359" t="s">
        <v>526</v>
      </c>
      <c r="AH360" s="363" t="s">
        <v>527</v>
      </c>
      <c r="AI360" s="1"/>
      <c r="AJ360" s="1"/>
      <c r="AK360" s="1"/>
      <c r="AL360" s="1"/>
      <c r="AM360" s="374"/>
    </row>
    <row r="361" spans="1:39">
      <c r="A361" s="241" t="s">
        <v>849</v>
      </c>
      <c r="B361" s="238" t="s">
        <v>850</v>
      </c>
      <c r="C361" s="239">
        <v>1</v>
      </c>
      <c r="D361" s="67" t="s">
        <v>118</v>
      </c>
      <c r="E361" s="224">
        <v>0</v>
      </c>
      <c r="F361" s="226"/>
      <c r="G361" s="85">
        <f t="shared" si="80"/>
        <v>0</v>
      </c>
      <c r="H361" s="64"/>
      <c r="I361" s="152"/>
      <c r="J361" s="152"/>
      <c r="K361" s="73"/>
      <c r="L361" s="152"/>
      <c r="M361" s="631" t="s">
        <v>828</v>
      </c>
      <c r="N361" s="359" t="s">
        <v>526</v>
      </c>
      <c r="O361" s="363" t="s">
        <v>527</v>
      </c>
      <c r="P361" s="1" t="str">
        <f t="shared" si="84"/>
        <v/>
      </c>
      <c r="Q361" s="1" t="str">
        <f t="shared" si="84"/>
        <v/>
      </c>
      <c r="R361" s="1" t="str">
        <f t="shared" si="84"/>
        <v/>
      </c>
      <c r="S361" s="1" t="str">
        <f t="shared" si="84"/>
        <v/>
      </c>
      <c r="T361" s="241" t="s">
        <v>849</v>
      </c>
      <c r="U361" s="238" t="s">
        <v>850</v>
      </c>
      <c r="V361" s="239">
        <v>1</v>
      </c>
      <c r="W361" s="67" t="s">
        <v>118</v>
      </c>
      <c r="X361" s="224">
        <v>0</v>
      </c>
      <c r="Y361" s="226"/>
      <c r="Z361" s="85">
        <v>0</v>
      </c>
      <c r="AA361" s="64"/>
      <c r="AB361" s="152"/>
      <c r="AC361" s="152"/>
      <c r="AD361" s="73"/>
      <c r="AE361" s="152"/>
      <c r="AF361" s="631" t="s">
        <v>828</v>
      </c>
      <c r="AG361" s="359" t="s">
        <v>526</v>
      </c>
      <c r="AH361" s="363" t="s">
        <v>527</v>
      </c>
      <c r="AI361" s="1" t="s">
        <v>126</v>
      </c>
      <c r="AJ361" s="1" t="s">
        <v>126</v>
      </c>
      <c r="AK361" s="1" t="s">
        <v>126</v>
      </c>
      <c r="AL361" s="1" t="s">
        <v>126</v>
      </c>
      <c r="AM361" s="374"/>
    </row>
    <row r="362" spans="1:39" s="77" customFormat="1">
      <c r="A362" s="231" t="s">
        <v>800</v>
      </c>
      <c r="B362" s="58" t="s">
        <v>851</v>
      </c>
      <c r="C362" s="59">
        <v>1</v>
      </c>
      <c r="D362" s="74" t="s">
        <v>140</v>
      </c>
      <c r="E362" s="280">
        <v>136.9</v>
      </c>
      <c r="F362" s="112">
        <v>0.17199999999999999</v>
      </c>
      <c r="G362" s="68">
        <f>E362-(E362*F362)</f>
        <v>113.35320000000002</v>
      </c>
      <c r="H362" s="85"/>
      <c r="I362" s="76"/>
      <c r="J362" s="76"/>
      <c r="K362" s="14"/>
      <c r="L362" s="56"/>
      <c r="M362" s="631" t="s">
        <v>141</v>
      </c>
      <c r="N362" s="359" t="s">
        <v>852</v>
      </c>
      <c r="O362" s="363" t="s">
        <v>559</v>
      </c>
      <c r="P362" s="1" t="str">
        <f t="shared" ref="P362:S376" si="86">+IF($J362&lt;&gt;"",P$2*$J362,"")</f>
        <v/>
      </c>
      <c r="Q362" s="1" t="str">
        <f t="shared" si="86"/>
        <v/>
      </c>
      <c r="R362" s="1" t="str">
        <f t="shared" si="86"/>
        <v/>
      </c>
      <c r="S362" s="1" t="str">
        <f t="shared" si="86"/>
        <v/>
      </c>
      <c r="T362" s="231" t="s">
        <v>800</v>
      </c>
      <c r="U362" s="58" t="s">
        <v>851</v>
      </c>
      <c r="V362" s="59">
        <v>1</v>
      </c>
      <c r="W362" s="74" t="s">
        <v>140</v>
      </c>
      <c r="X362" s="280">
        <v>136.9</v>
      </c>
      <c r="Y362" s="112">
        <v>0.17199999999999999</v>
      </c>
      <c r="Z362" s="68">
        <v>113.35320000000002</v>
      </c>
      <c r="AA362" s="85"/>
      <c r="AB362" s="76"/>
      <c r="AC362" s="76"/>
      <c r="AD362" s="14"/>
      <c r="AE362" s="56"/>
      <c r="AF362" s="631" t="s">
        <v>141</v>
      </c>
      <c r="AG362" s="359" t="s">
        <v>852</v>
      </c>
      <c r="AH362" s="363" t="s">
        <v>559</v>
      </c>
      <c r="AI362" s="1" t="s">
        <v>126</v>
      </c>
      <c r="AJ362" s="1" t="s">
        <v>126</v>
      </c>
      <c r="AK362" s="1" t="s">
        <v>126</v>
      </c>
      <c r="AL362" s="1" t="s">
        <v>126</v>
      </c>
      <c r="AM362" s="374"/>
    </row>
    <row r="363" spans="1:39">
      <c r="A363" s="221" t="s">
        <v>853</v>
      </c>
      <c r="B363" s="69" t="s">
        <v>854</v>
      </c>
      <c r="C363" s="23">
        <v>1</v>
      </c>
      <c r="D363" s="30" t="s">
        <v>140</v>
      </c>
      <c r="E363" s="31"/>
      <c r="F363" s="19"/>
      <c r="G363" s="85">
        <v>30</v>
      </c>
      <c r="H363" s="85"/>
      <c r="I363" s="56"/>
      <c r="J363" s="56"/>
      <c r="K363" s="14"/>
      <c r="L363" s="56"/>
      <c r="M363" s="631" t="s">
        <v>141</v>
      </c>
      <c r="N363" s="359" t="s">
        <v>852</v>
      </c>
      <c r="O363" s="363" t="s">
        <v>559</v>
      </c>
      <c r="P363" s="1" t="str">
        <f t="shared" si="86"/>
        <v/>
      </c>
      <c r="Q363" s="1" t="str">
        <f t="shared" si="86"/>
        <v/>
      </c>
      <c r="R363" s="1" t="str">
        <f t="shared" si="86"/>
        <v/>
      </c>
      <c r="S363" s="1" t="str">
        <f t="shared" si="86"/>
        <v/>
      </c>
      <c r="T363" s="221" t="s">
        <v>853</v>
      </c>
      <c r="U363" s="69" t="s">
        <v>854</v>
      </c>
      <c r="V363" s="23">
        <v>1</v>
      </c>
      <c r="W363" s="30" t="s">
        <v>140</v>
      </c>
      <c r="X363" s="31"/>
      <c r="Y363" s="19"/>
      <c r="Z363" s="85">
        <v>30</v>
      </c>
      <c r="AA363" s="85"/>
      <c r="AB363" s="56"/>
      <c r="AC363" s="56"/>
      <c r="AD363" s="14"/>
      <c r="AE363" s="56"/>
      <c r="AF363" s="631" t="s">
        <v>141</v>
      </c>
      <c r="AG363" s="359" t="s">
        <v>852</v>
      </c>
      <c r="AH363" s="363" t="s">
        <v>559</v>
      </c>
      <c r="AI363" s="1" t="s">
        <v>126</v>
      </c>
      <c r="AJ363" s="1" t="s">
        <v>126</v>
      </c>
      <c r="AK363" s="1" t="s">
        <v>126</v>
      </c>
      <c r="AL363" s="1" t="s">
        <v>126</v>
      </c>
      <c r="AM363" s="374"/>
    </row>
    <row r="364" spans="1:39">
      <c r="A364" s="221" t="s">
        <v>855</v>
      </c>
      <c r="B364" s="69" t="s">
        <v>856</v>
      </c>
      <c r="C364" s="23">
        <v>1</v>
      </c>
      <c r="D364" s="30" t="s">
        <v>140</v>
      </c>
      <c r="E364" s="31"/>
      <c r="F364" s="19"/>
      <c r="G364" s="85">
        <v>54</v>
      </c>
      <c r="H364" s="85"/>
      <c r="I364" s="56"/>
      <c r="J364" s="56"/>
      <c r="K364" s="14"/>
      <c r="L364" s="56"/>
      <c r="M364" s="631" t="s">
        <v>141</v>
      </c>
      <c r="N364" s="359" t="s">
        <v>852</v>
      </c>
      <c r="O364" s="363" t="s">
        <v>559</v>
      </c>
      <c r="P364" s="1" t="str">
        <f t="shared" si="86"/>
        <v/>
      </c>
      <c r="Q364" s="1" t="str">
        <f t="shared" si="86"/>
        <v/>
      </c>
      <c r="R364" s="1" t="str">
        <f t="shared" si="86"/>
        <v/>
      </c>
      <c r="S364" s="1" t="str">
        <f t="shared" si="86"/>
        <v/>
      </c>
      <c r="T364" s="221" t="s">
        <v>855</v>
      </c>
      <c r="U364" s="69" t="s">
        <v>856</v>
      </c>
      <c r="V364" s="23">
        <v>1</v>
      </c>
      <c r="W364" s="30" t="s">
        <v>140</v>
      </c>
      <c r="X364" s="31"/>
      <c r="Y364" s="19"/>
      <c r="Z364" s="85">
        <v>54</v>
      </c>
      <c r="AA364" s="85"/>
      <c r="AB364" s="56"/>
      <c r="AC364" s="56"/>
      <c r="AD364" s="14"/>
      <c r="AE364" s="56"/>
      <c r="AF364" s="631" t="s">
        <v>141</v>
      </c>
      <c r="AG364" s="359" t="s">
        <v>852</v>
      </c>
      <c r="AH364" s="363" t="s">
        <v>559</v>
      </c>
      <c r="AI364" s="1" t="s">
        <v>126</v>
      </c>
      <c r="AJ364" s="1" t="s">
        <v>126</v>
      </c>
      <c r="AK364" s="1" t="s">
        <v>126</v>
      </c>
      <c r="AL364" s="1" t="s">
        <v>126</v>
      </c>
      <c r="AM364" s="374"/>
    </row>
    <row r="365" spans="1:39">
      <c r="A365" s="221" t="s">
        <v>857</v>
      </c>
      <c r="B365" s="69" t="s">
        <v>858</v>
      </c>
      <c r="C365" s="23">
        <v>1</v>
      </c>
      <c r="D365" s="30" t="s">
        <v>140</v>
      </c>
      <c r="E365" s="31"/>
      <c r="F365" s="19"/>
      <c r="G365" s="85">
        <v>85</v>
      </c>
      <c r="H365" s="85"/>
      <c r="I365" s="56"/>
      <c r="J365" s="56"/>
      <c r="K365" s="14"/>
      <c r="L365" s="56"/>
      <c r="M365" s="631" t="s">
        <v>141</v>
      </c>
      <c r="N365" s="359" t="s">
        <v>852</v>
      </c>
      <c r="O365" s="363" t="s">
        <v>559</v>
      </c>
      <c r="P365" s="1" t="str">
        <f t="shared" si="86"/>
        <v/>
      </c>
      <c r="Q365" s="1" t="str">
        <f t="shared" si="86"/>
        <v/>
      </c>
      <c r="R365" s="1" t="str">
        <f t="shared" si="86"/>
        <v/>
      </c>
      <c r="S365" s="1" t="str">
        <f t="shared" si="86"/>
        <v/>
      </c>
      <c r="T365" s="221" t="s">
        <v>857</v>
      </c>
      <c r="U365" s="69" t="s">
        <v>858</v>
      </c>
      <c r="V365" s="23">
        <v>1</v>
      </c>
      <c r="W365" s="30" t="s">
        <v>140</v>
      </c>
      <c r="X365" s="31"/>
      <c r="Y365" s="19"/>
      <c r="Z365" s="85">
        <v>85</v>
      </c>
      <c r="AA365" s="85"/>
      <c r="AB365" s="56"/>
      <c r="AC365" s="56"/>
      <c r="AD365" s="14"/>
      <c r="AE365" s="56"/>
      <c r="AF365" s="631" t="s">
        <v>141</v>
      </c>
      <c r="AG365" s="359" t="s">
        <v>852</v>
      </c>
      <c r="AH365" s="363" t="s">
        <v>559</v>
      </c>
      <c r="AI365" s="1" t="s">
        <v>126</v>
      </c>
      <c r="AJ365" s="1" t="s">
        <v>126</v>
      </c>
      <c r="AK365" s="1" t="s">
        <v>126</v>
      </c>
      <c r="AL365" s="1" t="s">
        <v>126</v>
      </c>
      <c r="AM365" s="374"/>
    </row>
    <row r="366" spans="1:39">
      <c r="A366" s="221" t="s">
        <v>859</v>
      </c>
      <c r="B366" s="69" t="s">
        <v>860</v>
      </c>
      <c r="C366" s="23">
        <v>1</v>
      </c>
      <c r="D366" s="30" t="s">
        <v>140</v>
      </c>
      <c r="E366" s="31"/>
      <c r="F366" s="19"/>
      <c r="G366" s="85">
        <v>43</v>
      </c>
      <c r="H366" s="85"/>
      <c r="I366" s="56"/>
      <c r="J366" s="56"/>
      <c r="K366" s="14"/>
      <c r="L366" s="56"/>
      <c r="M366" s="631" t="s">
        <v>141</v>
      </c>
      <c r="N366" s="359" t="s">
        <v>852</v>
      </c>
      <c r="O366" s="363" t="s">
        <v>559</v>
      </c>
      <c r="P366" s="1" t="str">
        <f t="shared" si="86"/>
        <v/>
      </c>
      <c r="Q366" s="1" t="str">
        <f t="shared" si="86"/>
        <v/>
      </c>
      <c r="R366" s="1" t="str">
        <f t="shared" si="86"/>
        <v/>
      </c>
      <c r="S366" s="1" t="str">
        <f t="shared" si="86"/>
        <v/>
      </c>
      <c r="T366" s="221" t="s">
        <v>859</v>
      </c>
      <c r="U366" s="69" t="s">
        <v>860</v>
      </c>
      <c r="V366" s="23">
        <v>1</v>
      </c>
      <c r="W366" s="30" t="s">
        <v>140</v>
      </c>
      <c r="X366" s="31"/>
      <c r="Y366" s="19"/>
      <c r="Z366" s="85">
        <v>43</v>
      </c>
      <c r="AA366" s="85"/>
      <c r="AB366" s="56"/>
      <c r="AC366" s="56"/>
      <c r="AD366" s="14"/>
      <c r="AE366" s="56"/>
      <c r="AF366" s="631" t="s">
        <v>141</v>
      </c>
      <c r="AG366" s="359" t="s">
        <v>852</v>
      </c>
      <c r="AH366" s="363" t="s">
        <v>559</v>
      </c>
      <c r="AI366" s="1" t="s">
        <v>126</v>
      </c>
      <c r="AJ366" s="1" t="s">
        <v>126</v>
      </c>
      <c r="AK366" s="1" t="s">
        <v>126</v>
      </c>
      <c r="AL366" s="1" t="s">
        <v>126</v>
      </c>
      <c r="AM366" s="374"/>
    </row>
    <row r="367" spans="1:39">
      <c r="A367" s="221" t="s">
        <v>861</v>
      </c>
      <c r="B367" s="69" t="s">
        <v>862</v>
      </c>
      <c r="C367" s="23">
        <v>1</v>
      </c>
      <c r="D367" s="30" t="s">
        <v>140</v>
      </c>
      <c r="E367" s="31"/>
      <c r="F367" s="19"/>
      <c r="G367" s="85">
        <v>80</v>
      </c>
      <c r="H367" s="85"/>
      <c r="I367" s="56"/>
      <c r="J367" s="56"/>
      <c r="K367" s="14"/>
      <c r="L367" s="56"/>
      <c r="M367" s="631" t="s">
        <v>141</v>
      </c>
      <c r="N367" s="359" t="s">
        <v>852</v>
      </c>
      <c r="O367" s="363" t="s">
        <v>559</v>
      </c>
      <c r="P367" s="1" t="str">
        <f t="shared" si="86"/>
        <v/>
      </c>
      <c r="Q367" s="1" t="str">
        <f t="shared" si="86"/>
        <v/>
      </c>
      <c r="R367" s="1" t="str">
        <f t="shared" si="86"/>
        <v/>
      </c>
      <c r="S367" s="1" t="str">
        <f t="shared" si="86"/>
        <v/>
      </c>
      <c r="T367" s="221" t="s">
        <v>861</v>
      </c>
      <c r="U367" s="69" t="s">
        <v>862</v>
      </c>
      <c r="V367" s="23">
        <v>1</v>
      </c>
      <c r="W367" s="30" t="s">
        <v>140</v>
      </c>
      <c r="X367" s="31"/>
      <c r="Y367" s="19"/>
      <c r="Z367" s="85">
        <v>80</v>
      </c>
      <c r="AA367" s="85"/>
      <c r="AB367" s="56"/>
      <c r="AC367" s="56"/>
      <c r="AD367" s="14"/>
      <c r="AE367" s="56"/>
      <c r="AF367" s="631" t="s">
        <v>141</v>
      </c>
      <c r="AG367" s="359" t="s">
        <v>852</v>
      </c>
      <c r="AH367" s="363" t="s">
        <v>559</v>
      </c>
      <c r="AI367" s="1" t="s">
        <v>126</v>
      </c>
      <c r="AJ367" s="1" t="s">
        <v>126</v>
      </c>
      <c r="AK367" s="1" t="s">
        <v>126</v>
      </c>
      <c r="AL367" s="1" t="s">
        <v>126</v>
      </c>
      <c r="AM367" s="374"/>
    </row>
    <row r="368" spans="1:39">
      <c r="A368" s="221" t="s">
        <v>863</v>
      </c>
      <c r="B368" s="69" t="s">
        <v>864</v>
      </c>
      <c r="C368" s="23">
        <v>1</v>
      </c>
      <c r="D368" s="30" t="s">
        <v>140</v>
      </c>
      <c r="E368" s="31"/>
      <c r="F368" s="19"/>
      <c r="G368" s="85">
        <v>103</v>
      </c>
      <c r="H368" s="85"/>
      <c r="I368" s="56"/>
      <c r="J368" s="56"/>
      <c r="K368" s="14"/>
      <c r="L368" s="56"/>
      <c r="M368" s="631" t="s">
        <v>141</v>
      </c>
      <c r="N368" s="359" t="s">
        <v>852</v>
      </c>
      <c r="O368" s="363" t="s">
        <v>559</v>
      </c>
      <c r="P368" s="1" t="str">
        <f t="shared" si="86"/>
        <v/>
      </c>
      <c r="Q368" s="1" t="str">
        <f t="shared" si="86"/>
        <v/>
      </c>
      <c r="R368" s="1" t="str">
        <f t="shared" si="86"/>
        <v/>
      </c>
      <c r="S368" s="1" t="str">
        <f t="shared" si="86"/>
        <v/>
      </c>
      <c r="T368" s="221" t="s">
        <v>863</v>
      </c>
      <c r="U368" s="69" t="s">
        <v>864</v>
      </c>
      <c r="V368" s="23">
        <v>1</v>
      </c>
      <c r="W368" s="30" t="s">
        <v>140</v>
      </c>
      <c r="X368" s="31"/>
      <c r="Y368" s="19"/>
      <c r="Z368" s="85">
        <v>103</v>
      </c>
      <c r="AA368" s="85"/>
      <c r="AB368" s="56"/>
      <c r="AC368" s="56"/>
      <c r="AD368" s="14"/>
      <c r="AE368" s="56"/>
      <c r="AF368" s="631" t="s">
        <v>141</v>
      </c>
      <c r="AG368" s="359" t="s">
        <v>852</v>
      </c>
      <c r="AH368" s="363" t="s">
        <v>559</v>
      </c>
      <c r="AI368" s="1" t="s">
        <v>126</v>
      </c>
      <c r="AJ368" s="1" t="s">
        <v>126</v>
      </c>
      <c r="AK368" s="1" t="s">
        <v>126</v>
      </c>
      <c r="AL368" s="1" t="s">
        <v>126</v>
      </c>
      <c r="AM368" s="374"/>
    </row>
    <row r="369" spans="1:39">
      <c r="A369" s="221" t="s">
        <v>865</v>
      </c>
      <c r="B369" s="69" t="s">
        <v>866</v>
      </c>
      <c r="C369" s="23">
        <v>1</v>
      </c>
      <c r="D369" s="30" t="s">
        <v>140</v>
      </c>
      <c r="E369" s="31"/>
      <c r="F369" s="19"/>
      <c r="G369" s="85">
        <v>111</v>
      </c>
      <c r="H369" s="85"/>
      <c r="I369" s="56"/>
      <c r="J369" s="56"/>
      <c r="K369" s="14"/>
      <c r="L369" s="56"/>
      <c r="M369" s="631" t="s">
        <v>141</v>
      </c>
      <c r="N369" s="359" t="s">
        <v>852</v>
      </c>
      <c r="O369" s="363" t="s">
        <v>559</v>
      </c>
      <c r="P369" s="1" t="str">
        <f t="shared" si="86"/>
        <v/>
      </c>
      <c r="Q369" s="1" t="str">
        <f t="shared" si="86"/>
        <v/>
      </c>
      <c r="R369" s="1" t="str">
        <f t="shared" si="86"/>
        <v/>
      </c>
      <c r="S369" s="1" t="str">
        <f t="shared" si="86"/>
        <v/>
      </c>
      <c r="T369" s="221" t="s">
        <v>865</v>
      </c>
      <c r="U369" s="69" t="s">
        <v>866</v>
      </c>
      <c r="V369" s="23">
        <v>1</v>
      </c>
      <c r="W369" s="30" t="s">
        <v>140</v>
      </c>
      <c r="X369" s="31"/>
      <c r="Y369" s="19"/>
      <c r="Z369" s="85">
        <v>111</v>
      </c>
      <c r="AA369" s="85"/>
      <c r="AB369" s="56"/>
      <c r="AC369" s="56"/>
      <c r="AD369" s="14"/>
      <c r="AE369" s="56"/>
      <c r="AF369" s="631" t="s">
        <v>141</v>
      </c>
      <c r="AG369" s="359" t="s">
        <v>852</v>
      </c>
      <c r="AH369" s="363" t="s">
        <v>559</v>
      </c>
      <c r="AI369" s="1" t="s">
        <v>126</v>
      </c>
      <c r="AJ369" s="1" t="s">
        <v>126</v>
      </c>
      <c r="AK369" s="1" t="s">
        <v>126</v>
      </c>
      <c r="AL369" s="1" t="s">
        <v>126</v>
      </c>
      <c r="AM369" s="374"/>
    </row>
    <row r="370" spans="1:39">
      <c r="A370" s="221" t="s">
        <v>867</v>
      </c>
      <c r="B370" s="69" t="s">
        <v>868</v>
      </c>
      <c r="C370" s="23">
        <v>1</v>
      </c>
      <c r="D370" s="30" t="s">
        <v>140</v>
      </c>
      <c r="E370" s="31"/>
      <c r="F370" s="19"/>
      <c r="G370" s="85">
        <v>33</v>
      </c>
      <c r="H370" s="85"/>
      <c r="I370" s="56"/>
      <c r="J370" s="56"/>
      <c r="K370" s="14"/>
      <c r="L370" s="56"/>
      <c r="M370" s="631" t="s">
        <v>141</v>
      </c>
      <c r="N370" s="359" t="s">
        <v>852</v>
      </c>
      <c r="O370" s="363" t="s">
        <v>559</v>
      </c>
      <c r="P370" s="1" t="str">
        <f t="shared" si="86"/>
        <v/>
      </c>
      <c r="Q370" s="1" t="str">
        <f t="shared" si="86"/>
        <v/>
      </c>
      <c r="R370" s="1" t="str">
        <f t="shared" si="86"/>
        <v/>
      </c>
      <c r="S370" s="1" t="str">
        <f t="shared" si="86"/>
        <v/>
      </c>
      <c r="T370" s="221" t="s">
        <v>867</v>
      </c>
      <c r="U370" s="69" t="s">
        <v>868</v>
      </c>
      <c r="V370" s="23">
        <v>1</v>
      </c>
      <c r="W370" s="30" t="s">
        <v>140</v>
      </c>
      <c r="X370" s="31"/>
      <c r="Y370" s="19"/>
      <c r="Z370" s="85">
        <v>33</v>
      </c>
      <c r="AA370" s="85"/>
      <c r="AB370" s="56"/>
      <c r="AC370" s="56"/>
      <c r="AD370" s="14"/>
      <c r="AE370" s="56"/>
      <c r="AF370" s="631" t="s">
        <v>141</v>
      </c>
      <c r="AG370" s="359" t="s">
        <v>852</v>
      </c>
      <c r="AH370" s="363" t="s">
        <v>559</v>
      </c>
      <c r="AI370" s="1" t="s">
        <v>126</v>
      </c>
      <c r="AJ370" s="1" t="s">
        <v>126</v>
      </c>
      <c r="AK370" s="1" t="s">
        <v>126</v>
      </c>
      <c r="AL370" s="1" t="s">
        <v>126</v>
      </c>
      <c r="AM370" s="374"/>
    </row>
    <row r="371" spans="1:39">
      <c r="A371" s="221" t="s">
        <v>869</v>
      </c>
      <c r="B371" s="69" t="s">
        <v>870</v>
      </c>
      <c r="C371" s="23">
        <v>1</v>
      </c>
      <c r="D371" s="30" t="s">
        <v>140</v>
      </c>
      <c r="E371" s="31"/>
      <c r="F371" s="19"/>
      <c r="G371" s="85">
        <v>81</v>
      </c>
      <c r="H371" s="85"/>
      <c r="I371" s="56"/>
      <c r="J371" s="56"/>
      <c r="K371" s="14"/>
      <c r="L371" s="56"/>
      <c r="M371" s="631" t="s">
        <v>141</v>
      </c>
      <c r="N371" s="359" t="s">
        <v>852</v>
      </c>
      <c r="O371" s="363" t="s">
        <v>559</v>
      </c>
      <c r="P371" s="1" t="str">
        <f t="shared" si="86"/>
        <v/>
      </c>
      <c r="Q371" s="1" t="str">
        <f t="shared" si="86"/>
        <v/>
      </c>
      <c r="R371" s="1" t="str">
        <f t="shared" si="86"/>
        <v/>
      </c>
      <c r="S371" s="1" t="str">
        <f t="shared" si="86"/>
        <v/>
      </c>
      <c r="T371" s="221" t="s">
        <v>869</v>
      </c>
      <c r="U371" s="69" t="s">
        <v>870</v>
      </c>
      <c r="V371" s="23">
        <v>1</v>
      </c>
      <c r="W371" s="30" t="s">
        <v>140</v>
      </c>
      <c r="X371" s="31"/>
      <c r="Y371" s="19"/>
      <c r="Z371" s="85">
        <v>81</v>
      </c>
      <c r="AA371" s="85"/>
      <c r="AB371" s="56"/>
      <c r="AC371" s="56"/>
      <c r="AD371" s="14"/>
      <c r="AE371" s="56"/>
      <c r="AF371" s="631" t="s">
        <v>141</v>
      </c>
      <c r="AG371" s="359" t="s">
        <v>852</v>
      </c>
      <c r="AH371" s="363" t="s">
        <v>559</v>
      </c>
      <c r="AI371" s="1" t="s">
        <v>126</v>
      </c>
      <c r="AJ371" s="1" t="s">
        <v>126</v>
      </c>
      <c r="AK371" s="1" t="s">
        <v>126</v>
      </c>
      <c r="AL371" s="1" t="s">
        <v>126</v>
      </c>
      <c r="AM371" s="374"/>
    </row>
    <row r="372" spans="1:39">
      <c r="A372" s="221" t="s">
        <v>871</v>
      </c>
      <c r="B372" s="69" t="s">
        <v>872</v>
      </c>
      <c r="C372" s="23">
        <v>1</v>
      </c>
      <c r="D372" s="30" t="s">
        <v>140</v>
      </c>
      <c r="E372" s="31"/>
      <c r="F372" s="19"/>
      <c r="G372" s="85">
        <v>108</v>
      </c>
      <c r="H372" s="85"/>
      <c r="I372" s="56"/>
      <c r="J372" s="56"/>
      <c r="K372" s="14"/>
      <c r="L372" s="56"/>
      <c r="M372" s="631" t="s">
        <v>141</v>
      </c>
      <c r="N372" s="359" t="s">
        <v>852</v>
      </c>
      <c r="O372" s="363" t="s">
        <v>559</v>
      </c>
      <c r="P372" s="1" t="str">
        <f t="shared" si="86"/>
        <v/>
      </c>
      <c r="Q372" s="1" t="str">
        <f t="shared" si="86"/>
        <v/>
      </c>
      <c r="R372" s="1" t="str">
        <f t="shared" si="86"/>
        <v/>
      </c>
      <c r="S372" s="1" t="str">
        <f t="shared" si="86"/>
        <v/>
      </c>
      <c r="T372" s="221" t="s">
        <v>871</v>
      </c>
      <c r="U372" s="69" t="s">
        <v>872</v>
      </c>
      <c r="V372" s="23">
        <v>1</v>
      </c>
      <c r="W372" s="30" t="s">
        <v>140</v>
      </c>
      <c r="X372" s="31"/>
      <c r="Y372" s="19"/>
      <c r="Z372" s="85">
        <v>108</v>
      </c>
      <c r="AA372" s="85"/>
      <c r="AB372" s="56"/>
      <c r="AC372" s="56"/>
      <c r="AD372" s="14"/>
      <c r="AE372" s="56"/>
      <c r="AF372" s="631" t="s">
        <v>141</v>
      </c>
      <c r="AG372" s="359" t="s">
        <v>852</v>
      </c>
      <c r="AH372" s="363" t="s">
        <v>559</v>
      </c>
      <c r="AI372" s="1" t="s">
        <v>126</v>
      </c>
      <c r="AJ372" s="1" t="s">
        <v>126</v>
      </c>
      <c r="AK372" s="1" t="s">
        <v>126</v>
      </c>
      <c r="AL372" s="1" t="s">
        <v>126</v>
      </c>
      <c r="AM372" s="374"/>
    </row>
    <row r="373" spans="1:39">
      <c r="A373" s="221" t="s">
        <v>873</v>
      </c>
      <c r="B373" s="69" t="s">
        <v>874</v>
      </c>
      <c r="C373" s="23">
        <v>1</v>
      </c>
      <c r="D373" s="30" t="s">
        <v>140</v>
      </c>
      <c r="E373" s="31"/>
      <c r="F373" s="19"/>
      <c r="G373" s="85">
        <v>143</v>
      </c>
      <c r="H373" s="85"/>
      <c r="I373" s="56"/>
      <c r="J373" s="56"/>
      <c r="K373" s="14"/>
      <c r="L373" s="56"/>
      <c r="M373" s="631" t="s">
        <v>141</v>
      </c>
      <c r="N373" s="359" t="s">
        <v>852</v>
      </c>
      <c r="O373" s="363" t="s">
        <v>559</v>
      </c>
      <c r="P373" s="1" t="str">
        <f t="shared" si="86"/>
        <v/>
      </c>
      <c r="Q373" s="1" t="str">
        <f t="shared" si="86"/>
        <v/>
      </c>
      <c r="R373" s="1" t="str">
        <f t="shared" si="86"/>
        <v/>
      </c>
      <c r="S373" s="1" t="str">
        <f t="shared" si="86"/>
        <v/>
      </c>
      <c r="T373" s="221" t="s">
        <v>873</v>
      </c>
      <c r="U373" s="69" t="s">
        <v>874</v>
      </c>
      <c r="V373" s="23">
        <v>1</v>
      </c>
      <c r="W373" s="30" t="s">
        <v>140</v>
      </c>
      <c r="X373" s="31"/>
      <c r="Y373" s="19"/>
      <c r="Z373" s="85">
        <v>143</v>
      </c>
      <c r="AA373" s="85"/>
      <c r="AB373" s="56"/>
      <c r="AC373" s="56"/>
      <c r="AD373" s="14"/>
      <c r="AE373" s="56"/>
      <c r="AF373" s="631" t="s">
        <v>141</v>
      </c>
      <c r="AG373" s="359" t="s">
        <v>852</v>
      </c>
      <c r="AH373" s="363" t="s">
        <v>559</v>
      </c>
      <c r="AI373" s="1" t="s">
        <v>126</v>
      </c>
      <c r="AJ373" s="1" t="s">
        <v>126</v>
      </c>
      <c r="AK373" s="1" t="s">
        <v>126</v>
      </c>
      <c r="AL373" s="1" t="s">
        <v>126</v>
      </c>
      <c r="AM373" s="374"/>
    </row>
    <row r="374" spans="1:39" s="75" customFormat="1">
      <c r="A374" s="222" t="s">
        <v>875</v>
      </c>
      <c r="B374" s="352" t="s">
        <v>876</v>
      </c>
      <c r="C374" s="97">
        <v>1</v>
      </c>
      <c r="D374" s="34" t="s">
        <v>140</v>
      </c>
      <c r="E374" s="35"/>
      <c r="F374" s="38"/>
      <c r="G374" s="99">
        <v>331</v>
      </c>
      <c r="H374" s="99"/>
      <c r="I374" s="98"/>
      <c r="J374" s="98"/>
      <c r="K374" s="35"/>
      <c r="L374" s="98"/>
      <c r="M374" s="631" t="s">
        <v>141</v>
      </c>
      <c r="N374" s="359" t="s">
        <v>852</v>
      </c>
      <c r="O374" s="364" t="s">
        <v>559</v>
      </c>
      <c r="P374" s="1" t="str">
        <f t="shared" si="86"/>
        <v/>
      </c>
      <c r="Q374" s="1" t="str">
        <f t="shared" si="86"/>
        <v/>
      </c>
      <c r="R374" s="1" t="str">
        <f t="shared" si="86"/>
        <v/>
      </c>
      <c r="S374" s="1" t="str">
        <f t="shared" si="86"/>
        <v/>
      </c>
      <c r="T374" s="222" t="s">
        <v>875</v>
      </c>
      <c r="U374" s="352" t="s">
        <v>876</v>
      </c>
      <c r="V374" s="97">
        <v>1</v>
      </c>
      <c r="W374" s="34" t="s">
        <v>140</v>
      </c>
      <c r="X374" s="35"/>
      <c r="Y374" s="38"/>
      <c r="Z374" s="99">
        <v>331</v>
      </c>
      <c r="AA374" s="99"/>
      <c r="AB374" s="98"/>
      <c r="AC374" s="98"/>
      <c r="AD374" s="35"/>
      <c r="AE374" s="98"/>
      <c r="AF374" s="631" t="s">
        <v>141</v>
      </c>
      <c r="AG374" s="359" t="s">
        <v>852</v>
      </c>
      <c r="AH374" s="364" t="s">
        <v>559</v>
      </c>
      <c r="AI374" s="1" t="s">
        <v>126</v>
      </c>
      <c r="AJ374" s="1" t="s">
        <v>126</v>
      </c>
      <c r="AK374" s="1" t="s">
        <v>126</v>
      </c>
      <c r="AL374" s="1" t="s">
        <v>126</v>
      </c>
      <c r="AM374" s="376"/>
    </row>
    <row r="375" spans="1:39">
      <c r="A375" s="221" t="s">
        <v>877</v>
      </c>
      <c r="B375" s="69" t="s">
        <v>878</v>
      </c>
      <c r="C375" s="23">
        <v>1</v>
      </c>
      <c r="D375" s="30" t="s">
        <v>140</v>
      </c>
      <c r="E375" s="31"/>
      <c r="F375" s="19"/>
      <c r="G375" s="85">
        <v>641</v>
      </c>
      <c r="H375" s="85"/>
      <c r="I375" s="56"/>
      <c r="J375" s="56"/>
      <c r="K375" s="14"/>
      <c r="L375" s="56"/>
      <c r="M375" s="631" t="s">
        <v>141</v>
      </c>
      <c r="N375" s="359" t="s">
        <v>852</v>
      </c>
      <c r="O375" s="363" t="s">
        <v>559</v>
      </c>
      <c r="P375" s="1" t="str">
        <f t="shared" si="86"/>
        <v/>
      </c>
      <c r="Q375" s="1" t="str">
        <f t="shared" si="86"/>
        <v/>
      </c>
      <c r="R375" s="1" t="str">
        <f t="shared" si="86"/>
        <v/>
      </c>
      <c r="S375" s="1" t="str">
        <f t="shared" si="86"/>
        <v/>
      </c>
      <c r="T375" s="221" t="s">
        <v>877</v>
      </c>
      <c r="U375" s="69" t="s">
        <v>878</v>
      </c>
      <c r="V375" s="23">
        <v>1</v>
      </c>
      <c r="W375" s="30" t="s">
        <v>140</v>
      </c>
      <c r="X375" s="31"/>
      <c r="Y375" s="19"/>
      <c r="Z375" s="85">
        <v>641</v>
      </c>
      <c r="AA375" s="85"/>
      <c r="AB375" s="56"/>
      <c r="AC375" s="56"/>
      <c r="AD375" s="14"/>
      <c r="AE375" s="56"/>
      <c r="AF375" s="631" t="s">
        <v>141</v>
      </c>
      <c r="AG375" s="359" t="s">
        <v>852</v>
      </c>
      <c r="AH375" s="363" t="s">
        <v>559</v>
      </c>
      <c r="AI375" s="1" t="s">
        <v>126</v>
      </c>
      <c r="AJ375" s="1" t="s">
        <v>126</v>
      </c>
      <c r="AK375" s="1" t="s">
        <v>126</v>
      </c>
      <c r="AL375" s="1" t="s">
        <v>126</v>
      </c>
      <c r="AM375" s="374"/>
    </row>
    <row r="376" spans="1:39">
      <c r="A376" s="221" t="s">
        <v>879</v>
      </c>
      <c r="B376" s="69" t="s">
        <v>880</v>
      </c>
      <c r="C376" s="23">
        <v>1</v>
      </c>
      <c r="D376" s="30" t="s">
        <v>140</v>
      </c>
      <c r="E376" s="31"/>
      <c r="F376" s="19"/>
      <c r="G376" s="24">
        <v>1592.16</v>
      </c>
      <c r="H376" s="85"/>
      <c r="I376" s="56"/>
      <c r="J376" s="56"/>
      <c r="K376" s="14"/>
      <c r="L376" s="56"/>
      <c r="M376" s="631" t="s">
        <v>141</v>
      </c>
      <c r="N376" s="359" t="s">
        <v>852</v>
      </c>
      <c r="O376" s="363" t="s">
        <v>143</v>
      </c>
      <c r="P376" s="1" t="str">
        <f t="shared" si="86"/>
        <v/>
      </c>
      <c r="Q376" s="1" t="str">
        <f t="shared" si="86"/>
        <v/>
      </c>
      <c r="R376" s="1" t="str">
        <f t="shared" si="86"/>
        <v/>
      </c>
      <c r="S376" s="1" t="str">
        <f t="shared" si="86"/>
        <v/>
      </c>
      <c r="T376" s="221" t="s">
        <v>879</v>
      </c>
      <c r="U376" s="69" t="s">
        <v>880</v>
      </c>
      <c r="V376" s="23">
        <v>1</v>
      </c>
      <c r="W376" s="30" t="s">
        <v>140</v>
      </c>
      <c r="X376" s="31"/>
      <c r="Y376" s="19"/>
      <c r="Z376" s="24">
        <v>1592.16</v>
      </c>
      <c r="AA376" s="85"/>
      <c r="AB376" s="56"/>
      <c r="AC376" s="56"/>
      <c r="AD376" s="14"/>
      <c r="AE376" s="56"/>
      <c r="AF376" s="631" t="s">
        <v>141</v>
      </c>
      <c r="AG376" s="359" t="s">
        <v>852</v>
      </c>
      <c r="AH376" s="363" t="s">
        <v>143</v>
      </c>
      <c r="AI376" s="1" t="s">
        <v>126</v>
      </c>
      <c r="AJ376" s="1" t="s">
        <v>126</v>
      </c>
      <c r="AK376" s="1" t="s">
        <v>126</v>
      </c>
      <c r="AL376" s="1" t="s">
        <v>126</v>
      </c>
      <c r="AM376" s="374"/>
    </row>
    <row r="377" spans="1:39" s="329" customFormat="1" ht="24.95" customHeight="1">
      <c r="A377" s="448" t="s">
        <v>881</v>
      </c>
      <c r="B377" s="550" t="s">
        <v>882</v>
      </c>
      <c r="C377" s="450"/>
      <c r="D377" s="451"/>
      <c r="E377" s="451"/>
      <c r="F377" s="452"/>
      <c r="G377" s="453"/>
      <c r="H377" s="453"/>
      <c r="I377" s="454"/>
      <c r="J377" s="454"/>
      <c r="K377" s="453"/>
      <c r="L377" s="454"/>
      <c r="M377" s="629"/>
      <c r="N377" s="455"/>
      <c r="O377" s="454"/>
      <c r="P377" s="454"/>
      <c r="Q377" s="454"/>
      <c r="R377" s="454"/>
      <c r="S377" s="456"/>
      <c r="T377" s="448" t="s">
        <v>881</v>
      </c>
      <c r="U377" s="550" t="s">
        <v>882</v>
      </c>
      <c r="V377" s="450"/>
      <c r="W377" s="451"/>
      <c r="X377" s="451"/>
      <c r="Y377" s="452"/>
      <c r="Z377" s="453"/>
      <c r="AA377" s="453"/>
      <c r="AB377" s="454"/>
      <c r="AC377" s="454"/>
      <c r="AD377" s="453"/>
      <c r="AE377" s="454"/>
      <c r="AF377" s="629"/>
      <c r="AG377" s="455"/>
      <c r="AH377" s="454"/>
      <c r="AI377" s="454"/>
      <c r="AJ377" s="454"/>
      <c r="AK377" s="454"/>
      <c r="AL377" s="456"/>
      <c r="AM377" s="378"/>
    </row>
    <row r="378" spans="1:39">
      <c r="A378" s="223" t="s">
        <v>883</v>
      </c>
      <c r="B378" s="52" t="s">
        <v>884</v>
      </c>
      <c r="C378" s="53">
        <v>1</v>
      </c>
      <c r="D378" s="61" t="s">
        <v>118</v>
      </c>
      <c r="E378" s="62">
        <v>536.91999999999996</v>
      </c>
      <c r="F378" s="66">
        <f>rv_ipm</f>
        <v>0.1065</v>
      </c>
      <c r="G378" s="70">
        <f>E378-(E378*F378)</f>
        <v>479.73801999999995</v>
      </c>
      <c r="H378" s="53" t="s">
        <v>885</v>
      </c>
      <c r="I378" s="63">
        <v>30.36</v>
      </c>
      <c r="J378" s="63">
        <f>G378+I378</f>
        <v>510.09801999999996</v>
      </c>
      <c r="K378" s="63">
        <v>12</v>
      </c>
      <c r="L378" s="63">
        <v>0.25</v>
      </c>
      <c r="M378" s="631" t="s">
        <v>886</v>
      </c>
      <c r="N378" s="358" t="s">
        <v>887</v>
      </c>
      <c r="O378" s="407" t="s">
        <v>123</v>
      </c>
      <c r="P378" s="1">
        <f t="shared" ref="P378:S394" si="87">+IF($J378&lt;&gt;"",P$2*$J378,"")</f>
        <v>102.68719340015619</v>
      </c>
      <c r="Q378" s="1">
        <f t="shared" si="87"/>
        <v>53.367197645850226</v>
      </c>
      <c r="R378" s="1">
        <f t="shared" si="87"/>
        <v>38.759006978361988</v>
      </c>
      <c r="S378" s="1">
        <f t="shared" si="87"/>
        <v>33.446557238255515</v>
      </c>
      <c r="T378" s="223" t="s">
        <v>883</v>
      </c>
      <c r="U378" s="52" t="s">
        <v>884</v>
      </c>
      <c r="V378" s="53">
        <v>1</v>
      </c>
      <c r="W378" s="61" t="s">
        <v>118</v>
      </c>
      <c r="X378" s="62">
        <v>536.91999999999996</v>
      </c>
      <c r="Y378" s="66">
        <v>0.1065</v>
      </c>
      <c r="Z378" s="70">
        <v>479.73801999999995</v>
      </c>
      <c r="AA378" s="53" t="s">
        <v>885</v>
      </c>
      <c r="AB378" s="63">
        <v>30.36</v>
      </c>
      <c r="AC378" s="63">
        <v>510.09801999999996</v>
      </c>
      <c r="AD378" s="63">
        <v>12</v>
      </c>
      <c r="AE378" s="63">
        <v>0.25</v>
      </c>
      <c r="AF378" s="631" t="s">
        <v>886</v>
      </c>
      <c r="AG378" s="358" t="s">
        <v>887</v>
      </c>
      <c r="AH378" s="407" t="s">
        <v>123</v>
      </c>
      <c r="AI378" s="1">
        <v>102.68719340015619</v>
      </c>
      <c r="AJ378" s="1">
        <v>53.367197645850226</v>
      </c>
      <c r="AK378" s="1">
        <v>38.759006978361988</v>
      </c>
      <c r="AL378" s="1">
        <v>33.446557238255515</v>
      </c>
      <c r="AM378" s="377"/>
    </row>
    <row r="379" spans="1:39">
      <c r="A379" s="223" t="s">
        <v>888</v>
      </c>
      <c r="B379" s="52" t="s">
        <v>889</v>
      </c>
      <c r="C379" s="53">
        <v>1</v>
      </c>
      <c r="D379" s="61" t="s">
        <v>118</v>
      </c>
      <c r="E379" s="62">
        <v>701.58</v>
      </c>
      <c r="F379" s="66">
        <f>rv_ipm</f>
        <v>0.1065</v>
      </c>
      <c r="G379" s="70">
        <f>E379-(E379*F379)</f>
        <v>626.86173000000008</v>
      </c>
      <c r="H379" s="53" t="s">
        <v>885</v>
      </c>
      <c r="I379" s="63" cm="1">
        <f t="array" ref="I379">ipm_5pl</f>
        <v>30.36</v>
      </c>
      <c r="J379" s="63">
        <f>G379+I379</f>
        <v>657.22173000000009</v>
      </c>
      <c r="K379" s="63">
        <v>14</v>
      </c>
      <c r="L379" s="63">
        <v>0.25</v>
      </c>
      <c r="M379" s="631" t="s">
        <v>890</v>
      </c>
      <c r="N379" s="359" t="s">
        <v>887</v>
      </c>
      <c r="O379" s="365" t="s">
        <v>123</v>
      </c>
      <c r="P379" s="1">
        <f t="shared" si="87"/>
        <v>132.30448315658086</v>
      </c>
      <c r="Q379" s="1">
        <f t="shared" si="87"/>
        <v>68.759494424341469</v>
      </c>
      <c r="R379" s="1">
        <f t="shared" si="87"/>
        <v>49.937973919995116</v>
      </c>
      <c r="S379" s="1">
        <f t="shared" si="87"/>
        <v>43.093294521453579</v>
      </c>
      <c r="T379" s="223" t="s">
        <v>888</v>
      </c>
      <c r="U379" s="52" t="s">
        <v>889</v>
      </c>
      <c r="V379" s="53">
        <v>1</v>
      </c>
      <c r="W379" s="61" t="s">
        <v>118</v>
      </c>
      <c r="X379" s="62">
        <v>701.58</v>
      </c>
      <c r="Y379" s="66">
        <v>0.1065</v>
      </c>
      <c r="Z379" s="70">
        <v>626.86173000000008</v>
      </c>
      <c r="AA379" s="53" t="s">
        <v>885</v>
      </c>
      <c r="AB379" s="63">
        <v>30.36</v>
      </c>
      <c r="AC379" s="63">
        <v>657.22173000000009</v>
      </c>
      <c r="AD379" s="63">
        <v>14</v>
      </c>
      <c r="AE379" s="63">
        <v>0.25</v>
      </c>
      <c r="AF379" s="631" t="s">
        <v>890</v>
      </c>
      <c r="AG379" s="359" t="s">
        <v>887</v>
      </c>
      <c r="AH379" s="365" t="s">
        <v>123</v>
      </c>
      <c r="AI379" s="1">
        <v>132.30448315658086</v>
      </c>
      <c r="AJ379" s="1">
        <v>68.759494424341469</v>
      </c>
      <c r="AK379" s="1">
        <v>49.937973919995116</v>
      </c>
      <c r="AL379" s="1">
        <v>43.093294521453579</v>
      </c>
      <c r="AM379" s="374"/>
    </row>
    <row r="380" spans="1:39">
      <c r="A380" s="223" t="s">
        <v>891</v>
      </c>
      <c r="B380" s="52" t="s">
        <v>892</v>
      </c>
      <c r="C380" s="53">
        <v>1</v>
      </c>
      <c r="D380" s="61" t="s">
        <v>118</v>
      </c>
      <c r="E380" s="62">
        <v>703.58</v>
      </c>
      <c r="F380" s="66">
        <f>rv_ipm</f>
        <v>0.1065</v>
      </c>
      <c r="G380" s="70">
        <f>E380-(E380*F380)</f>
        <v>628.64873</v>
      </c>
      <c r="H380" s="53" t="s">
        <v>885</v>
      </c>
      <c r="I380" s="63">
        <f>ipm_5pl</f>
        <v>30.36</v>
      </c>
      <c r="J380" s="63">
        <f>G380+I380</f>
        <v>659.00873000000001</v>
      </c>
      <c r="K380" s="63">
        <v>12</v>
      </c>
      <c r="L380" s="63">
        <v>0.25</v>
      </c>
      <c r="M380" s="631" t="s">
        <v>893</v>
      </c>
      <c r="N380" s="359" t="s">
        <v>887</v>
      </c>
      <c r="O380" s="365" t="s">
        <v>123</v>
      </c>
      <c r="P380" s="1">
        <f t="shared" si="87"/>
        <v>132.66422188798404</v>
      </c>
      <c r="Q380" s="1">
        <f t="shared" si="87"/>
        <v>68.946452966531311</v>
      </c>
      <c r="R380" s="1">
        <f t="shared" si="87"/>
        <v>50.073756343675818</v>
      </c>
      <c r="S380" s="1">
        <f t="shared" si="87"/>
        <v>43.210466114836272</v>
      </c>
      <c r="T380" s="223" t="s">
        <v>891</v>
      </c>
      <c r="U380" s="52" t="s">
        <v>892</v>
      </c>
      <c r="V380" s="53">
        <v>1</v>
      </c>
      <c r="W380" s="61" t="s">
        <v>118</v>
      </c>
      <c r="X380" s="62">
        <v>703.58</v>
      </c>
      <c r="Y380" s="66">
        <v>0.1065</v>
      </c>
      <c r="Z380" s="70">
        <v>628.64873</v>
      </c>
      <c r="AA380" s="53" t="s">
        <v>885</v>
      </c>
      <c r="AB380" s="63">
        <v>30.36</v>
      </c>
      <c r="AC380" s="63">
        <v>659.00873000000001</v>
      </c>
      <c r="AD380" s="63">
        <v>12</v>
      </c>
      <c r="AE380" s="63">
        <v>0.25</v>
      </c>
      <c r="AF380" s="631" t="s">
        <v>893</v>
      </c>
      <c r="AG380" s="359" t="s">
        <v>887</v>
      </c>
      <c r="AH380" s="365" t="s">
        <v>123</v>
      </c>
      <c r="AI380" s="1">
        <v>132.66422188798404</v>
      </c>
      <c r="AJ380" s="1">
        <v>68.946452966531311</v>
      </c>
      <c r="AK380" s="1">
        <v>50.073756343675818</v>
      </c>
      <c r="AL380" s="1">
        <v>43.210466114836272</v>
      </c>
      <c r="AM380" s="374"/>
    </row>
    <row r="381" spans="1:39">
      <c r="A381" s="223" t="s">
        <v>894</v>
      </c>
      <c r="B381" s="52" t="s">
        <v>895</v>
      </c>
      <c r="C381" s="53">
        <v>1</v>
      </c>
      <c r="D381" s="61" t="s">
        <v>118</v>
      </c>
      <c r="E381" s="62">
        <v>868.25</v>
      </c>
      <c r="F381" s="66">
        <f>rv_ipm</f>
        <v>0.1065</v>
      </c>
      <c r="G381" s="70">
        <f>E381-(E381*F381)</f>
        <v>775.78137500000003</v>
      </c>
      <c r="H381" s="53" t="s">
        <v>885</v>
      </c>
      <c r="I381" s="63">
        <f>ipm_5pl</f>
        <v>30.36</v>
      </c>
      <c r="J381" s="63">
        <f>G381+I381</f>
        <v>806.14137500000004</v>
      </c>
      <c r="K381" s="63">
        <v>14</v>
      </c>
      <c r="L381" s="63">
        <v>0.25</v>
      </c>
      <c r="M381" s="631" t="s">
        <v>896</v>
      </c>
      <c r="N381" s="359" t="s">
        <v>887</v>
      </c>
      <c r="O381" s="365" t="s">
        <v>123</v>
      </c>
      <c r="P381" s="1">
        <f t="shared" si="87"/>
        <v>162.28331033806569</v>
      </c>
      <c r="Q381" s="1">
        <f t="shared" si="87"/>
        <v>84.33968453773349</v>
      </c>
      <c r="R381" s="1">
        <f t="shared" si="87"/>
        <v>61.253402197427334</v>
      </c>
      <c r="S381" s="1">
        <f t="shared" si="87"/>
        <v>52.85778925600124</v>
      </c>
      <c r="T381" s="223" t="s">
        <v>894</v>
      </c>
      <c r="U381" s="52" t="s">
        <v>895</v>
      </c>
      <c r="V381" s="53">
        <v>1</v>
      </c>
      <c r="W381" s="61" t="s">
        <v>118</v>
      </c>
      <c r="X381" s="62">
        <v>868.25</v>
      </c>
      <c r="Y381" s="66">
        <v>0.1065</v>
      </c>
      <c r="Z381" s="70">
        <v>775.78137500000003</v>
      </c>
      <c r="AA381" s="53" t="s">
        <v>885</v>
      </c>
      <c r="AB381" s="63">
        <v>30.36</v>
      </c>
      <c r="AC381" s="63">
        <v>806.14137500000004</v>
      </c>
      <c r="AD381" s="63">
        <v>14</v>
      </c>
      <c r="AE381" s="63">
        <v>0.25</v>
      </c>
      <c r="AF381" s="631" t="s">
        <v>896</v>
      </c>
      <c r="AG381" s="359" t="s">
        <v>887</v>
      </c>
      <c r="AH381" s="365" t="s">
        <v>123</v>
      </c>
      <c r="AI381" s="1">
        <v>162.28331033806569</v>
      </c>
      <c r="AJ381" s="1">
        <v>84.33968453773349</v>
      </c>
      <c r="AK381" s="1">
        <v>61.253402197427334</v>
      </c>
      <c r="AL381" s="1">
        <v>52.85778925600124</v>
      </c>
      <c r="AM381" s="374"/>
    </row>
    <row r="382" spans="1:39" s="77" customFormat="1">
      <c r="A382" s="234" t="s">
        <v>885</v>
      </c>
      <c r="B382" s="109" t="s">
        <v>897</v>
      </c>
      <c r="C382" s="88">
        <v>1</v>
      </c>
      <c r="D382" s="110" t="s">
        <v>140</v>
      </c>
      <c r="E382" s="280">
        <v>33.979999999999997</v>
      </c>
      <c r="F382" s="112">
        <v>0.1065</v>
      </c>
      <c r="G382" s="68">
        <f>E382-(E382*F382)</f>
        <v>30.361129999999996</v>
      </c>
      <c r="H382" s="88"/>
      <c r="I382" s="282"/>
      <c r="J382" s="282"/>
      <c r="K382" s="246"/>
      <c r="L382" s="56"/>
      <c r="M382" s="631" t="s">
        <v>141</v>
      </c>
      <c r="N382" s="359" t="s">
        <v>852</v>
      </c>
      <c r="O382" s="363" t="s">
        <v>143</v>
      </c>
      <c r="P382" s="1" t="str">
        <f t="shared" si="87"/>
        <v/>
      </c>
      <c r="Q382" s="1" t="str">
        <f t="shared" si="87"/>
        <v/>
      </c>
      <c r="R382" s="1" t="str">
        <f t="shared" si="87"/>
        <v/>
      </c>
      <c r="S382" s="1" t="str">
        <f t="shared" si="87"/>
        <v/>
      </c>
      <c r="T382" s="234" t="s">
        <v>885</v>
      </c>
      <c r="U382" s="109" t="s">
        <v>897</v>
      </c>
      <c r="V382" s="88">
        <v>1</v>
      </c>
      <c r="W382" s="110" t="s">
        <v>140</v>
      </c>
      <c r="X382" s="280">
        <v>33.979999999999997</v>
      </c>
      <c r="Y382" s="112">
        <v>0.1065</v>
      </c>
      <c r="Z382" s="68">
        <v>30.361129999999996</v>
      </c>
      <c r="AA382" s="88"/>
      <c r="AB382" s="282"/>
      <c r="AC382" s="282"/>
      <c r="AD382" s="246"/>
      <c r="AE382" s="56"/>
      <c r="AF382" s="631" t="s">
        <v>141</v>
      </c>
      <c r="AG382" s="359" t="s">
        <v>852</v>
      </c>
      <c r="AH382" s="363" t="s">
        <v>143</v>
      </c>
      <c r="AI382" s="1" t="s">
        <v>126</v>
      </c>
      <c r="AJ382" s="1" t="s">
        <v>126</v>
      </c>
      <c r="AK382" s="1" t="s">
        <v>126</v>
      </c>
      <c r="AL382" s="1" t="s">
        <v>126</v>
      </c>
      <c r="AM382" s="374"/>
    </row>
    <row r="383" spans="1:39">
      <c r="A383" s="221" t="s">
        <v>898</v>
      </c>
      <c r="B383" s="69" t="s">
        <v>899</v>
      </c>
      <c r="C383" s="23">
        <v>1</v>
      </c>
      <c r="D383" s="30" t="s">
        <v>140</v>
      </c>
      <c r="E383" s="31"/>
      <c r="F383" s="19"/>
      <c r="G383" s="85">
        <v>6</v>
      </c>
      <c r="H383" s="53"/>
      <c r="I383" s="56"/>
      <c r="J383" s="56"/>
      <c r="K383" s="14"/>
      <c r="L383" s="56"/>
      <c r="M383" s="631" t="s">
        <v>141</v>
      </c>
      <c r="N383" s="359" t="s">
        <v>852</v>
      </c>
      <c r="O383" s="363" t="s">
        <v>143</v>
      </c>
      <c r="P383" s="1" t="str">
        <f t="shared" si="87"/>
        <v/>
      </c>
      <c r="Q383" s="1" t="str">
        <f t="shared" si="87"/>
        <v/>
      </c>
      <c r="R383" s="1" t="str">
        <f t="shared" si="87"/>
        <v/>
      </c>
      <c r="S383" s="1" t="str">
        <f t="shared" si="87"/>
        <v/>
      </c>
      <c r="T383" s="221" t="s">
        <v>898</v>
      </c>
      <c r="U383" s="69" t="s">
        <v>899</v>
      </c>
      <c r="V383" s="23">
        <v>1</v>
      </c>
      <c r="W383" s="30" t="s">
        <v>140</v>
      </c>
      <c r="X383" s="31"/>
      <c r="Y383" s="19"/>
      <c r="Z383" s="85">
        <v>6</v>
      </c>
      <c r="AA383" s="53"/>
      <c r="AB383" s="56"/>
      <c r="AC383" s="56"/>
      <c r="AD383" s="14"/>
      <c r="AE383" s="56"/>
      <c r="AF383" s="631" t="s">
        <v>141</v>
      </c>
      <c r="AG383" s="359" t="s">
        <v>852</v>
      </c>
      <c r="AH383" s="363" t="s">
        <v>143</v>
      </c>
      <c r="AI383" s="1" t="s">
        <v>126</v>
      </c>
      <c r="AJ383" s="1" t="s">
        <v>126</v>
      </c>
      <c r="AK383" s="1" t="s">
        <v>126</v>
      </c>
      <c r="AL383" s="1" t="s">
        <v>126</v>
      </c>
      <c r="AM383" s="374"/>
    </row>
    <row r="384" spans="1:39">
      <c r="A384" s="221" t="s">
        <v>900</v>
      </c>
      <c r="B384" s="69" t="s">
        <v>901</v>
      </c>
      <c r="C384" s="23">
        <v>1</v>
      </c>
      <c r="D384" s="30" t="s">
        <v>140</v>
      </c>
      <c r="E384" s="31"/>
      <c r="F384" s="19"/>
      <c r="G384" s="85">
        <v>8</v>
      </c>
      <c r="H384" s="53"/>
      <c r="I384" s="56"/>
      <c r="J384" s="56"/>
      <c r="K384" s="14"/>
      <c r="L384" s="56"/>
      <c r="M384" s="631" t="s">
        <v>141</v>
      </c>
      <c r="N384" s="359" t="s">
        <v>852</v>
      </c>
      <c r="O384" s="363" t="s">
        <v>143</v>
      </c>
      <c r="P384" s="1" t="str">
        <f t="shared" si="87"/>
        <v/>
      </c>
      <c r="Q384" s="1" t="str">
        <f t="shared" si="87"/>
        <v/>
      </c>
      <c r="R384" s="1" t="str">
        <f t="shared" si="87"/>
        <v/>
      </c>
      <c r="S384" s="1" t="str">
        <f t="shared" si="87"/>
        <v/>
      </c>
      <c r="T384" s="221" t="s">
        <v>900</v>
      </c>
      <c r="U384" s="69" t="s">
        <v>901</v>
      </c>
      <c r="V384" s="23">
        <v>1</v>
      </c>
      <c r="W384" s="30" t="s">
        <v>140</v>
      </c>
      <c r="X384" s="31"/>
      <c r="Y384" s="19"/>
      <c r="Z384" s="85">
        <v>8</v>
      </c>
      <c r="AA384" s="53"/>
      <c r="AB384" s="56"/>
      <c r="AC384" s="56"/>
      <c r="AD384" s="14"/>
      <c r="AE384" s="56"/>
      <c r="AF384" s="631" t="s">
        <v>141</v>
      </c>
      <c r="AG384" s="359" t="s">
        <v>852</v>
      </c>
      <c r="AH384" s="363" t="s">
        <v>143</v>
      </c>
      <c r="AI384" s="1" t="s">
        <v>126</v>
      </c>
      <c r="AJ384" s="1" t="s">
        <v>126</v>
      </c>
      <c r="AK384" s="1" t="s">
        <v>126</v>
      </c>
      <c r="AL384" s="1" t="s">
        <v>126</v>
      </c>
      <c r="AM384" s="374"/>
    </row>
    <row r="385" spans="1:39">
      <c r="A385" s="221" t="s">
        <v>902</v>
      </c>
      <c r="B385" s="69" t="s">
        <v>903</v>
      </c>
      <c r="C385" s="23">
        <v>1</v>
      </c>
      <c r="D385" s="30" t="s">
        <v>140</v>
      </c>
      <c r="E385" s="31"/>
      <c r="F385" s="19"/>
      <c r="G385" s="85">
        <v>11</v>
      </c>
      <c r="H385" s="53"/>
      <c r="I385" s="56"/>
      <c r="J385" s="56"/>
      <c r="K385" s="14"/>
      <c r="L385" s="56"/>
      <c r="M385" s="631" t="s">
        <v>141</v>
      </c>
      <c r="N385" s="359" t="s">
        <v>852</v>
      </c>
      <c r="O385" s="363" t="s">
        <v>143</v>
      </c>
      <c r="P385" s="1" t="str">
        <f t="shared" si="87"/>
        <v/>
      </c>
      <c r="Q385" s="1" t="str">
        <f t="shared" si="87"/>
        <v/>
      </c>
      <c r="R385" s="1" t="str">
        <f t="shared" si="87"/>
        <v/>
      </c>
      <c r="S385" s="1" t="str">
        <f t="shared" si="87"/>
        <v/>
      </c>
      <c r="T385" s="221" t="s">
        <v>902</v>
      </c>
      <c r="U385" s="69" t="s">
        <v>903</v>
      </c>
      <c r="V385" s="23">
        <v>1</v>
      </c>
      <c r="W385" s="30" t="s">
        <v>140</v>
      </c>
      <c r="X385" s="31"/>
      <c r="Y385" s="19"/>
      <c r="Z385" s="85">
        <v>11</v>
      </c>
      <c r="AA385" s="53"/>
      <c r="AB385" s="56"/>
      <c r="AC385" s="56"/>
      <c r="AD385" s="14"/>
      <c r="AE385" s="56"/>
      <c r="AF385" s="631" t="s">
        <v>141</v>
      </c>
      <c r="AG385" s="359" t="s">
        <v>852</v>
      </c>
      <c r="AH385" s="363" t="s">
        <v>143</v>
      </c>
      <c r="AI385" s="1" t="s">
        <v>126</v>
      </c>
      <c r="AJ385" s="1" t="s">
        <v>126</v>
      </c>
      <c r="AK385" s="1" t="s">
        <v>126</v>
      </c>
      <c r="AL385" s="1" t="s">
        <v>126</v>
      </c>
      <c r="AM385" s="374"/>
    </row>
    <row r="386" spans="1:39">
      <c r="A386" s="221" t="s">
        <v>904</v>
      </c>
      <c r="B386" s="69" t="s">
        <v>905</v>
      </c>
      <c r="C386" s="23">
        <v>1</v>
      </c>
      <c r="D386" s="30" t="s">
        <v>140</v>
      </c>
      <c r="E386" s="31"/>
      <c r="F386" s="19"/>
      <c r="G386" s="24">
        <v>94.63</v>
      </c>
      <c r="H386" s="53"/>
      <c r="I386" s="56"/>
      <c r="J386" s="56"/>
      <c r="K386" s="14"/>
      <c r="L386" s="56"/>
      <c r="M386" s="631" t="s">
        <v>141</v>
      </c>
      <c r="N386" s="359" t="s">
        <v>852</v>
      </c>
      <c r="O386" s="363" t="s">
        <v>143</v>
      </c>
      <c r="P386" s="1" t="str">
        <f t="shared" si="87"/>
        <v/>
      </c>
      <c r="Q386" s="1" t="str">
        <f t="shared" si="87"/>
        <v/>
      </c>
      <c r="R386" s="1" t="str">
        <f t="shared" si="87"/>
        <v/>
      </c>
      <c r="S386" s="1" t="str">
        <f t="shared" si="87"/>
        <v/>
      </c>
      <c r="T386" s="221" t="s">
        <v>904</v>
      </c>
      <c r="U386" s="69" t="s">
        <v>905</v>
      </c>
      <c r="V386" s="23">
        <v>1</v>
      </c>
      <c r="W386" s="30" t="s">
        <v>140</v>
      </c>
      <c r="X386" s="31"/>
      <c r="Y386" s="19"/>
      <c r="Z386" s="24">
        <v>94.63</v>
      </c>
      <c r="AA386" s="53"/>
      <c r="AB386" s="56"/>
      <c r="AC386" s="56"/>
      <c r="AD386" s="14"/>
      <c r="AE386" s="56"/>
      <c r="AF386" s="631" t="s">
        <v>141</v>
      </c>
      <c r="AG386" s="359" t="s">
        <v>852</v>
      </c>
      <c r="AH386" s="363" t="s">
        <v>143</v>
      </c>
      <c r="AI386" s="1" t="s">
        <v>126</v>
      </c>
      <c r="AJ386" s="1" t="s">
        <v>126</v>
      </c>
      <c r="AK386" s="1" t="s">
        <v>126</v>
      </c>
      <c r="AL386" s="1" t="s">
        <v>126</v>
      </c>
      <c r="AM386" s="374"/>
    </row>
    <row r="387" spans="1:39" s="329" customFormat="1" ht="24.95" customHeight="1">
      <c r="A387" s="448" t="s">
        <v>906</v>
      </c>
      <c r="B387" s="549" t="s">
        <v>907</v>
      </c>
      <c r="C387" s="450"/>
      <c r="D387" s="451"/>
      <c r="E387" s="451"/>
      <c r="F387" s="452"/>
      <c r="G387" s="453"/>
      <c r="H387" s="453"/>
      <c r="I387" s="454"/>
      <c r="J387" s="454"/>
      <c r="K387" s="453"/>
      <c r="L387" s="454"/>
      <c r="M387" s="629"/>
      <c r="N387" s="455"/>
      <c r="O387" s="454"/>
      <c r="P387" s="454"/>
      <c r="Q387" s="454"/>
      <c r="R387" s="454"/>
      <c r="S387" s="456"/>
      <c r="T387" s="448" t="s">
        <v>906</v>
      </c>
      <c r="U387" s="549" t="s">
        <v>907</v>
      </c>
      <c r="V387" s="450"/>
      <c r="W387" s="451"/>
      <c r="X387" s="451"/>
      <c r="Y387" s="452"/>
      <c r="Z387" s="453"/>
      <c r="AA387" s="453"/>
      <c r="AB387" s="454"/>
      <c r="AC387" s="454"/>
      <c r="AD387" s="453"/>
      <c r="AE387" s="454"/>
      <c r="AF387" s="629"/>
      <c r="AG387" s="455"/>
      <c r="AH387" s="454"/>
      <c r="AI387" s="454"/>
      <c r="AJ387" s="454"/>
      <c r="AK387" s="454"/>
      <c r="AL387" s="456"/>
      <c r="AM387" s="373"/>
    </row>
    <row r="388" spans="1:39">
      <c r="A388" s="223" t="s">
        <v>908</v>
      </c>
      <c r="B388" s="52" t="s">
        <v>909</v>
      </c>
      <c r="C388" s="53">
        <v>1</v>
      </c>
      <c r="D388" s="61" t="s">
        <v>118</v>
      </c>
      <c r="E388" s="62">
        <v>353.58</v>
      </c>
      <c r="F388" s="66">
        <f>rv_ip97_hg</f>
        <v>0.1065</v>
      </c>
      <c r="G388" s="70">
        <f>E388-(E388*F388)</f>
        <v>315.92372999999998</v>
      </c>
      <c r="H388" s="53" t="s">
        <v>910</v>
      </c>
      <c r="I388" s="63">
        <v>30.36</v>
      </c>
      <c r="J388" s="63">
        <f>G388+I388</f>
        <v>346.28372999999999</v>
      </c>
      <c r="K388" s="63">
        <v>12</v>
      </c>
      <c r="L388" s="63">
        <v>0.25</v>
      </c>
      <c r="M388" s="631" t="s">
        <v>911</v>
      </c>
      <c r="N388" s="358" t="s">
        <v>887</v>
      </c>
      <c r="O388" s="407" t="s">
        <v>123</v>
      </c>
      <c r="P388" s="1">
        <f t="shared" si="87"/>
        <v>69.709943892425756</v>
      </c>
      <c r="Q388" s="1">
        <f t="shared" si="87"/>
        <v>36.228708083305705</v>
      </c>
      <c r="R388" s="1">
        <f t="shared" si="87"/>
        <v>26.31183219955102</v>
      </c>
      <c r="S388" s="1">
        <f t="shared" si="87"/>
        <v>22.705437272863005</v>
      </c>
      <c r="T388" s="223" t="s">
        <v>908</v>
      </c>
      <c r="U388" s="52" t="s">
        <v>909</v>
      </c>
      <c r="V388" s="53">
        <v>1</v>
      </c>
      <c r="W388" s="61" t="s">
        <v>118</v>
      </c>
      <c r="X388" s="62">
        <v>353.58</v>
      </c>
      <c r="Y388" s="66">
        <v>0.1065</v>
      </c>
      <c r="Z388" s="70">
        <v>315.92372999999998</v>
      </c>
      <c r="AA388" s="53" t="s">
        <v>910</v>
      </c>
      <c r="AB388" s="63">
        <v>30.36</v>
      </c>
      <c r="AC388" s="63">
        <v>346.28372999999999</v>
      </c>
      <c r="AD388" s="63">
        <v>12</v>
      </c>
      <c r="AE388" s="63">
        <v>0.25</v>
      </c>
      <c r="AF388" s="631" t="s">
        <v>911</v>
      </c>
      <c r="AG388" s="358" t="s">
        <v>887</v>
      </c>
      <c r="AH388" s="407" t="s">
        <v>123</v>
      </c>
      <c r="AI388" s="1">
        <v>69.709943892425756</v>
      </c>
      <c r="AJ388" s="1">
        <v>36.228708083305705</v>
      </c>
      <c r="AK388" s="1">
        <v>26.31183219955102</v>
      </c>
      <c r="AL388" s="1">
        <v>22.705437272863005</v>
      </c>
      <c r="AM388" s="374"/>
    </row>
    <row r="389" spans="1:39">
      <c r="A389" s="223" t="s">
        <v>912</v>
      </c>
      <c r="B389" s="52" t="s">
        <v>913</v>
      </c>
      <c r="C389" s="53">
        <v>1</v>
      </c>
      <c r="D389" s="61" t="s">
        <v>118</v>
      </c>
      <c r="E389" s="62">
        <v>518.25</v>
      </c>
      <c r="F389" s="66">
        <f>rv_ip97_hg</f>
        <v>0.1065</v>
      </c>
      <c r="G389" s="70">
        <f>E389-(E389*F389)</f>
        <v>463.056375</v>
      </c>
      <c r="H389" s="53" t="s">
        <v>910</v>
      </c>
      <c r="I389" s="63">
        <v>30.36</v>
      </c>
      <c r="J389" s="63">
        <f>G389+I389</f>
        <v>493.41637500000002</v>
      </c>
      <c r="K389" s="63">
        <v>14</v>
      </c>
      <c r="L389" s="63">
        <v>0.25</v>
      </c>
      <c r="M389" s="631" t="s">
        <v>914</v>
      </c>
      <c r="N389" s="359" t="s">
        <v>887</v>
      </c>
      <c r="O389" s="365" t="s">
        <v>123</v>
      </c>
      <c r="P389" s="1">
        <f t="shared" si="87"/>
        <v>99.329032342507418</v>
      </c>
      <c r="Q389" s="1">
        <f t="shared" si="87"/>
        <v>51.621939654507884</v>
      </c>
      <c r="R389" s="1">
        <f t="shared" si="87"/>
        <v>37.491478053302536</v>
      </c>
      <c r="S389" s="1">
        <f t="shared" si="87"/>
        <v>32.352760414027976</v>
      </c>
      <c r="T389" s="223" t="s">
        <v>912</v>
      </c>
      <c r="U389" s="52" t="s">
        <v>913</v>
      </c>
      <c r="V389" s="53">
        <v>1</v>
      </c>
      <c r="W389" s="61" t="s">
        <v>118</v>
      </c>
      <c r="X389" s="62">
        <v>518.25</v>
      </c>
      <c r="Y389" s="66">
        <v>0.1065</v>
      </c>
      <c r="Z389" s="70">
        <v>463.056375</v>
      </c>
      <c r="AA389" s="53" t="s">
        <v>910</v>
      </c>
      <c r="AB389" s="63">
        <v>30.36</v>
      </c>
      <c r="AC389" s="63">
        <v>493.41637500000002</v>
      </c>
      <c r="AD389" s="63">
        <v>14</v>
      </c>
      <c r="AE389" s="63">
        <v>0.25</v>
      </c>
      <c r="AF389" s="631" t="s">
        <v>914</v>
      </c>
      <c r="AG389" s="359" t="s">
        <v>887</v>
      </c>
      <c r="AH389" s="365" t="s">
        <v>123</v>
      </c>
      <c r="AI389" s="1">
        <v>99.329032342507418</v>
      </c>
      <c r="AJ389" s="1">
        <v>51.621939654507884</v>
      </c>
      <c r="AK389" s="1">
        <v>37.491478053302536</v>
      </c>
      <c r="AL389" s="1">
        <v>32.352760414027976</v>
      </c>
      <c r="AM389" s="374"/>
    </row>
    <row r="390" spans="1:39">
      <c r="A390" s="223" t="s">
        <v>915</v>
      </c>
      <c r="B390" s="52" t="s">
        <v>916</v>
      </c>
      <c r="C390" s="53">
        <v>1</v>
      </c>
      <c r="D390" s="61" t="s">
        <v>118</v>
      </c>
      <c r="E390" s="62">
        <v>495.25</v>
      </c>
      <c r="F390" s="66">
        <f>rv_ip97_hg</f>
        <v>0.1065</v>
      </c>
      <c r="G390" s="70">
        <f>E390-(E390*F390)</f>
        <v>442.505875</v>
      </c>
      <c r="H390" s="53" t="s">
        <v>910</v>
      </c>
      <c r="I390" s="63">
        <v>30.36</v>
      </c>
      <c r="J390" s="63">
        <f>G390+I390</f>
        <v>472.86587500000002</v>
      </c>
      <c r="K390" s="63">
        <v>12</v>
      </c>
      <c r="L390" s="63">
        <v>0.25</v>
      </c>
      <c r="M390" s="631" t="s">
        <v>917</v>
      </c>
      <c r="N390" s="359" t="s">
        <v>887</v>
      </c>
      <c r="O390" s="365" t="s">
        <v>123</v>
      </c>
      <c r="P390" s="1">
        <f t="shared" si="87"/>
        <v>95.192036931370737</v>
      </c>
      <c r="Q390" s="1">
        <f t="shared" si="87"/>
        <v>49.471916419324486</v>
      </c>
      <c r="R390" s="1">
        <f t="shared" si="87"/>
        <v>35.92998018097434</v>
      </c>
      <c r="S390" s="1">
        <f t="shared" si="87"/>
        <v>31.005287090126874</v>
      </c>
      <c r="T390" s="223" t="s">
        <v>915</v>
      </c>
      <c r="U390" s="52" t="s">
        <v>916</v>
      </c>
      <c r="V390" s="53">
        <v>1</v>
      </c>
      <c r="W390" s="61" t="s">
        <v>118</v>
      </c>
      <c r="X390" s="62">
        <v>495.25</v>
      </c>
      <c r="Y390" s="66">
        <v>0.1065</v>
      </c>
      <c r="Z390" s="70">
        <v>442.505875</v>
      </c>
      <c r="AA390" s="53" t="s">
        <v>910</v>
      </c>
      <c r="AB390" s="63">
        <v>30.36</v>
      </c>
      <c r="AC390" s="63">
        <v>472.86587500000002</v>
      </c>
      <c r="AD390" s="63">
        <v>12</v>
      </c>
      <c r="AE390" s="63">
        <v>0.25</v>
      </c>
      <c r="AF390" s="631" t="s">
        <v>917</v>
      </c>
      <c r="AG390" s="359" t="s">
        <v>887</v>
      </c>
      <c r="AH390" s="365" t="s">
        <v>123</v>
      </c>
      <c r="AI390" s="1">
        <v>95.192036931370737</v>
      </c>
      <c r="AJ390" s="1">
        <v>49.471916419324486</v>
      </c>
      <c r="AK390" s="1">
        <v>35.92998018097434</v>
      </c>
      <c r="AL390" s="1">
        <v>31.005287090126874</v>
      </c>
      <c r="AM390" s="374"/>
    </row>
    <row r="391" spans="1:39">
      <c r="A391" s="223" t="s">
        <v>918</v>
      </c>
      <c r="B391" s="52" t="s">
        <v>919</v>
      </c>
      <c r="C391" s="53">
        <v>1</v>
      </c>
      <c r="D391" s="61" t="s">
        <v>118</v>
      </c>
      <c r="E391" s="62">
        <v>659.92</v>
      </c>
      <c r="F391" s="66">
        <f>rv_ip97_hg</f>
        <v>0.1065</v>
      </c>
      <c r="G391" s="70">
        <f>E391-(E391*F391)</f>
        <v>589.63851999999997</v>
      </c>
      <c r="H391" s="53" t="s">
        <v>910</v>
      </c>
      <c r="I391" s="63">
        <v>30.36</v>
      </c>
      <c r="J391" s="63">
        <f>G391+I391</f>
        <v>619.99851999999998</v>
      </c>
      <c r="K391" s="63">
        <v>14</v>
      </c>
      <c r="L391" s="63">
        <v>0.25</v>
      </c>
      <c r="M391" s="631" t="s">
        <v>920</v>
      </c>
      <c r="N391" s="359" t="s">
        <v>887</v>
      </c>
      <c r="O391" s="365" t="s">
        <v>123</v>
      </c>
      <c r="P391" s="1">
        <f t="shared" si="87"/>
        <v>124.81112538145238</v>
      </c>
      <c r="Q391" s="1">
        <f t="shared" si="87"/>
        <v>64.865147990526651</v>
      </c>
      <c r="R391" s="1">
        <f t="shared" si="87"/>
        <v>47.109626034725849</v>
      </c>
      <c r="S391" s="1">
        <f t="shared" si="87"/>
        <v>40.652610231291838</v>
      </c>
      <c r="T391" s="223" t="s">
        <v>918</v>
      </c>
      <c r="U391" s="52" t="s">
        <v>919</v>
      </c>
      <c r="V391" s="53">
        <v>1</v>
      </c>
      <c r="W391" s="61" t="s">
        <v>118</v>
      </c>
      <c r="X391" s="62">
        <v>659.92</v>
      </c>
      <c r="Y391" s="66">
        <v>0.1065</v>
      </c>
      <c r="Z391" s="70">
        <v>589.63851999999997</v>
      </c>
      <c r="AA391" s="53" t="s">
        <v>910</v>
      </c>
      <c r="AB391" s="63">
        <v>30.36</v>
      </c>
      <c r="AC391" s="63">
        <v>619.99851999999998</v>
      </c>
      <c r="AD391" s="63">
        <v>14</v>
      </c>
      <c r="AE391" s="63">
        <v>0.25</v>
      </c>
      <c r="AF391" s="631" t="s">
        <v>920</v>
      </c>
      <c r="AG391" s="359" t="s">
        <v>887</v>
      </c>
      <c r="AH391" s="365" t="s">
        <v>123</v>
      </c>
      <c r="AI391" s="1">
        <v>124.81112538145238</v>
      </c>
      <c r="AJ391" s="1">
        <v>64.865147990526651</v>
      </c>
      <c r="AK391" s="1">
        <v>47.109626034725849</v>
      </c>
      <c r="AL391" s="1">
        <v>40.652610231291838</v>
      </c>
      <c r="AM391" s="374"/>
    </row>
    <row r="392" spans="1:39">
      <c r="A392" s="231" t="s">
        <v>910</v>
      </c>
      <c r="B392" s="58" t="s">
        <v>921</v>
      </c>
      <c r="C392" s="59">
        <v>1</v>
      </c>
      <c r="D392" s="74" t="s">
        <v>140</v>
      </c>
      <c r="E392" s="280">
        <v>33.979999999999997</v>
      </c>
      <c r="F392" s="112">
        <v>0.1065</v>
      </c>
      <c r="G392" s="68">
        <f>E392-(E392*F392)</f>
        <v>30.361129999999996</v>
      </c>
      <c r="H392" s="59"/>
      <c r="I392" s="152"/>
      <c r="J392" s="152"/>
      <c r="K392" s="14"/>
      <c r="L392" s="56"/>
      <c r="M392" s="631" t="s">
        <v>141</v>
      </c>
      <c r="N392" s="359" t="s">
        <v>852</v>
      </c>
      <c r="O392" s="365" t="s">
        <v>143</v>
      </c>
      <c r="P392" s="1" t="str">
        <f t="shared" si="87"/>
        <v/>
      </c>
      <c r="Q392" s="1" t="str">
        <f t="shared" si="87"/>
        <v/>
      </c>
      <c r="R392" s="1" t="str">
        <f t="shared" si="87"/>
        <v/>
      </c>
      <c r="S392" s="1" t="str">
        <f t="shared" si="87"/>
        <v/>
      </c>
      <c r="T392" s="231" t="s">
        <v>910</v>
      </c>
      <c r="U392" s="58" t="s">
        <v>921</v>
      </c>
      <c r="V392" s="59">
        <v>1</v>
      </c>
      <c r="W392" s="74" t="s">
        <v>140</v>
      </c>
      <c r="X392" s="280">
        <v>33.979999999999997</v>
      </c>
      <c r="Y392" s="112">
        <v>0.1065</v>
      </c>
      <c r="Z392" s="68">
        <v>30.361129999999996</v>
      </c>
      <c r="AA392" s="59"/>
      <c r="AB392" s="152"/>
      <c r="AC392" s="152"/>
      <c r="AD392" s="14"/>
      <c r="AE392" s="56"/>
      <c r="AF392" s="631" t="s">
        <v>141</v>
      </c>
      <c r="AG392" s="359" t="s">
        <v>852</v>
      </c>
      <c r="AH392" s="365" t="s">
        <v>143</v>
      </c>
      <c r="AI392" s="1" t="s">
        <v>126</v>
      </c>
      <c r="AJ392" s="1" t="s">
        <v>126</v>
      </c>
      <c r="AK392" s="1" t="s">
        <v>126</v>
      </c>
      <c r="AL392" s="1" t="s">
        <v>126</v>
      </c>
      <c r="AM392" s="406"/>
    </row>
    <row r="393" spans="1:39">
      <c r="A393" s="221" t="s">
        <v>922</v>
      </c>
      <c r="B393" s="69" t="s">
        <v>923</v>
      </c>
      <c r="C393" s="23">
        <v>1</v>
      </c>
      <c r="D393" s="30" t="s">
        <v>140</v>
      </c>
      <c r="E393" s="31"/>
      <c r="F393" s="19"/>
      <c r="G393" s="85">
        <v>6</v>
      </c>
      <c r="H393" s="53"/>
      <c r="I393" s="56"/>
      <c r="J393" s="56"/>
      <c r="K393" s="14"/>
      <c r="L393" s="56"/>
      <c r="M393" s="631" t="s">
        <v>141</v>
      </c>
      <c r="N393" s="359" t="s">
        <v>852</v>
      </c>
      <c r="O393" s="363" t="s">
        <v>143</v>
      </c>
      <c r="P393" s="1" t="str">
        <f t="shared" si="87"/>
        <v/>
      </c>
      <c r="Q393" s="1" t="str">
        <f t="shared" si="87"/>
        <v/>
      </c>
      <c r="R393" s="1" t="str">
        <f t="shared" si="87"/>
        <v/>
      </c>
      <c r="S393" s="1" t="str">
        <f t="shared" si="87"/>
        <v/>
      </c>
      <c r="T393" s="221" t="s">
        <v>922</v>
      </c>
      <c r="U393" s="69" t="s">
        <v>923</v>
      </c>
      <c r="V393" s="23">
        <v>1</v>
      </c>
      <c r="W393" s="30" t="s">
        <v>140</v>
      </c>
      <c r="X393" s="31"/>
      <c r="Y393" s="19"/>
      <c r="Z393" s="85">
        <v>6</v>
      </c>
      <c r="AA393" s="53"/>
      <c r="AB393" s="56"/>
      <c r="AC393" s="56"/>
      <c r="AD393" s="14"/>
      <c r="AE393" s="56"/>
      <c r="AF393" s="631" t="s">
        <v>141</v>
      </c>
      <c r="AG393" s="359" t="s">
        <v>852</v>
      </c>
      <c r="AH393" s="363" t="s">
        <v>143</v>
      </c>
      <c r="AI393" s="1" t="s">
        <v>126</v>
      </c>
      <c r="AJ393" s="1" t="s">
        <v>126</v>
      </c>
      <c r="AK393" s="1" t="s">
        <v>126</v>
      </c>
      <c r="AL393" s="1" t="s">
        <v>126</v>
      </c>
      <c r="AM393" s="374"/>
    </row>
    <row r="394" spans="1:39">
      <c r="A394" s="221" t="s">
        <v>924</v>
      </c>
      <c r="B394" s="69" t="s">
        <v>925</v>
      </c>
      <c r="C394" s="23">
        <v>1</v>
      </c>
      <c r="D394" s="30" t="s">
        <v>140</v>
      </c>
      <c r="E394" s="225"/>
      <c r="F394" s="19"/>
      <c r="G394" s="85">
        <v>8</v>
      </c>
      <c r="H394" s="53"/>
      <c r="I394" s="56"/>
      <c r="J394" s="56"/>
      <c r="K394" s="14"/>
      <c r="L394" s="56"/>
      <c r="M394" s="631" t="s">
        <v>141</v>
      </c>
      <c r="N394" s="359" t="s">
        <v>852</v>
      </c>
      <c r="O394" s="363" t="s">
        <v>143</v>
      </c>
      <c r="P394" s="1" t="str">
        <f t="shared" si="87"/>
        <v/>
      </c>
      <c r="Q394" s="1" t="str">
        <f t="shared" si="87"/>
        <v/>
      </c>
      <c r="R394" s="1" t="str">
        <f t="shared" si="87"/>
        <v/>
      </c>
      <c r="S394" s="1" t="str">
        <f t="shared" si="87"/>
        <v/>
      </c>
      <c r="T394" s="221" t="s">
        <v>924</v>
      </c>
      <c r="U394" s="69" t="s">
        <v>925</v>
      </c>
      <c r="V394" s="23">
        <v>1</v>
      </c>
      <c r="W394" s="30" t="s">
        <v>140</v>
      </c>
      <c r="X394" s="225"/>
      <c r="Y394" s="19"/>
      <c r="Z394" s="85">
        <v>8</v>
      </c>
      <c r="AA394" s="53"/>
      <c r="AB394" s="56"/>
      <c r="AC394" s="56"/>
      <c r="AD394" s="14"/>
      <c r="AE394" s="56"/>
      <c r="AF394" s="631" t="s">
        <v>141</v>
      </c>
      <c r="AG394" s="359" t="s">
        <v>852</v>
      </c>
      <c r="AH394" s="363" t="s">
        <v>143</v>
      </c>
      <c r="AI394" s="1" t="s">
        <v>126</v>
      </c>
      <c r="AJ394" s="1" t="s">
        <v>126</v>
      </c>
      <c r="AK394" s="1" t="s">
        <v>126</v>
      </c>
      <c r="AL394" s="1" t="s">
        <v>126</v>
      </c>
      <c r="AM394" s="374"/>
    </row>
    <row r="395" spans="1:39">
      <c r="A395" s="221" t="s">
        <v>926</v>
      </c>
      <c r="B395" s="69" t="s">
        <v>927</v>
      </c>
      <c r="C395" s="23">
        <v>1</v>
      </c>
      <c r="D395" s="30" t="s">
        <v>140</v>
      </c>
      <c r="E395" s="31"/>
      <c r="F395" s="19"/>
      <c r="G395" s="85">
        <v>11</v>
      </c>
      <c r="H395" s="53"/>
      <c r="I395" s="56"/>
      <c r="J395" s="56"/>
      <c r="K395" s="14"/>
      <c r="L395" s="56"/>
      <c r="M395" s="631" t="s">
        <v>141</v>
      </c>
      <c r="N395" s="359" t="s">
        <v>852</v>
      </c>
      <c r="O395" s="363" t="s">
        <v>143</v>
      </c>
      <c r="P395" s="1" t="str">
        <f t="shared" ref="P395:S414" si="88">+IF($J395&lt;&gt;"",P$2*$J395,"")</f>
        <v/>
      </c>
      <c r="Q395" s="1" t="str">
        <f t="shared" si="88"/>
        <v/>
      </c>
      <c r="R395" s="1" t="str">
        <f t="shared" si="88"/>
        <v/>
      </c>
      <c r="S395" s="1" t="str">
        <f t="shared" si="88"/>
        <v/>
      </c>
      <c r="T395" s="221" t="s">
        <v>926</v>
      </c>
      <c r="U395" s="69" t="s">
        <v>927</v>
      </c>
      <c r="V395" s="23">
        <v>1</v>
      </c>
      <c r="W395" s="30" t="s">
        <v>140</v>
      </c>
      <c r="X395" s="31"/>
      <c r="Y395" s="19"/>
      <c r="Z395" s="85">
        <v>11</v>
      </c>
      <c r="AA395" s="53"/>
      <c r="AB395" s="56"/>
      <c r="AC395" s="56"/>
      <c r="AD395" s="14"/>
      <c r="AE395" s="56"/>
      <c r="AF395" s="631" t="s">
        <v>141</v>
      </c>
      <c r="AG395" s="359" t="s">
        <v>852</v>
      </c>
      <c r="AH395" s="363" t="s">
        <v>143</v>
      </c>
      <c r="AI395" s="1" t="s">
        <v>126</v>
      </c>
      <c r="AJ395" s="1" t="s">
        <v>126</v>
      </c>
      <c r="AK395" s="1" t="s">
        <v>126</v>
      </c>
      <c r="AL395" s="1" t="s">
        <v>126</v>
      </c>
      <c r="AM395" s="374"/>
    </row>
    <row r="396" spans="1:39">
      <c r="A396" s="221" t="s">
        <v>928</v>
      </c>
      <c r="B396" s="69" t="s">
        <v>929</v>
      </c>
      <c r="C396" s="23">
        <v>1</v>
      </c>
      <c r="D396" s="30" t="s">
        <v>140</v>
      </c>
      <c r="E396" s="31"/>
      <c r="F396" s="19"/>
      <c r="G396" s="24">
        <v>94.63</v>
      </c>
      <c r="H396" s="53"/>
      <c r="I396" s="56"/>
      <c r="J396" s="56"/>
      <c r="K396" s="14"/>
      <c r="L396" s="56"/>
      <c r="M396" s="631" t="s">
        <v>141</v>
      </c>
      <c r="N396" s="359" t="s">
        <v>852</v>
      </c>
      <c r="O396" s="363" t="s">
        <v>143</v>
      </c>
      <c r="P396" s="1" t="str">
        <f t="shared" si="88"/>
        <v/>
      </c>
      <c r="Q396" s="1" t="str">
        <f t="shared" si="88"/>
        <v/>
      </c>
      <c r="R396" s="1" t="str">
        <f t="shared" si="88"/>
        <v/>
      </c>
      <c r="S396" s="1" t="str">
        <f t="shared" si="88"/>
        <v/>
      </c>
      <c r="T396" s="221" t="s">
        <v>928</v>
      </c>
      <c r="U396" s="69" t="s">
        <v>929</v>
      </c>
      <c r="V396" s="23">
        <v>1</v>
      </c>
      <c r="W396" s="30" t="s">
        <v>140</v>
      </c>
      <c r="X396" s="31"/>
      <c r="Y396" s="19"/>
      <c r="Z396" s="24">
        <v>94.63</v>
      </c>
      <c r="AA396" s="53"/>
      <c r="AB396" s="56"/>
      <c r="AC396" s="56"/>
      <c r="AD396" s="14"/>
      <c r="AE396" s="56"/>
      <c r="AF396" s="631" t="s">
        <v>141</v>
      </c>
      <c r="AG396" s="359" t="s">
        <v>852</v>
      </c>
      <c r="AH396" s="363" t="s">
        <v>143</v>
      </c>
      <c r="AI396" s="1" t="s">
        <v>126</v>
      </c>
      <c r="AJ396" s="1" t="s">
        <v>126</v>
      </c>
      <c r="AK396" s="1" t="s">
        <v>126</v>
      </c>
      <c r="AL396" s="1" t="s">
        <v>126</v>
      </c>
      <c r="AM396" s="374"/>
    </row>
    <row r="397" spans="1:39" s="329" customFormat="1" ht="24.95" customHeight="1">
      <c r="A397" s="448" t="s">
        <v>930</v>
      </c>
      <c r="B397" s="550" t="s">
        <v>931</v>
      </c>
      <c r="C397" s="450"/>
      <c r="D397" s="451"/>
      <c r="E397" s="451"/>
      <c r="F397" s="452"/>
      <c r="G397" s="453"/>
      <c r="H397" s="453"/>
      <c r="I397" s="454"/>
      <c r="J397" s="454"/>
      <c r="K397" s="453"/>
      <c r="L397" s="454"/>
      <c r="M397" s="629"/>
      <c r="N397" s="455"/>
      <c r="O397" s="454"/>
      <c r="P397" s="454"/>
      <c r="Q397" s="454"/>
      <c r="R397" s="454"/>
      <c r="S397" s="456"/>
      <c r="T397" s="448" t="s">
        <v>930</v>
      </c>
      <c r="U397" s="550" t="s">
        <v>931</v>
      </c>
      <c r="V397" s="450"/>
      <c r="W397" s="451"/>
      <c r="X397" s="451"/>
      <c r="Y397" s="452"/>
      <c r="Z397" s="453"/>
      <c r="AA397" s="453"/>
      <c r="AB397" s="454"/>
      <c r="AC397" s="454"/>
      <c r="AD397" s="453"/>
      <c r="AE397" s="454"/>
      <c r="AF397" s="629"/>
      <c r="AG397" s="455"/>
      <c r="AH397" s="454"/>
      <c r="AI397" s="454"/>
      <c r="AJ397" s="454"/>
      <c r="AK397" s="454"/>
      <c r="AL397" s="456"/>
      <c r="AM397" s="373"/>
    </row>
    <row r="398" spans="1:39">
      <c r="A398" s="223" t="s">
        <v>932</v>
      </c>
      <c r="B398" s="52" t="s">
        <v>933</v>
      </c>
      <c r="C398" s="53">
        <v>1</v>
      </c>
      <c r="D398" s="61" t="s">
        <v>118</v>
      </c>
      <c r="E398" s="62">
        <v>478.58</v>
      </c>
      <c r="F398" s="66">
        <f>rv_ip97_hg</f>
        <v>0.1065</v>
      </c>
      <c r="G398" s="70">
        <f>E398-(E398*F398)</f>
        <v>427.61122999999998</v>
      </c>
      <c r="H398" s="53" t="s">
        <v>910</v>
      </c>
      <c r="I398" s="63">
        <v>30.36</v>
      </c>
      <c r="J398" s="63">
        <f>G398+I398</f>
        <v>457.97122999999999</v>
      </c>
      <c r="K398" s="63">
        <v>12</v>
      </c>
      <c r="L398" s="63">
        <v>0.25</v>
      </c>
      <c r="M398" s="631" t="s">
        <v>934</v>
      </c>
      <c r="N398" s="359" t="s">
        <v>887</v>
      </c>
      <c r="O398" s="365" t="s">
        <v>123</v>
      </c>
      <c r="P398" s="1">
        <f t="shared" si="88"/>
        <v>92.193614605125134</v>
      </c>
      <c r="Q398" s="1">
        <f t="shared" si="88"/>
        <v>47.913616970171994</v>
      </c>
      <c r="R398" s="1">
        <f t="shared" si="88"/>
        <v>34.79823367959559</v>
      </c>
      <c r="S398" s="1">
        <f t="shared" si="88"/>
        <v>30.028661859282032</v>
      </c>
      <c r="T398" s="223" t="s">
        <v>932</v>
      </c>
      <c r="U398" s="52" t="s">
        <v>933</v>
      </c>
      <c r="V398" s="53">
        <v>1</v>
      </c>
      <c r="W398" s="61" t="s">
        <v>118</v>
      </c>
      <c r="X398" s="62">
        <v>478.58</v>
      </c>
      <c r="Y398" s="66">
        <v>0.1065</v>
      </c>
      <c r="Z398" s="70">
        <v>427.61122999999998</v>
      </c>
      <c r="AA398" s="53" t="s">
        <v>910</v>
      </c>
      <c r="AB398" s="63">
        <v>30.36</v>
      </c>
      <c r="AC398" s="63">
        <v>457.97122999999999</v>
      </c>
      <c r="AD398" s="63">
        <v>12</v>
      </c>
      <c r="AE398" s="63">
        <v>0.25</v>
      </c>
      <c r="AF398" s="631" t="s">
        <v>934</v>
      </c>
      <c r="AG398" s="359" t="s">
        <v>887</v>
      </c>
      <c r="AH398" s="365" t="s">
        <v>123</v>
      </c>
      <c r="AI398" s="1">
        <v>92.193614605125134</v>
      </c>
      <c r="AJ398" s="1">
        <v>47.913616970171994</v>
      </c>
      <c r="AK398" s="1">
        <v>34.79823367959559</v>
      </c>
      <c r="AL398" s="1">
        <v>30.028661859282032</v>
      </c>
      <c r="AM398" s="374"/>
    </row>
    <row r="399" spans="1:39">
      <c r="A399" s="223" t="s">
        <v>935</v>
      </c>
      <c r="B399" s="52" t="s">
        <v>936</v>
      </c>
      <c r="C399" s="53">
        <v>1</v>
      </c>
      <c r="D399" s="61" t="s">
        <v>118</v>
      </c>
      <c r="E399" s="62">
        <v>643.25</v>
      </c>
      <c r="F399" s="66">
        <f>rv_ip97_hg</f>
        <v>0.1065</v>
      </c>
      <c r="G399" s="70">
        <f>E399-(E399*F399)</f>
        <v>574.743875</v>
      </c>
      <c r="H399" s="53" t="s">
        <v>910</v>
      </c>
      <c r="I399" s="63">
        <v>30.36</v>
      </c>
      <c r="J399" s="63">
        <f>G399+I399</f>
        <v>605.10387500000002</v>
      </c>
      <c r="K399" s="63">
        <v>12</v>
      </c>
      <c r="L399" s="63">
        <v>0.25</v>
      </c>
      <c r="M399" s="631" t="s">
        <v>937</v>
      </c>
      <c r="N399" s="359" t="s">
        <v>887</v>
      </c>
      <c r="O399" s="365" t="s">
        <v>123</v>
      </c>
      <c r="P399" s="1">
        <f t="shared" si="88"/>
        <v>121.8127030552068</v>
      </c>
      <c r="Q399" s="1">
        <f t="shared" si="88"/>
        <v>63.306848541374173</v>
      </c>
      <c r="R399" s="1">
        <f t="shared" si="88"/>
        <v>45.977879533347107</v>
      </c>
      <c r="S399" s="1">
        <f t="shared" si="88"/>
        <v>39.675985000447</v>
      </c>
      <c r="T399" s="223" t="s">
        <v>935</v>
      </c>
      <c r="U399" s="52" t="s">
        <v>936</v>
      </c>
      <c r="V399" s="53">
        <v>1</v>
      </c>
      <c r="W399" s="61" t="s">
        <v>118</v>
      </c>
      <c r="X399" s="62">
        <v>643.25</v>
      </c>
      <c r="Y399" s="66">
        <v>0.1065</v>
      </c>
      <c r="Z399" s="70">
        <v>574.743875</v>
      </c>
      <c r="AA399" s="53" t="s">
        <v>910</v>
      </c>
      <c r="AB399" s="63">
        <v>30.36</v>
      </c>
      <c r="AC399" s="63">
        <v>605.10387500000002</v>
      </c>
      <c r="AD399" s="63">
        <v>12</v>
      </c>
      <c r="AE399" s="63">
        <v>0.25</v>
      </c>
      <c r="AF399" s="631" t="s">
        <v>937</v>
      </c>
      <c r="AG399" s="359" t="s">
        <v>887</v>
      </c>
      <c r="AH399" s="365" t="s">
        <v>123</v>
      </c>
      <c r="AI399" s="1">
        <v>121.8127030552068</v>
      </c>
      <c r="AJ399" s="1">
        <v>63.306848541374173</v>
      </c>
      <c r="AK399" s="1">
        <v>45.977879533347107</v>
      </c>
      <c r="AL399" s="1">
        <v>39.675985000447</v>
      </c>
      <c r="AM399" s="374"/>
    </row>
    <row r="400" spans="1:39">
      <c r="A400" s="223" t="s">
        <v>938</v>
      </c>
      <c r="B400" s="52" t="s">
        <v>939</v>
      </c>
      <c r="C400" s="53">
        <v>1</v>
      </c>
      <c r="D400" s="61" t="s">
        <v>118</v>
      </c>
      <c r="E400" s="62">
        <v>645.25</v>
      </c>
      <c r="F400" s="66">
        <f>rv_ip97_hg</f>
        <v>0.1065</v>
      </c>
      <c r="G400" s="70">
        <f>E400-(E400*F400)</f>
        <v>576.53087500000004</v>
      </c>
      <c r="H400" s="53" t="s">
        <v>910</v>
      </c>
      <c r="I400" s="63">
        <v>30.36</v>
      </c>
      <c r="J400" s="63">
        <f>G400+I400</f>
        <v>606.89087500000005</v>
      </c>
      <c r="K400" s="63">
        <v>14</v>
      </c>
      <c r="L400" s="63">
        <v>0.25</v>
      </c>
      <c r="M400" s="631" t="s">
        <v>940</v>
      </c>
      <c r="N400" s="359" t="s">
        <v>887</v>
      </c>
      <c r="O400" s="365" t="s">
        <v>123</v>
      </c>
      <c r="P400" s="1">
        <f t="shared" si="88"/>
        <v>122.17244178660999</v>
      </c>
      <c r="Q400" s="1">
        <f t="shared" si="88"/>
        <v>63.493807083564036</v>
      </c>
      <c r="R400" s="1">
        <f t="shared" si="88"/>
        <v>46.113661957027823</v>
      </c>
      <c r="S400" s="1">
        <f t="shared" si="88"/>
        <v>39.793156593829707</v>
      </c>
      <c r="T400" s="223" t="s">
        <v>938</v>
      </c>
      <c r="U400" s="52" t="s">
        <v>939</v>
      </c>
      <c r="V400" s="53">
        <v>1</v>
      </c>
      <c r="W400" s="61" t="s">
        <v>118</v>
      </c>
      <c r="X400" s="62">
        <v>645.25</v>
      </c>
      <c r="Y400" s="66">
        <v>0.1065</v>
      </c>
      <c r="Z400" s="70">
        <v>576.53087500000004</v>
      </c>
      <c r="AA400" s="53" t="s">
        <v>910</v>
      </c>
      <c r="AB400" s="63">
        <v>30.36</v>
      </c>
      <c r="AC400" s="63">
        <v>606.89087500000005</v>
      </c>
      <c r="AD400" s="63">
        <v>14</v>
      </c>
      <c r="AE400" s="63">
        <v>0.25</v>
      </c>
      <c r="AF400" s="631" t="s">
        <v>940</v>
      </c>
      <c r="AG400" s="359" t="s">
        <v>887</v>
      </c>
      <c r="AH400" s="365" t="s">
        <v>123</v>
      </c>
      <c r="AI400" s="1">
        <v>122.17244178660999</v>
      </c>
      <c r="AJ400" s="1">
        <v>63.493807083564036</v>
      </c>
      <c r="AK400" s="1">
        <v>46.113661957027823</v>
      </c>
      <c r="AL400" s="1">
        <v>39.793156593829707</v>
      </c>
      <c r="AM400" s="374"/>
    </row>
    <row r="401" spans="1:39">
      <c r="A401" s="223" t="s">
        <v>941</v>
      </c>
      <c r="B401" s="52" t="s">
        <v>942</v>
      </c>
      <c r="C401" s="53">
        <v>1</v>
      </c>
      <c r="D401" s="61" t="s">
        <v>118</v>
      </c>
      <c r="E401" s="62">
        <v>809.92</v>
      </c>
      <c r="F401" s="66">
        <f>rv_ip97_hg</f>
        <v>0.1065</v>
      </c>
      <c r="G401" s="70">
        <f>E401-(E401*F401)</f>
        <v>723.66351999999995</v>
      </c>
      <c r="H401" s="53" t="s">
        <v>910</v>
      </c>
      <c r="I401" s="63">
        <v>30.36</v>
      </c>
      <c r="J401" s="63">
        <f>G401+I401</f>
        <v>754.02351999999996</v>
      </c>
      <c r="K401" s="63">
        <v>14</v>
      </c>
      <c r="L401" s="63">
        <v>0.25</v>
      </c>
      <c r="M401" s="631" t="s">
        <v>943</v>
      </c>
      <c r="N401" s="359" t="s">
        <v>852</v>
      </c>
      <c r="O401" s="365" t="s">
        <v>143</v>
      </c>
      <c r="P401" s="1">
        <f t="shared" si="88"/>
        <v>151.79153023669164</v>
      </c>
      <c r="Q401" s="1">
        <f t="shared" si="88"/>
        <v>78.887038654766201</v>
      </c>
      <c r="R401" s="1">
        <f t="shared" si="88"/>
        <v>57.293307810779332</v>
      </c>
      <c r="S401" s="1">
        <f t="shared" si="88"/>
        <v>49.440479734994661</v>
      </c>
      <c r="T401" s="223" t="s">
        <v>941</v>
      </c>
      <c r="U401" s="52" t="s">
        <v>942</v>
      </c>
      <c r="V401" s="53">
        <v>1</v>
      </c>
      <c r="W401" s="61" t="s">
        <v>118</v>
      </c>
      <c r="X401" s="62">
        <v>809.92</v>
      </c>
      <c r="Y401" s="66">
        <v>0.1065</v>
      </c>
      <c r="Z401" s="70">
        <v>723.66351999999995</v>
      </c>
      <c r="AA401" s="53" t="s">
        <v>910</v>
      </c>
      <c r="AB401" s="63">
        <v>30.36</v>
      </c>
      <c r="AC401" s="63">
        <v>754.02351999999996</v>
      </c>
      <c r="AD401" s="63">
        <v>14</v>
      </c>
      <c r="AE401" s="63">
        <v>0.25</v>
      </c>
      <c r="AF401" s="631" t="s">
        <v>943</v>
      </c>
      <c r="AG401" s="359" t="s">
        <v>852</v>
      </c>
      <c r="AH401" s="365" t="s">
        <v>143</v>
      </c>
      <c r="AI401" s="1">
        <v>151.79153023669164</v>
      </c>
      <c r="AJ401" s="1">
        <v>78.887038654766201</v>
      </c>
      <c r="AK401" s="1">
        <v>57.293307810779332</v>
      </c>
      <c r="AL401" s="1">
        <v>49.440479734994661</v>
      </c>
      <c r="AM401" s="374"/>
    </row>
    <row r="402" spans="1:39">
      <c r="A402" s="231" t="s">
        <v>910</v>
      </c>
      <c r="B402" s="58" t="s">
        <v>921</v>
      </c>
      <c r="C402" s="59">
        <v>1</v>
      </c>
      <c r="D402" s="74" t="s">
        <v>140</v>
      </c>
      <c r="E402" s="280">
        <v>33.979999999999997</v>
      </c>
      <c r="F402" s="112">
        <v>0.1065</v>
      </c>
      <c r="G402" s="68">
        <f>E402-(E402*F402)</f>
        <v>30.361129999999996</v>
      </c>
      <c r="H402" s="59"/>
      <c r="I402" s="152"/>
      <c r="J402" s="152"/>
      <c r="K402" s="14"/>
      <c r="L402" s="56"/>
      <c r="M402" s="631" t="s">
        <v>141</v>
      </c>
      <c r="N402" s="359" t="s">
        <v>852</v>
      </c>
      <c r="O402" s="365" t="s">
        <v>143</v>
      </c>
      <c r="P402" s="1" t="str">
        <f t="shared" si="88"/>
        <v/>
      </c>
      <c r="Q402" s="1" t="str">
        <f t="shared" si="88"/>
        <v/>
      </c>
      <c r="R402" s="1" t="str">
        <f t="shared" si="88"/>
        <v/>
      </c>
      <c r="S402" s="1" t="str">
        <f t="shared" si="88"/>
        <v/>
      </c>
      <c r="T402" s="231" t="s">
        <v>910</v>
      </c>
      <c r="U402" s="58" t="s">
        <v>921</v>
      </c>
      <c r="V402" s="59">
        <v>1</v>
      </c>
      <c r="W402" s="74" t="s">
        <v>140</v>
      </c>
      <c r="X402" s="280">
        <v>33.979999999999997</v>
      </c>
      <c r="Y402" s="112">
        <v>0.1065</v>
      </c>
      <c r="Z402" s="68">
        <v>30.361129999999996</v>
      </c>
      <c r="AA402" s="59"/>
      <c r="AB402" s="152"/>
      <c r="AC402" s="152"/>
      <c r="AD402" s="14"/>
      <c r="AE402" s="56"/>
      <c r="AF402" s="631" t="s">
        <v>141</v>
      </c>
      <c r="AG402" s="359" t="s">
        <v>852</v>
      </c>
      <c r="AH402" s="365" t="s">
        <v>143</v>
      </c>
      <c r="AI402" s="1" t="s">
        <v>126</v>
      </c>
      <c r="AJ402" s="1" t="s">
        <v>126</v>
      </c>
      <c r="AK402" s="1" t="s">
        <v>126</v>
      </c>
      <c r="AL402" s="1" t="s">
        <v>126</v>
      </c>
      <c r="AM402" s="406"/>
    </row>
    <row r="403" spans="1:39">
      <c r="A403" s="221" t="s">
        <v>922</v>
      </c>
      <c r="B403" s="69" t="s">
        <v>923</v>
      </c>
      <c r="C403" s="23">
        <v>1</v>
      </c>
      <c r="D403" s="30" t="s">
        <v>140</v>
      </c>
      <c r="E403" s="31"/>
      <c r="F403" s="19"/>
      <c r="G403" s="85">
        <v>6</v>
      </c>
      <c r="H403" s="53"/>
      <c r="I403" s="56"/>
      <c r="J403" s="56"/>
      <c r="K403" s="14"/>
      <c r="L403" s="56"/>
      <c r="M403" s="631" t="s">
        <v>141</v>
      </c>
      <c r="N403" s="359" t="s">
        <v>852</v>
      </c>
      <c r="O403" s="363" t="s">
        <v>143</v>
      </c>
      <c r="P403" s="1" t="str">
        <f t="shared" si="88"/>
        <v/>
      </c>
      <c r="Q403" s="1" t="str">
        <f t="shared" si="88"/>
        <v/>
      </c>
      <c r="R403" s="1" t="str">
        <f t="shared" si="88"/>
        <v/>
      </c>
      <c r="S403" s="1" t="str">
        <f t="shared" si="88"/>
        <v/>
      </c>
      <c r="T403" s="221" t="s">
        <v>922</v>
      </c>
      <c r="U403" s="69" t="s">
        <v>923</v>
      </c>
      <c r="V403" s="23">
        <v>1</v>
      </c>
      <c r="W403" s="30" t="s">
        <v>140</v>
      </c>
      <c r="X403" s="31"/>
      <c r="Y403" s="19"/>
      <c r="Z403" s="85">
        <v>6</v>
      </c>
      <c r="AA403" s="53"/>
      <c r="AB403" s="56"/>
      <c r="AC403" s="56"/>
      <c r="AD403" s="14"/>
      <c r="AE403" s="56"/>
      <c r="AF403" s="631" t="s">
        <v>141</v>
      </c>
      <c r="AG403" s="359" t="s">
        <v>852</v>
      </c>
      <c r="AH403" s="363" t="s">
        <v>143</v>
      </c>
      <c r="AI403" s="1" t="s">
        <v>126</v>
      </c>
      <c r="AJ403" s="1" t="s">
        <v>126</v>
      </c>
      <c r="AK403" s="1" t="s">
        <v>126</v>
      </c>
      <c r="AL403" s="1" t="s">
        <v>126</v>
      </c>
      <c r="AM403" s="374"/>
    </row>
    <row r="404" spans="1:39">
      <c r="A404" s="221" t="s">
        <v>924</v>
      </c>
      <c r="B404" s="69" t="s">
        <v>925</v>
      </c>
      <c r="C404" s="23">
        <v>1</v>
      </c>
      <c r="D404" s="30" t="s">
        <v>140</v>
      </c>
      <c r="E404" s="225"/>
      <c r="F404" s="19"/>
      <c r="G404" s="85">
        <v>8</v>
      </c>
      <c r="H404" s="53"/>
      <c r="I404" s="56"/>
      <c r="J404" s="56"/>
      <c r="K404" s="14"/>
      <c r="L404" s="56"/>
      <c r="M404" s="631" t="s">
        <v>141</v>
      </c>
      <c r="N404" s="359" t="s">
        <v>852</v>
      </c>
      <c r="O404" s="363" t="s">
        <v>143</v>
      </c>
      <c r="P404" s="1" t="str">
        <f t="shared" si="88"/>
        <v/>
      </c>
      <c r="Q404" s="1" t="str">
        <f t="shared" si="88"/>
        <v/>
      </c>
      <c r="R404" s="1" t="str">
        <f t="shared" si="88"/>
        <v/>
      </c>
      <c r="S404" s="1" t="str">
        <f t="shared" si="88"/>
        <v/>
      </c>
      <c r="T404" s="221" t="s">
        <v>924</v>
      </c>
      <c r="U404" s="69" t="s">
        <v>925</v>
      </c>
      <c r="V404" s="23">
        <v>1</v>
      </c>
      <c r="W404" s="30" t="s">
        <v>140</v>
      </c>
      <c r="X404" s="225"/>
      <c r="Y404" s="19"/>
      <c r="Z404" s="85">
        <v>8</v>
      </c>
      <c r="AA404" s="53"/>
      <c r="AB404" s="56"/>
      <c r="AC404" s="56"/>
      <c r="AD404" s="14"/>
      <c r="AE404" s="56"/>
      <c r="AF404" s="631" t="s">
        <v>141</v>
      </c>
      <c r="AG404" s="359" t="s">
        <v>852</v>
      </c>
      <c r="AH404" s="363" t="s">
        <v>143</v>
      </c>
      <c r="AI404" s="1" t="s">
        <v>126</v>
      </c>
      <c r="AJ404" s="1" t="s">
        <v>126</v>
      </c>
      <c r="AK404" s="1" t="s">
        <v>126</v>
      </c>
      <c r="AL404" s="1" t="s">
        <v>126</v>
      </c>
      <c r="AM404" s="374"/>
    </row>
    <row r="405" spans="1:39">
      <c r="A405" s="221" t="s">
        <v>926</v>
      </c>
      <c r="B405" s="69" t="s">
        <v>927</v>
      </c>
      <c r="C405" s="23">
        <v>1</v>
      </c>
      <c r="D405" s="30" t="s">
        <v>140</v>
      </c>
      <c r="E405" s="31"/>
      <c r="F405" s="19"/>
      <c r="G405" s="85">
        <v>11</v>
      </c>
      <c r="H405" s="53"/>
      <c r="I405" s="56"/>
      <c r="J405" s="56"/>
      <c r="K405" s="14"/>
      <c r="L405" s="56"/>
      <c r="M405" s="631" t="s">
        <v>141</v>
      </c>
      <c r="N405" s="359" t="s">
        <v>852</v>
      </c>
      <c r="O405" s="363" t="s">
        <v>143</v>
      </c>
      <c r="P405" s="1" t="str">
        <f t="shared" si="88"/>
        <v/>
      </c>
      <c r="Q405" s="1" t="str">
        <f t="shared" si="88"/>
        <v/>
      </c>
      <c r="R405" s="1" t="str">
        <f t="shared" si="88"/>
        <v/>
      </c>
      <c r="S405" s="1" t="str">
        <f t="shared" si="88"/>
        <v/>
      </c>
      <c r="T405" s="221" t="s">
        <v>926</v>
      </c>
      <c r="U405" s="69" t="s">
        <v>927</v>
      </c>
      <c r="V405" s="23">
        <v>1</v>
      </c>
      <c r="W405" s="30" t="s">
        <v>140</v>
      </c>
      <c r="X405" s="31"/>
      <c r="Y405" s="19"/>
      <c r="Z405" s="85">
        <v>11</v>
      </c>
      <c r="AA405" s="53"/>
      <c r="AB405" s="56"/>
      <c r="AC405" s="56"/>
      <c r="AD405" s="14"/>
      <c r="AE405" s="56"/>
      <c r="AF405" s="631" t="s">
        <v>141</v>
      </c>
      <c r="AG405" s="359" t="s">
        <v>852</v>
      </c>
      <c r="AH405" s="363" t="s">
        <v>143</v>
      </c>
      <c r="AI405" s="1" t="s">
        <v>126</v>
      </c>
      <c r="AJ405" s="1" t="s">
        <v>126</v>
      </c>
      <c r="AK405" s="1" t="s">
        <v>126</v>
      </c>
      <c r="AL405" s="1" t="s">
        <v>126</v>
      </c>
      <c r="AM405" s="374"/>
    </row>
    <row r="406" spans="1:39">
      <c r="A406" s="221" t="s">
        <v>928</v>
      </c>
      <c r="B406" s="69" t="s">
        <v>929</v>
      </c>
      <c r="C406" s="23">
        <v>1</v>
      </c>
      <c r="D406" s="30" t="s">
        <v>140</v>
      </c>
      <c r="E406" s="31"/>
      <c r="F406" s="19"/>
      <c r="G406" s="24">
        <v>94.63</v>
      </c>
      <c r="H406" s="53"/>
      <c r="I406" s="56"/>
      <c r="J406" s="56"/>
      <c r="K406" s="14"/>
      <c r="L406" s="56"/>
      <c r="M406" s="631" t="s">
        <v>141</v>
      </c>
      <c r="N406" s="359" t="s">
        <v>852</v>
      </c>
      <c r="O406" s="363" t="s">
        <v>143</v>
      </c>
      <c r="P406" s="1" t="str">
        <f t="shared" si="88"/>
        <v/>
      </c>
      <c r="Q406" s="1" t="str">
        <f t="shared" si="88"/>
        <v/>
      </c>
      <c r="R406" s="1" t="str">
        <f t="shared" si="88"/>
        <v/>
      </c>
      <c r="S406" s="1" t="str">
        <f t="shared" si="88"/>
        <v/>
      </c>
      <c r="T406" s="221" t="s">
        <v>928</v>
      </c>
      <c r="U406" s="69" t="s">
        <v>929</v>
      </c>
      <c r="V406" s="23">
        <v>1</v>
      </c>
      <c r="W406" s="30" t="s">
        <v>140</v>
      </c>
      <c r="X406" s="31"/>
      <c r="Y406" s="19"/>
      <c r="Z406" s="24">
        <v>94.63</v>
      </c>
      <c r="AA406" s="53"/>
      <c r="AB406" s="56"/>
      <c r="AC406" s="56"/>
      <c r="AD406" s="14"/>
      <c r="AE406" s="56"/>
      <c r="AF406" s="631" t="s">
        <v>141</v>
      </c>
      <c r="AG406" s="359" t="s">
        <v>852</v>
      </c>
      <c r="AH406" s="363" t="s">
        <v>143</v>
      </c>
      <c r="AI406" s="1" t="s">
        <v>126</v>
      </c>
      <c r="AJ406" s="1" t="s">
        <v>126</v>
      </c>
      <c r="AK406" s="1" t="s">
        <v>126</v>
      </c>
      <c r="AL406" s="1" t="s">
        <v>126</v>
      </c>
      <c r="AM406" s="374"/>
    </row>
    <row r="407" spans="1:39" s="329" customFormat="1" ht="24.95" customHeight="1">
      <c r="A407" s="448" t="s">
        <v>944</v>
      </c>
      <c r="B407" s="550" t="s">
        <v>945</v>
      </c>
      <c r="C407" s="450"/>
      <c r="D407" s="451"/>
      <c r="E407" s="451"/>
      <c r="F407" s="452"/>
      <c r="G407" s="453"/>
      <c r="H407" s="453"/>
      <c r="I407" s="454"/>
      <c r="J407" s="454"/>
      <c r="K407" s="453"/>
      <c r="L407" s="454"/>
      <c r="M407" s="629"/>
      <c r="N407" s="455"/>
      <c r="O407" s="454"/>
      <c r="P407" s="454"/>
      <c r="Q407" s="454"/>
      <c r="R407" s="454"/>
      <c r="S407" s="456"/>
      <c r="T407" s="448" t="s">
        <v>944</v>
      </c>
      <c r="U407" s="550" t="s">
        <v>945</v>
      </c>
      <c r="V407" s="450"/>
      <c r="W407" s="451"/>
      <c r="X407" s="451"/>
      <c r="Y407" s="452"/>
      <c r="Z407" s="453"/>
      <c r="AA407" s="453"/>
      <c r="AB407" s="454"/>
      <c r="AC407" s="454"/>
      <c r="AD407" s="453"/>
      <c r="AE407" s="454"/>
      <c r="AF407" s="629"/>
      <c r="AG407" s="455"/>
      <c r="AH407" s="454"/>
      <c r="AI407" s="454"/>
      <c r="AJ407" s="454"/>
      <c r="AK407" s="454"/>
      <c r="AL407" s="456"/>
      <c r="AM407" s="373"/>
    </row>
    <row r="408" spans="1:39">
      <c r="A408" s="206" t="s">
        <v>946</v>
      </c>
      <c r="B408" s="52" t="s">
        <v>947</v>
      </c>
      <c r="C408" s="53">
        <v>1</v>
      </c>
      <c r="D408" s="61" t="s">
        <v>118</v>
      </c>
      <c r="E408" s="62">
        <v>645.25</v>
      </c>
      <c r="F408" s="66">
        <f>rv_ipp105</f>
        <v>0.1065</v>
      </c>
      <c r="G408" s="70">
        <f>E408-(E408*F408)</f>
        <v>576.53087500000004</v>
      </c>
      <c r="H408" s="53" t="s">
        <v>948</v>
      </c>
      <c r="I408" s="63">
        <v>33.04</v>
      </c>
      <c r="J408" s="63">
        <f>G408+I408</f>
        <v>609.570875</v>
      </c>
      <c r="K408" s="55">
        <v>12</v>
      </c>
      <c r="L408" s="63">
        <v>0.25</v>
      </c>
      <c r="M408" s="631" t="s">
        <v>949</v>
      </c>
      <c r="N408" s="358" t="s">
        <v>887</v>
      </c>
      <c r="O408" s="362" t="s">
        <v>123</v>
      </c>
      <c r="P408" s="1">
        <f t="shared" si="88"/>
        <v>122.71194922934113</v>
      </c>
      <c r="Q408" s="1">
        <f t="shared" si="88"/>
        <v>63.774192586120733</v>
      </c>
      <c r="R408" s="1">
        <f t="shared" si="88"/>
        <v>46.317297600824304</v>
      </c>
      <c r="S408" s="1">
        <f t="shared" si="88"/>
        <v>39.968881199462409</v>
      </c>
      <c r="T408" s="206" t="s">
        <v>946</v>
      </c>
      <c r="U408" s="52" t="s">
        <v>947</v>
      </c>
      <c r="V408" s="53">
        <v>1</v>
      </c>
      <c r="W408" s="61" t="s">
        <v>118</v>
      </c>
      <c r="X408" s="62">
        <v>645.25</v>
      </c>
      <c r="Y408" s="66">
        <v>0.1065</v>
      </c>
      <c r="Z408" s="70">
        <v>576.53087500000004</v>
      </c>
      <c r="AA408" s="53" t="s">
        <v>948</v>
      </c>
      <c r="AB408" s="63">
        <v>33.04</v>
      </c>
      <c r="AC408" s="63">
        <v>609.570875</v>
      </c>
      <c r="AD408" s="55">
        <v>12</v>
      </c>
      <c r="AE408" s="63">
        <v>0.25</v>
      </c>
      <c r="AF408" s="631" t="s">
        <v>949</v>
      </c>
      <c r="AG408" s="358" t="s">
        <v>887</v>
      </c>
      <c r="AH408" s="362" t="s">
        <v>123</v>
      </c>
      <c r="AI408" s="1">
        <v>122.71194922934113</v>
      </c>
      <c r="AJ408" s="1">
        <v>63.774192586120733</v>
      </c>
      <c r="AK408" s="1">
        <v>46.317297600824304</v>
      </c>
      <c r="AL408" s="1">
        <v>39.968881199462409</v>
      </c>
      <c r="AM408" s="374"/>
    </row>
    <row r="409" spans="1:39">
      <c r="A409" s="206" t="s">
        <v>950</v>
      </c>
      <c r="B409" s="52" t="s">
        <v>951</v>
      </c>
      <c r="C409" s="53">
        <v>1</v>
      </c>
      <c r="D409" s="61" t="s">
        <v>118</v>
      </c>
      <c r="E409" s="62">
        <v>809.92</v>
      </c>
      <c r="F409" s="66">
        <f>rv_ipp105</f>
        <v>0.1065</v>
      </c>
      <c r="G409" s="70">
        <f>E409-(E409*F409)</f>
        <v>723.66351999999995</v>
      </c>
      <c r="H409" s="53" t="s">
        <v>948</v>
      </c>
      <c r="I409" s="63">
        <f>ipa_5pl</f>
        <v>33.04</v>
      </c>
      <c r="J409" s="63">
        <f>G409+I409</f>
        <v>756.70351999999991</v>
      </c>
      <c r="K409" s="55">
        <v>14</v>
      </c>
      <c r="L409" s="63">
        <v>0.25</v>
      </c>
      <c r="M409" s="631" t="s">
        <v>952</v>
      </c>
      <c r="N409" s="359" t="s">
        <v>887</v>
      </c>
      <c r="O409" s="363" t="s">
        <v>123</v>
      </c>
      <c r="P409" s="1">
        <f t="shared" si="88"/>
        <v>152.33103767942276</v>
      </c>
      <c r="Q409" s="1">
        <f t="shared" si="88"/>
        <v>79.167424157322898</v>
      </c>
      <c r="R409" s="1">
        <f t="shared" si="88"/>
        <v>57.496943454575813</v>
      </c>
      <c r="S409" s="1">
        <f t="shared" si="88"/>
        <v>49.61620434062737</v>
      </c>
      <c r="T409" s="206" t="s">
        <v>950</v>
      </c>
      <c r="U409" s="52" t="s">
        <v>951</v>
      </c>
      <c r="V409" s="53">
        <v>1</v>
      </c>
      <c r="W409" s="61" t="s">
        <v>118</v>
      </c>
      <c r="X409" s="62">
        <v>809.92</v>
      </c>
      <c r="Y409" s="66">
        <v>0.1065</v>
      </c>
      <c r="Z409" s="70">
        <v>723.66351999999995</v>
      </c>
      <c r="AA409" s="53" t="s">
        <v>948</v>
      </c>
      <c r="AB409" s="63">
        <v>33.04</v>
      </c>
      <c r="AC409" s="63">
        <v>756.70351999999991</v>
      </c>
      <c r="AD409" s="55">
        <v>14</v>
      </c>
      <c r="AE409" s="63">
        <v>0.25</v>
      </c>
      <c r="AF409" s="631" t="s">
        <v>952</v>
      </c>
      <c r="AG409" s="359" t="s">
        <v>887</v>
      </c>
      <c r="AH409" s="363" t="s">
        <v>123</v>
      </c>
      <c r="AI409" s="1">
        <v>152.33103767942276</v>
      </c>
      <c r="AJ409" s="1">
        <v>79.167424157322898</v>
      </c>
      <c r="AK409" s="1">
        <v>57.496943454575813</v>
      </c>
      <c r="AL409" s="1">
        <v>49.61620434062737</v>
      </c>
      <c r="AM409" s="374"/>
    </row>
    <row r="410" spans="1:39">
      <c r="A410" s="206" t="s">
        <v>953</v>
      </c>
      <c r="B410" s="52" t="s">
        <v>954</v>
      </c>
      <c r="C410" s="53">
        <v>1</v>
      </c>
      <c r="D410" s="61" t="s">
        <v>118</v>
      </c>
      <c r="E410" s="62">
        <v>811.92</v>
      </c>
      <c r="F410" s="66">
        <f>rv_ipp105</f>
        <v>0.1065</v>
      </c>
      <c r="G410" s="70">
        <f>E410-(E410*F410)</f>
        <v>725.45051999999998</v>
      </c>
      <c r="H410" s="53" t="s">
        <v>948</v>
      </c>
      <c r="I410" s="63">
        <f>ipa_5pl</f>
        <v>33.04</v>
      </c>
      <c r="J410" s="63">
        <f>G410+I410</f>
        <v>758.49051999999995</v>
      </c>
      <c r="K410" s="55">
        <v>12</v>
      </c>
      <c r="L410" s="63">
        <v>0.25</v>
      </c>
      <c r="M410" s="631" t="s">
        <v>955</v>
      </c>
      <c r="N410" s="359" t="s">
        <v>887</v>
      </c>
      <c r="O410" s="363" t="s">
        <v>123</v>
      </c>
      <c r="P410" s="1">
        <f t="shared" si="88"/>
        <v>152.69077641082598</v>
      </c>
      <c r="Q410" s="1">
        <f t="shared" si="88"/>
        <v>79.354382699512755</v>
      </c>
      <c r="R410" s="1">
        <f t="shared" si="88"/>
        <v>57.632725878256529</v>
      </c>
      <c r="S410" s="1">
        <f t="shared" si="88"/>
        <v>49.733375934010077</v>
      </c>
      <c r="T410" s="206" t="s">
        <v>953</v>
      </c>
      <c r="U410" s="52" t="s">
        <v>954</v>
      </c>
      <c r="V410" s="53">
        <v>1</v>
      </c>
      <c r="W410" s="61" t="s">
        <v>118</v>
      </c>
      <c r="X410" s="62">
        <v>811.92</v>
      </c>
      <c r="Y410" s="66">
        <v>0.1065</v>
      </c>
      <c r="Z410" s="70">
        <v>725.45051999999998</v>
      </c>
      <c r="AA410" s="53" t="s">
        <v>948</v>
      </c>
      <c r="AB410" s="63">
        <v>33.04</v>
      </c>
      <c r="AC410" s="63">
        <v>758.49051999999995</v>
      </c>
      <c r="AD410" s="55">
        <v>12</v>
      </c>
      <c r="AE410" s="63">
        <v>0.25</v>
      </c>
      <c r="AF410" s="631" t="s">
        <v>955</v>
      </c>
      <c r="AG410" s="359" t="s">
        <v>887</v>
      </c>
      <c r="AH410" s="363" t="s">
        <v>123</v>
      </c>
      <c r="AI410" s="1">
        <v>152.69077641082598</v>
      </c>
      <c r="AJ410" s="1">
        <v>79.354382699512755</v>
      </c>
      <c r="AK410" s="1">
        <v>57.632725878256529</v>
      </c>
      <c r="AL410" s="1">
        <v>49.733375934010077</v>
      </c>
      <c r="AM410" s="374"/>
    </row>
    <row r="411" spans="1:39">
      <c r="A411" s="206" t="s">
        <v>956</v>
      </c>
      <c r="B411" s="52" t="s">
        <v>957</v>
      </c>
      <c r="C411" s="53">
        <v>1</v>
      </c>
      <c r="D411" s="61" t="s">
        <v>118</v>
      </c>
      <c r="E411" s="62">
        <v>976.58</v>
      </c>
      <c r="F411" s="66">
        <f>rv_ipp105</f>
        <v>0.1065</v>
      </c>
      <c r="G411" s="70">
        <f>E411-(E411*F411)</f>
        <v>872.57423000000006</v>
      </c>
      <c r="H411" s="53" t="s">
        <v>948</v>
      </c>
      <c r="I411" s="63">
        <f>ipa_5pl</f>
        <v>33.04</v>
      </c>
      <c r="J411" s="63">
        <f>G411+I411</f>
        <v>905.61423000000002</v>
      </c>
      <c r="K411" s="55">
        <v>14</v>
      </c>
      <c r="L411" s="63">
        <v>0.25</v>
      </c>
      <c r="M411" s="631" t="s">
        <v>958</v>
      </c>
      <c r="N411" s="359" t="s">
        <v>887</v>
      </c>
      <c r="O411" s="363" t="s">
        <v>123</v>
      </c>
      <c r="P411" s="1">
        <f t="shared" si="88"/>
        <v>182.30806616725064</v>
      </c>
      <c r="Q411" s="1">
        <f t="shared" si="88"/>
        <v>94.746679478003983</v>
      </c>
      <c r="R411" s="1">
        <f t="shared" si="88"/>
        <v>68.811692819889643</v>
      </c>
      <c r="S411" s="1">
        <f t="shared" si="88"/>
        <v>59.380113217208134</v>
      </c>
      <c r="T411" s="206" t="s">
        <v>956</v>
      </c>
      <c r="U411" s="52" t="s">
        <v>957</v>
      </c>
      <c r="V411" s="53">
        <v>1</v>
      </c>
      <c r="W411" s="61" t="s">
        <v>118</v>
      </c>
      <c r="X411" s="62">
        <v>976.58</v>
      </c>
      <c r="Y411" s="66">
        <v>0.1065</v>
      </c>
      <c r="Z411" s="70">
        <v>872.57423000000006</v>
      </c>
      <c r="AA411" s="53" t="s">
        <v>948</v>
      </c>
      <c r="AB411" s="63">
        <v>33.04</v>
      </c>
      <c r="AC411" s="63">
        <v>905.61423000000002</v>
      </c>
      <c r="AD411" s="55">
        <v>14</v>
      </c>
      <c r="AE411" s="63">
        <v>0.25</v>
      </c>
      <c r="AF411" s="631" t="s">
        <v>958</v>
      </c>
      <c r="AG411" s="359" t="s">
        <v>887</v>
      </c>
      <c r="AH411" s="363" t="s">
        <v>123</v>
      </c>
      <c r="AI411" s="1">
        <v>182.30806616725064</v>
      </c>
      <c r="AJ411" s="1">
        <v>94.746679478003983</v>
      </c>
      <c r="AK411" s="1">
        <v>68.811692819889643</v>
      </c>
      <c r="AL411" s="1">
        <v>59.380113217208134</v>
      </c>
      <c r="AM411" s="374"/>
    </row>
    <row r="412" spans="1:39" s="77" customFormat="1">
      <c r="A412" s="234" t="s">
        <v>948</v>
      </c>
      <c r="B412" s="109" t="s">
        <v>959</v>
      </c>
      <c r="C412" s="88">
        <v>1</v>
      </c>
      <c r="D412" s="110" t="s">
        <v>140</v>
      </c>
      <c r="E412" s="280">
        <v>36.979999999999997</v>
      </c>
      <c r="F412" s="112">
        <v>0.1065</v>
      </c>
      <c r="G412" s="68">
        <f>E412-(E412*F412)</f>
        <v>33.041629999999998</v>
      </c>
      <c r="H412" s="59"/>
      <c r="I412" s="228"/>
      <c r="J412" s="56"/>
      <c r="K412" s="14"/>
      <c r="L412" s="56"/>
      <c r="M412" s="631" t="s">
        <v>141</v>
      </c>
      <c r="N412" s="359" t="s">
        <v>852</v>
      </c>
      <c r="O412" s="363" t="s">
        <v>143</v>
      </c>
      <c r="P412" s="1" t="str">
        <f t="shared" si="88"/>
        <v/>
      </c>
      <c r="Q412" s="1" t="str">
        <f t="shared" si="88"/>
        <v/>
      </c>
      <c r="R412" s="1" t="str">
        <f t="shared" si="88"/>
        <v/>
      </c>
      <c r="S412" s="1" t="str">
        <f t="shared" si="88"/>
        <v/>
      </c>
      <c r="T412" s="234" t="s">
        <v>948</v>
      </c>
      <c r="U412" s="109" t="s">
        <v>959</v>
      </c>
      <c r="V412" s="88">
        <v>1</v>
      </c>
      <c r="W412" s="110" t="s">
        <v>140</v>
      </c>
      <c r="X412" s="280">
        <v>36.979999999999997</v>
      </c>
      <c r="Y412" s="112">
        <v>0.1065</v>
      </c>
      <c r="Z412" s="68">
        <v>33.041629999999998</v>
      </c>
      <c r="AA412" s="59"/>
      <c r="AB412" s="228"/>
      <c r="AC412" s="56"/>
      <c r="AD412" s="14"/>
      <c r="AE412" s="56"/>
      <c r="AF412" s="631" t="s">
        <v>141</v>
      </c>
      <c r="AG412" s="359" t="s">
        <v>852</v>
      </c>
      <c r="AH412" s="363" t="s">
        <v>143</v>
      </c>
      <c r="AI412" s="1" t="s">
        <v>126</v>
      </c>
      <c r="AJ412" s="1" t="s">
        <v>126</v>
      </c>
      <c r="AK412" s="1" t="s">
        <v>126</v>
      </c>
      <c r="AL412" s="1" t="s">
        <v>126</v>
      </c>
      <c r="AM412" s="374"/>
    </row>
    <row r="413" spans="1:39" s="106" customFormat="1">
      <c r="A413" s="221" t="s">
        <v>960</v>
      </c>
      <c r="B413" s="69" t="s">
        <v>961</v>
      </c>
      <c r="C413" s="23">
        <v>1</v>
      </c>
      <c r="D413" s="30" t="s">
        <v>140</v>
      </c>
      <c r="E413" s="108"/>
      <c r="F413" s="91"/>
      <c r="G413" s="85">
        <v>6</v>
      </c>
      <c r="H413" s="64"/>
      <c r="I413" s="152"/>
      <c r="J413" s="152"/>
      <c r="K413" s="73"/>
      <c r="L413" s="152"/>
      <c r="M413" s="631" t="s">
        <v>141</v>
      </c>
      <c r="N413" s="359" t="s">
        <v>852</v>
      </c>
      <c r="O413" s="365" t="s">
        <v>143</v>
      </c>
      <c r="P413" s="1" t="str">
        <f t="shared" si="88"/>
        <v/>
      </c>
      <c r="Q413" s="1" t="str">
        <f t="shared" si="88"/>
        <v/>
      </c>
      <c r="R413" s="1" t="str">
        <f t="shared" si="88"/>
        <v/>
      </c>
      <c r="S413" s="1" t="str">
        <f t="shared" si="88"/>
        <v/>
      </c>
      <c r="T413" s="221" t="s">
        <v>960</v>
      </c>
      <c r="U413" s="69" t="s">
        <v>961</v>
      </c>
      <c r="V413" s="23">
        <v>1</v>
      </c>
      <c r="W413" s="30" t="s">
        <v>140</v>
      </c>
      <c r="X413" s="108"/>
      <c r="Y413" s="91"/>
      <c r="Z413" s="85">
        <v>6</v>
      </c>
      <c r="AA413" s="64"/>
      <c r="AB413" s="152"/>
      <c r="AC413" s="152"/>
      <c r="AD413" s="73"/>
      <c r="AE413" s="152"/>
      <c r="AF413" s="631" t="s">
        <v>141</v>
      </c>
      <c r="AG413" s="359" t="s">
        <v>852</v>
      </c>
      <c r="AH413" s="365" t="s">
        <v>143</v>
      </c>
      <c r="AI413" s="1" t="s">
        <v>126</v>
      </c>
      <c r="AJ413" s="1" t="s">
        <v>126</v>
      </c>
      <c r="AK413" s="1" t="s">
        <v>126</v>
      </c>
      <c r="AL413" s="1" t="s">
        <v>126</v>
      </c>
      <c r="AM413" s="377"/>
    </row>
    <row r="414" spans="1:39" s="106" customFormat="1">
      <c r="A414" s="221" t="s">
        <v>962</v>
      </c>
      <c r="B414" s="69" t="s">
        <v>963</v>
      </c>
      <c r="C414" s="23">
        <v>1</v>
      </c>
      <c r="D414" s="30" t="s">
        <v>140</v>
      </c>
      <c r="E414" s="28"/>
      <c r="F414" s="91"/>
      <c r="G414" s="85">
        <v>8</v>
      </c>
      <c r="H414" s="64"/>
      <c r="I414" s="152"/>
      <c r="J414" s="152"/>
      <c r="K414" s="73"/>
      <c r="L414" s="152"/>
      <c r="M414" s="631" t="s">
        <v>141</v>
      </c>
      <c r="N414" s="359" t="s">
        <v>852</v>
      </c>
      <c r="O414" s="365" t="s">
        <v>143</v>
      </c>
      <c r="P414" s="1" t="str">
        <f t="shared" si="88"/>
        <v/>
      </c>
      <c r="Q414" s="1" t="str">
        <f t="shared" si="88"/>
        <v/>
      </c>
      <c r="R414" s="1" t="str">
        <f t="shared" si="88"/>
        <v/>
      </c>
      <c r="S414" s="1" t="str">
        <f t="shared" si="88"/>
        <v/>
      </c>
      <c r="T414" s="221" t="s">
        <v>962</v>
      </c>
      <c r="U414" s="69" t="s">
        <v>963</v>
      </c>
      <c r="V414" s="23">
        <v>1</v>
      </c>
      <c r="W414" s="30" t="s">
        <v>140</v>
      </c>
      <c r="X414" s="28"/>
      <c r="Y414" s="91"/>
      <c r="Z414" s="85">
        <v>8</v>
      </c>
      <c r="AA414" s="64"/>
      <c r="AB414" s="152"/>
      <c r="AC414" s="152"/>
      <c r="AD414" s="73"/>
      <c r="AE414" s="152"/>
      <c r="AF414" s="631" t="s">
        <v>141</v>
      </c>
      <c r="AG414" s="359" t="s">
        <v>852</v>
      </c>
      <c r="AH414" s="365" t="s">
        <v>143</v>
      </c>
      <c r="AI414" s="1" t="s">
        <v>126</v>
      </c>
      <c r="AJ414" s="1" t="s">
        <v>126</v>
      </c>
      <c r="AK414" s="1" t="s">
        <v>126</v>
      </c>
      <c r="AL414" s="1" t="s">
        <v>126</v>
      </c>
      <c r="AM414" s="377"/>
    </row>
    <row r="415" spans="1:39" s="106" customFormat="1">
      <c r="A415" s="221" t="s">
        <v>964</v>
      </c>
      <c r="B415" s="69" t="s">
        <v>965</v>
      </c>
      <c r="C415" s="23">
        <v>1</v>
      </c>
      <c r="D415" s="30" t="s">
        <v>140</v>
      </c>
      <c r="E415" s="28"/>
      <c r="F415" s="91"/>
      <c r="G415" s="85">
        <v>11</v>
      </c>
      <c r="H415" s="64"/>
      <c r="I415" s="152"/>
      <c r="J415" s="152"/>
      <c r="K415" s="73"/>
      <c r="L415" s="152"/>
      <c r="M415" s="631" t="s">
        <v>141</v>
      </c>
      <c r="N415" s="359" t="s">
        <v>852</v>
      </c>
      <c r="O415" s="365" t="s">
        <v>143</v>
      </c>
      <c r="P415" s="1" t="str">
        <f t="shared" ref="P415:S439" si="89">+IF($J415&lt;&gt;"",P$2*$J415,"")</f>
        <v/>
      </c>
      <c r="Q415" s="1" t="str">
        <f t="shared" si="89"/>
        <v/>
      </c>
      <c r="R415" s="1" t="str">
        <f t="shared" si="89"/>
        <v/>
      </c>
      <c r="S415" s="1" t="str">
        <f t="shared" si="89"/>
        <v/>
      </c>
      <c r="T415" s="221" t="s">
        <v>964</v>
      </c>
      <c r="U415" s="69" t="s">
        <v>965</v>
      </c>
      <c r="V415" s="23">
        <v>1</v>
      </c>
      <c r="W415" s="30" t="s">
        <v>140</v>
      </c>
      <c r="X415" s="28"/>
      <c r="Y415" s="91"/>
      <c r="Z415" s="85">
        <v>11</v>
      </c>
      <c r="AA415" s="64"/>
      <c r="AB415" s="152"/>
      <c r="AC415" s="152"/>
      <c r="AD415" s="73"/>
      <c r="AE415" s="152"/>
      <c r="AF415" s="631" t="s">
        <v>141</v>
      </c>
      <c r="AG415" s="359" t="s">
        <v>852</v>
      </c>
      <c r="AH415" s="365" t="s">
        <v>143</v>
      </c>
      <c r="AI415" s="1" t="s">
        <v>126</v>
      </c>
      <c r="AJ415" s="1" t="s">
        <v>126</v>
      </c>
      <c r="AK415" s="1" t="s">
        <v>126</v>
      </c>
      <c r="AL415" s="1" t="s">
        <v>126</v>
      </c>
      <c r="AM415" s="377"/>
    </row>
    <row r="416" spans="1:39" s="106" customFormat="1">
      <c r="A416" s="221" t="s">
        <v>966</v>
      </c>
      <c r="B416" s="69" t="s">
        <v>967</v>
      </c>
      <c r="C416" s="23">
        <v>1</v>
      </c>
      <c r="D416" s="30" t="s">
        <v>140</v>
      </c>
      <c r="E416" s="31"/>
      <c r="F416" s="19"/>
      <c r="G416" s="24">
        <v>94.63</v>
      </c>
      <c r="H416" s="64"/>
      <c r="I416" s="152"/>
      <c r="J416" s="152"/>
      <c r="K416" s="73"/>
      <c r="L416" s="152"/>
      <c r="M416" s="631" t="s">
        <v>141</v>
      </c>
      <c r="N416" s="359" t="s">
        <v>852</v>
      </c>
      <c r="O416" s="365" t="s">
        <v>143</v>
      </c>
      <c r="P416" s="1" t="str">
        <f t="shared" si="89"/>
        <v/>
      </c>
      <c r="Q416" s="1" t="str">
        <f t="shared" si="89"/>
        <v/>
      </c>
      <c r="R416" s="1" t="str">
        <f t="shared" si="89"/>
        <v/>
      </c>
      <c r="S416" s="1" t="str">
        <f t="shared" si="89"/>
        <v/>
      </c>
      <c r="T416" s="221" t="s">
        <v>966</v>
      </c>
      <c r="U416" s="69" t="s">
        <v>967</v>
      </c>
      <c r="V416" s="23">
        <v>1</v>
      </c>
      <c r="W416" s="30" t="s">
        <v>140</v>
      </c>
      <c r="X416" s="31"/>
      <c r="Y416" s="19"/>
      <c r="Z416" s="24">
        <v>94.63</v>
      </c>
      <c r="AA416" s="64"/>
      <c r="AB416" s="152"/>
      <c r="AC416" s="152"/>
      <c r="AD416" s="73"/>
      <c r="AE416" s="152"/>
      <c r="AF416" s="631" t="s">
        <v>141</v>
      </c>
      <c r="AG416" s="359" t="s">
        <v>852</v>
      </c>
      <c r="AH416" s="365" t="s">
        <v>143</v>
      </c>
      <c r="AI416" s="1" t="s">
        <v>126</v>
      </c>
      <c r="AJ416" s="1" t="s">
        <v>126</v>
      </c>
      <c r="AK416" s="1" t="s">
        <v>126</v>
      </c>
      <c r="AL416" s="1" t="s">
        <v>126</v>
      </c>
      <c r="AM416" s="377"/>
    </row>
    <row r="417" spans="1:47" s="330" customFormat="1" ht="24.95" customHeight="1">
      <c r="A417" s="448" t="s">
        <v>968</v>
      </c>
      <c r="B417" s="550" t="s">
        <v>907</v>
      </c>
      <c r="C417" s="450"/>
      <c r="D417" s="451"/>
      <c r="E417" s="451"/>
      <c r="F417" s="452"/>
      <c r="G417" s="453"/>
      <c r="H417" s="453"/>
      <c r="I417" s="454"/>
      <c r="J417" s="454"/>
      <c r="K417" s="453"/>
      <c r="L417" s="454"/>
      <c r="M417" s="629"/>
      <c r="N417" s="455"/>
      <c r="O417" s="454"/>
      <c r="P417" s="454"/>
      <c r="Q417" s="454"/>
      <c r="R417" s="454"/>
      <c r="S417" s="456"/>
      <c r="T417" s="448" t="s">
        <v>968</v>
      </c>
      <c r="U417" s="550" t="s">
        <v>907</v>
      </c>
      <c r="V417" s="450"/>
      <c r="W417" s="451"/>
      <c r="X417" s="451"/>
      <c r="Y417" s="452"/>
      <c r="Z417" s="453"/>
      <c r="AA417" s="453"/>
      <c r="AB417" s="454"/>
      <c r="AC417" s="454"/>
      <c r="AD417" s="453"/>
      <c r="AE417" s="454"/>
      <c r="AF417" s="629"/>
      <c r="AG417" s="455"/>
      <c r="AH417" s="454"/>
      <c r="AI417" s="454"/>
      <c r="AJ417" s="454"/>
      <c r="AK417" s="454"/>
      <c r="AL417" s="456"/>
      <c r="AM417" s="378"/>
    </row>
    <row r="418" spans="1:47" s="77" customFormat="1">
      <c r="A418" s="223" t="s">
        <v>969</v>
      </c>
      <c r="B418" s="471" t="s">
        <v>970</v>
      </c>
      <c r="C418" s="53">
        <v>1</v>
      </c>
      <c r="D418" s="65" t="s">
        <v>118</v>
      </c>
      <c r="E418" s="62">
        <v>876.58</v>
      </c>
      <c r="F418" s="66">
        <f>rv_ipp105</f>
        <v>0.1065</v>
      </c>
      <c r="G418" s="65">
        <f t="shared" ref="G418:G426" si="90">E418-(E418*F418)</f>
        <v>783.22423000000003</v>
      </c>
      <c r="H418" s="53" t="s">
        <v>971</v>
      </c>
      <c r="I418" s="63">
        <v>39.299999999999997</v>
      </c>
      <c r="J418" s="63">
        <f t="shared" ref="J418:J425" si="91">G418+I418</f>
        <v>822.52422999999999</v>
      </c>
      <c r="K418" s="55">
        <v>14</v>
      </c>
      <c r="L418" s="63">
        <v>0.25</v>
      </c>
      <c r="M418" s="631" t="s">
        <v>972</v>
      </c>
      <c r="N418" s="358" t="s">
        <v>887</v>
      </c>
      <c r="O418" s="362" t="s">
        <v>123</v>
      </c>
      <c r="P418" s="1">
        <f t="shared" si="89"/>
        <v>165.58132235511238</v>
      </c>
      <c r="Q418" s="1">
        <f t="shared" si="89"/>
        <v>86.053682684184452</v>
      </c>
      <c r="R418" s="1">
        <f t="shared" si="89"/>
        <v>62.498228027706958</v>
      </c>
      <c r="S418" s="1">
        <f t="shared" si="89"/>
        <v>53.931994753767221</v>
      </c>
      <c r="T418" s="223" t="s">
        <v>969</v>
      </c>
      <c r="U418" s="471" t="s">
        <v>970</v>
      </c>
      <c r="V418" s="53">
        <v>1</v>
      </c>
      <c r="W418" s="65" t="s">
        <v>118</v>
      </c>
      <c r="X418" s="62">
        <v>876.58</v>
      </c>
      <c r="Y418" s="66">
        <v>0.1065</v>
      </c>
      <c r="Z418" s="65">
        <v>783.22423000000003</v>
      </c>
      <c r="AA418" s="53" t="s">
        <v>971</v>
      </c>
      <c r="AB418" s="63">
        <v>39.299999999999997</v>
      </c>
      <c r="AC418" s="63">
        <v>822.52422999999999</v>
      </c>
      <c r="AD418" s="55">
        <v>14</v>
      </c>
      <c r="AE418" s="63">
        <v>0.25</v>
      </c>
      <c r="AF418" s="631" t="s">
        <v>972</v>
      </c>
      <c r="AG418" s="358" t="s">
        <v>887</v>
      </c>
      <c r="AH418" s="362" t="s">
        <v>123</v>
      </c>
      <c r="AI418" s="1">
        <v>165.58132235511238</v>
      </c>
      <c r="AJ418" s="1">
        <v>86.053682684184452</v>
      </c>
      <c r="AK418" s="1">
        <v>62.498228027706958</v>
      </c>
      <c r="AL418" s="1">
        <v>53.931994753767221</v>
      </c>
      <c r="AM418" s="374"/>
    </row>
    <row r="419" spans="1:47" s="100" customFormat="1">
      <c r="A419" s="223" t="s">
        <v>973</v>
      </c>
      <c r="B419" s="472" t="s">
        <v>974</v>
      </c>
      <c r="C419" s="53">
        <v>1</v>
      </c>
      <c r="D419" s="61" t="s">
        <v>118</v>
      </c>
      <c r="E419" s="62">
        <v>984.92</v>
      </c>
      <c r="F419" s="66">
        <f t="shared" ref="F419:F426" si="92">rv_ipp11</f>
        <v>0.1065</v>
      </c>
      <c r="G419" s="70">
        <f t="shared" si="90"/>
        <v>880.02602000000002</v>
      </c>
      <c r="H419" s="53" t="s">
        <v>971</v>
      </c>
      <c r="I419" s="63">
        <v>39.299999999999997</v>
      </c>
      <c r="J419" s="63">
        <f t="shared" si="91"/>
        <v>919.32601999999997</v>
      </c>
      <c r="K419" s="55">
        <v>14</v>
      </c>
      <c r="L419" s="63">
        <v>0.25</v>
      </c>
      <c r="M419" s="631" t="s">
        <v>975</v>
      </c>
      <c r="N419" s="359" t="s">
        <v>887</v>
      </c>
      <c r="O419" s="363" t="s">
        <v>123</v>
      </c>
      <c r="P419" s="1">
        <f t="shared" si="89"/>
        <v>185.06836943522316</v>
      </c>
      <c r="Q419" s="1">
        <f t="shared" si="89"/>
        <v>96.181226914609198</v>
      </c>
      <c r="R419" s="1">
        <f t="shared" si="89"/>
        <v>69.853561918491195</v>
      </c>
      <c r="S419" s="1">
        <f t="shared" si="89"/>
        <v>60.279179967308316</v>
      </c>
      <c r="T419" s="223" t="s">
        <v>973</v>
      </c>
      <c r="U419" s="472" t="s">
        <v>974</v>
      </c>
      <c r="V419" s="53">
        <v>1</v>
      </c>
      <c r="W419" s="61" t="s">
        <v>118</v>
      </c>
      <c r="X419" s="62">
        <v>984.92</v>
      </c>
      <c r="Y419" s="66">
        <v>0.1065</v>
      </c>
      <c r="Z419" s="70">
        <v>880.02602000000002</v>
      </c>
      <c r="AA419" s="53" t="s">
        <v>971</v>
      </c>
      <c r="AB419" s="63">
        <v>39.299999999999997</v>
      </c>
      <c r="AC419" s="63">
        <v>919.32601999999997</v>
      </c>
      <c r="AD419" s="55">
        <v>14</v>
      </c>
      <c r="AE419" s="63">
        <v>0.25</v>
      </c>
      <c r="AF419" s="631" t="s">
        <v>975</v>
      </c>
      <c r="AG419" s="359" t="s">
        <v>887</v>
      </c>
      <c r="AH419" s="363" t="s">
        <v>123</v>
      </c>
      <c r="AI419" s="1">
        <v>185.06836943522316</v>
      </c>
      <c r="AJ419" s="1">
        <v>96.181226914609198</v>
      </c>
      <c r="AK419" s="1">
        <v>69.853561918491195</v>
      </c>
      <c r="AL419" s="1">
        <v>60.279179967308316</v>
      </c>
      <c r="AM419" s="374"/>
    </row>
    <row r="420" spans="1:47" s="100" customFormat="1">
      <c r="A420" s="223" t="s">
        <v>976</v>
      </c>
      <c r="B420" s="472" t="s">
        <v>977</v>
      </c>
      <c r="C420" s="53">
        <v>1</v>
      </c>
      <c r="D420" s="61" t="s">
        <v>118</v>
      </c>
      <c r="E420" s="62">
        <v>1193.25</v>
      </c>
      <c r="F420" s="66">
        <f t="shared" si="92"/>
        <v>0.1065</v>
      </c>
      <c r="G420" s="70">
        <f t="shared" si="90"/>
        <v>1066.1688750000001</v>
      </c>
      <c r="H420" s="53" t="s">
        <v>971</v>
      </c>
      <c r="I420" s="63">
        <v>39.299999999999997</v>
      </c>
      <c r="J420" s="63">
        <f t="shared" si="91"/>
        <v>1105.468875</v>
      </c>
      <c r="K420" s="55">
        <v>14</v>
      </c>
      <c r="L420" s="63">
        <v>0.25</v>
      </c>
      <c r="M420" s="631" t="s">
        <v>978</v>
      </c>
      <c r="N420" s="359" t="s">
        <v>887</v>
      </c>
      <c r="O420" s="363" t="s">
        <v>123</v>
      </c>
      <c r="P420" s="1">
        <f t="shared" si="89"/>
        <v>222.54055439183648</v>
      </c>
      <c r="Q420" s="1">
        <f t="shared" si="89"/>
        <v>115.65576346181604</v>
      </c>
      <c r="R420" s="1">
        <f t="shared" si="89"/>
        <v>83.99733808119268</v>
      </c>
      <c r="S420" s="1">
        <f t="shared" si="89"/>
        <v>72.484358992017718</v>
      </c>
      <c r="T420" s="223" t="s">
        <v>976</v>
      </c>
      <c r="U420" s="472" t="s">
        <v>977</v>
      </c>
      <c r="V420" s="53">
        <v>1</v>
      </c>
      <c r="W420" s="61" t="s">
        <v>118</v>
      </c>
      <c r="X420" s="62">
        <v>1193.25</v>
      </c>
      <c r="Y420" s="66">
        <v>0.1065</v>
      </c>
      <c r="Z420" s="70">
        <v>1066.1688750000001</v>
      </c>
      <c r="AA420" s="53" t="s">
        <v>971</v>
      </c>
      <c r="AB420" s="63">
        <v>39.299999999999997</v>
      </c>
      <c r="AC420" s="63">
        <v>1105.468875</v>
      </c>
      <c r="AD420" s="55">
        <v>14</v>
      </c>
      <c r="AE420" s="63">
        <v>0.25</v>
      </c>
      <c r="AF420" s="631" t="s">
        <v>978</v>
      </c>
      <c r="AG420" s="359" t="s">
        <v>887</v>
      </c>
      <c r="AH420" s="363" t="s">
        <v>123</v>
      </c>
      <c r="AI420" s="1">
        <v>222.54055439183648</v>
      </c>
      <c r="AJ420" s="1">
        <v>115.65576346181604</v>
      </c>
      <c r="AK420" s="1">
        <v>83.99733808119268</v>
      </c>
      <c r="AL420" s="1">
        <v>72.484358992017718</v>
      </c>
      <c r="AM420" s="374"/>
    </row>
    <row r="421" spans="1:47" s="100" customFormat="1">
      <c r="A421" s="223" t="s">
        <v>979</v>
      </c>
      <c r="B421" s="472" t="s">
        <v>980</v>
      </c>
      <c r="C421" s="53">
        <v>1</v>
      </c>
      <c r="D421" s="61" t="s">
        <v>118</v>
      </c>
      <c r="E421" s="62">
        <v>1609.92</v>
      </c>
      <c r="F421" s="66">
        <f t="shared" si="92"/>
        <v>0.1065</v>
      </c>
      <c r="G421" s="70">
        <f t="shared" si="90"/>
        <v>1438.46352</v>
      </c>
      <c r="H421" s="53" t="s">
        <v>971</v>
      </c>
      <c r="I421" s="63">
        <v>39.299999999999997</v>
      </c>
      <c r="J421" s="63">
        <f t="shared" si="91"/>
        <v>1477.76352</v>
      </c>
      <c r="K421" s="55">
        <v>14</v>
      </c>
      <c r="L421" s="63">
        <v>0.25</v>
      </c>
      <c r="M421" s="631" t="s">
        <v>981</v>
      </c>
      <c r="N421" s="359" t="s">
        <v>887</v>
      </c>
      <c r="O421" s="363" t="s">
        <v>123</v>
      </c>
      <c r="P421" s="1">
        <f t="shared" si="89"/>
        <v>297.4867229987201</v>
      </c>
      <c r="Q421" s="1">
        <f t="shared" si="89"/>
        <v>154.60577134894064</v>
      </c>
      <c r="R421" s="1">
        <f t="shared" si="89"/>
        <v>112.28556931871404</v>
      </c>
      <c r="S421" s="1">
        <f t="shared" si="89"/>
        <v>96.895302899403433</v>
      </c>
      <c r="T421" s="223" t="s">
        <v>979</v>
      </c>
      <c r="U421" s="472" t="s">
        <v>980</v>
      </c>
      <c r="V421" s="53">
        <v>1</v>
      </c>
      <c r="W421" s="61" t="s">
        <v>118</v>
      </c>
      <c r="X421" s="62">
        <v>1609.92</v>
      </c>
      <c r="Y421" s="66">
        <v>0.1065</v>
      </c>
      <c r="Z421" s="70">
        <v>1438.46352</v>
      </c>
      <c r="AA421" s="53" t="s">
        <v>971</v>
      </c>
      <c r="AB421" s="63">
        <v>39.299999999999997</v>
      </c>
      <c r="AC421" s="63">
        <v>1477.76352</v>
      </c>
      <c r="AD421" s="55">
        <v>14</v>
      </c>
      <c r="AE421" s="63">
        <v>0.25</v>
      </c>
      <c r="AF421" s="631" t="s">
        <v>981</v>
      </c>
      <c r="AG421" s="359" t="s">
        <v>887</v>
      </c>
      <c r="AH421" s="363" t="s">
        <v>123</v>
      </c>
      <c r="AI421" s="1">
        <v>297.4867229987201</v>
      </c>
      <c r="AJ421" s="1">
        <v>154.60577134894064</v>
      </c>
      <c r="AK421" s="1">
        <v>112.28556931871404</v>
      </c>
      <c r="AL421" s="1">
        <v>96.895302899403433</v>
      </c>
      <c r="AM421" s="374"/>
      <c r="AN421" s="101"/>
      <c r="AO421" s="103"/>
      <c r="AP421" s="104"/>
      <c r="AQ421" s="104"/>
      <c r="AR421" s="105"/>
      <c r="AS421" s="105"/>
      <c r="AT421" s="102"/>
      <c r="AU421" s="61"/>
    </row>
    <row r="422" spans="1:47" s="100" customFormat="1">
      <c r="A422" s="223" t="s">
        <v>982</v>
      </c>
      <c r="B422" s="472" t="s">
        <v>983</v>
      </c>
      <c r="C422" s="53">
        <v>1</v>
      </c>
      <c r="D422" s="61" t="s">
        <v>118</v>
      </c>
      <c r="E422" s="62">
        <v>1043.25</v>
      </c>
      <c r="F422" s="66">
        <f t="shared" si="92"/>
        <v>0.1065</v>
      </c>
      <c r="G422" s="70">
        <f t="shared" si="90"/>
        <v>932.14387499999998</v>
      </c>
      <c r="H422" s="53" t="s">
        <v>971</v>
      </c>
      <c r="I422" s="63">
        <v>39.299999999999997</v>
      </c>
      <c r="J422" s="63">
        <f t="shared" si="91"/>
        <v>971.44387499999993</v>
      </c>
      <c r="K422" s="55">
        <v>14</v>
      </c>
      <c r="L422" s="63">
        <v>0.25</v>
      </c>
      <c r="M422" s="631" t="s">
        <v>984</v>
      </c>
      <c r="N422" s="359" t="s">
        <v>887</v>
      </c>
      <c r="O422" s="363" t="s">
        <v>123</v>
      </c>
      <c r="P422" s="1">
        <f t="shared" si="89"/>
        <v>195.56014953659721</v>
      </c>
      <c r="Q422" s="1">
        <f t="shared" si="89"/>
        <v>101.63387279757647</v>
      </c>
      <c r="R422" s="1">
        <f t="shared" si="89"/>
        <v>73.81365630513919</v>
      </c>
      <c r="S422" s="1">
        <f t="shared" si="89"/>
        <v>63.696489488314889</v>
      </c>
      <c r="T422" s="223" t="s">
        <v>982</v>
      </c>
      <c r="U422" s="472" t="s">
        <v>983</v>
      </c>
      <c r="V422" s="53">
        <v>1</v>
      </c>
      <c r="W422" s="61" t="s">
        <v>118</v>
      </c>
      <c r="X422" s="62">
        <v>1043.25</v>
      </c>
      <c r="Y422" s="66">
        <v>0.1065</v>
      </c>
      <c r="Z422" s="70">
        <v>932.14387499999998</v>
      </c>
      <c r="AA422" s="53" t="s">
        <v>971</v>
      </c>
      <c r="AB422" s="63">
        <v>39.299999999999997</v>
      </c>
      <c r="AC422" s="63">
        <v>971.44387499999993</v>
      </c>
      <c r="AD422" s="55">
        <v>14</v>
      </c>
      <c r="AE422" s="63">
        <v>0.25</v>
      </c>
      <c r="AF422" s="631" t="s">
        <v>984</v>
      </c>
      <c r="AG422" s="359" t="s">
        <v>887</v>
      </c>
      <c r="AH422" s="363" t="s">
        <v>123</v>
      </c>
      <c r="AI422" s="1">
        <v>195.56014953659721</v>
      </c>
      <c r="AJ422" s="1">
        <v>101.63387279757647</v>
      </c>
      <c r="AK422" s="1">
        <v>73.81365630513919</v>
      </c>
      <c r="AL422" s="1">
        <v>63.696489488314889</v>
      </c>
      <c r="AM422" s="374"/>
    </row>
    <row r="423" spans="1:47" s="100" customFormat="1">
      <c r="A423" s="223" t="s">
        <v>985</v>
      </c>
      <c r="B423" s="472" t="s">
        <v>986</v>
      </c>
      <c r="C423" s="53">
        <v>1</v>
      </c>
      <c r="D423" s="61" t="s">
        <v>118</v>
      </c>
      <c r="E423" s="62">
        <v>1151.58</v>
      </c>
      <c r="F423" s="66">
        <f t="shared" si="92"/>
        <v>0.1065</v>
      </c>
      <c r="G423" s="70">
        <f t="shared" si="90"/>
        <v>1028.9367299999999</v>
      </c>
      <c r="H423" s="53" t="s">
        <v>971</v>
      </c>
      <c r="I423" s="63">
        <v>39.299999999999997</v>
      </c>
      <c r="J423" s="63">
        <f t="shared" si="91"/>
        <v>1068.2367299999999</v>
      </c>
      <c r="K423" s="55">
        <v>14</v>
      </c>
      <c r="L423" s="63">
        <v>0.25</v>
      </c>
      <c r="M423" s="631" t="s">
        <v>987</v>
      </c>
      <c r="N423" s="359" t="s">
        <v>887</v>
      </c>
      <c r="O423" s="363" t="s">
        <v>123</v>
      </c>
      <c r="P423" s="1">
        <f t="shared" si="89"/>
        <v>215.04539792305098</v>
      </c>
      <c r="Q423" s="1">
        <f t="shared" si="89"/>
        <v>111.76048223529027</v>
      </c>
      <c r="R423" s="1">
        <f t="shared" si="89"/>
        <v>81.168311283805011</v>
      </c>
      <c r="S423" s="1">
        <f t="shared" si="89"/>
        <v>70.043088843889066</v>
      </c>
      <c r="T423" s="223" t="s">
        <v>985</v>
      </c>
      <c r="U423" s="472" t="s">
        <v>986</v>
      </c>
      <c r="V423" s="53">
        <v>1</v>
      </c>
      <c r="W423" s="61" t="s">
        <v>118</v>
      </c>
      <c r="X423" s="62">
        <v>1151.58</v>
      </c>
      <c r="Y423" s="66">
        <v>0.1065</v>
      </c>
      <c r="Z423" s="70">
        <v>1028.9367299999999</v>
      </c>
      <c r="AA423" s="53" t="s">
        <v>971</v>
      </c>
      <c r="AB423" s="63">
        <v>39.299999999999997</v>
      </c>
      <c r="AC423" s="63">
        <v>1068.2367299999999</v>
      </c>
      <c r="AD423" s="55">
        <v>14</v>
      </c>
      <c r="AE423" s="63">
        <v>0.25</v>
      </c>
      <c r="AF423" s="631" t="s">
        <v>987</v>
      </c>
      <c r="AG423" s="359" t="s">
        <v>887</v>
      </c>
      <c r="AH423" s="363" t="s">
        <v>123</v>
      </c>
      <c r="AI423" s="1">
        <v>215.04539792305098</v>
      </c>
      <c r="AJ423" s="1">
        <v>111.76048223529027</v>
      </c>
      <c r="AK423" s="1">
        <v>81.168311283805011</v>
      </c>
      <c r="AL423" s="1">
        <v>70.043088843889066</v>
      </c>
      <c r="AM423" s="374"/>
    </row>
    <row r="424" spans="1:47" s="100" customFormat="1">
      <c r="A424" s="223" t="s">
        <v>988</v>
      </c>
      <c r="B424" s="472" t="s">
        <v>989</v>
      </c>
      <c r="C424" s="53">
        <v>1</v>
      </c>
      <c r="D424" s="61" t="s">
        <v>118</v>
      </c>
      <c r="E424" s="62">
        <v>1359.92</v>
      </c>
      <c r="F424" s="66">
        <f t="shared" si="92"/>
        <v>0.1065</v>
      </c>
      <c r="G424" s="70">
        <f t="shared" si="90"/>
        <v>1215.08852</v>
      </c>
      <c r="H424" s="53" t="s">
        <v>971</v>
      </c>
      <c r="I424" s="63">
        <v>39.299999999999997</v>
      </c>
      <c r="J424" s="63">
        <f t="shared" si="91"/>
        <v>1254.38852</v>
      </c>
      <c r="K424" s="55">
        <v>14</v>
      </c>
      <c r="L424" s="63">
        <v>0.25</v>
      </c>
      <c r="M424" s="631" t="s">
        <v>990</v>
      </c>
      <c r="N424" s="359" t="s">
        <v>887</v>
      </c>
      <c r="O424" s="363" t="s">
        <v>123</v>
      </c>
      <c r="P424" s="1">
        <f t="shared" si="89"/>
        <v>252.51938157332134</v>
      </c>
      <c r="Q424" s="1">
        <f t="shared" si="89"/>
        <v>131.23595357520807</v>
      </c>
      <c r="R424" s="1">
        <f t="shared" si="89"/>
        <v>95.312766358624899</v>
      </c>
      <c r="S424" s="1">
        <f t="shared" si="89"/>
        <v>82.248853726565386</v>
      </c>
      <c r="T424" s="223" t="s">
        <v>988</v>
      </c>
      <c r="U424" s="472" t="s">
        <v>989</v>
      </c>
      <c r="V424" s="53">
        <v>1</v>
      </c>
      <c r="W424" s="61" t="s">
        <v>118</v>
      </c>
      <c r="X424" s="62">
        <v>1359.92</v>
      </c>
      <c r="Y424" s="66">
        <v>0.1065</v>
      </c>
      <c r="Z424" s="70">
        <v>1215.08852</v>
      </c>
      <c r="AA424" s="53" t="s">
        <v>971</v>
      </c>
      <c r="AB424" s="63">
        <v>39.299999999999997</v>
      </c>
      <c r="AC424" s="63">
        <v>1254.38852</v>
      </c>
      <c r="AD424" s="55">
        <v>14</v>
      </c>
      <c r="AE424" s="63">
        <v>0.25</v>
      </c>
      <c r="AF424" s="631" t="s">
        <v>990</v>
      </c>
      <c r="AG424" s="359" t="s">
        <v>887</v>
      </c>
      <c r="AH424" s="363" t="s">
        <v>123</v>
      </c>
      <c r="AI424" s="1">
        <v>252.51938157332134</v>
      </c>
      <c r="AJ424" s="1">
        <v>131.23595357520807</v>
      </c>
      <c r="AK424" s="1">
        <v>95.312766358624899</v>
      </c>
      <c r="AL424" s="1">
        <v>82.248853726565386</v>
      </c>
      <c r="AM424" s="374"/>
    </row>
    <row r="425" spans="1:47" s="100" customFormat="1">
      <c r="A425" s="223" t="s">
        <v>991</v>
      </c>
      <c r="B425" s="472" t="s">
        <v>992</v>
      </c>
      <c r="C425" s="53">
        <v>1</v>
      </c>
      <c r="D425" s="61" t="s">
        <v>118</v>
      </c>
      <c r="E425" s="62">
        <v>1776.58</v>
      </c>
      <c r="F425" s="66">
        <f t="shared" si="92"/>
        <v>0.1065</v>
      </c>
      <c r="G425" s="70">
        <f t="shared" si="90"/>
        <v>1587.3742299999999</v>
      </c>
      <c r="H425" s="53" t="s">
        <v>971</v>
      </c>
      <c r="I425" s="63">
        <v>39.299999999999997</v>
      </c>
      <c r="J425" s="63">
        <f t="shared" si="91"/>
        <v>1626.6742299999999</v>
      </c>
      <c r="K425" s="55">
        <v>14</v>
      </c>
      <c r="L425" s="63">
        <v>0.25</v>
      </c>
      <c r="M425" s="631" t="s">
        <v>993</v>
      </c>
      <c r="N425" s="359" t="s">
        <v>887</v>
      </c>
      <c r="O425" s="363" t="s">
        <v>123</v>
      </c>
      <c r="P425" s="1">
        <f t="shared" si="89"/>
        <v>327.46375148654789</v>
      </c>
      <c r="Q425" s="1">
        <f t="shared" si="89"/>
        <v>170.18502666962169</v>
      </c>
      <c r="R425" s="1">
        <f t="shared" si="89"/>
        <v>123.60031868402785</v>
      </c>
      <c r="S425" s="1">
        <f t="shared" si="89"/>
        <v>106.65921177598419</v>
      </c>
      <c r="T425" s="223" t="s">
        <v>991</v>
      </c>
      <c r="U425" s="472" t="s">
        <v>992</v>
      </c>
      <c r="V425" s="53">
        <v>1</v>
      </c>
      <c r="W425" s="61" t="s">
        <v>118</v>
      </c>
      <c r="X425" s="62">
        <v>1776.58</v>
      </c>
      <c r="Y425" s="66">
        <v>0.1065</v>
      </c>
      <c r="Z425" s="70">
        <v>1587.3742299999999</v>
      </c>
      <c r="AA425" s="53" t="s">
        <v>971</v>
      </c>
      <c r="AB425" s="63">
        <v>39.299999999999997</v>
      </c>
      <c r="AC425" s="63">
        <v>1626.6742299999999</v>
      </c>
      <c r="AD425" s="55">
        <v>14</v>
      </c>
      <c r="AE425" s="63">
        <v>0.25</v>
      </c>
      <c r="AF425" s="631" t="s">
        <v>993</v>
      </c>
      <c r="AG425" s="359" t="s">
        <v>887</v>
      </c>
      <c r="AH425" s="363" t="s">
        <v>123</v>
      </c>
      <c r="AI425" s="1">
        <v>327.46375148654789</v>
      </c>
      <c r="AJ425" s="1">
        <v>170.18502666962169</v>
      </c>
      <c r="AK425" s="1">
        <v>123.60031868402785</v>
      </c>
      <c r="AL425" s="1">
        <v>106.65921177598419</v>
      </c>
      <c r="AM425" s="374"/>
    </row>
    <row r="426" spans="1:47" s="77" customFormat="1">
      <c r="A426" s="231" t="s">
        <v>971</v>
      </c>
      <c r="B426" s="58" t="s">
        <v>994</v>
      </c>
      <c r="C426" s="59">
        <v>1</v>
      </c>
      <c r="D426" s="74" t="s">
        <v>140</v>
      </c>
      <c r="E426" s="280">
        <v>43.98</v>
      </c>
      <c r="F426" s="112">
        <f t="shared" si="92"/>
        <v>0.1065</v>
      </c>
      <c r="G426" s="68">
        <f t="shared" si="90"/>
        <v>39.296129999999998</v>
      </c>
      <c r="H426" s="68"/>
      <c r="I426" s="76"/>
      <c r="J426" s="76"/>
      <c r="K426" s="14"/>
      <c r="L426" s="56"/>
      <c r="M426" s="631" t="s">
        <v>141</v>
      </c>
      <c r="N426" s="359" t="s">
        <v>852</v>
      </c>
      <c r="O426" s="363" t="s">
        <v>143</v>
      </c>
      <c r="P426" s="1" t="str">
        <f t="shared" si="89"/>
        <v/>
      </c>
      <c r="Q426" s="1" t="str">
        <f t="shared" si="89"/>
        <v/>
      </c>
      <c r="R426" s="1" t="str">
        <f t="shared" si="89"/>
        <v/>
      </c>
      <c r="S426" s="1" t="str">
        <f t="shared" si="89"/>
        <v/>
      </c>
      <c r="T426" s="231" t="s">
        <v>971</v>
      </c>
      <c r="U426" s="58" t="s">
        <v>994</v>
      </c>
      <c r="V426" s="59">
        <v>1</v>
      </c>
      <c r="W426" s="74" t="s">
        <v>140</v>
      </c>
      <c r="X426" s="280">
        <v>43.98</v>
      </c>
      <c r="Y426" s="112">
        <v>0.1065</v>
      </c>
      <c r="Z426" s="68">
        <v>39.296129999999998</v>
      </c>
      <c r="AA426" s="68"/>
      <c r="AB426" s="76"/>
      <c r="AC426" s="76"/>
      <c r="AD426" s="14"/>
      <c r="AE426" s="56"/>
      <c r="AF426" s="631" t="s">
        <v>141</v>
      </c>
      <c r="AG426" s="359" t="s">
        <v>852</v>
      </c>
      <c r="AH426" s="363" t="s">
        <v>143</v>
      </c>
      <c r="AI426" s="1" t="s">
        <v>126</v>
      </c>
      <c r="AJ426" s="1" t="s">
        <v>126</v>
      </c>
      <c r="AK426" s="1" t="s">
        <v>126</v>
      </c>
      <c r="AL426" s="1" t="s">
        <v>126</v>
      </c>
      <c r="AM426" s="374"/>
    </row>
    <row r="427" spans="1:47">
      <c r="A427" s="221" t="s">
        <v>995</v>
      </c>
      <c r="B427" s="69" t="s">
        <v>996</v>
      </c>
      <c r="C427" s="23">
        <v>1</v>
      </c>
      <c r="D427" s="30" t="s">
        <v>140</v>
      </c>
      <c r="E427" s="31"/>
      <c r="F427" s="19"/>
      <c r="G427" s="85">
        <v>6</v>
      </c>
      <c r="H427" s="85"/>
      <c r="I427" s="56"/>
      <c r="J427" s="56"/>
      <c r="K427" s="14"/>
      <c r="L427" s="56"/>
      <c r="M427" s="631" t="s">
        <v>141</v>
      </c>
      <c r="N427" s="359" t="s">
        <v>852</v>
      </c>
      <c r="O427" s="363" t="s">
        <v>143</v>
      </c>
      <c r="P427" s="1" t="str">
        <f t="shared" si="89"/>
        <v/>
      </c>
      <c r="Q427" s="1" t="str">
        <f t="shared" si="89"/>
        <v/>
      </c>
      <c r="R427" s="1" t="str">
        <f t="shared" si="89"/>
        <v/>
      </c>
      <c r="S427" s="1" t="str">
        <f t="shared" si="89"/>
        <v/>
      </c>
      <c r="T427" s="221" t="s">
        <v>995</v>
      </c>
      <c r="U427" s="69" t="s">
        <v>996</v>
      </c>
      <c r="V427" s="23">
        <v>1</v>
      </c>
      <c r="W427" s="30" t="s">
        <v>140</v>
      </c>
      <c r="X427" s="31"/>
      <c r="Y427" s="19"/>
      <c r="Z427" s="85">
        <v>6</v>
      </c>
      <c r="AA427" s="85"/>
      <c r="AB427" s="56"/>
      <c r="AC427" s="56"/>
      <c r="AD427" s="14"/>
      <c r="AE427" s="56"/>
      <c r="AF427" s="631" t="s">
        <v>141</v>
      </c>
      <c r="AG427" s="359" t="s">
        <v>852</v>
      </c>
      <c r="AH427" s="363" t="s">
        <v>143</v>
      </c>
      <c r="AI427" s="1" t="s">
        <v>126</v>
      </c>
      <c r="AJ427" s="1" t="s">
        <v>126</v>
      </c>
      <c r="AK427" s="1" t="s">
        <v>126</v>
      </c>
      <c r="AL427" s="1" t="s">
        <v>126</v>
      </c>
      <c r="AM427" s="374"/>
    </row>
    <row r="428" spans="1:47">
      <c r="A428" s="221" t="s">
        <v>997</v>
      </c>
      <c r="B428" s="69" t="s">
        <v>998</v>
      </c>
      <c r="C428" s="23">
        <v>1</v>
      </c>
      <c r="D428" s="30" t="s">
        <v>140</v>
      </c>
      <c r="E428" s="31"/>
      <c r="F428" s="19"/>
      <c r="G428" s="85">
        <v>8</v>
      </c>
      <c r="H428" s="85"/>
      <c r="I428" s="56"/>
      <c r="J428" s="56"/>
      <c r="K428" s="14"/>
      <c r="L428" s="56"/>
      <c r="M428" s="631" t="s">
        <v>141</v>
      </c>
      <c r="N428" s="359" t="s">
        <v>852</v>
      </c>
      <c r="O428" s="363" t="s">
        <v>143</v>
      </c>
      <c r="P428" s="1" t="str">
        <f t="shared" si="89"/>
        <v/>
      </c>
      <c r="Q428" s="1" t="str">
        <f t="shared" si="89"/>
        <v/>
      </c>
      <c r="R428" s="1" t="str">
        <f t="shared" si="89"/>
        <v/>
      </c>
      <c r="S428" s="1" t="str">
        <f t="shared" si="89"/>
        <v/>
      </c>
      <c r="T428" s="221" t="s">
        <v>997</v>
      </c>
      <c r="U428" s="69" t="s">
        <v>998</v>
      </c>
      <c r="V428" s="23">
        <v>1</v>
      </c>
      <c r="W428" s="30" t="s">
        <v>140</v>
      </c>
      <c r="X428" s="31"/>
      <c r="Y428" s="19"/>
      <c r="Z428" s="85">
        <v>8</v>
      </c>
      <c r="AA428" s="85"/>
      <c r="AB428" s="56"/>
      <c r="AC428" s="56"/>
      <c r="AD428" s="14"/>
      <c r="AE428" s="56"/>
      <c r="AF428" s="631" t="s">
        <v>141</v>
      </c>
      <c r="AG428" s="359" t="s">
        <v>852</v>
      </c>
      <c r="AH428" s="363" t="s">
        <v>143</v>
      </c>
      <c r="AI428" s="1" t="s">
        <v>126</v>
      </c>
      <c r="AJ428" s="1" t="s">
        <v>126</v>
      </c>
      <c r="AK428" s="1" t="s">
        <v>126</v>
      </c>
      <c r="AL428" s="1" t="s">
        <v>126</v>
      </c>
      <c r="AM428" s="374"/>
    </row>
    <row r="429" spans="1:47">
      <c r="A429" s="221" t="s">
        <v>999</v>
      </c>
      <c r="B429" s="69" t="s">
        <v>1000</v>
      </c>
      <c r="C429" s="23">
        <v>1</v>
      </c>
      <c r="D429" s="30" t="s">
        <v>140</v>
      </c>
      <c r="E429" s="31"/>
      <c r="F429" s="19"/>
      <c r="G429" s="85">
        <v>11</v>
      </c>
      <c r="H429" s="85"/>
      <c r="I429" s="56"/>
      <c r="J429" s="56"/>
      <c r="K429" s="14"/>
      <c r="L429" s="56"/>
      <c r="M429" s="631" t="s">
        <v>141</v>
      </c>
      <c r="N429" s="359" t="s">
        <v>852</v>
      </c>
      <c r="O429" s="363" t="s">
        <v>143</v>
      </c>
      <c r="P429" s="1" t="str">
        <f t="shared" si="89"/>
        <v/>
      </c>
      <c r="Q429" s="1" t="str">
        <f t="shared" si="89"/>
        <v/>
      </c>
      <c r="R429" s="1" t="str">
        <f t="shared" si="89"/>
        <v/>
      </c>
      <c r="S429" s="1" t="str">
        <f t="shared" si="89"/>
        <v/>
      </c>
      <c r="T429" s="221" t="s">
        <v>999</v>
      </c>
      <c r="U429" s="69" t="s">
        <v>1000</v>
      </c>
      <c r="V429" s="23">
        <v>1</v>
      </c>
      <c r="W429" s="30" t="s">
        <v>140</v>
      </c>
      <c r="X429" s="31"/>
      <c r="Y429" s="19"/>
      <c r="Z429" s="85">
        <v>11</v>
      </c>
      <c r="AA429" s="85"/>
      <c r="AB429" s="56"/>
      <c r="AC429" s="56"/>
      <c r="AD429" s="14"/>
      <c r="AE429" s="56"/>
      <c r="AF429" s="631" t="s">
        <v>141</v>
      </c>
      <c r="AG429" s="359" t="s">
        <v>852</v>
      </c>
      <c r="AH429" s="363" t="s">
        <v>143</v>
      </c>
      <c r="AI429" s="1" t="s">
        <v>126</v>
      </c>
      <c r="AJ429" s="1" t="s">
        <v>126</v>
      </c>
      <c r="AK429" s="1" t="s">
        <v>126</v>
      </c>
      <c r="AL429" s="1" t="s">
        <v>126</v>
      </c>
      <c r="AM429" s="374"/>
    </row>
    <row r="430" spans="1:47">
      <c r="A430" s="221" t="s">
        <v>1001</v>
      </c>
      <c r="B430" s="69" t="s">
        <v>1002</v>
      </c>
      <c r="C430" s="23">
        <v>1</v>
      </c>
      <c r="D430" s="30" t="s">
        <v>140</v>
      </c>
      <c r="E430" s="31"/>
      <c r="F430" s="19"/>
      <c r="G430" s="24">
        <v>94.63</v>
      </c>
      <c r="H430" s="85"/>
      <c r="I430" s="56"/>
      <c r="J430" s="56"/>
      <c r="K430" s="14"/>
      <c r="L430" s="56"/>
      <c r="M430" s="631" t="s">
        <v>141</v>
      </c>
      <c r="N430" s="359" t="s">
        <v>852</v>
      </c>
      <c r="O430" s="363" t="s">
        <v>143</v>
      </c>
      <c r="P430" s="1" t="str">
        <f t="shared" si="89"/>
        <v/>
      </c>
      <c r="Q430" s="1" t="str">
        <f t="shared" si="89"/>
        <v/>
      </c>
      <c r="R430" s="1" t="str">
        <f t="shared" si="89"/>
        <v/>
      </c>
      <c r="S430" s="1" t="str">
        <f t="shared" si="89"/>
        <v/>
      </c>
      <c r="T430" s="221" t="s">
        <v>1001</v>
      </c>
      <c r="U430" s="69" t="s">
        <v>1002</v>
      </c>
      <c r="V430" s="23">
        <v>1</v>
      </c>
      <c r="W430" s="30" t="s">
        <v>140</v>
      </c>
      <c r="X430" s="31"/>
      <c r="Y430" s="19"/>
      <c r="Z430" s="24">
        <v>94.63</v>
      </c>
      <c r="AA430" s="85"/>
      <c r="AB430" s="56"/>
      <c r="AC430" s="56"/>
      <c r="AD430" s="14"/>
      <c r="AE430" s="56"/>
      <c r="AF430" s="631" t="s">
        <v>141</v>
      </c>
      <c r="AG430" s="359" t="s">
        <v>852</v>
      </c>
      <c r="AH430" s="363" t="s">
        <v>143</v>
      </c>
      <c r="AI430" s="1" t="s">
        <v>126</v>
      </c>
      <c r="AJ430" s="1" t="s">
        <v>126</v>
      </c>
      <c r="AK430" s="1" t="s">
        <v>126</v>
      </c>
      <c r="AL430" s="1" t="s">
        <v>126</v>
      </c>
      <c r="AM430" s="374"/>
    </row>
    <row r="431" spans="1:47" s="329" customFormat="1" ht="24.95" customHeight="1">
      <c r="A431" s="470" t="s">
        <v>1003</v>
      </c>
      <c r="B431" s="551" t="s">
        <v>907</v>
      </c>
      <c r="C431" s="450"/>
      <c r="D431" s="451"/>
      <c r="E431" s="451"/>
      <c r="F431" s="452"/>
      <c r="G431" s="453"/>
      <c r="H431" s="453"/>
      <c r="I431" s="454"/>
      <c r="J431" s="454"/>
      <c r="K431" s="453"/>
      <c r="L431" s="454"/>
      <c r="M431" s="629"/>
      <c r="N431" s="455"/>
      <c r="O431" s="454"/>
      <c r="P431" s="454"/>
      <c r="Q431" s="454"/>
      <c r="R431" s="454"/>
      <c r="S431" s="456"/>
      <c r="T431" s="470" t="s">
        <v>1003</v>
      </c>
      <c r="U431" s="551" t="s">
        <v>907</v>
      </c>
      <c r="V431" s="450"/>
      <c r="W431" s="451"/>
      <c r="X431" s="451"/>
      <c r="Y431" s="452"/>
      <c r="Z431" s="453"/>
      <c r="AA431" s="453"/>
      <c r="AB431" s="454"/>
      <c r="AC431" s="454"/>
      <c r="AD431" s="453"/>
      <c r="AE431" s="454"/>
      <c r="AF431" s="629"/>
      <c r="AG431" s="455"/>
      <c r="AH431" s="454"/>
      <c r="AI431" s="454"/>
      <c r="AJ431" s="454"/>
      <c r="AK431" s="454"/>
      <c r="AL431" s="456"/>
      <c r="AM431" s="373"/>
    </row>
    <row r="432" spans="1:47" s="100" customFormat="1">
      <c r="A432" s="223" t="s">
        <v>1004</v>
      </c>
      <c r="B432" s="392" t="s">
        <v>1005</v>
      </c>
      <c r="C432" s="53">
        <v>1</v>
      </c>
      <c r="D432" s="54" t="s">
        <v>118</v>
      </c>
      <c r="E432" s="62">
        <v>1209.92</v>
      </c>
      <c r="F432" s="66">
        <f t="shared" ref="F432:F440" si="93">rv_ipp12</f>
        <v>0.1065</v>
      </c>
      <c r="G432" s="70">
        <f t="shared" ref="G432:G440" si="94">E432-(E432*F432)</f>
        <v>1081.0635200000002</v>
      </c>
      <c r="H432" s="53" t="s">
        <v>1006</v>
      </c>
      <c r="I432" s="63">
        <v>42.87</v>
      </c>
      <c r="J432" s="63">
        <f t="shared" ref="J432:J439" si="95">G432+I432</f>
        <v>1123.93352</v>
      </c>
      <c r="K432" s="55">
        <v>14</v>
      </c>
      <c r="L432" s="63">
        <v>0.25</v>
      </c>
      <c r="M432" s="631" t="s">
        <v>1007</v>
      </c>
      <c r="N432" s="358" t="s">
        <v>887</v>
      </c>
      <c r="O432" s="362" t="s">
        <v>123</v>
      </c>
      <c r="P432" s="1">
        <f t="shared" si="89"/>
        <v>226.25764894589932</v>
      </c>
      <c r="Q432" s="1">
        <f t="shared" si="89"/>
        <v>117.58756150952352</v>
      </c>
      <c r="R432" s="1">
        <f t="shared" si="89"/>
        <v>85.40034549613614</v>
      </c>
      <c r="S432" s="1">
        <f t="shared" si="89"/>
        <v>73.695065134097177</v>
      </c>
      <c r="T432" s="223" t="s">
        <v>1004</v>
      </c>
      <c r="U432" s="392" t="s">
        <v>1005</v>
      </c>
      <c r="V432" s="53">
        <v>1</v>
      </c>
      <c r="W432" s="54" t="s">
        <v>118</v>
      </c>
      <c r="X432" s="62">
        <v>1209.92</v>
      </c>
      <c r="Y432" s="66">
        <v>0.1065</v>
      </c>
      <c r="Z432" s="70">
        <v>1081.0635200000002</v>
      </c>
      <c r="AA432" s="53" t="s">
        <v>1006</v>
      </c>
      <c r="AB432" s="63">
        <v>42.87</v>
      </c>
      <c r="AC432" s="63">
        <v>1123.93352</v>
      </c>
      <c r="AD432" s="55">
        <v>14</v>
      </c>
      <c r="AE432" s="63">
        <v>0.25</v>
      </c>
      <c r="AF432" s="631" t="s">
        <v>1007</v>
      </c>
      <c r="AG432" s="358" t="s">
        <v>887</v>
      </c>
      <c r="AH432" s="362" t="s">
        <v>123</v>
      </c>
      <c r="AI432" s="1">
        <v>226.25764894589932</v>
      </c>
      <c r="AJ432" s="1">
        <v>117.58756150952352</v>
      </c>
      <c r="AK432" s="1">
        <v>85.40034549613614</v>
      </c>
      <c r="AL432" s="1">
        <v>73.695065134097177</v>
      </c>
      <c r="AM432" s="374"/>
    </row>
    <row r="433" spans="1:39" s="100" customFormat="1">
      <c r="A433" s="223" t="s">
        <v>1008</v>
      </c>
      <c r="B433" s="392" t="s">
        <v>1009</v>
      </c>
      <c r="C433" s="53">
        <v>1</v>
      </c>
      <c r="D433" s="61" t="s">
        <v>118</v>
      </c>
      <c r="E433" s="62">
        <v>1318.25</v>
      </c>
      <c r="F433" s="66">
        <f t="shared" si="93"/>
        <v>0.1065</v>
      </c>
      <c r="G433" s="70">
        <f t="shared" si="94"/>
        <v>1177.8563750000001</v>
      </c>
      <c r="H433" s="53" t="s">
        <v>1006</v>
      </c>
      <c r="I433" s="63">
        <v>42.87</v>
      </c>
      <c r="J433" s="63">
        <f t="shared" si="95"/>
        <v>1220.726375</v>
      </c>
      <c r="K433" s="55">
        <v>14</v>
      </c>
      <c r="L433" s="63">
        <v>0.25</v>
      </c>
      <c r="M433" s="631" t="s">
        <v>1010</v>
      </c>
      <c r="N433" s="359" t="s">
        <v>887</v>
      </c>
      <c r="O433" s="363" t="s">
        <v>123</v>
      </c>
      <c r="P433" s="1">
        <f t="shared" si="89"/>
        <v>245.7428973323531</v>
      </c>
      <c r="Q433" s="1">
        <f t="shared" si="89"/>
        <v>127.71417094723732</v>
      </c>
      <c r="R433" s="1">
        <f t="shared" si="89"/>
        <v>92.75500047480196</v>
      </c>
      <c r="S433" s="1">
        <f t="shared" si="89"/>
        <v>80.041664489671348</v>
      </c>
      <c r="T433" s="223" t="s">
        <v>1008</v>
      </c>
      <c r="U433" s="392" t="s">
        <v>1009</v>
      </c>
      <c r="V433" s="53">
        <v>1</v>
      </c>
      <c r="W433" s="61" t="s">
        <v>118</v>
      </c>
      <c r="X433" s="62">
        <v>1318.25</v>
      </c>
      <c r="Y433" s="66">
        <v>0.1065</v>
      </c>
      <c r="Z433" s="70">
        <v>1177.8563750000001</v>
      </c>
      <c r="AA433" s="53" t="s">
        <v>1006</v>
      </c>
      <c r="AB433" s="63">
        <v>42.87</v>
      </c>
      <c r="AC433" s="63">
        <v>1220.726375</v>
      </c>
      <c r="AD433" s="55">
        <v>14</v>
      </c>
      <c r="AE433" s="63">
        <v>0.25</v>
      </c>
      <c r="AF433" s="631" t="s">
        <v>1010</v>
      </c>
      <c r="AG433" s="359" t="s">
        <v>887</v>
      </c>
      <c r="AH433" s="363" t="s">
        <v>123</v>
      </c>
      <c r="AI433" s="1">
        <v>245.7428973323531</v>
      </c>
      <c r="AJ433" s="1">
        <v>127.71417094723732</v>
      </c>
      <c r="AK433" s="1">
        <v>92.75500047480196</v>
      </c>
      <c r="AL433" s="1">
        <v>80.041664489671348</v>
      </c>
      <c r="AM433" s="377"/>
    </row>
    <row r="434" spans="1:39" s="100" customFormat="1">
      <c r="A434" s="223" t="s">
        <v>1011</v>
      </c>
      <c r="B434" s="392" t="s">
        <v>1012</v>
      </c>
      <c r="C434" s="53">
        <v>1</v>
      </c>
      <c r="D434" s="61" t="s">
        <v>118</v>
      </c>
      <c r="E434" s="62">
        <v>1526.58</v>
      </c>
      <c r="F434" s="66">
        <f t="shared" si="93"/>
        <v>0.1065</v>
      </c>
      <c r="G434" s="70">
        <f t="shared" si="94"/>
        <v>1363.9992299999999</v>
      </c>
      <c r="H434" s="53" t="s">
        <v>1006</v>
      </c>
      <c r="I434" s="63">
        <v>42.87</v>
      </c>
      <c r="J434" s="63">
        <f t="shared" si="95"/>
        <v>1406.8692299999998</v>
      </c>
      <c r="K434" s="55">
        <v>14</v>
      </c>
      <c r="L434" s="63">
        <v>0.25</v>
      </c>
      <c r="M434" s="631" t="s">
        <v>1013</v>
      </c>
      <c r="N434" s="359" t="s">
        <v>887</v>
      </c>
      <c r="O434" s="363" t="s">
        <v>123</v>
      </c>
      <c r="P434" s="1">
        <f t="shared" si="89"/>
        <v>283.21508228896636</v>
      </c>
      <c r="Q434" s="1">
        <f t="shared" si="89"/>
        <v>147.18870749444415</v>
      </c>
      <c r="R434" s="1">
        <f t="shared" si="89"/>
        <v>106.89877663750343</v>
      </c>
      <c r="S434" s="1">
        <f t="shared" si="89"/>
        <v>92.246843514380743</v>
      </c>
      <c r="T434" s="223" t="s">
        <v>1011</v>
      </c>
      <c r="U434" s="392" t="s">
        <v>1012</v>
      </c>
      <c r="V434" s="53">
        <v>1</v>
      </c>
      <c r="W434" s="61" t="s">
        <v>118</v>
      </c>
      <c r="X434" s="62">
        <v>1526.58</v>
      </c>
      <c r="Y434" s="66">
        <v>0.1065</v>
      </c>
      <c r="Z434" s="70">
        <v>1363.9992299999999</v>
      </c>
      <c r="AA434" s="53" t="s">
        <v>1006</v>
      </c>
      <c r="AB434" s="63">
        <v>42.87</v>
      </c>
      <c r="AC434" s="63">
        <v>1406.8692299999998</v>
      </c>
      <c r="AD434" s="55">
        <v>14</v>
      </c>
      <c r="AE434" s="63">
        <v>0.25</v>
      </c>
      <c r="AF434" s="631" t="s">
        <v>1013</v>
      </c>
      <c r="AG434" s="359" t="s">
        <v>887</v>
      </c>
      <c r="AH434" s="363" t="s">
        <v>123</v>
      </c>
      <c r="AI434" s="1">
        <v>283.21508228896636</v>
      </c>
      <c r="AJ434" s="1">
        <v>147.18870749444415</v>
      </c>
      <c r="AK434" s="1">
        <v>106.89877663750343</v>
      </c>
      <c r="AL434" s="1">
        <v>92.246843514380743</v>
      </c>
      <c r="AM434" s="377"/>
    </row>
    <row r="435" spans="1:39" s="100" customFormat="1">
      <c r="A435" s="223" t="s">
        <v>1014</v>
      </c>
      <c r="B435" s="392" t="s">
        <v>1015</v>
      </c>
      <c r="C435" s="53">
        <v>1</v>
      </c>
      <c r="D435" s="61" t="s">
        <v>118</v>
      </c>
      <c r="E435" s="62">
        <v>1943.25</v>
      </c>
      <c r="F435" s="66">
        <f t="shared" si="93"/>
        <v>0.1065</v>
      </c>
      <c r="G435" s="70">
        <f t="shared" si="94"/>
        <v>1736.2938750000001</v>
      </c>
      <c r="H435" s="53" t="s">
        <v>1006</v>
      </c>
      <c r="I435" s="63">
        <v>42.87</v>
      </c>
      <c r="J435" s="63">
        <f t="shared" si="95"/>
        <v>1779.163875</v>
      </c>
      <c r="K435" s="55">
        <v>14</v>
      </c>
      <c r="L435" s="63">
        <v>0.25</v>
      </c>
      <c r="M435" s="631" t="s">
        <v>1016</v>
      </c>
      <c r="N435" s="359" t="s">
        <v>887</v>
      </c>
      <c r="O435" s="363" t="s">
        <v>123</v>
      </c>
      <c r="P435" s="1">
        <f t="shared" si="89"/>
        <v>358.16125089585</v>
      </c>
      <c r="Q435" s="1">
        <f t="shared" si="89"/>
        <v>186.13871538156877</v>
      </c>
      <c r="R435" s="1">
        <f t="shared" si="89"/>
        <v>135.18700787502482</v>
      </c>
      <c r="S435" s="1">
        <f t="shared" si="89"/>
        <v>116.65778742176647</v>
      </c>
      <c r="T435" s="223" t="s">
        <v>1014</v>
      </c>
      <c r="U435" s="392" t="s">
        <v>1015</v>
      </c>
      <c r="V435" s="53">
        <v>1</v>
      </c>
      <c r="W435" s="61" t="s">
        <v>118</v>
      </c>
      <c r="X435" s="62">
        <v>1943.25</v>
      </c>
      <c r="Y435" s="66">
        <v>0.1065</v>
      </c>
      <c r="Z435" s="70">
        <v>1736.2938750000001</v>
      </c>
      <c r="AA435" s="53" t="s">
        <v>1006</v>
      </c>
      <c r="AB435" s="63">
        <v>42.87</v>
      </c>
      <c r="AC435" s="63">
        <v>1779.163875</v>
      </c>
      <c r="AD435" s="55">
        <v>14</v>
      </c>
      <c r="AE435" s="63">
        <v>0.25</v>
      </c>
      <c r="AF435" s="631" t="s">
        <v>1016</v>
      </c>
      <c r="AG435" s="359" t="s">
        <v>887</v>
      </c>
      <c r="AH435" s="363" t="s">
        <v>123</v>
      </c>
      <c r="AI435" s="1">
        <v>358.16125089585</v>
      </c>
      <c r="AJ435" s="1">
        <v>186.13871538156877</v>
      </c>
      <c r="AK435" s="1">
        <v>135.18700787502482</v>
      </c>
      <c r="AL435" s="1">
        <v>116.65778742176647</v>
      </c>
      <c r="AM435" s="377"/>
    </row>
    <row r="436" spans="1:39" s="100" customFormat="1">
      <c r="A436" s="223" t="s">
        <v>1017</v>
      </c>
      <c r="B436" s="392" t="s">
        <v>1018</v>
      </c>
      <c r="C436" s="53">
        <v>1</v>
      </c>
      <c r="D436" s="61" t="s">
        <v>118</v>
      </c>
      <c r="E436" s="62">
        <v>1376.58</v>
      </c>
      <c r="F436" s="66">
        <f t="shared" si="93"/>
        <v>0.1065</v>
      </c>
      <c r="G436" s="70">
        <f t="shared" si="94"/>
        <v>1229.97423</v>
      </c>
      <c r="H436" s="53" t="s">
        <v>1006</v>
      </c>
      <c r="I436" s="63">
        <v>42.87</v>
      </c>
      <c r="J436" s="63">
        <f t="shared" si="95"/>
        <v>1272.8442299999999</v>
      </c>
      <c r="K436" s="55">
        <v>14</v>
      </c>
      <c r="L436" s="63">
        <v>0.25</v>
      </c>
      <c r="M436" s="631" t="s">
        <v>1019</v>
      </c>
      <c r="N436" s="359" t="s">
        <v>887</v>
      </c>
      <c r="O436" s="363" t="s">
        <v>123</v>
      </c>
      <c r="P436" s="1">
        <f t="shared" si="89"/>
        <v>256.23467743372714</v>
      </c>
      <c r="Q436" s="1">
        <f t="shared" si="89"/>
        <v>133.1668168302046</v>
      </c>
      <c r="R436" s="1">
        <f t="shared" si="89"/>
        <v>96.715094861449955</v>
      </c>
      <c r="S436" s="1">
        <f t="shared" si="89"/>
        <v>83.45897401067792</v>
      </c>
      <c r="T436" s="223" t="s">
        <v>1017</v>
      </c>
      <c r="U436" s="392" t="s">
        <v>1018</v>
      </c>
      <c r="V436" s="53">
        <v>1</v>
      </c>
      <c r="W436" s="61" t="s">
        <v>118</v>
      </c>
      <c r="X436" s="62">
        <v>1376.58</v>
      </c>
      <c r="Y436" s="66">
        <v>0.1065</v>
      </c>
      <c r="Z436" s="70">
        <v>1229.97423</v>
      </c>
      <c r="AA436" s="53" t="s">
        <v>1006</v>
      </c>
      <c r="AB436" s="63">
        <v>42.87</v>
      </c>
      <c r="AC436" s="63">
        <v>1272.8442299999999</v>
      </c>
      <c r="AD436" s="55">
        <v>14</v>
      </c>
      <c r="AE436" s="63">
        <v>0.25</v>
      </c>
      <c r="AF436" s="631" t="s">
        <v>1019</v>
      </c>
      <c r="AG436" s="359" t="s">
        <v>887</v>
      </c>
      <c r="AH436" s="363" t="s">
        <v>123</v>
      </c>
      <c r="AI436" s="1">
        <v>256.23467743372714</v>
      </c>
      <c r="AJ436" s="1">
        <v>133.1668168302046</v>
      </c>
      <c r="AK436" s="1">
        <v>96.715094861449955</v>
      </c>
      <c r="AL436" s="1">
        <v>83.45897401067792</v>
      </c>
      <c r="AM436" s="377"/>
    </row>
    <row r="437" spans="1:39" s="100" customFormat="1">
      <c r="A437" s="223" t="s">
        <v>1020</v>
      </c>
      <c r="B437" s="392" t="s">
        <v>1021</v>
      </c>
      <c r="C437" s="53">
        <v>1</v>
      </c>
      <c r="D437" s="61" t="s">
        <v>118</v>
      </c>
      <c r="E437" s="62">
        <v>1484.92</v>
      </c>
      <c r="F437" s="66">
        <f t="shared" si="93"/>
        <v>0.1065</v>
      </c>
      <c r="G437" s="70">
        <f t="shared" si="94"/>
        <v>1326.77602</v>
      </c>
      <c r="H437" s="53" t="s">
        <v>1006</v>
      </c>
      <c r="I437" s="63">
        <v>42.87</v>
      </c>
      <c r="J437" s="63">
        <f t="shared" si="95"/>
        <v>1369.6460199999999</v>
      </c>
      <c r="K437" s="55">
        <v>14</v>
      </c>
      <c r="L437" s="63">
        <v>0.25</v>
      </c>
      <c r="M437" s="631" t="s">
        <v>1022</v>
      </c>
      <c r="N437" s="361" t="s">
        <v>1023</v>
      </c>
      <c r="O437" s="363" t="s">
        <v>123</v>
      </c>
      <c r="P437" s="1">
        <f t="shared" si="89"/>
        <v>275.72172451383796</v>
      </c>
      <c r="Q437" s="1">
        <f t="shared" si="89"/>
        <v>143.29436106062934</v>
      </c>
      <c r="R437" s="1">
        <f t="shared" si="89"/>
        <v>104.07042875223418</v>
      </c>
      <c r="S437" s="1">
        <f t="shared" si="89"/>
        <v>89.806159224219016</v>
      </c>
      <c r="T437" s="223" t="s">
        <v>1020</v>
      </c>
      <c r="U437" s="392" t="s">
        <v>1021</v>
      </c>
      <c r="V437" s="53">
        <v>1</v>
      </c>
      <c r="W437" s="61" t="s">
        <v>118</v>
      </c>
      <c r="X437" s="62">
        <v>1484.92</v>
      </c>
      <c r="Y437" s="66">
        <v>0.1065</v>
      </c>
      <c r="Z437" s="70">
        <v>1326.77602</v>
      </c>
      <c r="AA437" s="53" t="s">
        <v>1006</v>
      </c>
      <c r="AB437" s="63">
        <v>42.87</v>
      </c>
      <c r="AC437" s="63">
        <v>1369.6460199999999</v>
      </c>
      <c r="AD437" s="55">
        <v>14</v>
      </c>
      <c r="AE437" s="63">
        <v>0.25</v>
      </c>
      <c r="AF437" s="631" t="s">
        <v>1022</v>
      </c>
      <c r="AG437" s="361" t="s">
        <v>1023</v>
      </c>
      <c r="AH437" s="363" t="s">
        <v>123</v>
      </c>
      <c r="AI437" s="1">
        <v>275.72172451383796</v>
      </c>
      <c r="AJ437" s="1">
        <v>143.29436106062934</v>
      </c>
      <c r="AK437" s="1">
        <v>104.07042875223418</v>
      </c>
      <c r="AL437" s="1">
        <v>89.806159224219016</v>
      </c>
      <c r="AM437" s="377"/>
    </row>
    <row r="438" spans="1:39" s="100" customFormat="1">
      <c r="A438" s="223" t="s">
        <v>1024</v>
      </c>
      <c r="B438" s="392" t="s">
        <v>1025</v>
      </c>
      <c r="C438" s="53">
        <v>1</v>
      </c>
      <c r="D438" s="61" t="s">
        <v>118</v>
      </c>
      <c r="E438" s="62">
        <v>1693.25</v>
      </c>
      <c r="F438" s="66">
        <f t="shared" si="93"/>
        <v>0.1065</v>
      </c>
      <c r="G438" s="70">
        <f t="shared" si="94"/>
        <v>1512.9188750000001</v>
      </c>
      <c r="H438" s="53" t="s">
        <v>1006</v>
      </c>
      <c r="I438" s="63">
        <v>42.87</v>
      </c>
      <c r="J438" s="63">
        <f t="shared" si="95"/>
        <v>1555.788875</v>
      </c>
      <c r="K438" s="55">
        <v>14</v>
      </c>
      <c r="L438" s="63">
        <v>0.25</v>
      </c>
      <c r="M438" s="631" t="s">
        <v>1026</v>
      </c>
      <c r="N438" s="361" t="s">
        <v>1023</v>
      </c>
      <c r="O438" s="363" t="s">
        <v>123</v>
      </c>
      <c r="P438" s="1">
        <f t="shared" si="89"/>
        <v>313.19390947045122</v>
      </c>
      <c r="Q438" s="1">
        <f t="shared" si="89"/>
        <v>162.76889760783618</v>
      </c>
      <c r="R438" s="1">
        <f t="shared" si="89"/>
        <v>118.21420491493566</v>
      </c>
      <c r="S438" s="1">
        <f t="shared" si="89"/>
        <v>102.01133824892842</v>
      </c>
      <c r="T438" s="223" t="s">
        <v>1024</v>
      </c>
      <c r="U438" s="392" t="s">
        <v>1025</v>
      </c>
      <c r="V438" s="53">
        <v>1</v>
      </c>
      <c r="W438" s="61" t="s">
        <v>118</v>
      </c>
      <c r="X438" s="62">
        <v>1693.25</v>
      </c>
      <c r="Y438" s="66">
        <v>0.1065</v>
      </c>
      <c r="Z438" s="70">
        <v>1512.9188750000001</v>
      </c>
      <c r="AA438" s="53" t="s">
        <v>1006</v>
      </c>
      <c r="AB438" s="63">
        <v>42.87</v>
      </c>
      <c r="AC438" s="63">
        <v>1555.788875</v>
      </c>
      <c r="AD438" s="55">
        <v>14</v>
      </c>
      <c r="AE438" s="63">
        <v>0.25</v>
      </c>
      <c r="AF438" s="631" t="s">
        <v>1026</v>
      </c>
      <c r="AG438" s="361" t="s">
        <v>1023</v>
      </c>
      <c r="AH438" s="363" t="s">
        <v>123</v>
      </c>
      <c r="AI438" s="1">
        <v>313.19390947045122</v>
      </c>
      <c r="AJ438" s="1">
        <v>162.76889760783618</v>
      </c>
      <c r="AK438" s="1">
        <v>118.21420491493566</v>
      </c>
      <c r="AL438" s="1">
        <v>102.01133824892842</v>
      </c>
      <c r="AM438" s="377"/>
    </row>
    <row r="439" spans="1:39" s="100" customFormat="1">
      <c r="A439" s="223" t="s">
        <v>1027</v>
      </c>
      <c r="B439" s="392" t="s">
        <v>1028</v>
      </c>
      <c r="C439" s="53">
        <v>1</v>
      </c>
      <c r="D439" s="61" t="s">
        <v>118</v>
      </c>
      <c r="E439" s="62">
        <v>2105.75</v>
      </c>
      <c r="F439" s="66">
        <f t="shared" si="93"/>
        <v>0.1065</v>
      </c>
      <c r="G439" s="70">
        <f t="shared" si="94"/>
        <v>1881.487625</v>
      </c>
      <c r="H439" s="53" t="s">
        <v>1006</v>
      </c>
      <c r="I439" s="63">
        <v>42.87</v>
      </c>
      <c r="J439" s="63">
        <f t="shared" si="95"/>
        <v>1924.3576249999999</v>
      </c>
      <c r="K439" s="55">
        <v>14</v>
      </c>
      <c r="L439" s="63">
        <v>0.25</v>
      </c>
      <c r="M439" s="631" t="s">
        <v>1029</v>
      </c>
      <c r="N439" s="359" t="s">
        <v>1023</v>
      </c>
      <c r="O439" s="363" t="s">
        <v>123</v>
      </c>
      <c r="P439" s="1">
        <f t="shared" si="89"/>
        <v>387.39002282235919</v>
      </c>
      <c r="Q439" s="1">
        <f t="shared" si="89"/>
        <v>201.32909693449491</v>
      </c>
      <c r="R439" s="1">
        <f t="shared" si="89"/>
        <v>146.21932979908274</v>
      </c>
      <c r="S439" s="1">
        <f t="shared" si="89"/>
        <v>126.1779793841112</v>
      </c>
      <c r="T439" s="223" t="s">
        <v>1027</v>
      </c>
      <c r="U439" s="392" t="s">
        <v>1028</v>
      </c>
      <c r="V439" s="53">
        <v>1</v>
      </c>
      <c r="W439" s="61" t="s">
        <v>118</v>
      </c>
      <c r="X439" s="62">
        <v>2105.75</v>
      </c>
      <c r="Y439" s="66">
        <v>0.1065</v>
      </c>
      <c r="Z439" s="70">
        <v>1881.487625</v>
      </c>
      <c r="AA439" s="53" t="s">
        <v>1006</v>
      </c>
      <c r="AB439" s="63">
        <v>42.87</v>
      </c>
      <c r="AC439" s="63">
        <v>1924.3576249999999</v>
      </c>
      <c r="AD439" s="55">
        <v>14</v>
      </c>
      <c r="AE439" s="63">
        <v>0.25</v>
      </c>
      <c r="AF439" s="631" t="s">
        <v>1029</v>
      </c>
      <c r="AG439" s="359" t="s">
        <v>1023</v>
      </c>
      <c r="AH439" s="363" t="s">
        <v>123</v>
      </c>
      <c r="AI439" s="1">
        <v>387.39002282235919</v>
      </c>
      <c r="AJ439" s="1">
        <v>201.32909693449491</v>
      </c>
      <c r="AK439" s="1">
        <v>146.21932979908274</v>
      </c>
      <c r="AL439" s="1">
        <v>126.1779793841112</v>
      </c>
      <c r="AM439" s="377"/>
    </row>
    <row r="440" spans="1:39" s="77" customFormat="1">
      <c r="A440" s="235" t="s">
        <v>1006</v>
      </c>
      <c r="B440" s="58" t="s">
        <v>1030</v>
      </c>
      <c r="C440" s="59">
        <v>1</v>
      </c>
      <c r="D440" s="74" t="s">
        <v>140</v>
      </c>
      <c r="E440" s="280">
        <v>47.98</v>
      </c>
      <c r="F440" s="112">
        <f t="shared" si="93"/>
        <v>0.1065</v>
      </c>
      <c r="G440" s="68">
        <f t="shared" si="94"/>
        <v>42.870129999999996</v>
      </c>
      <c r="H440" s="68"/>
      <c r="I440" s="56"/>
      <c r="J440" s="76"/>
      <c r="K440" s="14"/>
      <c r="L440" s="56"/>
      <c r="M440" s="631" t="s">
        <v>141</v>
      </c>
      <c r="N440" s="359" t="s">
        <v>852</v>
      </c>
      <c r="O440" s="365" t="s">
        <v>143</v>
      </c>
      <c r="P440" s="1" t="str">
        <f t="shared" ref="P440:R444" si="96">+IF($AC440&lt;&gt;"",P$2*$AC440,"")</f>
        <v/>
      </c>
      <c r="Q440" s="1" t="str">
        <f t="shared" si="96"/>
        <v/>
      </c>
      <c r="R440" s="1" t="str">
        <f t="shared" si="96"/>
        <v/>
      </c>
      <c r="S440" s="1"/>
      <c r="T440" s="235" t="s">
        <v>1006</v>
      </c>
      <c r="U440" s="58" t="s">
        <v>1030</v>
      </c>
      <c r="V440" s="59">
        <v>1</v>
      </c>
      <c r="W440" s="74" t="s">
        <v>140</v>
      </c>
      <c r="X440" s="280">
        <v>47.98</v>
      </c>
      <c r="Y440" s="112">
        <v>0.1065</v>
      </c>
      <c r="Z440" s="68">
        <v>42.870129999999996</v>
      </c>
      <c r="AA440" s="68"/>
      <c r="AB440" s="56"/>
      <c r="AC440" s="76"/>
      <c r="AD440" s="14"/>
      <c r="AE440" s="56"/>
      <c r="AF440" s="631" t="s">
        <v>141</v>
      </c>
      <c r="AG440" s="359" t="s">
        <v>852</v>
      </c>
      <c r="AH440" s="365" t="s">
        <v>143</v>
      </c>
      <c r="AI440" s="1" t="s">
        <v>126</v>
      </c>
      <c r="AJ440" s="1" t="s">
        <v>126</v>
      </c>
      <c r="AK440" s="1" t="s">
        <v>126</v>
      </c>
      <c r="AL440" s="1"/>
      <c r="AM440" s="377"/>
    </row>
    <row r="441" spans="1:39">
      <c r="A441" s="221" t="s">
        <v>1031</v>
      </c>
      <c r="B441" s="69" t="s">
        <v>1032</v>
      </c>
      <c r="C441" s="23">
        <v>1</v>
      </c>
      <c r="D441" s="30" t="s">
        <v>140</v>
      </c>
      <c r="E441" s="31"/>
      <c r="F441" s="19"/>
      <c r="G441" s="85">
        <v>6</v>
      </c>
      <c r="H441" s="85"/>
      <c r="I441" s="56"/>
      <c r="J441" s="56"/>
      <c r="K441" s="14"/>
      <c r="L441" s="56"/>
      <c r="M441" s="631" t="s">
        <v>141</v>
      </c>
      <c r="N441" s="359" t="s">
        <v>852</v>
      </c>
      <c r="O441" s="365" t="s">
        <v>143</v>
      </c>
      <c r="P441" s="1" t="str">
        <f t="shared" si="96"/>
        <v/>
      </c>
      <c r="Q441" s="1" t="str">
        <f t="shared" si="96"/>
        <v/>
      </c>
      <c r="R441" s="1" t="str">
        <f t="shared" si="96"/>
        <v/>
      </c>
      <c r="S441" s="1" t="str">
        <f>+IF($AC440&lt;&gt;"",S$2*$AC440,"")</f>
        <v/>
      </c>
      <c r="T441" s="221" t="s">
        <v>1031</v>
      </c>
      <c r="U441" s="69" t="s">
        <v>1032</v>
      </c>
      <c r="V441" s="23">
        <v>1</v>
      </c>
      <c r="W441" s="30" t="s">
        <v>140</v>
      </c>
      <c r="X441" s="31"/>
      <c r="Y441" s="19"/>
      <c r="Z441" s="85">
        <v>6</v>
      </c>
      <c r="AA441" s="85"/>
      <c r="AB441" s="56"/>
      <c r="AC441" s="56"/>
      <c r="AD441" s="14"/>
      <c r="AE441" s="56"/>
      <c r="AF441" s="631" t="s">
        <v>141</v>
      </c>
      <c r="AG441" s="359" t="s">
        <v>852</v>
      </c>
      <c r="AH441" s="365" t="s">
        <v>143</v>
      </c>
      <c r="AI441" s="1" t="s">
        <v>126</v>
      </c>
      <c r="AJ441" s="1" t="s">
        <v>126</v>
      </c>
      <c r="AK441" s="1" t="s">
        <v>126</v>
      </c>
      <c r="AL441" s="1" t="s">
        <v>126</v>
      </c>
      <c r="AM441" s="377"/>
    </row>
    <row r="442" spans="1:39">
      <c r="A442" s="221" t="s">
        <v>1033</v>
      </c>
      <c r="B442" s="69" t="s">
        <v>1034</v>
      </c>
      <c r="C442" s="23">
        <v>1</v>
      </c>
      <c r="D442" s="30" t="s">
        <v>140</v>
      </c>
      <c r="E442" s="31"/>
      <c r="F442" s="19"/>
      <c r="G442" s="85">
        <v>8</v>
      </c>
      <c r="H442" s="85"/>
      <c r="I442" s="56"/>
      <c r="J442" s="56"/>
      <c r="K442" s="14"/>
      <c r="L442" s="56"/>
      <c r="M442" s="631" t="s">
        <v>141</v>
      </c>
      <c r="N442" s="359" t="s">
        <v>852</v>
      </c>
      <c r="O442" s="365" t="s">
        <v>143</v>
      </c>
      <c r="P442" s="1" t="str">
        <f t="shared" si="96"/>
        <v/>
      </c>
      <c r="Q442" s="1" t="str">
        <f t="shared" si="96"/>
        <v/>
      </c>
      <c r="R442" s="1" t="str">
        <f t="shared" si="96"/>
        <v/>
      </c>
      <c r="S442" s="1" t="str">
        <f>+IF($AC441&lt;&gt;"",S$2*$AC441,"")</f>
        <v/>
      </c>
      <c r="T442" s="221" t="s">
        <v>1033</v>
      </c>
      <c r="U442" s="69" t="s">
        <v>1034</v>
      </c>
      <c r="V442" s="23">
        <v>1</v>
      </c>
      <c r="W442" s="30" t="s">
        <v>140</v>
      </c>
      <c r="X442" s="31"/>
      <c r="Y442" s="19"/>
      <c r="Z442" s="85">
        <v>8</v>
      </c>
      <c r="AA442" s="85"/>
      <c r="AB442" s="56"/>
      <c r="AC442" s="56"/>
      <c r="AD442" s="14"/>
      <c r="AE442" s="56"/>
      <c r="AF442" s="631" t="s">
        <v>141</v>
      </c>
      <c r="AG442" s="359" t="s">
        <v>852</v>
      </c>
      <c r="AH442" s="365" t="s">
        <v>143</v>
      </c>
      <c r="AI442" s="1" t="s">
        <v>126</v>
      </c>
      <c r="AJ442" s="1" t="s">
        <v>126</v>
      </c>
      <c r="AK442" s="1" t="s">
        <v>126</v>
      </c>
      <c r="AL442" s="1" t="s">
        <v>126</v>
      </c>
      <c r="AM442" s="377"/>
    </row>
    <row r="443" spans="1:39">
      <c r="A443" s="221" t="s">
        <v>1035</v>
      </c>
      <c r="B443" s="69" t="s">
        <v>1036</v>
      </c>
      <c r="C443" s="23">
        <v>1</v>
      </c>
      <c r="D443" s="30" t="s">
        <v>140</v>
      </c>
      <c r="E443" s="31"/>
      <c r="F443" s="19"/>
      <c r="G443" s="85">
        <v>11</v>
      </c>
      <c r="H443" s="85"/>
      <c r="I443" s="56"/>
      <c r="J443" s="56"/>
      <c r="K443" s="14"/>
      <c r="L443" s="56"/>
      <c r="M443" s="631" t="s">
        <v>141</v>
      </c>
      <c r="N443" s="359" t="s">
        <v>852</v>
      </c>
      <c r="O443" s="365" t="s">
        <v>143</v>
      </c>
      <c r="P443" s="1" t="str">
        <f t="shared" si="96"/>
        <v/>
      </c>
      <c r="Q443" s="1" t="str">
        <f t="shared" si="96"/>
        <v/>
      </c>
      <c r="R443" s="1" t="str">
        <f t="shared" si="96"/>
        <v/>
      </c>
      <c r="S443" s="1" t="str">
        <f>+IF($AC442&lt;&gt;"",S$2*$AC442,"")</f>
        <v/>
      </c>
      <c r="T443" s="221" t="s">
        <v>1035</v>
      </c>
      <c r="U443" s="69" t="s">
        <v>1036</v>
      </c>
      <c r="V443" s="23">
        <v>1</v>
      </c>
      <c r="W443" s="30" t="s">
        <v>140</v>
      </c>
      <c r="X443" s="31"/>
      <c r="Y443" s="19"/>
      <c r="Z443" s="85">
        <v>11</v>
      </c>
      <c r="AA443" s="85"/>
      <c r="AB443" s="56"/>
      <c r="AC443" s="56"/>
      <c r="AD443" s="14"/>
      <c r="AE443" s="56"/>
      <c r="AF443" s="631" t="s">
        <v>141</v>
      </c>
      <c r="AG443" s="359" t="s">
        <v>852</v>
      </c>
      <c r="AH443" s="365" t="s">
        <v>143</v>
      </c>
      <c r="AI443" s="1" t="s">
        <v>126</v>
      </c>
      <c r="AJ443" s="1" t="s">
        <v>126</v>
      </c>
      <c r="AK443" s="1" t="s">
        <v>126</v>
      </c>
      <c r="AL443" s="1" t="s">
        <v>126</v>
      </c>
      <c r="AM443" s="377"/>
    </row>
    <row r="444" spans="1:39" ht="13.5" thickBot="1">
      <c r="A444" s="414" t="s">
        <v>1037</v>
      </c>
      <c r="B444" s="415" t="s">
        <v>1038</v>
      </c>
      <c r="C444" s="416">
        <v>1</v>
      </c>
      <c r="D444" s="417" t="s">
        <v>140</v>
      </c>
      <c r="E444" s="418"/>
      <c r="F444" s="419"/>
      <c r="G444" s="420">
        <v>94.63</v>
      </c>
      <c r="H444" s="421"/>
      <c r="I444" s="422"/>
      <c r="J444" s="422"/>
      <c r="K444" s="423"/>
      <c r="L444" s="422"/>
      <c r="M444" s="632" t="s">
        <v>141</v>
      </c>
      <c r="N444" s="424" t="s">
        <v>852</v>
      </c>
      <c r="O444" s="425" t="s">
        <v>143</v>
      </c>
      <c r="P444" s="426" t="str">
        <f t="shared" si="96"/>
        <v/>
      </c>
      <c r="Q444" s="426" t="str">
        <f t="shared" si="96"/>
        <v/>
      </c>
      <c r="R444" s="426" t="str">
        <f t="shared" si="96"/>
        <v/>
      </c>
      <c r="S444" s="426" t="str">
        <f>+IF($AC443&lt;&gt;"",S$2*$AC443,"")</f>
        <v/>
      </c>
      <c r="T444" s="414" t="s">
        <v>1037</v>
      </c>
      <c r="U444" s="415" t="s">
        <v>1038</v>
      </c>
      <c r="V444" s="416">
        <v>1</v>
      </c>
      <c r="W444" s="417" t="s">
        <v>140</v>
      </c>
      <c r="X444" s="418"/>
      <c r="Y444" s="419"/>
      <c r="Z444" s="420">
        <v>94.63</v>
      </c>
      <c r="AA444" s="421"/>
      <c r="AB444" s="422"/>
      <c r="AC444" s="422"/>
      <c r="AD444" s="423"/>
      <c r="AE444" s="422"/>
      <c r="AF444" s="632" t="s">
        <v>141</v>
      </c>
      <c r="AG444" s="424" t="s">
        <v>852</v>
      </c>
      <c r="AH444" s="425" t="s">
        <v>143</v>
      </c>
      <c r="AI444" s="426" t="s">
        <v>126</v>
      </c>
      <c r="AJ444" s="426" t="s">
        <v>126</v>
      </c>
      <c r="AK444" s="426" t="s">
        <v>126</v>
      </c>
      <c r="AL444" s="426" t="s">
        <v>126</v>
      </c>
      <c r="AM444" s="377"/>
    </row>
    <row r="445" spans="1:39" ht="15.95" customHeight="1" thickTop="1">
      <c r="A445" s="353"/>
      <c r="B445" s="353"/>
      <c r="C445" s="30"/>
      <c r="F445" s="95"/>
      <c r="G445" s="1"/>
      <c r="H445" s="94"/>
      <c r="I445" s="90"/>
      <c r="J445" s="90"/>
      <c r="K445" s="1"/>
      <c r="L445" s="74"/>
      <c r="M445" s="633"/>
      <c r="N445" s="274"/>
      <c r="O445" s="94"/>
      <c r="P445" s="1"/>
      <c r="Q445" s="1"/>
      <c r="R445" s="1"/>
      <c r="S445" s="1"/>
      <c r="T445" s="353"/>
      <c r="U445" s="353"/>
      <c r="V445" s="30"/>
      <c r="W445" s="30"/>
      <c r="X445" s="1"/>
      <c r="Y445" s="95"/>
      <c r="Z445" s="1"/>
      <c r="AA445" s="94"/>
      <c r="AB445" s="90"/>
      <c r="AC445" s="90"/>
      <c r="AD445" s="1"/>
      <c r="AE445" s="74"/>
      <c r="AF445" s="633"/>
      <c r="AG445" s="274"/>
      <c r="AH445" s="94"/>
      <c r="AI445" s="1"/>
      <c r="AJ445" s="1"/>
      <c r="AK445" s="1"/>
      <c r="AL445" s="1"/>
      <c r="AM445" s="1"/>
    </row>
    <row r="446" spans="1:39">
      <c r="A446" s="304"/>
      <c r="B446" s="304"/>
      <c r="C446" s="354"/>
      <c r="D446" s="202"/>
      <c r="E446" s="305"/>
      <c r="F446" s="203"/>
      <c r="G446" s="355"/>
      <c r="H446" s="408"/>
      <c r="I446" s="409"/>
      <c r="J446" s="409"/>
      <c r="K446" s="1"/>
      <c r="L446" s="74"/>
      <c r="M446" s="634"/>
      <c r="N446" s="356"/>
      <c r="O446" s="164"/>
      <c r="P446" s="1"/>
      <c r="Q446" s="1"/>
      <c r="R446" s="1"/>
      <c r="S446" s="1"/>
      <c r="T446" s="304"/>
      <c r="U446" s="304"/>
      <c r="V446" s="354"/>
      <c r="W446" s="202"/>
      <c r="X446" s="305"/>
      <c r="Y446" s="203"/>
      <c r="Z446" s="355"/>
      <c r="AA446" s="408"/>
      <c r="AB446" s="409"/>
      <c r="AC446" s="409"/>
      <c r="AD446" s="1"/>
      <c r="AE446" s="74"/>
      <c r="AF446" s="634"/>
      <c r="AG446" s="356"/>
      <c r="AH446" s="164"/>
      <c r="AI446" s="1"/>
      <c r="AJ446" s="1"/>
      <c r="AK446" s="1"/>
      <c r="AL446" s="1"/>
      <c r="AM446" s="1"/>
    </row>
    <row r="447" spans="1:39" s="106" customFormat="1">
      <c r="A447" s="304"/>
      <c r="B447" s="304"/>
      <c r="C447" s="354"/>
      <c r="D447" s="202"/>
      <c r="E447" s="305"/>
      <c r="F447" s="203"/>
      <c r="G447" s="355"/>
      <c r="H447" s="410"/>
      <c r="I447" s="410"/>
      <c r="J447" s="410"/>
      <c r="L447" s="328"/>
      <c r="M447" s="634"/>
      <c r="N447" s="356"/>
      <c r="O447" s="164"/>
      <c r="P447" s="210"/>
      <c r="Q447" s="210"/>
      <c r="R447" s="211"/>
      <c r="S447" s="1"/>
      <c r="T447" s="304"/>
      <c r="U447" s="304"/>
      <c r="V447" s="354"/>
      <c r="W447" s="202"/>
      <c r="X447" s="305"/>
      <c r="Y447" s="203"/>
      <c r="Z447" s="355"/>
      <c r="AA447" s="410"/>
      <c r="AB447" s="410"/>
      <c r="AC447" s="410"/>
      <c r="AE447" s="328"/>
      <c r="AF447" s="634"/>
      <c r="AG447" s="356"/>
      <c r="AH447" s="164"/>
      <c r="AI447" s="210"/>
      <c r="AJ447" s="210"/>
      <c r="AK447" s="211"/>
      <c r="AL447" s="1"/>
    </row>
    <row r="448" spans="1:39" s="188" customFormat="1" ht="12.95" customHeight="1">
      <c r="A448" s="357"/>
      <c r="B448" s="304"/>
      <c r="C448" s="354"/>
      <c r="D448" s="202"/>
      <c r="E448" s="305"/>
      <c r="F448" s="203"/>
      <c r="G448" s="355"/>
      <c r="H448" s="410"/>
      <c r="I448" s="410"/>
      <c r="J448" s="410"/>
      <c r="K448" s="411"/>
      <c r="L448" s="410"/>
      <c r="M448" s="634"/>
      <c r="N448" s="356"/>
      <c r="O448" s="164"/>
      <c r="P448" s="210"/>
      <c r="Q448" s="210"/>
      <c r="R448" s="211"/>
      <c r="S448" s="212"/>
      <c r="T448" s="357"/>
      <c r="U448" s="304"/>
      <c r="V448" s="354"/>
      <c r="W448" s="202"/>
      <c r="X448" s="305"/>
      <c r="Y448" s="203"/>
      <c r="Z448" s="355"/>
      <c r="AA448" s="410"/>
      <c r="AB448" s="410"/>
      <c r="AC448" s="410"/>
      <c r="AD448" s="411"/>
      <c r="AE448" s="410"/>
      <c r="AF448" s="634"/>
      <c r="AG448" s="356"/>
      <c r="AH448" s="164"/>
      <c r="AI448" s="210"/>
      <c r="AJ448" s="210"/>
      <c r="AK448" s="211"/>
      <c r="AL448" s="212"/>
    </row>
    <row r="449" spans="1:38" s="413" customFormat="1" ht="12.95" customHeight="1">
      <c r="A449" s="304"/>
      <c r="B449" s="304"/>
      <c r="C449" s="354"/>
      <c r="D449" s="202"/>
      <c r="E449" s="305"/>
      <c r="F449" s="203"/>
      <c r="G449" s="355"/>
      <c r="H449" s="408"/>
      <c r="I449" s="409"/>
      <c r="J449" s="409"/>
      <c r="K449" s="412"/>
      <c r="L449" s="355"/>
      <c r="M449" s="634"/>
      <c r="N449" s="356"/>
      <c r="O449" s="164"/>
      <c r="P449" s="1"/>
      <c r="Q449" s="1"/>
      <c r="R449" s="1"/>
      <c r="S449" s="212"/>
      <c r="T449" s="304"/>
      <c r="U449" s="304"/>
      <c r="V449" s="354"/>
      <c r="W449" s="202"/>
      <c r="X449" s="305"/>
      <c r="Y449" s="203"/>
      <c r="Z449" s="355"/>
      <c r="AA449" s="408"/>
      <c r="AB449" s="409"/>
      <c r="AC449" s="409"/>
      <c r="AD449" s="412"/>
      <c r="AE449" s="355"/>
      <c r="AF449" s="634"/>
      <c r="AG449" s="356"/>
      <c r="AH449" s="164"/>
      <c r="AI449" s="1"/>
      <c r="AJ449" s="1"/>
      <c r="AK449" s="1"/>
      <c r="AL449" s="212"/>
    </row>
    <row r="450" spans="1:38" s="413" customFormat="1" ht="12.95" customHeight="1">
      <c r="A450" s="304"/>
      <c r="B450" s="304"/>
      <c r="C450" s="354"/>
      <c r="D450" s="202"/>
      <c r="E450" s="305"/>
      <c r="F450" s="203"/>
      <c r="G450" s="355"/>
      <c r="H450" s="408"/>
      <c r="I450" s="409"/>
      <c r="J450" s="409"/>
      <c r="K450" s="412"/>
      <c r="L450" s="355"/>
      <c r="M450" s="634"/>
      <c r="N450" s="356"/>
      <c r="O450" s="164"/>
      <c r="P450" s="1"/>
      <c r="Q450" s="1"/>
      <c r="R450" s="1"/>
      <c r="S450" s="1"/>
      <c r="T450" s="304"/>
      <c r="U450" s="304"/>
      <c r="V450" s="354"/>
      <c r="W450" s="202"/>
      <c r="X450" s="305"/>
      <c r="Y450" s="203"/>
      <c r="Z450" s="355"/>
      <c r="AA450" s="408"/>
      <c r="AB450" s="409"/>
      <c r="AC450" s="409"/>
      <c r="AD450" s="412"/>
      <c r="AE450" s="355"/>
      <c r="AF450" s="634"/>
      <c r="AG450" s="356"/>
      <c r="AH450" s="164"/>
      <c r="AI450" s="1"/>
      <c r="AJ450" s="1"/>
      <c r="AK450" s="1"/>
      <c r="AL450" s="1"/>
    </row>
    <row r="451" spans="1:38" s="413" customFormat="1" ht="12.95" customHeight="1">
      <c r="A451" s="304"/>
      <c r="B451" s="304"/>
      <c r="C451" s="354"/>
      <c r="D451" s="202"/>
      <c r="E451" s="305"/>
      <c r="F451" s="203"/>
      <c r="G451" s="355"/>
      <c r="H451" s="408"/>
      <c r="I451" s="409"/>
      <c r="J451" s="409"/>
      <c r="K451" s="412"/>
      <c r="L451" s="355"/>
      <c r="M451" s="634"/>
      <c r="N451" s="356"/>
      <c r="O451" s="164"/>
      <c r="P451" s="1"/>
      <c r="Q451" s="1"/>
      <c r="R451" s="1"/>
      <c r="S451" s="1"/>
      <c r="T451" s="304"/>
      <c r="U451" s="304"/>
      <c r="V451" s="354"/>
      <c r="W451" s="202"/>
      <c r="X451" s="305"/>
      <c r="Y451" s="203"/>
      <c r="Z451" s="355"/>
      <c r="AA451" s="408"/>
      <c r="AB451" s="409"/>
      <c r="AC451" s="409"/>
      <c r="AD451" s="412"/>
      <c r="AE451" s="355"/>
      <c r="AF451" s="634"/>
      <c r="AG451" s="356"/>
      <c r="AH451" s="164"/>
      <c r="AI451" s="1"/>
      <c r="AJ451" s="1"/>
      <c r="AK451" s="1"/>
      <c r="AL451" s="1"/>
    </row>
    <row r="452" spans="1:38" s="413" customFormat="1" ht="12.95" customHeight="1">
      <c r="A452" s="304"/>
      <c r="B452" s="304"/>
      <c r="C452" s="354"/>
      <c r="D452" s="202"/>
      <c r="E452" s="305"/>
      <c r="F452" s="203"/>
      <c r="G452" s="355"/>
      <c r="H452" s="408"/>
      <c r="I452" s="409"/>
      <c r="J452" s="409"/>
      <c r="K452" s="412"/>
      <c r="L452" s="355"/>
      <c r="M452" s="634"/>
      <c r="N452" s="356"/>
      <c r="O452" s="164"/>
      <c r="P452" s="1"/>
      <c r="Q452" s="1"/>
      <c r="R452" s="1"/>
      <c r="S452" s="1"/>
      <c r="T452" s="304"/>
      <c r="U452" s="304"/>
      <c r="V452" s="354"/>
      <c r="W452" s="202"/>
      <c r="X452" s="305"/>
      <c r="Y452" s="203"/>
      <c r="Z452" s="355"/>
      <c r="AA452" s="408"/>
      <c r="AB452" s="409"/>
      <c r="AC452" s="409"/>
      <c r="AD452" s="412"/>
      <c r="AE452" s="355"/>
      <c r="AF452" s="634"/>
      <c r="AG452" s="356"/>
      <c r="AH452" s="164"/>
      <c r="AI452" s="1"/>
      <c r="AJ452" s="1"/>
      <c r="AK452" s="1"/>
      <c r="AL452" s="1"/>
    </row>
    <row r="453" spans="1:38" s="413" customFormat="1" ht="12.95" customHeight="1">
      <c r="A453" s="304"/>
      <c r="B453" s="304"/>
      <c r="C453" s="354"/>
      <c r="D453" s="202"/>
      <c r="E453" s="305"/>
      <c r="F453" s="203"/>
      <c r="G453" s="355"/>
      <c r="H453" s="408"/>
      <c r="I453" s="409"/>
      <c r="J453" s="409"/>
      <c r="K453" s="412"/>
      <c r="L453" s="355"/>
      <c r="M453" s="634"/>
      <c r="N453" s="356"/>
      <c r="O453" s="164"/>
      <c r="P453" s="1"/>
      <c r="Q453" s="1"/>
      <c r="R453" s="1"/>
      <c r="S453" s="1"/>
      <c r="T453" s="304"/>
      <c r="U453" s="304"/>
      <c r="V453" s="354"/>
      <c r="W453" s="202"/>
      <c r="X453" s="305"/>
      <c r="Y453" s="203"/>
      <c r="Z453" s="355"/>
      <c r="AA453" s="408"/>
      <c r="AB453" s="409"/>
      <c r="AC453" s="409"/>
      <c r="AD453" s="412"/>
      <c r="AE453" s="355"/>
      <c r="AF453" s="634"/>
      <c r="AG453" s="356"/>
      <c r="AH453" s="164"/>
      <c r="AI453" s="1"/>
      <c r="AJ453" s="1"/>
      <c r="AK453" s="1"/>
      <c r="AL453" s="1"/>
    </row>
    <row r="454" spans="1:38" s="413" customFormat="1" ht="12.95" customHeight="1">
      <c r="A454" s="304"/>
      <c r="B454" s="304"/>
      <c r="C454" s="354"/>
      <c r="D454" s="202"/>
      <c r="E454" s="305"/>
      <c r="F454" s="203"/>
      <c r="G454" s="355"/>
      <c r="H454" s="408"/>
      <c r="I454" s="409"/>
      <c r="J454" s="409"/>
      <c r="K454" s="412"/>
      <c r="L454" s="355"/>
      <c r="M454" s="634"/>
      <c r="N454" s="356"/>
      <c r="O454" s="164"/>
      <c r="P454" s="1"/>
      <c r="Q454" s="1"/>
      <c r="R454" s="1"/>
      <c r="S454" s="1"/>
      <c r="T454" s="304"/>
      <c r="U454" s="304"/>
      <c r="V454" s="354"/>
      <c r="W454" s="202"/>
      <c r="X454" s="305"/>
      <c r="Y454" s="203"/>
      <c r="Z454" s="355"/>
      <c r="AA454" s="408"/>
      <c r="AB454" s="409"/>
      <c r="AC454" s="409"/>
      <c r="AD454" s="412"/>
      <c r="AE454" s="355"/>
      <c r="AF454" s="634"/>
      <c r="AG454" s="356"/>
      <c r="AH454" s="164"/>
      <c r="AI454" s="1"/>
      <c r="AJ454" s="1"/>
      <c r="AK454" s="1"/>
      <c r="AL454" s="1"/>
    </row>
    <row r="455" spans="1:38" s="413" customFormat="1" ht="12.95" customHeight="1">
      <c r="A455" s="304"/>
      <c r="B455" s="304"/>
      <c r="C455" s="354"/>
      <c r="D455" s="202"/>
      <c r="E455" s="305"/>
      <c r="F455" s="203"/>
      <c r="G455" s="355"/>
      <c r="H455" s="408"/>
      <c r="I455" s="409"/>
      <c r="J455" s="409"/>
      <c r="K455" s="412"/>
      <c r="L455" s="355"/>
      <c r="M455" s="634"/>
      <c r="N455" s="356"/>
      <c r="O455" s="164"/>
      <c r="P455" s="1"/>
      <c r="Q455" s="1"/>
      <c r="R455" s="1"/>
      <c r="S455" s="1"/>
      <c r="T455" s="304"/>
      <c r="U455" s="304"/>
      <c r="V455" s="354"/>
      <c r="W455" s="202"/>
      <c r="X455" s="305"/>
      <c r="Y455" s="203"/>
      <c r="Z455" s="355"/>
      <c r="AA455" s="408"/>
      <c r="AB455" s="409"/>
      <c r="AC455" s="409"/>
      <c r="AD455" s="412"/>
      <c r="AE455" s="355"/>
      <c r="AF455" s="634"/>
      <c r="AG455" s="356"/>
      <c r="AH455" s="164"/>
      <c r="AI455" s="1"/>
      <c r="AJ455" s="1"/>
      <c r="AK455" s="1"/>
      <c r="AL455" s="1"/>
    </row>
    <row r="456" spans="1:38">
      <c r="C456" s="30"/>
      <c r="F456" s="95"/>
      <c r="G456" s="1"/>
      <c r="H456" s="94"/>
      <c r="I456" s="90"/>
      <c r="J456" s="90"/>
      <c r="K456" s="1"/>
      <c r="L456" s="74"/>
      <c r="M456" s="633"/>
      <c r="N456" s="274"/>
      <c r="O456" s="94"/>
      <c r="P456" s="94"/>
      <c r="Q456" s="94"/>
      <c r="R456" s="94"/>
      <c r="S456" s="94"/>
      <c r="V456" s="30"/>
      <c r="W456" s="30"/>
      <c r="X456" s="1"/>
      <c r="Y456" s="95"/>
      <c r="Z456" s="1"/>
      <c r="AA456" s="94"/>
      <c r="AB456" s="1"/>
      <c r="AC456" s="1"/>
      <c r="AD456" s="1"/>
      <c r="AE456" s="30"/>
      <c r="AF456" s="633"/>
      <c r="AG456" s="94"/>
      <c r="AH456" s="94"/>
      <c r="AI456" s="94"/>
      <c r="AJ456" s="94"/>
      <c r="AK456" s="94"/>
      <c r="AL456" s="94"/>
    </row>
    <row r="457" spans="1:38">
      <c r="C457" s="30"/>
      <c r="F457" s="95"/>
      <c r="G457" s="1"/>
      <c r="H457" s="94"/>
      <c r="I457" s="90"/>
      <c r="J457" s="90"/>
      <c r="K457" s="1"/>
      <c r="L457" s="74"/>
      <c r="M457" s="633"/>
      <c r="N457" s="274"/>
      <c r="O457" s="94"/>
      <c r="P457" s="94"/>
      <c r="Q457" s="94"/>
      <c r="R457" s="94"/>
      <c r="S457" s="1" t="e">
        <f>+IF('4 - Services'!#REF!&lt;&gt;"",S$2*'4 - Services'!#REF!,"")</f>
        <v>#REF!</v>
      </c>
      <c r="V457" s="30"/>
      <c r="W457" s="30"/>
      <c r="X457" s="1"/>
      <c r="Y457" s="95"/>
      <c r="Z457" s="1"/>
      <c r="AA457" s="94"/>
      <c r="AB457" s="1"/>
      <c r="AC457" s="1"/>
      <c r="AD457" s="1"/>
      <c r="AE457" s="30"/>
      <c r="AF457" s="633"/>
      <c r="AG457" s="94"/>
      <c r="AH457" s="94"/>
      <c r="AI457" s="94"/>
      <c r="AJ457" s="94"/>
      <c r="AK457" s="94"/>
      <c r="AL457" s="94"/>
    </row>
    <row r="458" spans="1:38">
      <c r="C458" s="30"/>
      <c r="F458" s="95"/>
      <c r="G458" s="1"/>
      <c r="H458" s="94"/>
      <c r="I458" s="90"/>
      <c r="J458" s="90"/>
      <c r="K458" s="1"/>
      <c r="L458" s="74"/>
      <c r="M458" s="633"/>
      <c r="N458" s="274"/>
      <c r="O458" s="94"/>
      <c r="P458" s="94"/>
      <c r="Q458" s="94"/>
      <c r="R458" s="94"/>
      <c r="S458" s="94"/>
      <c r="V458" s="30"/>
      <c r="W458" s="30"/>
      <c r="X458" s="1"/>
      <c r="Y458" s="95"/>
      <c r="Z458" s="1"/>
      <c r="AA458" s="94"/>
      <c r="AB458" s="1"/>
      <c r="AC458" s="1"/>
      <c r="AD458" s="1"/>
      <c r="AE458" s="30"/>
      <c r="AF458" s="633"/>
      <c r="AG458" s="94"/>
      <c r="AH458" s="94"/>
      <c r="AI458" s="94"/>
      <c r="AJ458" s="94"/>
      <c r="AK458" s="94"/>
      <c r="AL458" s="94"/>
    </row>
    <row r="459" spans="1:38">
      <c r="C459" s="30"/>
      <c r="F459" s="95"/>
      <c r="G459" s="1"/>
      <c r="H459" s="94"/>
      <c r="I459" s="90"/>
      <c r="J459" s="90"/>
      <c r="K459" s="1"/>
      <c r="L459" s="74"/>
      <c r="M459" s="633"/>
      <c r="N459" s="274"/>
      <c r="O459" s="94"/>
      <c r="P459" s="94"/>
      <c r="Q459" s="94"/>
      <c r="R459" s="94"/>
      <c r="S459" s="94"/>
      <c r="V459" s="30"/>
      <c r="W459" s="30"/>
      <c r="X459" s="1"/>
      <c r="Y459" s="95"/>
      <c r="Z459" s="1"/>
      <c r="AA459" s="94"/>
      <c r="AB459" s="1"/>
      <c r="AC459" s="1"/>
      <c r="AD459" s="1"/>
      <c r="AE459" s="30"/>
      <c r="AF459" s="633"/>
      <c r="AG459" s="94"/>
      <c r="AH459" s="94"/>
      <c r="AI459" s="94"/>
      <c r="AJ459" s="94"/>
      <c r="AK459" s="94"/>
      <c r="AL459" s="94"/>
    </row>
    <row r="460" spans="1:38">
      <c r="C460" s="30"/>
      <c r="F460" s="95"/>
      <c r="G460" s="1"/>
      <c r="H460" s="94"/>
      <c r="I460" s="90"/>
      <c r="J460" s="90"/>
      <c r="K460" s="1"/>
      <c r="L460" s="74"/>
      <c r="M460" s="633"/>
      <c r="N460" s="274"/>
      <c r="O460" s="94"/>
      <c r="P460" s="94"/>
      <c r="Q460" s="94"/>
      <c r="R460" s="94"/>
      <c r="S460" s="94"/>
      <c r="V460" s="30"/>
      <c r="W460" s="30"/>
      <c r="X460" s="1"/>
      <c r="Y460" s="95"/>
      <c r="Z460" s="1"/>
      <c r="AA460" s="94"/>
      <c r="AB460" s="1"/>
      <c r="AC460" s="1"/>
      <c r="AD460" s="1"/>
      <c r="AE460" s="30"/>
      <c r="AF460" s="633"/>
      <c r="AG460" s="94"/>
      <c r="AH460" s="94"/>
      <c r="AI460" s="94"/>
      <c r="AJ460" s="94"/>
      <c r="AK460" s="94"/>
      <c r="AL460" s="94"/>
    </row>
    <row r="461" spans="1:38">
      <c r="C461" s="30"/>
      <c r="F461" s="95"/>
      <c r="G461" s="1"/>
      <c r="H461" s="94"/>
      <c r="I461" s="90"/>
      <c r="J461" s="90"/>
      <c r="K461" s="1"/>
      <c r="L461" s="74"/>
      <c r="M461" s="633"/>
      <c r="N461" s="274"/>
      <c r="O461" s="94"/>
      <c r="P461" s="94"/>
      <c r="Q461" s="94"/>
      <c r="R461" s="94"/>
      <c r="S461" s="94"/>
      <c r="V461" s="30"/>
      <c r="W461" s="30"/>
      <c r="X461" s="1"/>
      <c r="Y461" s="95"/>
      <c r="Z461" s="1"/>
      <c r="AA461" s="94"/>
      <c r="AB461" s="1"/>
      <c r="AC461" s="1"/>
      <c r="AD461" s="1"/>
      <c r="AE461" s="30"/>
      <c r="AF461" s="633"/>
      <c r="AG461" s="94"/>
      <c r="AH461" s="94"/>
      <c r="AI461" s="94"/>
      <c r="AJ461" s="94"/>
      <c r="AK461" s="94"/>
      <c r="AL461" s="94"/>
    </row>
    <row r="462" spans="1:38">
      <c r="C462" s="30"/>
      <c r="F462" s="95"/>
      <c r="G462" s="1"/>
      <c r="H462" s="94"/>
      <c r="I462" s="90"/>
      <c r="J462" s="90"/>
      <c r="K462" s="1"/>
      <c r="L462" s="74"/>
      <c r="M462" s="633"/>
      <c r="N462" s="274"/>
      <c r="O462" s="94"/>
      <c r="P462" s="94"/>
      <c r="Q462" s="94"/>
      <c r="R462" s="94"/>
      <c r="S462" s="94"/>
      <c r="V462" s="30"/>
      <c r="W462" s="30"/>
      <c r="X462" s="1"/>
      <c r="Y462" s="95"/>
      <c r="Z462" s="1"/>
      <c r="AA462" s="94"/>
      <c r="AB462" s="1"/>
      <c r="AC462" s="1"/>
      <c r="AD462" s="1"/>
      <c r="AE462" s="30"/>
      <c r="AF462" s="633"/>
      <c r="AG462" s="94"/>
      <c r="AH462" s="94"/>
      <c r="AI462" s="94"/>
      <c r="AJ462" s="94"/>
      <c r="AK462" s="94"/>
      <c r="AL462" s="94"/>
    </row>
    <row r="463" spans="1:38">
      <c r="C463" s="30"/>
      <c r="F463" s="95"/>
      <c r="G463" s="1"/>
      <c r="H463" s="94"/>
      <c r="I463" s="90"/>
      <c r="J463" s="90"/>
      <c r="K463" s="1"/>
      <c r="L463" s="74"/>
      <c r="M463" s="633"/>
      <c r="N463" s="274"/>
      <c r="O463" s="94"/>
      <c r="P463" s="94"/>
      <c r="Q463" s="94"/>
      <c r="R463" s="94"/>
      <c r="S463" s="94"/>
      <c r="V463" s="30"/>
      <c r="W463" s="30"/>
      <c r="X463" s="1"/>
      <c r="Y463" s="95"/>
      <c r="Z463" s="1"/>
      <c r="AA463" s="94"/>
      <c r="AB463" s="1"/>
      <c r="AC463" s="1"/>
      <c r="AD463" s="1"/>
      <c r="AE463" s="30"/>
      <c r="AF463" s="633"/>
      <c r="AG463" s="94"/>
      <c r="AH463" s="94"/>
      <c r="AI463" s="94"/>
      <c r="AJ463" s="94"/>
      <c r="AK463" s="94"/>
      <c r="AL463" s="94"/>
    </row>
    <row r="464" spans="1:38">
      <c r="C464" s="30"/>
      <c r="F464" s="95"/>
      <c r="G464" s="1"/>
      <c r="H464" s="94"/>
      <c r="I464" s="90"/>
      <c r="J464" s="90"/>
      <c r="K464" s="1"/>
      <c r="L464" s="74"/>
      <c r="M464" s="633"/>
      <c r="N464" s="274"/>
      <c r="O464" s="94"/>
      <c r="P464" s="94"/>
      <c r="Q464" s="94"/>
      <c r="R464" s="94"/>
      <c r="S464" s="94"/>
      <c r="V464" s="30"/>
      <c r="W464" s="30"/>
      <c r="X464" s="1"/>
      <c r="Y464" s="95"/>
      <c r="Z464" s="1"/>
      <c r="AA464" s="94"/>
      <c r="AB464" s="1"/>
      <c r="AC464" s="1"/>
      <c r="AD464" s="1"/>
      <c r="AE464" s="30"/>
      <c r="AF464" s="633"/>
      <c r="AG464" s="94"/>
      <c r="AH464" s="94"/>
      <c r="AI464" s="94"/>
      <c r="AJ464" s="94"/>
      <c r="AK464" s="94"/>
      <c r="AL464" s="94"/>
    </row>
    <row r="465" spans="3:38">
      <c r="C465" s="30"/>
      <c r="F465" s="95"/>
      <c r="G465" s="1"/>
      <c r="H465" s="94"/>
      <c r="I465" s="90"/>
      <c r="J465" s="90"/>
      <c r="K465" s="1"/>
      <c r="L465" s="74"/>
      <c r="M465" s="633"/>
      <c r="N465" s="274"/>
      <c r="O465" s="94"/>
      <c r="P465" s="94"/>
      <c r="Q465" s="94"/>
      <c r="R465" s="94"/>
      <c r="S465" s="94"/>
      <c r="V465" s="30"/>
      <c r="W465" s="30"/>
      <c r="X465" s="1"/>
      <c r="Y465" s="95"/>
      <c r="Z465" s="1"/>
      <c r="AA465" s="94"/>
      <c r="AB465" s="1"/>
      <c r="AC465" s="1"/>
      <c r="AD465" s="1"/>
      <c r="AE465" s="30"/>
      <c r="AF465" s="633"/>
      <c r="AG465" s="94"/>
      <c r="AH465" s="94"/>
      <c r="AI465" s="94"/>
      <c r="AJ465" s="94"/>
      <c r="AK465" s="94"/>
      <c r="AL465" s="94"/>
    </row>
    <row r="466" spans="3:38">
      <c r="C466" s="30"/>
      <c r="F466" s="95"/>
      <c r="G466" s="1"/>
      <c r="H466" s="94"/>
      <c r="I466" s="90"/>
      <c r="J466" s="90"/>
      <c r="K466" s="1"/>
      <c r="L466" s="74"/>
      <c r="M466" s="633"/>
      <c r="N466" s="274"/>
      <c r="O466" s="94"/>
      <c r="P466" s="94"/>
      <c r="Q466" s="94"/>
      <c r="R466" s="94"/>
      <c r="S466" s="94"/>
      <c r="V466" s="30"/>
      <c r="W466" s="30"/>
      <c r="X466" s="1"/>
      <c r="Y466" s="95"/>
      <c r="Z466" s="1"/>
      <c r="AA466" s="94"/>
      <c r="AB466" s="1"/>
      <c r="AC466" s="1"/>
      <c r="AD466" s="1"/>
      <c r="AE466" s="30"/>
      <c r="AF466" s="633"/>
      <c r="AG466" s="94"/>
      <c r="AH466" s="94"/>
      <c r="AI466" s="94"/>
      <c r="AJ466" s="94"/>
      <c r="AK466" s="94"/>
      <c r="AL466" s="94"/>
    </row>
    <row r="467" spans="3:38">
      <c r="C467" s="30"/>
      <c r="F467" s="95"/>
      <c r="G467" s="1"/>
      <c r="H467" s="94"/>
      <c r="I467" s="90"/>
      <c r="J467" s="90"/>
      <c r="K467" s="1"/>
      <c r="L467" s="74"/>
      <c r="M467" s="633"/>
      <c r="N467" s="274"/>
      <c r="O467" s="94"/>
      <c r="P467" s="94"/>
      <c r="Q467" s="94"/>
      <c r="R467" s="94"/>
      <c r="S467" s="94"/>
      <c r="V467" s="30"/>
      <c r="W467" s="30"/>
      <c r="X467" s="1"/>
      <c r="Y467" s="95"/>
      <c r="Z467" s="1"/>
      <c r="AA467" s="94"/>
      <c r="AB467" s="1"/>
      <c r="AC467" s="1"/>
      <c r="AD467" s="1"/>
      <c r="AE467" s="30"/>
      <c r="AF467" s="633"/>
      <c r="AG467" s="94"/>
      <c r="AH467" s="94"/>
      <c r="AI467" s="94"/>
      <c r="AJ467" s="94"/>
      <c r="AK467" s="94"/>
      <c r="AL467" s="94"/>
    </row>
    <row r="468" spans="3:38">
      <c r="C468" s="30"/>
      <c r="F468" s="95"/>
      <c r="G468" s="1"/>
      <c r="H468" s="94"/>
      <c r="I468" s="90"/>
      <c r="J468" s="90"/>
      <c r="K468" s="1"/>
      <c r="L468" s="74"/>
      <c r="M468" s="633"/>
      <c r="N468" s="274"/>
      <c r="O468" s="94"/>
      <c r="P468" s="94"/>
      <c r="Q468" s="94"/>
      <c r="R468" s="94"/>
      <c r="S468" s="94"/>
      <c r="V468" s="30"/>
      <c r="W468" s="30"/>
      <c r="X468" s="1"/>
      <c r="Y468" s="95"/>
      <c r="Z468" s="1"/>
      <c r="AA468" s="94"/>
      <c r="AB468" s="1"/>
      <c r="AC468" s="1"/>
      <c r="AD468" s="1"/>
      <c r="AE468" s="30"/>
      <c r="AF468" s="633"/>
      <c r="AG468" s="94"/>
      <c r="AH468" s="94"/>
      <c r="AI468" s="94"/>
      <c r="AJ468" s="94"/>
      <c r="AK468" s="94"/>
      <c r="AL468" s="94"/>
    </row>
    <row r="469" spans="3:38" ht="15" customHeight="1">
      <c r="C469" s="30"/>
      <c r="F469" s="95"/>
      <c r="G469" s="1"/>
      <c r="H469" s="94"/>
      <c r="I469" s="90"/>
      <c r="J469" s="90"/>
      <c r="K469" s="1"/>
      <c r="L469" s="74"/>
      <c r="M469" s="633"/>
      <c r="N469" s="274"/>
      <c r="O469" s="94"/>
      <c r="P469" s="94"/>
      <c r="Q469" s="94"/>
      <c r="R469" s="94"/>
      <c r="S469" s="94"/>
      <c r="V469" s="30"/>
      <c r="W469" s="30"/>
      <c r="X469" s="1"/>
      <c r="Y469" s="95"/>
      <c r="Z469" s="1"/>
      <c r="AA469" s="94"/>
      <c r="AB469" s="1"/>
      <c r="AC469" s="1"/>
      <c r="AD469" s="1"/>
      <c r="AE469" s="30"/>
      <c r="AF469" s="633"/>
      <c r="AG469" s="94"/>
      <c r="AH469" s="94"/>
      <c r="AI469" s="94"/>
      <c r="AJ469" s="94"/>
      <c r="AK469" s="94"/>
      <c r="AL469" s="94"/>
    </row>
    <row r="470" spans="3:38">
      <c r="C470" s="30"/>
      <c r="F470" s="95"/>
      <c r="G470" s="1"/>
      <c r="H470" s="94"/>
      <c r="I470" s="90"/>
      <c r="J470" s="90"/>
      <c r="K470" s="1"/>
      <c r="L470" s="74"/>
      <c r="M470" s="633"/>
      <c r="N470" s="274"/>
      <c r="O470" s="94"/>
      <c r="P470" s="94"/>
      <c r="Q470" s="94"/>
      <c r="R470" s="94"/>
      <c r="S470" s="94"/>
      <c r="V470" s="30"/>
      <c r="W470" s="30"/>
      <c r="X470" s="1"/>
      <c r="Y470" s="95"/>
      <c r="Z470" s="1"/>
      <c r="AA470" s="94"/>
      <c r="AB470" s="1"/>
      <c r="AC470" s="1"/>
      <c r="AD470" s="1"/>
      <c r="AE470" s="30"/>
      <c r="AF470" s="633"/>
      <c r="AG470" s="94"/>
      <c r="AH470" s="94"/>
      <c r="AI470" s="94"/>
      <c r="AJ470" s="94"/>
      <c r="AK470" s="94"/>
      <c r="AL470" s="94"/>
    </row>
    <row r="471" spans="3:38">
      <c r="C471" s="30"/>
      <c r="F471" s="95"/>
      <c r="G471" s="1"/>
      <c r="H471" s="94"/>
      <c r="I471" s="90"/>
      <c r="J471" s="90"/>
      <c r="K471" s="1"/>
      <c r="L471" s="74"/>
      <c r="M471" s="633"/>
      <c r="N471" s="274"/>
      <c r="O471" s="94"/>
      <c r="P471" s="94"/>
      <c r="Q471" s="94"/>
      <c r="R471" s="94"/>
      <c r="S471" s="94"/>
      <c r="V471" s="30"/>
      <c r="W471" s="30"/>
      <c r="X471" s="1"/>
      <c r="Y471" s="95"/>
      <c r="Z471" s="1"/>
      <c r="AA471" s="94"/>
      <c r="AB471" s="1"/>
      <c r="AC471" s="1"/>
      <c r="AD471" s="1"/>
      <c r="AE471" s="30"/>
      <c r="AF471" s="633"/>
      <c r="AG471" s="94"/>
      <c r="AH471" s="94"/>
      <c r="AI471" s="94"/>
      <c r="AJ471" s="94"/>
      <c r="AK471" s="94"/>
      <c r="AL471" s="94"/>
    </row>
    <row r="472" spans="3:38">
      <c r="C472" s="30"/>
      <c r="F472" s="95"/>
      <c r="G472" s="1"/>
      <c r="H472" s="94"/>
      <c r="I472" s="90"/>
      <c r="J472" s="90"/>
      <c r="K472" s="1"/>
      <c r="L472" s="74"/>
      <c r="M472" s="633"/>
      <c r="N472" s="274"/>
      <c r="O472" s="94"/>
      <c r="P472" s="94"/>
      <c r="Q472" s="94"/>
      <c r="R472" s="94"/>
      <c r="S472" s="94"/>
      <c r="V472" s="30"/>
      <c r="W472" s="30"/>
      <c r="X472" s="1"/>
      <c r="Y472" s="95"/>
      <c r="Z472" s="1"/>
      <c r="AA472" s="94"/>
      <c r="AB472" s="1"/>
      <c r="AC472" s="1"/>
      <c r="AD472" s="1"/>
      <c r="AE472" s="30"/>
      <c r="AF472" s="633"/>
      <c r="AG472" s="94"/>
      <c r="AH472" s="94"/>
      <c r="AI472" s="94"/>
      <c r="AJ472" s="94"/>
      <c r="AK472" s="94"/>
      <c r="AL472" s="94"/>
    </row>
    <row r="473" spans="3:38">
      <c r="C473" s="30"/>
      <c r="F473" s="95"/>
      <c r="G473" s="1"/>
      <c r="H473" s="94"/>
      <c r="I473" s="90"/>
      <c r="J473" s="90"/>
      <c r="K473" s="1"/>
      <c r="L473" s="74"/>
      <c r="M473" s="633"/>
      <c r="N473" s="274"/>
      <c r="O473" s="94"/>
      <c r="P473" s="94"/>
      <c r="Q473" s="94"/>
      <c r="R473" s="94"/>
      <c r="S473" s="94"/>
      <c r="V473" s="30"/>
      <c r="W473" s="30"/>
      <c r="X473" s="1"/>
      <c r="Y473" s="95"/>
      <c r="Z473" s="1"/>
      <c r="AA473" s="94"/>
      <c r="AB473" s="1"/>
      <c r="AC473" s="1"/>
      <c r="AD473" s="1"/>
      <c r="AE473" s="30"/>
      <c r="AF473" s="633"/>
      <c r="AG473" s="94"/>
      <c r="AH473" s="94"/>
      <c r="AI473" s="94"/>
      <c r="AJ473" s="94"/>
      <c r="AK473" s="94"/>
      <c r="AL473" s="94"/>
    </row>
    <row r="474" spans="3:38">
      <c r="C474" s="30"/>
      <c r="F474" s="95"/>
      <c r="G474" s="1"/>
      <c r="H474" s="94"/>
      <c r="I474" s="90"/>
      <c r="J474" s="90"/>
      <c r="K474" s="1"/>
      <c r="L474" s="74"/>
      <c r="M474" s="633"/>
      <c r="N474" s="274"/>
      <c r="O474" s="94"/>
      <c r="P474" s="94"/>
      <c r="Q474" s="94"/>
      <c r="R474" s="94"/>
      <c r="S474" s="94"/>
      <c r="V474" s="30"/>
      <c r="W474" s="30"/>
      <c r="X474" s="1"/>
      <c r="Y474" s="95"/>
      <c r="Z474" s="1"/>
      <c r="AA474" s="94"/>
      <c r="AB474" s="1"/>
      <c r="AC474" s="1"/>
      <c r="AD474" s="1"/>
      <c r="AE474" s="30"/>
      <c r="AF474" s="633"/>
      <c r="AG474" s="94"/>
      <c r="AH474" s="94"/>
      <c r="AI474" s="94"/>
      <c r="AJ474" s="94"/>
      <c r="AK474" s="94"/>
      <c r="AL474" s="94"/>
    </row>
    <row r="475" spans="3:38">
      <c r="C475" s="30"/>
      <c r="F475" s="95"/>
      <c r="G475" s="1"/>
      <c r="H475" s="94"/>
      <c r="I475" s="90"/>
      <c r="J475" s="90"/>
      <c r="K475" s="1"/>
      <c r="L475" s="74"/>
      <c r="M475" s="633"/>
      <c r="N475" s="274"/>
      <c r="O475" s="94"/>
      <c r="P475" s="94"/>
      <c r="Q475" s="94"/>
      <c r="R475" s="94"/>
      <c r="S475" s="94"/>
      <c r="V475" s="30"/>
      <c r="W475" s="30"/>
      <c r="X475" s="1"/>
      <c r="Y475" s="95"/>
      <c r="Z475" s="1"/>
      <c r="AA475" s="94"/>
      <c r="AB475" s="1"/>
      <c r="AC475" s="1"/>
      <c r="AD475" s="1"/>
      <c r="AE475" s="30"/>
      <c r="AF475" s="633"/>
      <c r="AG475" s="94"/>
      <c r="AH475" s="94"/>
      <c r="AI475" s="94"/>
      <c r="AJ475" s="94"/>
      <c r="AK475" s="94"/>
      <c r="AL475" s="94"/>
    </row>
    <row r="476" spans="3:38">
      <c r="C476" s="30"/>
      <c r="F476" s="95"/>
      <c r="G476" s="1"/>
      <c r="H476" s="94"/>
      <c r="I476" s="90"/>
      <c r="J476" s="90"/>
      <c r="K476" s="1"/>
      <c r="L476" s="74"/>
      <c r="M476" s="633"/>
      <c r="N476" s="274"/>
      <c r="O476" s="94"/>
      <c r="P476" s="94"/>
      <c r="Q476" s="94"/>
      <c r="R476" s="94"/>
      <c r="S476" s="94"/>
      <c r="V476" s="30"/>
      <c r="W476" s="30"/>
      <c r="X476" s="1"/>
      <c r="Y476" s="95"/>
      <c r="Z476" s="1"/>
      <c r="AA476" s="94"/>
      <c r="AB476" s="1"/>
      <c r="AC476" s="1"/>
      <c r="AD476" s="1"/>
      <c r="AE476" s="30"/>
      <c r="AF476" s="633"/>
      <c r="AG476" s="94"/>
      <c r="AH476" s="94"/>
      <c r="AI476" s="94"/>
      <c r="AJ476" s="94"/>
      <c r="AK476" s="94"/>
      <c r="AL476" s="94"/>
    </row>
    <row r="477" spans="3:38">
      <c r="C477" s="30"/>
      <c r="F477" s="95"/>
      <c r="G477" s="1"/>
      <c r="H477" s="94"/>
      <c r="I477" s="90"/>
      <c r="J477" s="90"/>
      <c r="K477" s="1"/>
      <c r="L477" s="74"/>
      <c r="M477" s="633"/>
      <c r="N477" s="274"/>
      <c r="O477" s="94"/>
      <c r="P477" s="94"/>
      <c r="Q477" s="94"/>
      <c r="R477" s="94"/>
      <c r="S477" s="94"/>
      <c r="V477" s="30"/>
      <c r="W477" s="30"/>
      <c r="X477" s="1"/>
      <c r="Y477" s="95"/>
      <c r="Z477" s="1"/>
      <c r="AA477" s="94"/>
      <c r="AB477" s="1"/>
      <c r="AC477" s="1"/>
      <c r="AD477" s="1"/>
      <c r="AE477" s="30"/>
      <c r="AF477" s="633"/>
      <c r="AG477" s="94"/>
      <c r="AH477" s="94"/>
      <c r="AI477" s="94"/>
      <c r="AJ477" s="94"/>
      <c r="AK477" s="94"/>
      <c r="AL477" s="94"/>
    </row>
    <row r="478" spans="3:38">
      <c r="C478" s="30"/>
      <c r="F478" s="95"/>
      <c r="G478" s="1"/>
      <c r="H478" s="94"/>
      <c r="I478" s="90"/>
      <c r="J478" s="90"/>
      <c r="K478" s="1"/>
      <c r="L478" s="74"/>
      <c r="M478" s="633"/>
      <c r="N478" s="274"/>
      <c r="O478" s="94"/>
      <c r="P478" s="94"/>
      <c r="Q478" s="94"/>
      <c r="R478" s="94"/>
      <c r="S478" s="94"/>
      <c r="V478" s="30"/>
      <c r="W478" s="30"/>
      <c r="X478" s="1"/>
      <c r="Y478" s="95"/>
      <c r="Z478" s="1"/>
      <c r="AA478" s="94"/>
      <c r="AB478" s="1"/>
      <c r="AC478" s="1"/>
      <c r="AD478" s="1"/>
      <c r="AE478" s="30"/>
      <c r="AF478" s="633"/>
      <c r="AG478" s="94"/>
      <c r="AH478" s="94"/>
      <c r="AI478" s="94"/>
      <c r="AJ478" s="94"/>
      <c r="AK478" s="94"/>
      <c r="AL478" s="94"/>
    </row>
    <row r="479" spans="3:38">
      <c r="C479" s="30"/>
      <c r="F479" s="95"/>
      <c r="G479" s="1"/>
      <c r="H479" s="94"/>
      <c r="I479" s="90"/>
      <c r="J479" s="90"/>
      <c r="K479" s="1"/>
      <c r="L479" s="74"/>
      <c r="M479" s="633"/>
      <c r="N479" s="274"/>
      <c r="O479" s="94"/>
      <c r="P479" s="94"/>
      <c r="Q479" s="94"/>
      <c r="R479" s="94"/>
      <c r="S479" s="94"/>
      <c r="V479" s="30"/>
      <c r="W479" s="30"/>
      <c r="X479" s="1"/>
      <c r="Y479" s="95"/>
      <c r="Z479" s="1"/>
      <c r="AA479" s="94"/>
      <c r="AB479" s="1"/>
      <c r="AC479" s="1"/>
      <c r="AD479" s="1"/>
      <c r="AE479" s="30"/>
      <c r="AF479" s="633"/>
      <c r="AG479" s="94"/>
      <c r="AH479" s="94"/>
      <c r="AI479" s="94"/>
      <c r="AJ479" s="94"/>
      <c r="AK479" s="94"/>
      <c r="AL479" s="94"/>
    </row>
    <row r="480" spans="3:38">
      <c r="C480" s="30"/>
      <c r="F480" s="95"/>
      <c r="G480" s="1"/>
      <c r="H480" s="94"/>
      <c r="I480" s="90"/>
      <c r="J480" s="90"/>
      <c r="K480" s="1"/>
      <c r="L480" s="74"/>
      <c r="M480" s="633"/>
      <c r="N480" s="274"/>
      <c r="O480" s="94"/>
      <c r="P480" s="94"/>
      <c r="Q480" s="94"/>
      <c r="R480" s="94"/>
      <c r="S480" s="94"/>
      <c r="V480" s="30"/>
      <c r="W480" s="30"/>
      <c r="X480" s="1"/>
      <c r="Y480" s="95"/>
      <c r="Z480" s="1"/>
      <c r="AA480" s="94"/>
      <c r="AB480" s="1"/>
      <c r="AC480" s="1"/>
      <c r="AD480" s="1"/>
      <c r="AE480" s="30"/>
      <c r="AF480" s="633"/>
      <c r="AG480" s="94"/>
      <c r="AH480" s="94"/>
      <c r="AI480" s="94"/>
      <c r="AJ480" s="94"/>
      <c r="AK480" s="94"/>
      <c r="AL480" s="94"/>
    </row>
    <row r="481" spans="3:38">
      <c r="C481" s="30"/>
      <c r="F481" s="95"/>
      <c r="G481" s="1"/>
      <c r="H481" s="94"/>
      <c r="I481" s="90"/>
      <c r="J481" s="90"/>
      <c r="K481" s="1"/>
      <c r="L481" s="74"/>
      <c r="M481" s="633"/>
      <c r="N481" s="274"/>
      <c r="O481" s="94"/>
      <c r="P481" s="94"/>
      <c r="Q481" s="94"/>
      <c r="R481" s="94"/>
      <c r="S481" s="94"/>
      <c r="V481" s="30"/>
      <c r="W481" s="30"/>
      <c r="X481" s="1"/>
      <c r="Y481" s="95"/>
      <c r="Z481" s="1"/>
      <c r="AA481" s="94"/>
      <c r="AB481" s="1"/>
      <c r="AC481" s="1"/>
      <c r="AD481" s="1"/>
      <c r="AE481" s="30"/>
      <c r="AF481" s="633"/>
      <c r="AG481" s="94"/>
      <c r="AH481" s="94"/>
      <c r="AI481" s="94"/>
      <c r="AJ481" s="94"/>
      <c r="AK481" s="94"/>
      <c r="AL481" s="94"/>
    </row>
    <row r="482" spans="3:38">
      <c r="C482" s="30"/>
      <c r="F482" s="95"/>
      <c r="G482" s="1"/>
      <c r="H482" s="94"/>
      <c r="I482" s="90"/>
      <c r="J482" s="90"/>
      <c r="K482" s="1"/>
      <c r="L482" s="74"/>
      <c r="M482" s="633"/>
      <c r="N482" s="274"/>
      <c r="O482" s="94"/>
      <c r="P482" s="94"/>
      <c r="Q482" s="94"/>
      <c r="R482" s="94"/>
      <c r="S482" s="94"/>
      <c r="V482" s="30"/>
      <c r="W482" s="30"/>
      <c r="X482" s="1"/>
      <c r="Y482" s="95"/>
      <c r="Z482" s="1"/>
      <c r="AA482" s="94"/>
      <c r="AB482" s="1"/>
      <c r="AC482" s="1"/>
      <c r="AD482" s="1"/>
      <c r="AE482" s="30"/>
      <c r="AF482" s="633"/>
      <c r="AG482" s="94"/>
      <c r="AH482" s="94"/>
      <c r="AI482" s="94"/>
      <c r="AJ482" s="94"/>
      <c r="AK482" s="94"/>
      <c r="AL482" s="94"/>
    </row>
    <row r="483" spans="3:38">
      <c r="C483" s="30"/>
      <c r="F483" s="95"/>
      <c r="G483" s="1"/>
      <c r="H483" s="94"/>
      <c r="I483" s="90"/>
      <c r="J483" s="90"/>
      <c r="K483" s="1"/>
      <c r="L483" s="74"/>
      <c r="M483" s="633"/>
      <c r="N483" s="274"/>
      <c r="O483" s="94"/>
      <c r="P483" s="94"/>
      <c r="Q483" s="94"/>
      <c r="R483" s="94"/>
      <c r="S483" s="94"/>
      <c r="V483" s="30"/>
      <c r="W483" s="30"/>
      <c r="X483" s="1"/>
      <c r="Y483" s="95"/>
      <c r="Z483" s="1"/>
      <c r="AA483" s="94"/>
      <c r="AB483" s="1"/>
      <c r="AC483" s="1"/>
      <c r="AD483" s="1"/>
      <c r="AE483" s="30"/>
      <c r="AF483" s="633"/>
      <c r="AG483" s="94"/>
      <c r="AH483" s="94"/>
      <c r="AI483" s="94"/>
      <c r="AJ483" s="94"/>
      <c r="AK483" s="94"/>
      <c r="AL483" s="94"/>
    </row>
    <row r="484" spans="3:38">
      <c r="C484" s="30"/>
      <c r="F484" s="95"/>
      <c r="G484" s="1"/>
      <c r="H484" s="94"/>
      <c r="I484" s="90"/>
      <c r="J484" s="90"/>
      <c r="K484" s="1"/>
      <c r="L484" s="74"/>
      <c r="M484" s="633"/>
      <c r="N484" s="274"/>
      <c r="O484" s="94"/>
      <c r="P484" s="94"/>
      <c r="Q484" s="94"/>
      <c r="R484" s="94"/>
      <c r="S484" s="94"/>
      <c r="V484" s="30"/>
      <c r="W484" s="30"/>
      <c r="X484" s="1"/>
      <c r="Y484" s="95"/>
      <c r="Z484" s="1"/>
      <c r="AA484" s="94"/>
      <c r="AB484" s="1"/>
      <c r="AC484" s="1"/>
      <c r="AD484" s="1"/>
      <c r="AE484" s="30"/>
      <c r="AF484" s="633"/>
      <c r="AG484" s="94"/>
      <c r="AH484" s="94"/>
      <c r="AI484" s="94"/>
      <c r="AJ484" s="94"/>
      <c r="AK484" s="94"/>
      <c r="AL484" s="94"/>
    </row>
    <row r="485" spans="3:38">
      <c r="C485" s="30"/>
      <c r="F485" s="95"/>
      <c r="G485" s="1"/>
      <c r="H485" s="94"/>
      <c r="I485" s="90"/>
      <c r="J485" s="90"/>
      <c r="K485" s="1"/>
      <c r="L485" s="74"/>
      <c r="M485" s="633"/>
      <c r="N485" s="274"/>
      <c r="O485" s="94"/>
      <c r="P485" s="94"/>
      <c r="Q485" s="94"/>
      <c r="R485" s="94"/>
      <c r="S485" s="94"/>
      <c r="V485" s="30"/>
      <c r="W485" s="30"/>
      <c r="X485" s="1"/>
      <c r="Y485" s="95"/>
      <c r="Z485" s="1"/>
      <c r="AA485" s="94"/>
      <c r="AB485" s="1"/>
      <c r="AC485" s="1"/>
      <c r="AD485" s="1"/>
      <c r="AE485" s="30"/>
      <c r="AF485" s="633"/>
      <c r="AG485" s="94"/>
      <c r="AH485" s="94"/>
      <c r="AI485" s="94"/>
      <c r="AJ485" s="94"/>
      <c r="AK485" s="94"/>
      <c r="AL485" s="94"/>
    </row>
    <row r="486" spans="3:38">
      <c r="C486" s="30"/>
      <c r="F486" s="95"/>
      <c r="G486" s="1"/>
      <c r="H486" s="94"/>
      <c r="I486" s="90"/>
      <c r="J486" s="90"/>
      <c r="K486" s="1"/>
      <c r="L486" s="74"/>
      <c r="M486" s="633"/>
      <c r="N486" s="274"/>
      <c r="O486" s="94"/>
      <c r="P486" s="94"/>
      <c r="Q486" s="94"/>
      <c r="R486" s="94"/>
      <c r="S486" s="94"/>
      <c r="V486" s="30"/>
      <c r="W486" s="30"/>
      <c r="X486" s="1"/>
      <c r="Y486" s="95"/>
      <c r="Z486" s="1"/>
      <c r="AA486" s="94"/>
      <c r="AB486" s="1"/>
      <c r="AC486" s="1"/>
      <c r="AD486" s="1"/>
      <c r="AE486" s="30"/>
      <c r="AF486" s="633"/>
      <c r="AG486" s="94"/>
      <c r="AH486" s="94"/>
      <c r="AI486" s="94"/>
      <c r="AJ486" s="94"/>
      <c r="AK486" s="94"/>
      <c r="AL486" s="94"/>
    </row>
    <row r="487" spans="3:38">
      <c r="C487" s="30"/>
      <c r="F487" s="95"/>
      <c r="G487" s="1"/>
      <c r="H487" s="94"/>
      <c r="I487" s="90"/>
      <c r="J487" s="90"/>
      <c r="K487" s="1"/>
      <c r="L487" s="74"/>
      <c r="M487" s="633"/>
      <c r="N487" s="274"/>
      <c r="O487" s="94"/>
      <c r="P487" s="94"/>
      <c r="Q487" s="94"/>
      <c r="R487" s="94"/>
      <c r="S487" s="94"/>
      <c r="V487" s="30"/>
      <c r="W487" s="30"/>
      <c r="X487" s="1"/>
      <c r="Y487" s="95"/>
      <c r="Z487" s="1"/>
      <c r="AA487" s="94"/>
      <c r="AB487" s="1"/>
      <c r="AC487" s="1"/>
      <c r="AD487" s="1"/>
      <c r="AE487" s="30"/>
      <c r="AF487" s="633"/>
      <c r="AG487" s="94"/>
      <c r="AH487" s="94"/>
      <c r="AI487" s="94"/>
      <c r="AJ487" s="94"/>
      <c r="AK487" s="94"/>
      <c r="AL487" s="94"/>
    </row>
    <row r="488" spans="3:38">
      <c r="C488" s="30"/>
      <c r="F488" s="95"/>
      <c r="G488" s="1"/>
      <c r="H488" s="94"/>
      <c r="I488" s="90"/>
      <c r="J488" s="90"/>
      <c r="K488" s="1"/>
      <c r="L488" s="74"/>
      <c r="M488" s="633"/>
      <c r="N488" s="274"/>
      <c r="O488" s="94"/>
      <c r="P488" s="94"/>
      <c r="Q488" s="94"/>
      <c r="R488" s="94"/>
      <c r="S488" s="94"/>
      <c r="V488" s="30"/>
      <c r="W488" s="30"/>
      <c r="X488" s="1"/>
      <c r="Y488" s="95"/>
      <c r="Z488" s="1"/>
      <c r="AA488" s="94"/>
      <c r="AB488" s="1"/>
      <c r="AC488" s="1"/>
      <c r="AD488" s="1"/>
      <c r="AE488" s="30"/>
      <c r="AF488" s="633"/>
      <c r="AG488" s="94"/>
      <c r="AH488" s="94"/>
      <c r="AI488" s="94"/>
      <c r="AJ488" s="94"/>
      <c r="AK488" s="94"/>
      <c r="AL488" s="94"/>
    </row>
    <row r="489" spans="3:38">
      <c r="C489" s="30"/>
      <c r="F489" s="95"/>
      <c r="G489" s="1"/>
      <c r="H489" s="94"/>
      <c r="I489" s="90"/>
      <c r="J489" s="90"/>
      <c r="K489" s="1"/>
      <c r="L489" s="74"/>
      <c r="M489" s="633"/>
      <c r="N489" s="274"/>
      <c r="O489" s="94"/>
      <c r="P489" s="94"/>
      <c r="Q489" s="94"/>
      <c r="R489" s="94"/>
      <c r="S489" s="94"/>
      <c r="V489" s="30"/>
      <c r="W489" s="30"/>
      <c r="X489" s="1"/>
      <c r="Y489" s="95"/>
      <c r="Z489" s="1"/>
      <c r="AA489" s="94"/>
      <c r="AB489" s="1"/>
      <c r="AC489" s="1"/>
      <c r="AD489" s="1"/>
      <c r="AE489" s="30"/>
      <c r="AF489" s="633"/>
      <c r="AG489" s="94"/>
      <c r="AH489" s="94"/>
      <c r="AI489" s="94"/>
      <c r="AJ489" s="94"/>
      <c r="AK489" s="94"/>
      <c r="AL489" s="94"/>
    </row>
    <row r="490" spans="3:38">
      <c r="C490" s="30"/>
      <c r="F490" s="95"/>
      <c r="G490" s="1"/>
      <c r="H490" s="94"/>
      <c r="I490" s="90"/>
      <c r="J490" s="90"/>
      <c r="K490" s="1"/>
      <c r="L490" s="74"/>
      <c r="M490" s="633"/>
      <c r="N490" s="274"/>
      <c r="O490" s="94"/>
      <c r="P490" s="94"/>
      <c r="Q490" s="94"/>
      <c r="R490" s="94"/>
      <c r="S490" s="94"/>
      <c r="V490" s="30"/>
      <c r="W490" s="30"/>
      <c r="X490" s="1"/>
      <c r="Y490" s="95"/>
      <c r="Z490" s="1"/>
      <c r="AA490" s="94"/>
      <c r="AB490" s="1"/>
      <c r="AC490" s="1"/>
      <c r="AD490" s="1"/>
      <c r="AE490" s="30"/>
      <c r="AF490" s="633"/>
      <c r="AG490" s="94"/>
      <c r="AH490" s="94"/>
      <c r="AI490" s="94"/>
      <c r="AJ490" s="94"/>
      <c r="AK490" s="94"/>
      <c r="AL490" s="94"/>
    </row>
    <row r="491" spans="3:38">
      <c r="C491" s="30"/>
      <c r="F491" s="95"/>
      <c r="G491" s="1"/>
      <c r="H491" s="94"/>
      <c r="I491" s="90"/>
      <c r="J491" s="90"/>
      <c r="K491" s="1"/>
      <c r="L491" s="74"/>
      <c r="M491" s="633"/>
      <c r="N491" s="274"/>
      <c r="O491" s="94"/>
      <c r="P491" s="94"/>
      <c r="Q491" s="94"/>
      <c r="R491" s="94"/>
      <c r="S491" s="94"/>
      <c r="V491" s="30"/>
      <c r="W491" s="30"/>
      <c r="X491" s="1"/>
      <c r="Y491" s="95"/>
      <c r="Z491" s="1"/>
      <c r="AA491" s="94"/>
      <c r="AB491" s="1"/>
      <c r="AC491" s="1"/>
      <c r="AD491" s="1"/>
      <c r="AE491" s="30"/>
      <c r="AF491" s="633"/>
      <c r="AG491" s="94"/>
      <c r="AH491" s="94"/>
      <c r="AI491" s="94"/>
      <c r="AJ491" s="94"/>
      <c r="AK491" s="94"/>
      <c r="AL491" s="94"/>
    </row>
    <row r="492" spans="3:38">
      <c r="C492" s="30"/>
      <c r="F492" s="95"/>
      <c r="G492" s="1"/>
      <c r="H492" s="94"/>
      <c r="I492" s="90"/>
      <c r="J492" s="90"/>
      <c r="K492" s="1"/>
      <c r="L492" s="74"/>
      <c r="M492" s="633"/>
      <c r="N492" s="274"/>
      <c r="O492" s="94"/>
      <c r="P492" s="94"/>
      <c r="Q492" s="94"/>
      <c r="R492" s="94"/>
      <c r="S492" s="94"/>
      <c r="V492" s="30"/>
      <c r="W492" s="30"/>
      <c r="X492" s="1"/>
      <c r="Y492" s="95"/>
      <c r="Z492" s="1"/>
      <c r="AA492" s="94"/>
      <c r="AB492" s="1"/>
      <c r="AC492" s="1"/>
      <c r="AD492" s="1"/>
      <c r="AE492" s="30"/>
      <c r="AF492" s="633"/>
      <c r="AG492" s="94"/>
      <c r="AH492" s="94"/>
      <c r="AI492" s="94"/>
      <c r="AJ492" s="94"/>
      <c r="AK492" s="94"/>
      <c r="AL492" s="94"/>
    </row>
    <row r="493" spans="3:38">
      <c r="C493" s="30"/>
      <c r="F493" s="95"/>
      <c r="G493" s="1"/>
      <c r="H493" s="94"/>
      <c r="I493" s="90"/>
      <c r="J493" s="90"/>
      <c r="K493" s="1"/>
      <c r="L493" s="74"/>
      <c r="M493" s="633"/>
      <c r="N493" s="274"/>
      <c r="O493" s="94"/>
      <c r="P493" s="94"/>
      <c r="Q493" s="94"/>
      <c r="R493" s="94"/>
      <c r="S493" s="94"/>
      <c r="V493" s="30"/>
      <c r="W493" s="30"/>
      <c r="X493" s="1"/>
      <c r="Y493" s="95"/>
      <c r="Z493" s="1"/>
      <c r="AA493" s="94"/>
      <c r="AB493" s="1"/>
      <c r="AC493" s="1"/>
      <c r="AD493" s="1"/>
      <c r="AE493" s="30"/>
      <c r="AF493" s="633"/>
      <c r="AG493" s="94"/>
      <c r="AH493" s="94"/>
      <c r="AI493" s="94"/>
      <c r="AJ493" s="94"/>
      <c r="AK493" s="94"/>
      <c r="AL493" s="94"/>
    </row>
    <row r="494" spans="3:38">
      <c r="C494" s="30"/>
      <c r="F494" s="95"/>
      <c r="G494" s="1"/>
      <c r="H494" s="94"/>
      <c r="I494" s="90"/>
      <c r="J494" s="90"/>
      <c r="K494" s="1"/>
      <c r="L494" s="74"/>
      <c r="M494" s="633"/>
      <c r="N494" s="274"/>
      <c r="O494" s="94"/>
      <c r="P494" s="94"/>
      <c r="Q494" s="94"/>
      <c r="R494" s="94"/>
      <c r="S494" s="94"/>
      <c r="V494" s="30"/>
      <c r="W494" s="30"/>
      <c r="X494" s="1"/>
      <c r="Y494" s="95"/>
      <c r="Z494" s="1"/>
      <c r="AA494" s="94"/>
      <c r="AB494" s="1"/>
      <c r="AC494" s="1"/>
      <c r="AD494" s="1"/>
      <c r="AE494" s="30"/>
      <c r="AF494" s="633"/>
      <c r="AG494" s="94"/>
      <c r="AH494" s="94"/>
      <c r="AI494" s="94"/>
      <c r="AJ494" s="94"/>
      <c r="AK494" s="94"/>
      <c r="AL494" s="94"/>
    </row>
    <row r="495" spans="3:38">
      <c r="C495" s="30"/>
      <c r="F495" s="95"/>
      <c r="G495" s="1"/>
      <c r="H495" s="94"/>
      <c r="I495" s="90"/>
      <c r="J495" s="90"/>
      <c r="K495" s="1"/>
      <c r="L495" s="74"/>
      <c r="M495" s="633"/>
      <c r="N495" s="274"/>
      <c r="O495" s="94"/>
      <c r="P495" s="94"/>
      <c r="Q495" s="94"/>
      <c r="R495" s="94"/>
      <c r="S495" s="94"/>
      <c r="V495" s="30"/>
      <c r="W495" s="30"/>
      <c r="X495" s="1"/>
      <c r="Y495" s="95"/>
      <c r="Z495" s="1"/>
      <c r="AA495" s="94"/>
      <c r="AB495" s="1"/>
      <c r="AC495" s="1"/>
      <c r="AD495" s="1"/>
      <c r="AE495" s="30"/>
      <c r="AF495" s="633"/>
      <c r="AG495" s="94"/>
      <c r="AH495" s="94"/>
      <c r="AI495" s="94"/>
      <c r="AJ495" s="94"/>
      <c r="AK495" s="94"/>
      <c r="AL495" s="94"/>
    </row>
    <row r="496" spans="3:38">
      <c r="C496" s="30"/>
      <c r="F496" s="95"/>
      <c r="G496" s="1"/>
      <c r="H496" s="94"/>
      <c r="I496" s="90"/>
      <c r="J496" s="90"/>
      <c r="K496" s="1"/>
      <c r="L496" s="74"/>
      <c r="M496" s="633"/>
      <c r="N496" s="274"/>
      <c r="O496" s="94"/>
      <c r="P496" s="94"/>
      <c r="Q496" s="94"/>
      <c r="R496" s="94"/>
      <c r="S496" s="94"/>
      <c r="V496" s="30"/>
      <c r="W496" s="30"/>
      <c r="X496" s="1"/>
      <c r="Y496" s="95"/>
      <c r="Z496" s="1"/>
      <c r="AA496" s="94"/>
      <c r="AB496" s="1"/>
      <c r="AC496" s="1"/>
      <c r="AD496" s="1"/>
      <c r="AE496" s="30"/>
      <c r="AF496" s="633"/>
      <c r="AG496" s="94"/>
      <c r="AH496" s="94"/>
      <c r="AI496" s="94"/>
      <c r="AJ496" s="94"/>
      <c r="AK496" s="94"/>
      <c r="AL496" s="94"/>
    </row>
    <row r="497" spans="3:38">
      <c r="C497" s="30"/>
      <c r="F497" s="95"/>
      <c r="G497" s="1"/>
      <c r="H497" s="94"/>
      <c r="I497" s="90"/>
      <c r="J497" s="90"/>
      <c r="K497" s="1"/>
      <c r="L497" s="74"/>
      <c r="M497" s="633"/>
      <c r="N497" s="274"/>
      <c r="O497" s="94"/>
      <c r="P497" s="94"/>
      <c r="Q497" s="94"/>
      <c r="R497" s="94"/>
      <c r="S497" s="94"/>
      <c r="V497" s="30"/>
      <c r="W497" s="30"/>
      <c r="X497" s="1"/>
      <c r="Y497" s="95"/>
      <c r="Z497" s="1"/>
      <c r="AA497" s="94"/>
      <c r="AB497" s="1"/>
      <c r="AC497" s="1"/>
      <c r="AD497" s="1"/>
      <c r="AE497" s="30"/>
      <c r="AF497" s="633"/>
      <c r="AG497" s="94"/>
      <c r="AH497" s="94"/>
      <c r="AI497" s="94"/>
      <c r="AJ497" s="94"/>
      <c r="AK497" s="94"/>
      <c r="AL497" s="94"/>
    </row>
    <row r="498" spans="3:38">
      <c r="C498" s="30"/>
      <c r="F498" s="95"/>
      <c r="G498" s="1"/>
      <c r="H498" s="94"/>
      <c r="I498" s="90"/>
      <c r="J498" s="90"/>
      <c r="K498" s="1"/>
      <c r="L498" s="74"/>
      <c r="M498" s="633"/>
      <c r="N498" s="274"/>
      <c r="O498" s="94"/>
      <c r="P498" s="94"/>
      <c r="Q498" s="94"/>
      <c r="R498" s="94"/>
      <c r="S498" s="94"/>
      <c r="V498" s="30"/>
      <c r="W498" s="30"/>
      <c r="X498" s="1"/>
      <c r="Y498" s="95"/>
      <c r="Z498" s="1"/>
      <c r="AA498" s="94"/>
      <c r="AB498" s="1"/>
      <c r="AC498" s="1"/>
      <c r="AD498" s="1"/>
      <c r="AE498" s="30"/>
      <c r="AF498" s="633"/>
      <c r="AG498" s="94"/>
      <c r="AH498" s="94"/>
      <c r="AI498" s="94"/>
      <c r="AJ498" s="94"/>
      <c r="AK498" s="94"/>
      <c r="AL498" s="94"/>
    </row>
    <row r="499" spans="3:38">
      <c r="C499" s="30"/>
      <c r="F499" s="95"/>
      <c r="G499" s="1"/>
      <c r="H499" s="94"/>
      <c r="I499" s="90"/>
      <c r="J499" s="90"/>
      <c r="K499" s="1"/>
      <c r="L499" s="74"/>
      <c r="M499" s="633"/>
      <c r="N499" s="274"/>
      <c r="O499" s="94"/>
      <c r="P499" s="94"/>
      <c r="Q499" s="94"/>
      <c r="R499" s="94"/>
      <c r="S499" s="94"/>
      <c r="V499" s="30"/>
      <c r="W499" s="30"/>
      <c r="X499" s="1"/>
      <c r="Y499" s="95"/>
      <c r="Z499" s="1"/>
      <c r="AA499" s="94"/>
      <c r="AB499" s="1"/>
      <c r="AC499" s="1"/>
      <c r="AD499" s="1"/>
      <c r="AE499" s="30"/>
      <c r="AF499" s="633"/>
      <c r="AG499" s="94"/>
      <c r="AH499" s="94"/>
      <c r="AI499" s="94"/>
      <c r="AJ499" s="94"/>
      <c r="AK499" s="94"/>
      <c r="AL499" s="94"/>
    </row>
    <row r="500" spans="3:38">
      <c r="C500" s="30"/>
      <c r="F500" s="95"/>
      <c r="G500" s="1"/>
      <c r="H500" s="94"/>
      <c r="I500" s="90"/>
      <c r="J500" s="90"/>
      <c r="K500" s="1"/>
      <c r="L500" s="74"/>
      <c r="M500" s="633"/>
      <c r="N500" s="274"/>
      <c r="O500" s="94"/>
      <c r="P500" s="94"/>
      <c r="Q500" s="94"/>
      <c r="R500" s="94"/>
      <c r="S500" s="94"/>
      <c r="V500" s="30"/>
      <c r="W500" s="30"/>
      <c r="X500" s="1"/>
      <c r="Y500" s="95"/>
      <c r="Z500" s="1"/>
      <c r="AA500" s="94"/>
      <c r="AB500" s="1"/>
      <c r="AC500" s="1"/>
      <c r="AD500" s="1"/>
      <c r="AE500" s="30"/>
      <c r="AF500" s="633"/>
      <c r="AG500" s="94"/>
      <c r="AH500" s="94"/>
      <c r="AI500" s="94"/>
      <c r="AJ500" s="94"/>
      <c r="AK500" s="94"/>
      <c r="AL500" s="94"/>
    </row>
    <row r="501" spans="3:38">
      <c r="C501" s="30"/>
      <c r="F501" s="95"/>
      <c r="G501" s="1"/>
      <c r="H501" s="94"/>
      <c r="I501" s="90"/>
      <c r="J501" s="90"/>
      <c r="K501" s="1"/>
      <c r="L501" s="74"/>
      <c r="M501" s="633"/>
      <c r="N501" s="274"/>
      <c r="O501" s="94"/>
      <c r="P501" s="94"/>
      <c r="Q501" s="94"/>
      <c r="R501" s="94"/>
      <c r="S501" s="94"/>
      <c r="V501" s="30"/>
      <c r="W501" s="30"/>
      <c r="X501" s="1"/>
      <c r="Y501" s="95"/>
      <c r="Z501" s="1"/>
      <c r="AA501" s="94"/>
      <c r="AB501" s="1"/>
      <c r="AC501" s="1"/>
      <c r="AD501" s="1"/>
      <c r="AE501" s="30"/>
      <c r="AF501" s="633"/>
      <c r="AG501" s="94"/>
      <c r="AH501" s="94"/>
      <c r="AI501" s="94"/>
      <c r="AJ501" s="94"/>
      <c r="AK501" s="94"/>
      <c r="AL501" s="94"/>
    </row>
    <row r="502" spans="3:38">
      <c r="C502" s="30"/>
      <c r="F502" s="95"/>
      <c r="G502" s="1"/>
      <c r="H502" s="94"/>
      <c r="I502" s="90"/>
      <c r="J502" s="90"/>
      <c r="K502" s="1"/>
      <c r="L502" s="74"/>
      <c r="M502" s="633"/>
      <c r="N502" s="274"/>
      <c r="O502" s="94"/>
      <c r="P502" s="94"/>
      <c r="Q502" s="94"/>
      <c r="R502" s="94"/>
      <c r="S502" s="94"/>
      <c r="V502" s="30"/>
      <c r="W502" s="30"/>
      <c r="X502" s="1"/>
      <c r="Y502" s="95"/>
      <c r="Z502" s="1"/>
      <c r="AA502" s="94"/>
      <c r="AB502" s="1"/>
      <c r="AC502" s="1"/>
      <c r="AD502" s="1"/>
      <c r="AE502" s="30"/>
      <c r="AF502" s="633"/>
      <c r="AG502" s="94"/>
      <c r="AH502" s="94"/>
      <c r="AI502" s="94"/>
      <c r="AJ502" s="94"/>
      <c r="AK502" s="94"/>
      <c r="AL502" s="94"/>
    </row>
    <row r="503" spans="3:38">
      <c r="C503" s="30"/>
      <c r="F503" s="95"/>
      <c r="G503" s="1"/>
      <c r="H503" s="94"/>
      <c r="I503" s="90"/>
      <c r="J503" s="90"/>
      <c r="K503" s="1"/>
      <c r="L503" s="74"/>
      <c r="M503" s="633"/>
      <c r="N503" s="274"/>
      <c r="O503" s="94"/>
      <c r="P503" s="94"/>
      <c r="Q503" s="94"/>
      <c r="R503" s="94"/>
      <c r="S503" s="94"/>
      <c r="V503" s="30"/>
      <c r="W503" s="30"/>
      <c r="X503" s="1"/>
      <c r="Y503" s="95"/>
      <c r="Z503" s="1"/>
      <c r="AA503" s="94"/>
      <c r="AB503" s="1"/>
      <c r="AC503" s="1"/>
      <c r="AD503" s="1"/>
      <c r="AE503" s="30"/>
      <c r="AF503" s="633"/>
      <c r="AG503" s="94"/>
      <c r="AH503" s="94"/>
      <c r="AI503" s="94"/>
      <c r="AJ503" s="94"/>
      <c r="AK503" s="94"/>
      <c r="AL503" s="94"/>
    </row>
    <row r="504" spans="3:38">
      <c r="C504" s="30"/>
      <c r="F504" s="95"/>
      <c r="G504" s="1"/>
      <c r="H504" s="94"/>
      <c r="I504" s="90"/>
      <c r="J504" s="90"/>
      <c r="K504" s="1"/>
      <c r="L504" s="74"/>
      <c r="M504" s="633"/>
      <c r="N504" s="274"/>
      <c r="O504" s="94"/>
      <c r="P504" s="94"/>
      <c r="Q504" s="94"/>
      <c r="R504" s="94"/>
      <c r="S504" s="94"/>
      <c r="V504" s="30"/>
      <c r="W504" s="30"/>
      <c r="X504" s="1"/>
      <c r="Y504" s="95"/>
      <c r="Z504" s="1"/>
      <c r="AA504" s="94"/>
      <c r="AB504" s="1"/>
      <c r="AC504" s="1"/>
      <c r="AD504" s="1"/>
      <c r="AE504" s="30"/>
      <c r="AF504" s="633"/>
      <c r="AG504" s="94"/>
      <c r="AH504" s="94"/>
      <c r="AI504" s="94"/>
      <c r="AJ504" s="94"/>
      <c r="AK504" s="94"/>
      <c r="AL504" s="94"/>
    </row>
    <row r="505" spans="3:38">
      <c r="C505" s="30"/>
      <c r="F505" s="95"/>
      <c r="G505" s="1"/>
      <c r="H505" s="94"/>
      <c r="I505" s="90"/>
      <c r="J505" s="90"/>
      <c r="K505" s="1"/>
      <c r="L505" s="74"/>
      <c r="M505" s="633"/>
      <c r="N505" s="274"/>
      <c r="O505" s="94"/>
      <c r="P505" s="94"/>
      <c r="Q505" s="94"/>
      <c r="R505" s="94"/>
      <c r="S505" s="94"/>
      <c r="V505" s="30"/>
      <c r="W505" s="30"/>
      <c r="X505" s="1"/>
      <c r="Y505" s="95"/>
      <c r="Z505" s="1"/>
      <c r="AA505" s="94"/>
      <c r="AB505" s="1"/>
      <c r="AC505" s="1"/>
      <c r="AD505" s="1"/>
      <c r="AE505" s="30"/>
      <c r="AF505" s="633"/>
      <c r="AG505" s="94"/>
      <c r="AH505" s="94"/>
      <c r="AI505" s="94"/>
      <c r="AJ505" s="94"/>
      <c r="AK505" s="94"/>
      <c r="AL505" s="94"/>
    </row>
    <row r="506" spans="3:38">
      <c r="C506" s="30"/>
      <c r="F506" s="95"/>
      <c r="G506" s="1"/>
      <c r="H506" s="94"/>
      <c r="I506" s="90"/>
      <c r="J506" s="90"/>
      <c r="K506" s="1"/>
      <c r="L506" s="74"/>
      <c r="M506" s="633"/>
      <c r="N506" s="274"/>
      <c r="O506" s="94"/>
      <c r="P506" s="94"/>
      <c r="Q506" s="94"/>
      <c r="R506" s="94"/>
      <c r="S506" s="94"/>
      <c r="V506" s="30"/>
      <c r="W506" s="30"/>
      <c r="X506" s="1"/>
      <c r="Y506" s="95"/>
      <c r="Z506" s="1"/>
      <c r="AA506" s="94"/>
      <c r="AB506" s="1"/>
      <c r="AC506" s="1"/>
      <c r="AD506" s="1"/>
      <c r="AE506" s="30"/>
      <c r="AF506" s="633"/>
      <c r="AG506" s="94"/>
      <c r="AH506" s="94"/>
      <c r="AI506" s="94"/>
      <c r="AJ506" s="94"/>
      <c r="AK506" s="94"/>
      <c r="AL506" s="94"/>
    </row>
    <row r="507" spans="3:38">
      <c r="C507" s="30"/>
      <c r="F507" s="95"/>
      <c r="G507" s="1"/>
      <c r="H507" s="94"/>
      <c r="I507" s="90"/>
      <c r="J507" s="90"/>
      <c r="K507" s="1"/>
      <c r="L507" s="74"/>
      <c r="M507" s="633"/>
      <c r="N507" s="274"/>
      <c r="O507" s="94"/>
      <c r="P507" s="94"/>
      <c r="Q507" s="94"/>
      <c r="R507" s="94"/>
      <c r="S507" s="94"/>
      <c r="V507" s="30"/>
      <c r="W507" s="30"/>
      <c r="X507" s="1"/>
      <c r="Y507" s="95"/>
      <c r="Z507" s="1"/>
      <c r="AA507" s="94"/>
      <c r="AB507" s="1"/>
      <c r="AC507" s="1"/>
      <c r="AD507" s="1"/>
      <c r="AE507" s="30"/>
      <c r="AF507" s="633"/>
      <c r="AG507" s="94"/>
      <c r="AH507" s="94"/>
      <c r="AI507" s="94"/>
      <c r="AJ507" s="94"/>
      <c r="AK507" s="94"/>
      <c r="AL507" s="94"/>
    </row>
    <row r="508" spans="3:38">
      <c r="C508" s="30"/>
      <c r="F508" s="95"/>
      <c r="G508" s="1"/>
      <c r="H508" s="94"/>
      <c r="I508" s="90"/>
      <c r="J508" s="90"/>
      <c r="K508" s="1"/>
      <c r="L508" s="74"/>
      <c r="M508" s="633"/>
      <c r="N508" s="274"/>
      <c r="O508" s="94"/>
      <c r="P508" s="94"/>
      <c r="Q508" s="94"/>
      <c r="R508" s="94"/>
      <c r="S508" s="94"/>
      <c r="V508" s="30"/>
      <c r="W508" s="30"/>
      <c r="X508" s="1"/>
      <c r="Y508" s="95"/>
      <c r="Z508" s="1"/>
      <c r="AA508" s="94"/>
      <c r="AB508" s="1"/>
      <c r="AC508" s="1"/>
      <c r="AD508" s="1"/>
      <c r="AE508" s="30"/>
      <c r="AF508" s="633"/>
      <c r="AG508" s="94"/>
      <c r="AH508" s="94"/>
      <c r="AI508" s="94"/>
      <c r="AJ508" s="94"/>
      <c r="AK508" s="94"/>
      <c r="AL508" s="94"/>
    </row>
    <row r="509" spans="3:38">
      <c r="C509" s="30"/>
      <c r="F509" s="95"/>
      <c r="G509" s="1"/>
      <c r="H509" s="94"/>
      <c r="I509" s="90"/>
      <c r="J509" s="90"/>
      <c r="K509" s="1"/>
      <c r="L509" s="74"/>
      <c r="M509" s="633"/>
      <c r="N509" s="274"/>
      <c r="O509" s="94"/>
      <c r="P509" s="94"/>
      <c r="Q509" s="94"/>
      <c r="R509" s="94"/>
      <c r="S509" s="94"/>
      <c r="V509" s="30"/>
      <c r="W509" s="30"/>
      <c r="X509" s="1"/>
      <c r="Y509" s="95"/>
      <c r="Z509" s="1"/>
      <c r="AA509" s="94"/>
      <c r="AB509" s="1"/>
      <c r="AC509" s="1"/>
      <c r="AD509" s="1"/>
      <c r="AE509" s="30"/>
      <c r="AF509" s="633"/>
      <c r="AG509" s="94"/>
      <c r="AH509" s="94"/>
      <c r="AI509" s="94"/>
      <c r="AJ509" s="94"/>
      <c r="AK509" s="94"/>
      <c r="AL509" s="94"/>
    </row>
    <row r="510" spans="3:38">
      <c r="C510" s="30"/>
      <c r="F510" s="95"/>
      <c r="G510" s="1"/>
      <c r="H510" s="94"/>
      <c r="I510" s="90"/>
      <c r="J510" s="90"/>
      <c r="K510" s="1"/>
      <c r="L510" s="74"/>
      <c r="M510" s="633"/>
      <c r="N510" s="274"/>
      <c r="O510" s="94"/>
      <c r="P510" s="94"/>
      <c r="Q510" s="94"/>
      <c r="R510" s="94"/>
      <c r="S510" s="94"/>
      <c r="V510" s="30"/>
      <c r="W510" s="30"/>
      <c r="X510" s="1"/>
      <c r="Y510" s="95"/>
      <c r="Z510" s="1"/>
      <c r="AA510" s="94"/>
      <c r="AB510" s="1"/>
      <c r="AC510" s="1"/>
      <c r="AD510" s="1"/>
      <c r="AE510" s="30"/>
      <c r="AF510" s="633"/>
      <c r="AG510" s="94"/>
      <c r="AH510" s="94"/>
      <c r="AI510" s="94"/>
      <c r="AJ510" s="94"/>
      <c r="AK510" s="94"/>
      <c r="AL510" s="94"/>
    </row>
    <row r="511" spans="3:38">
      <c r="C511" s="30"/>
      <c r="F511" s="95"/>
      <c r="G511" s="1"/>
      <c r="H511" s="94"/>
      <c r="I511" s="90"/>
      <c r="J511" s="90"/>
      <c r="K511" s="1"/>
      <c r="L511" s="74"/>
      <c r="M511" s="633"/>
      <c r="N511" s="274"/>
      <c r="O511" s="94"/>
      <c r="P511" s="94"/>
      <c r="Q511" s="94"/>
      <c r="R511" s="94"/>
      <c r="S511" s="94"/>
      <c r="V511" s="30"/>
      <c r="W511" s="30"/>
      <c r="X511" s="1"/>
      <c r="Y511" s="95"/>
      <c r="Z511" s="1"/>
      <c r="AA511" s="94"/>
      <c r="AB511" s="1"/>
      <c r="AC511" s="1"/>
      <c r="AD511" s="1"/>
      <c r="AE511" s="30"/>
      <c r="AF511" s="633"/>
      <c r="AG511" s="94"/>
      <c r="AH511" s="94"/>
      <c r="AI511" s="94"/>
      <c r="AJ511" s="94"/>
      <c r="AK511" s="94"/>
      <c r="AL511" s="94"/>
    </row>
    <row r="512" spans="3:38">
      <c r="C512" s="30"/>
      <c r="F512" s="95"/>
      <c r="G512" s="1"/>
      <c r="H512" s="94"/>
      <c r="I512" s="90"/>
      <c r="J512" s="90"/>
      <c r="K512" s="1"/>
      <c r="L512" s="74"/>
      <c r="M512" s="633"/>
      <c r="N512" s="274"/>
      <c r="O512" s="94"/>
      <c r="P512" s="94"/>
      <c r="Q512" s="94"/>
      <c r="R512" s="94"/>
      <c r="S512" s="94"/>
      <c r="V512" s="30"/>
      <c r="W512" s="30"/>
      <c r="X512" s="1"/>
      <c r="Y512" s="95"/>
      <c r="Z512" s="1"/>
      <c r="AA512" s="94"/>
      <c r="AB512" s="1"/>
      <c r="AC512" s="1"/>
      <c r="AD512" s="1"/>
      <c r="AE512" s="30"/>
      <c r="AF512" s="633"/>
      <c r="AG512" s="94"/>
      <c r="AH512" s="94"/>
      <c r="AI512" s="94"/>
      <c r="AJ512" s="94"/>
      <c r="AK512" s="94"/>
      <c r="AL512" s="94"/>
    </row>
    <row r="513" spans="3:38">
      <c r="C513" s="30"/>
      <c r="F513" s="95"/>
      <c r="G513" s="1"/>
      <c r="H513" s="94"/>
      <c r="I513" s="90"/>
      <c r="J513" s="90"/>
      <c r="K513" s="1"/>
      <c r="L513" s="74"/>
      <c r="M513" s="633"/>
      <c r="N513" s="274"/>
      <c r="O513" s="94"/>
      <c r="P513" s="94"/>
      <c r="Q513" s="94"/>
      <c r="R513" s="94"/>
      <c r="S513" s="94"/>
      <c r="V513" s="30"/>
      <c r="W513" s="30"/>
      <c r="X513" s="1"/>
      <c r="Y513" s="95"/>
      <c r="Z513" s="1"/>
      <c r="AA513" s="94"/>
      <c r="AB513" s="1"/>
      <c r="AC513" s="1"/>
      <c r="AD513" s="1"/>
      <c r="AE513" s="30"/>
      <c r="AF513" s="633"/>
      <c r="AG513" s="94"/>
      <c r="AH513" s="94"/>
      <c r="AI513" s="94"/>
      <c r="AJ513" s="94"/>
      <c r="AK513" s="94"/>
      <c r="AL513" s="94"/>
    </row>
    <row r="514" spans="3:38">
      <c r="C514" s="30"/>
      <c r="F514" s="95"/>
      <c r="G514" s="1"/>
      <c r="H514" s="94"/>
      <c r="I514" s="90"/>
      <c r="J514" s="90"/>
      <c r="K514" s="1"/>
      <c r="L514" s="74"/>
      <c r="M514" s="633"/>
      <c r="N514" s="274"/>
      <c r="O514" s="94"/>
      <c r="P514" s="94"/>
      <c r="Q514" s="94"/>
      <c r="R514" s="94"/>
      <c r="S514" s="94"/>
      <c r="V514" s="30"/>
      <c r="W514" s="30"/>
      <c r="X514" s="1"/>
      <c r="Y514" s="95"/>
      <c r="Z514" s="1"/>
      <c r="AA514" s="94"/>
      <c r="AB514" s="1"/>
      <c r="AC514" s="1"/>
      <c r="AD514" s="1"/>
      <c r="AE514" s="30"/>
      <c r="AF514" s="633"/>
      <c r="AG514" s="94"/>
      <c r="AH514" s="94"/>
      <c r="AI514" s="94"/>
      <c r="AJ514" s="94"/>
      <c r="AK514" s="94"/>
      <c r="AL514" s="94"/>
    </row>
    <row r="515" spans="3:38">
      <c r="C515" s="30"/>
      <c r="F515" s="95"/>
      <c r="G515" s="1"/>
      <c r="H515" s="94"/>
      <c r="I515" s="90"/>
      <c r="J515" s="90"/>
      <c r="K515" s="1"/>
      <c r="L515" s="74"/>
      <c r="M515" s="633"/>
      <c r="N515" s="274"/>
      <c r="O515" s="94"/>
      <c r="P515" s="94"/>
      <c r="Q515" s="94"/>
      <c r="R515" s="94"/>
      <c r="S515" s="94"/>
      <c r="V515" s="30"/>
      <c r="W515" s="30"/>
      <c r="X515" s="1"/>
      <c r="Y515" s="95"/>
      <c r="Z515" s="1"/>
      <c r="AA515" s="94"/>
      <c r="AB515" s="1"/>
      <c r="AC515" s="1"/>
      <c r="AD515" s="1"/>
      <c r="AE515" s="30"/>
      <c r="AF515" s="633"/>
      <c r="AG515" s="94"/>
      <c r="AH515" s="94"/>
      <c r="AI515" s="94"/>
      <c r="AJ515" s="94"/>
      <c r="AK515" s="94"/>
      <c r="AL515" s="94"/>
    </row>
    <row r="516" spans="3:38">
      <c r="C516" s="30"/>
      <c r="F516" s="95"/>
      <c r="G516" s="1"/>
      <c r="H516" s="94"/>
      <c r="I516" s="90"/>
      <c r="J516" s="90"/>
      <c r="K516" s="1"/>
      <c r="L516" s="74"/>
      <c r="M516" s="633"/>
      <c r="N516" s="274"/>
      <c r="O516" s="94"/>
      <c r="P516" s="94"/>
      <c r="Q516" s="94"/>
      <c r="R516" s="94"/>
      <c r="S516" s="94"/>
      <c r="V516" s="30"/>
      <c r="W516" s="30"/>
      <c r="X516" s="1"/>
      <c r="Y516" s="95"/>
      <c r="Z516" s="1"/>
      <c r="AA516" s="94"/>
      <c r="AB516" s="1"/>
      <c r="AC516" s="1"/>
      <c r="AD516" s="1"/>
      <c r="AE516" s="30"/>
      <c r="AF516" s="633"/>
      <c r="AG516" s="94"/>
      <c r="AH516" s="94"/>
      <c r="AI516" s="94"/>
      <c r="AJ516" s="94"/>
      <c r="AK516" s="94"/>
      <c r="AL516" s="94"/>
    </row>
    <row r="517" spans="3:38">
      <c r="C517" s="30"/>
      <c r="F517" s="95"/>
      <c r="G517" s="1"/>
      <c r="H517" s="94"/>
      <c r="I517" s="90"/>
      <c r="J517" s="90"/>
      <c r="K517" s="1"/>
      <c r="L517" s="74"/>
      <c r="M517" s="633"/>
      <c r="N517" s="274"/>
      <c r="O517" s="94"/>
      <c r="P517" s="94"/>
      <c r="Q517" s="94"/>
      <c r="R517" s="94"/>
      <c r="S517" s="94"/>
      <c r="V517" s="30"/>
      <c r="W517" s="30"/>
      <c r="X517" s="1"/>
      <c r="Y517" s="95"/>
      <c r="Z517" s="1"/>
      <c r="AA517" s="94"/>
      <c r="AB517" s="1"/>
      <c r="AC517" s="1"/>
      <c r="AD517" s="1"/>
      <c r="AE517" s="30"/>
      <c r="AF517" s="633"/>
      <c r="AG517" s="94"/>
      <c r="AH517" s="94"/>
      <c r="AI517" s="94"/>
      <c r="AJ517" s="94"/>
      <c r="AK517" s="94"/>
      <c r="AL517" s="94"/>
    </row>
    <row r="518" spans="3:38">
      <c r="C518" s="30"/>
      <c r="F518" s="95"/>
      <c r="G518" s="1"/>
      <c r="H518" s="94"/>
      <c r="I518" s="90"/>
      <c r="J518" s="90"/>
      <c r="K518" s="1"/>
      <c r="L518" s="74"/>
      <c r="M518" s="633"/>
      <c r="N518" s="274"/>
      <c r="O518" s="94"/>
      <c r="P518" s="94"/>
      <c r="Q518" s="94"/>
      <c r="R518" s="94"/>
      <c r="S518" s="94"/>
      <c r="V518" s="30"/>
      <c r="W518" s="30"/>
      <c r="X518" s="1"/>
      <c r="Y518" s="95"/>
      <c r="Z518" s="1"/>
      <c r="AA518" s="94"/>
      <c r="AB518" s="1"/>
      <c r="AC518" s="1"/>
      <c r="AD518" s="1"/>
      <c r="AE518" s="30"/>
      <c r="AF518" s="633"/>
      <c r="AG518" s="94"/>
      <c r="AH518" s="94"/>
      <c r="AI518" s="94"/>
      <c r="AJ518" s="94"/>
      <c r="AK518" s="94"/>
      <c r="AL518" s="94"/>
    </row>
    <row r="519" spans="3:38">
      <c r="C519" s="30"/>
      <c r="F519" s="95"/>
      <c r="G519" s="1"/>
      <c r="H519" s="94"/>
      <c r="I519" s="90"/>
      <c r="J519" s="90"/>
      <c r="K519" s="1"/>
      <c r="L519" s="74"/>
      <c r="M519" s="633"/>
      <c r="N519" s="274"/>
      <c r="O519" s="94"/>
      <c r="P519" s="94"/>
      <c r="Q519" s="94"/>
      <c r="R519" s="94"/>
      <c r="S519" s="94"/>
      <c r="V519" s="30"/>
      <c r="W519" s="30"/>
      <c r="X519" s="1"/>
      <c r="Y519" s="95"/>
      <c r="Z519" s="1"/>
      <c r="AA519" s="94"/>
      <c r="AB519" s="1"/>
      <c r="AC519" s="1"/>
      <c r="AD519" s="1"/>
      <c r="AE519" s="30"/>
      <c r="AF519" s="633"/>
      <c r="AG519" s="94"/>
      <c r="AH519" s="94"/>
      <c r="AI519" s="94"/>
      <c r="AJ519" s="94"/>
      <c r="AK519" s="94"/>
      <c r="AL519" s="94"/>
    </row>
    <row r="520" spans="3:38">
      <c r="C520" s="30"/>
      <c r="F520" s="95"/>
      <c r="G520" s="1"/>
      <c r="H520" s="94"/>
      <c r="I520" s="90"/>
      <c r="J520" s="90"/>
      <c r="K520" s="1"/>
      <c r="L520" s="74"/>
      <c r="M520" s="633"/>
      <c r="N520" s="274"/>
      <c r="O520" s="94"/>
      <c r="P520" s="94"/>
      <c r="Q520" s="94"/>
      <c r="R520" s="94"/>
      <c r="S520" s="94"/>
      <c r="V520" s="30"/>
      <c r="W520" s="30"/>
      <c r="X520" s="1"/>
      <c r="Y520" s="95"/>
      <c r="Z520" s="1"/>
      <c r="AA520" s="94"/>
      <c r="AB520" s="1"/>
      <c r="AC520" s="1"/>
      <c r="AD520" s="1"/>
      <c r="AE520" s="30"/>
      <c r="AF520" s="633"/>
      <c r="AG520" s="94"/>
      <c r="AH520" s="94"/>
      <c r="AI520" s="94"/>
      <c r="AJ520" s="94"/>
      <c r="AK520" s="94"/>
      <c r="AL520" s="94"/>
    </row>
    <row r="521" spans="3:38">
      <c r="C521" s="30"/>
      <c r="F521" s="95"/>
      <c r="G521" s="1"/>
      <c r="H521" s="94"/>
      <c r="I521" s="90"/>
      <c r="J521" s="90"/>
      <c r="K521" s="1"/>
      <c r="L521" s="74"/>
      <c r="M521" s="633"/>
      <c r="N521" s="274"/>
      <c r="O521" s="94"/>
      <c r="P521" s="94"/>
      <c r="Q521" s="94"/>
      <c r="R521" s="94"/>
      <c r="S521" s="94"/>
      <c r="V521" s="30"/>
      <c r="W521" s="30"/>
      <c r="X521" s="1"/>
      <c r="Y521" s="95"/>
      <c r="Z521" s="1"/>
      <c r="AA521" s="94"/>
      <c r="AB521" s="1"/>
      <c r="AC521" s="1"/>
      <c r="AD521" s="1"/>
      <c r="AE521" s="30"/>
      <c r="AF521" s="633"/>
      <c r="AG521" s="94"/>
      <c r="AH521" s="94"/>
      <c r="AI521" s="94"/>
      <c r="AJ521" s="94"/>
      <c r="AK521" s="94"/>
      <c r="AL521" s="94"/>
    </row>
    <row r="522" spans="3:38">
      <c r="C522" s="30"/>
      <c r="F522" s="95"/>
      <c r="G522" s="1"/>
      <c r="H522" s="94"/>
      <c r="I522" s="90"/>
      <c r="J522" s="90"/>
      <c r="K522" s="1"/>
      <c r="L522" s="74"/>
      <c r="M522" s="633"/>
      <c r="N522" s="274"/>
      <c r="O522" s="94"/>
      <c r="P522" s="94"/>
      <c r="Q522" s="94"/>
      <c r="R522" s="94"/>
      <c r="S522" s="94"/>
      <c r="V522" s="30"/>
      <c r="W522" s="30"/>
      <c r="X522" s="1"/>
      <c r="Y522" s="95"/>
      <c r="Z522" s="1"/>
      <c r="AA522" s="94"/>
      <c r="AB522" s="1"/>
      <c r="AC522" s="1"/>
      <c r="AD522" s="1"/>
      <c r="AE522" s="30"/>
      <c r="AF522" s="633"/>
      <c r="AG522" s="94"/>
      <c r="AH522" s="94"/>
      <c r="AI522" s="94"/>
      <c r="AJ522" s="94"/>
      <c r="AK522" s="94"/>
      <c r="AL522" s="94"/>
    </row>
    <row r="523" spans="3:38">
      <c r="C523" s="30"/>
      <c r="F523" s="95"/>
      <c r="G523" s="1"/>
      <c r="H523" s="94"/>
      <c r="I523" s="90"/>
      <c r="J523" s="90"/>
      <c r="K523" s="1"/>
      <c r="L523" s="74"/>
      <c r="M523" s="633"/>
      <c r="N523" s="274"/>
      <c r="O523" s="94"/>
      <c r="P523" s="94"/>
      <c r="Q523" s="94"/>
      <c r="R523" s="94"/>
      <c r="S523" s="94"/>
      <c r="V523" s="30"/>
      <c r="W523" s="30"/>
      <c r="X523" s="1"/>
      <c r="Y523" s="95"/>
      <c r="Z523" s="1"/>
      <c r="AA523" s="94"/>
      <c r="AB523" s="1"/>
      <c r="AC523" s="1"/>
      <c r="AD523" s="1"/>
      <c r="AE523" s="30"/>
      <c r="AF523" s="633"/>
      <c r="AG523" s="94"/>
      <c r="AH523" s="94"/>
      <c r="AI523" s="94"/>
      <c r="AJ523" s="94"/>
      <c r="AK523" s="94"/>
      <c r="AL523" s="94"/>
    </row>
    <row r="524" spans="3:38">
      <c r="C524" s="30"/>
      <c r="F524" s="95"/>
      <c r="G524" s="1"/>
      <c r="H524" s="94"/>
      <c r="I524" s="90"/>
      <c r="J524" s="90"/>
      <c r="K524" s="1"/>
      <c r="L524" s="74"/>
      <c r="M524" s="633"/>
      <c r="N524" s="274"/>
      <c r="O524" s="94"/>
      <c r="P524" s="94"/>
      <c r="Q524" s="94"/>
      <c r="R524" s="94"/>
      <c r="S524" s="94"/>
      <c r="V524" s="30"/>
      <c r="W524" s="30"/>
      <c r="X524" s="1"/>
      <c r="Y524" s="95"/>
      <c r="Z524" s="1"/>
      <c r="AA524" s="94"/>
      <c r="AB524" s="1"/>
      <c r="AC524" s="1"/>
      <c r="AD524" s="1"/>
      <c r="AE524" s="30"/>
      <c r="AF524" s="633"/>
      <c r="AG524" s="94"/>
      <c r="AH524" s="94"/>
      <c r="AI524" s="94"/>
      <c r="AJ524" s="94"/>
      <c r="AK524" s="94"/>
      <c r="AL524" s="94"/>
    </row>
    <row r="525" spans="3:38">
      <c r="C525" s="30"/>
      <c r="F525" s="95"/>
      <c r="G525" s="1"/>
      <c r="H525" s="94"/>
      <c r="I525" s="90"/>
      <c r="J525" s="90"/>
      <c r="K525" s="1"/>
      <c r="L525" s="74"/>
      <c r="M525" s="633"/>
      <c r="N525" s="274"/>
      <c r="O525" s="94"/>
      <c r="P525" s="94"/>
      <c r="Q525" s="94"/>
      <c r="R525" s="94"/>
      <c r="S525" s="94"/>
      <c r="V525" s="30"/>
      <c r="W525" s="30"/>
      <c r="X525" s="1"/>
      <c r="Y525" s="95"/>
      <c r="Z525" s="1"/>
      <c r="AA525" s="94"/>
      <c r="AB525" s="1"/>
      <c r="AC525" s="1"/>
      <c r="AD525" s="1"/>
      <c r="AE525" s="30"/>
      <c r="AF525" s="633"/>
      <c r="AG525" s="94"/>
      <c r="AH525" s="94"/>
      <c r="AI525" s="94"/>
      <c r="AJ525" s="94"/>
      <c r="AK525" s="94"/>
      <c r="AL525" s="94"/>
    </row>
    <row r="526" spans="3:38">
      <c r="C526" s="30"/>
      <c r="F526" s="95"/>
      <c r="G526" s="1"/>
      <c r="H526" s="94"/>
      <c r="I526" s="90"/>
      <c r="J526" s="90"/>
      <c r="K526" s="1"/>
      <c r="L526" s="74"/>
      <c r="M526" s="633"/>
      <c r="N526" s="274"/>
      <c r="O526" s="94"/>
      <c r="P526" s="94"/>
      <c r="Q526" s="94"/>
      <c r="R526" s="94"/>
      <c r="S526" s="94"/>
      <c r="V526" s="30"/>
      <c r="W526" s="30"/>
      <c r="X526" s="1"/>
      <c r="Y526" s="95"/>
      <c r="Z526" s="1"/>
      <c r="AA526" s="94"/>
      <c r="AB526" s="1"/>
      <c r="AC526" s="1"/>
      <c r="AD526" s="1"/>
      <c r="AE526" s="30"/>
      <c r="AF526" s="633"/>
      <c r="AG526" s="94"/>
      <c r="AH526" s="94"/>
      <c r="AI526" s="94"/>
      <c r="AJ526" s="94"/>
      <c r="AK526" s="94"/>
      <c r="AL526" s="94"/>
    </row>
    <row r="527" spans="3:38">
      <c r="C527" s="30"/>
      <c r="F527" s="95"/>
      <c r="G527" s="1"/>
      <c r="H527" s="94"/>
      <c r="I527" s="90"/>
      <c r="J527" s="90"/>
      <c r="K527" s="1"/>
      <c r="L527" s="74"/>
      <c r="M527" s="633"/>
      <c r="N527" s="274"/>
      <c r="O527" s="94"/>
      <c r="P527" s="94"/>
      <c r="Q527" s="94"/>
      <c r="R527" s="94"/>
      <c r="S527" s="94"/>
      <c r="V527" s="30"/>
      <c r="W527" s="30"/>
      <c r="X527" s="1"/>
      <c r="Y527" s="95"/>
      <c r="Z527" s="1"/>
      <c r="AA527" s="94"/>
      <c r="AB527" s="1"/>
      <c r="AC527" s="1"/>
      <c r="AD527" s="1"/>
      <c r="AE527" s="30"/>
      <c r="AF527" s="633"/>
      <c r="AG527" s="94"/>
      <c r="AH527" s="94"/>
      <c r="AI527" s="94"/>
      <c r="AJ527" s="94"/>
      <c r="AK527" s="94"/>
      <c r="AL527" s="94"/>
    </row>
    <row r="528" spans="3:38">
      <c r="C528" s="30"/>
      <c r="F528" s="95"/>
      <c r="G528" s="1"/>
      <c r="H528" s="94"/>
      <c r="I528" s="90"/>
      <c r="J528" s="90"/>
      <c r="K528" s="1"/>
      <c r="L528" s="74"/>
      <c r="M528" s="633"/>
      <c r="N528" s="274"/>
      <c r="O528" s="94"/>
      <c r="P528" s="94"/>
      <c r="Q528" s="94"/>
      <c r="R528" s="94"/>
      <c r="S528" s="94"/>
      <c r="V528" s="30"/>
      <c r="W528" s="30"/>
      <c r="X528" s="1"/>
      <c r="Y528" s="95"/>
      <c r="Z528" s="1"/>
      <c r="AA528" s="94"/>
      <c r="AB528" s="1"/>
      <c r="AC528" s="1"/>
      <c r="AD528" s="1"/>
      <c r="AE528" s="30"/>
      <c r="AF528" s="633"/>
      <c r="AG528" s="94"/>
      <c r="AH528" s="94"/>
      <c r="AI528" s="94"/>
      <c r="AJ528" s="94"/>
      <c r="AK528" s="94"/>
      <c r="AL528" s="94"/>
    </row>
    <row r="529" spans="3:38">
      <c r="C529" s="30"/>
      <c r="F529" s="95"/>
      <c r="G529" s="1"/>
      <c r="H529" s="94"/>
      <c r="I529" s="90"/>
      <c r="J529" s="90"/>
      <c r="K529" s="1"/>
      <c r="L529" s="74"/>
      <c r="M529" s="633"/>
      <c r="N529" s="274"/>
      <c r="O529" s="94"/>
      <c r="P529" s="94"/>
      <c r="Q529" s="94"/>
      <c r="R529" s="94"/>
      <c r="S529" s="94"/>
      <c r="V529" s="30"/>
      <c r="W529" s="30"/>
      <c r="X529" s="1"/>
      <c r="Y529" s="95"/>
      <c r="Z529" s="1"/>
      <c r="AA529" s="94"/>
      <c r="AB529" s="1"/>
      <c r="AC529" s="1"/>
      <c r="AD529" s="1"/>
      <c r="AE529" s="30"/>
      <c r="AF529" s="633"/>
      <c r="AG529" s="94"/>
      <c r="AH529" s="94"/>
      <c r="AI529" s="94"/>
      <c r="AJ529" s="94"/>
      <c r="AK529" s="94"/>
      <c r="AL529" s="94"/>
    </row>
    <row r="530" spans="3:38">
      <c r="C530" s="30"/>
      <c r="F530" s="95"/>
      <c r="G530" s="1"/>
      <c r="H530" s="94"/>
      <c r="I530" s="90"/>
      <c r="J530" s="90"/>
      <c r="K530" s="1"/>
      <c r="L530" s="74"/>
      <c r="M530" s="633"/>
      <c r="N530" s="274"/>
      <c r="O530" s="94"/>
      <c r="P530" s="94"/>
      <c r="Q530" s="94"/>
      <c r="R530" s="94"/>
      <c r="S530" s="94"/>
      <c r="V530" s="30"/>
      <c r="W530" s="30"/>
      <c r="X530" s="1"/>
      <c r="Y530" s="95"/>
      <c r="Z530" s="1"/>
      <c r="AA530" s="94"/>
      <c r="AB530" s="1"/>
      <c r="AC530" s="1"/>
      <c r="AD530" s="1"/>
      <c r="AE530" s="30"/>
      <c r="AF530" s="633"/>
      <c r="AG530" s="94"/>
      <c r="AH530" s="94"/>
      <c r="AI530" s="94"/>
      <c r="AJ530" s="94"/>
      <c r="AK530" s="94"/>
      <c r="AL530" s="94"/>
    </row>
    <row r="531" spans="3:38">
      <c r="C531" s="30"/>
      <c r="F531" s="95"/>
      <c r="G531" s="1"/>
      <c r="H531" s="94"/>
      <c r="I531" s="90"/>
      <c r="J531" s="90"/>
      <c r="K531" s="1"/>
      <c r="L531" s="74"/>
      <c r="M531" s="633"/>
      <c r="N531" s="274"/>
      <c r="O531" s="94"/>
      <c r="P531" s="94"/>
      <c r="Q531" s="94"/>
      <c r="R531" s="94"/>
      <c r="S531" s="94"/>
      <c r="V531" s="30"/>
      <c r="W531" s="30"/>
      <c r="X531" s="1"/>
      <c r="Y531" s="95"/>
      <c r="Z531" s="1"/>
      <c r="AA531" s="94"/>
      <c r="AB531" s="1"/>
      <c r="AC531" s="1"/>
      <c r="AD531" s="1"/>
      <c r="AE531" s="30"/>
      <c r="AF531" s="633"/>
      <c r="AG531" s="94"/>
      <c r="AH531" s="94"/>
      <c r="AI531" s="94"/>
      <c r="AJ531" s="94"/>
      <c r="AK531" s="94"/>
      <c r="AL531" s="94"/>
    </row>
    <row r="532" spans="3:38">
      <c r="C532" s="30"/>
      <c r="F532" s="95"/>
      <c r="G532" s="1"/>
      <c r="H532" s="94"/>
      <c r="I532" s="90"/>
      <c r="J532" s="90"/>
      <c r="K532" s="1"/>
      <c r="L532" s="74"/>
      <c r="M532" s="633"/>
      <c r="N532" s="274"/>
      <c r="O532" s="94"/>
      <c r="P532" s="94"/>
      <c r="Q532" s="94"/>
      <c r="R532" s="94"/>
      <c r="S532" s="94"/>
      <c r="V532" s="30"/>
      <c r="W532" s="30"/>
      <c r="X532" s="1"/>
      <c r="Y532" s="95"/>
      <c r="Z532" s="1"/>
      <c r="AA532" s="94"/>
      <c r="AB532" s="1"/>
      <c r="AC532" s="1"/>
      <c r="AD532" s="1"/>
      <c r="AE532" s="30"/>
      <c r="AF532" s="633"/>
      <c r="AG532" s="94"/>
      <c r="AH532" s="94"/>
      <c r="AI532" s="94"/>
      <c r="AJ532" s="94"/>
      <c r="AK532" s="94"/>
      <c r="AL532" s="94"/>
    </row>
    <row r="533" spans="3:38">
      <c r="C533" s="30"/>
      <c r="F533" s="95"/>
      <c r="G533" s="1"/>
      <c r="H533" s="94"/>
      <c r="I533" s="90"/>
      <c r="J533" s="90"/>
      <c r="K533" s="1"/>
      <c r="L533" s="74"/>
      <c r="M533" s="633"/>
      <c r="N533" s="274"/>
      <c r="O533" s="94"/>
      <c r="P533" s="94"/>
      <c r="Q533" s="94"/>
      <c r="R533" s="94"/>
      <c r="S533" s="94"/>
      <c r="V533" s="30"/>
      <c r="W533" s="30"/>
      <c r="X533" s="1"/>
      <c r="Y533" s="95"/>
      <c r="Z533" s="1"/>
      <c r="AA533" s="94"/>
      <c r="AB533" s="1"/>
      <c r="AC533" s="1"/>
      <c r="AD533" s="1"/>
      <c r="AE533" s="30"/>
      <c r="AF533" s="633"/>
      <c r="AG533" s="94"/>
      <c r="AH533" s="94"/>
      <c r="AI533" s="94"/>
      <c r="AJ533" s="94"/>
      <c r="AK533" s="94"/>
      <c r="AL533" s="94"/>
    </row>
    <row r="534" spans="3:38">
      <c r="C534" s="30"/>
      <c r="F534" s="95"/>
      <c r="G534" s="1"/>
      <c r="H534" s="94"/>
      <c r="I534" s="90"/>
      <c r="J534" s="90"/>
      <c r="K534" s="1"/>
      <c r="L534" s="74"/>
      <c r="M534" s="633"/>
      <c r="N534" s="274"/>
      <c r="O534" s="94"/>
      <c r="P534" s="94"/>
      <c r="Q534" s="94"/>
      <c r="R534" s="94"/>
      <c r="S534" s="94"/>
      <c r="V534" s="30"/>
      <c r="W534" s="30"/>
      <c r="X534" s="1"/>
      <c r="Y534" s="95"/>
      <c r="Z534" s="1"/>
      <c r="AA534" s="94"/>
      <c r="AB534" s="1"/>
      <c r="AC534" s="1"/>
      <c r="AD534" s="1"/>
      <c r="AE534" s="30"/>
      <c r="AF534" s="633"/>
      <c r="AG534" s="94"/>
      <c r="AH534" s="94"/>
      <c r="AI534" s="94"/>
      <c r="AJ534" s="94"/>
      <c r="AK534" s="94"/>
      <c r="AL534" s="94"/>
    </row>
    <row r="535" spans="3:38">
      <c r="C535" s="30"/>
      <c r="F535" s="95"/>
      <c r="G535" s="1"/>
      <c r="H535" s="94"/>
      <c r="I535" s="90"/>
      <c r="J535" s="90"/>
      <c r="K535" s="1"/>
      <c r="L535" s="74"/>
      <c r="M535" s="633"/>
      <c r="N535" s="274"/>
      <c r="O535" s="94"/>
      <c r="P535" s="94"/>
      <c r="Q535" s="94"/>
      <c r="R535" s="94"/>
      <c r="S535" s="94"/>
      <c r="V535" s="30"/>
      <c r="W535" s="30"/>
      <c r="X535" s="1"/>
      <c r="Y535" s="95"/>
      <c r="Z535" s="1"/>
      <c r="AA535" s="94"/>
      <c r="AB535" s="1"/>
      <c r="AC535" s="1"/>
      <c r="AD535" s="1"/>
      <c r="AE535" s="30"/>
      <c r="AF535" s="633"/>
      <c r="AG535" s="94"/>
      <c r="AH535" s="94"/>
      <c r="AI535" s="94"/>
      <c r="AJ535" s="94"/>
      <c r="AK535" s="94"/>
      <c r="AL535" s="94"/>
    </row>
    <row r="536" spans="3:38">
      <c r="C536" s="30"/>
      <c r="F536" s="95"/>
      <c r="G536" s="1"/>
      <c r="H536" s="94"/>
      <c r="I536" s="90"/>
      <c r="J536" s="90"/>
      <c r="K536" s="1"/>
      <c r="L536" s="74"/>
      <c r="M536" s="633"/>
      <c r="N536" s="274"/>
      <c r="O536" s="94"/>
      <c r="P536" s="94"/>
      <c r="Q536" s="94"/>
      <c r="R536" s="94"/>
      <c r="S536" s="94"/>
      <c r="V536" s="30"/>
      <c r="W536" s="30"/>
      <c r="X536" s="1"/>
      <c r="Y536" s="95"/>
      <c r="Z536" s="1"/>
      <c r="AA536" s="94"/>
      <c r="AB536" s="1"/>
      <c r="AC536" s="1"/>
      <c r="AD536" s="1"/>
      <c r="AE536" s="30"/>
      <c r="AF536" s="633"/>
      <c r="AG536" s="94"/>
      <c r="AH536" s="94"/>
      <c r="AI536" s="94"/>
      <c r="AJ536" s="94"/>
      <c r="AK536" s="94"/>
      <c r="AL536" s="94"/>
    </row>
    <row r="537" spans="3:38">
      <c r="C537" s="30"/>
      <c r="F537" s="95"/>
      <c r="G537" s="1"/>
      <c r="H537" s="94"/>
      <c r="I537" s="90"/>
      <c r="J537" s="90"/>
      <c r="K537" s="1"/>
      <c r="L537" s="74"/>
      <c r="M537" s="633"/>
      <c r="N537" s="274"/>
      <c r="O537" s="94"/>
      <c r="P537" s="94"/>
      <c r="Q537" s="94"/>
      <c r="R537" s="94"/>
      <c r="S537" s="94"/>
      <c r="V537" s="30"/>
      <c r="W537" s="30"/>
      <c r="X537" s="1"/>
      <c r="Y537" s="95"/>
      <c r="Z537" s="1"/>
      <c r="AA537" s="94"/>
      <c r="AB537" s="1"/>
      <c r="AC537" s="1"/>
      <c r="AD537" s="1"/>
      <c r="AE537" s="30"/>
      <c r="AF537" s="633"/>
      <c r="AG537" s="94"/>
      <c r="AH537" s="94"/>
      <c r="AI537" s="94"/>
      <c r="AJ537" s="94"/>
      <c r="AK537" s="94"/>
      <c r="AL537" s="94"/>
    </row>
    <row r="538" spans="3:38">
      <c r="C538" s="30"/>
      <c r="F538" s="95"/>
      <c r="G538" s="1"/>
      <c r="H538" s="94"/>
      <c r="I538" s="90"/>
      <c r="J538" s="90"/>
      <c r="K538" s="1"/>
      <c r="L538" s="74"/>
      <c r="M538" s="633"/>
      <c r="N538" s="274"/>
      <c r="O538" s="94"/>
      <c r="P538" s="94"/>
      <c r="Q538" s="94"/>
      <c r="R538" s="94"/>
      <c r="S538" s="94"/>
      <c r="V538" s="30"/>
      <c r="W538" s="30"/>
      <c r="X538" s="1"/>
      <c r="Y538" s="95"/>
      <c r="Z538" s="1"/>
      <c r="AA538" s="94"/>
      <c r="AB538" s="1"/>
      <c r="AC538" s="1"/>
      <c r="AD538" s="1"/>
      <c r="AE538" s="30"/>
      <c r="AF538" s="633"/>
      <c r="AG538" s="94"/>
      <c r="AH538" s="94"/>
      <c r="AI538" s="94"/>
      <c r="AJ538" s="94"/>
      <c r="AK538" s="94"/>
      <c r="AL538" s="94"/>
    </row>
    <row r="539" spans="3:38">
      <c r="C539" s="30"/>
      <c r="F539" s="95"/>
      <c r="G539" s="1"/>
      <c r="H539" s="94"/>
      <c r="I539" s="90"/>
      <c r="J539" s="90"/>
      <c r="K539" s="1"/>
      <c r="L539" s="74"/>
      <c r="M539" s="633"/>
      <c r="N539" s="274"/>
      <c r="O539" s="94"/>
      <c r="P539" s="94"/>
      <c r="Q539" s="94"/>
      <c r="R539" s="94"/>
      <c r="S539" s="94"/>
      <c r="V539" s="30"/>
      <c r="W539" s="30"/>
      <c r="X539" s="1"/>
      <c r="Y539" s="95"/>
      <c r="Z539" s="1"/>
      <c r="AA539" s="94"/>
      <c r="AB539" s="1"/>
      <c r="AC539" s="1"/>
      <c r="AD539" s="1"/>
      <c r="AE539" s="30"/>
      <c r="AF539" s="633"/>
      <c r="AG539" s="94"/>
      <c r="AH539" s="94"/>
      <c r="AI539" s="94"/>
      <c r="AJ539" s="94"/>
      <c r="AK539" s="94"/>
      <c r="AL539" s="94"/>
    </row>
    <row r="540" spans="3:38">
      <c r="C540" s="30"/>
      <c r="F540" s="95"/>
      <c r="G540" s="1"/>
      <c r="H540" s="94"/>
      <c r="I540" s="90"/>
      <c r="J540" s="90"/>
      <c r="K540" s="1"/>
      <c r="L540" s="74"/>
      <c r="M540" s="633"/>
      <c r="N540" s="274"/>
      <c r="O540" s="94"/>
      <c r="P540" s="94"/>
      <c r="Q540" s="94"/>
      <c r="R540" s="94"/>
      <c r="S540" s="94"/>
      <c r="V540" s="30"/>
      <c r="W540" s="30"/>
      <c r="X540" s="1"/>
      <c r="Y540" s="95"/>
      <c r="Z540" s="1"/>
      <c r="AA540" s="94"/>
      <c r="AB540" s="1"/>
      <c r="AC540" s="1"/>
      <c r="AD540" s="1"/>
      <c r="AE540" s="30"/>
      <c r="AF540" s="633"/>
      <c r="AG540" s="94"/>
      <c r="AH540" s="94"/>
      <c r="AI540" s="94"/>
      <c r="AJ540" s="94"/>
      <c r="AK540" s="94"/>
      <c r="AL540" s="94"/>
    </row>
    <row r="541" spans="3:38">
      <c r="C541" s="30"/>
      <c r="F541" s="95"/>
      <c r="G541" s="1"/>
      <c r="H541" s="94"/>
      <c r="I541" s="90"/>
      <c r="J541" s="90"/>
      <c r="K541" s="1"/>
      <c r="L541" s="74"/>
      <c r="M541" s="633"/>
      <c r="N541" s="274"/>
      <c r="O541" s="94"/>
      <c r="P541" s="94"/>
      <c r="Q541" s="94"/>
      <c r="R541" s="94"/>
      <c r="S541" s="94"/>
      <c r="V541" s="30"/>
      <c r="W541" s="30"/>
      <c r="X541" s="1"/>
      <c r="Y541" s="95"/>
      <c r="Z541" s="1"/>
      <c r="AA541" s="94"/>
      <c r="AB541" s="1"/>
      <c r="AC541" s="1"/>
      <c r="AD541" s="1"/>
      <c r="AE541" s="30"/>
      <c r="AF541" s="633"/>
      <c r="AG541" s="94"/>
      <c r="AH541" s="94"/>
      <c r="AI541" s="94"/>
      <c r="AJ541" s="94"/>
      <c r="AK541" s="94"/>
      <c r="AL541" s="94"/>
    </row>
    <row r="542" spans="3:38">
      <c r="C542" s="30"/>
      <c r="F542" s="95"/>
      <c r="G542" s="1"/>
      <c r="H542" s="94"/>
      <c r="I542" s="90"/>
      <c r="J542" s="90"/>
      <c r="K542" s="1"/>
      <c r="L542" s="74"/>
      <c r="M542" s="633"/>
      <c r="N542" s="274"/>
      <c r="O542" s="94"/>
      <c r="P542" s="94"/>
      <c r="Q542" s="94"/>
      <c r="R542" s="94"/>
      <c r="S542" s="94"/>
      <c r="V542" s="30"/>
      <c r="W542" s="30"/>
      <c r="X542" s="1"/>
      <c r="Y542" s="95"/>
      <c r="Z542" s="1"/>
      <c r="AA542" s="94"/>
      <c r="AB542" s="1"/>
      <c r="AC542" s="1"/>
      <c r="AD542" s="1"/>
      <c r="AE542" s="30"/>
      <c r="AF542" s="633"/>
      <c r="AG542" s="94"/>
      <c r="AH542" s="94"/>
      <c r="AI542" s="94"/>
      <c r="AJ542" s="94"/>
      <c r="AK542" s="94"/>
      <c r="AL542" s="94"/>
    </row>
    <row r="543" spans="3:38">
      <c r="C543" s="30"/>
      <c r="F543" s="95"/>
      <c r="G543" s="1"/>
      <c r="H543" s="94"/>
      <c r="I543" s="90"/>
      <c r="J543" s="90"/>
      <c r="K543" s="1"/>
      <c r="L543" s="74"/>
      <c r="M543" s="633"/>
      <c r="N543" s="274"/>
      <c r="O543" s="94"/>
      <c r="P543" s="94"/>
      <c r="Q543" s="94"/>
      <c r="R543" s="94"/>
      <c r="S543" s="94"/>
      <c r="V543" s="30"/>
      <c r="W543" s="30"/>
      <c r="X543" s="1"/>
      <c r="Y543" s="95"/>
      <c r="Z543" s="1"/>
      <c r="AA543" s="94"/>
      <c r="AB543" s="1"/>
      <c r="AC543" s="1"/>
      <c r="AD543" s="1"/>
      <c r="AE543" s="30"/>
      <c r="AF543" s="633"/>
      <c r="AG543" s="94"/>
      <c r="AH543" s="94"/>
      <c r="AI543" s="94"/>
      <c r="AJ543" s="94"/>
      <c r="AK543" s="94"/>
      <c r="AL543" s="94"/>
    </row>
    <row r="544" spans="3:38">
      <c r="C544" s="30"/>
      <c r="F544" s="95"/>
      <c r="G544" s="1"/>
      <c r="H544" s="94"/>
      <c r="I544" s="90"/>
      <c r="J544" s="90"/>
      <c r="K544" s="1"/>
      <c r="L544" s="74"/>
      <c r="M544" s="633"/>
      <c r="N544" s="274"/>
      <c r="O544" s="94"/>
      <c r="P544" s="94"/>
      <c r="Q544" s="94"/>
      <c r="R544" s="94"/>
      <c r="S544" s="94"/>
      <c r="V544" s="30"/>
      <c r="W544" s="30"/>
      <c r="X544" s="1"/>
      <c r="Y544" s="95"/>
      <c r="Z544" s="1"/>
      <c r="AA544" s="94"/>
      <c r="AB544" s="1"/>
      <c r="AC544" s="1"/>
      <c r="AD544" s="1"/>
      <c r="AE544" s="30"/>
      <c r="AF544" s="633"/>
      <c r="AG544" s="94"/>
      <c r="AH544" s="94"/>
      <c r="AI544" s="94"/>
      <c r="AJ544" s="94"/>
      <c r="AK544" s="94"/>
      <c r="AL544" s="94"/>
    </row>
    <row r="545" spans="3:38">
      <c r="C545" s="30"/>
      <c r="F545" s="95"/>
      <c r="G545" s="1"/>
      <c r="H545" s="94"/>
      <c r="I545" s="90"/>
      <c r="J545" s="90"/>
      <c r="K545" s="1"/>
      <c r="L545" s="74"/>
      <c r="M545" s="633"/>
      <c r="N545" s="274"/>
      <c r="O545" s="94"/>
      <c r="P545" s="94"/>
      <c r="Q545" s="94"/>
      <c r="R545" s="94"/>
      <c r="S545" s="94"/>
      <c r="V545" s="30"/>
      <c r="W545" s="30"/>
      <c r="X545" s="1"/>
      <c r="Y545" s="95"/>
      <c r="Z545" s="1"/>
      <c r="AA545" s="94"/>
      <c r="AB545" s="1"/>
      <c r="AC545" s="1"/>
      <c r="AD545" s="1"/>
      <c r="AE545" s="30"/>
      <c r="AF545" s="633"/>
      <c r="AG545" s="94"/>
      <c r="AH545" s="94"/>
      <c r="AI545" s="94"/>
      <c r="AJ545" s="94"/>
      <c r="AK545" s="94"/>
      <c r="AL545" s="94"/>
    </row>
    <row r="546" spans="3:38">
      <c r="C546" s="30"/>
      <c r="F546" s="95"/>
      <c r="G546" s="1"/>
      <c r="H546" s="94"/>
      <c r="I546" s="90"/>
      <c r="J546" s="90"/>
      <c r="K546" s="1"/>
      <c r="L546" s="74"/>
      <c r="M546" s="633"/>
      <c r="N546" s="274"/>
      <c r="O546" s="94"/>
      <c r="P546" s="94"/>
      <c r="Q546" s="94"/>
      <c r="R546" s="94"/>
      <c r="S546" s="94"/>
      <c r="V546" s="30"/>
      <c r="W546" s="30"/>
      <c r="X546" s="1"/>
      <c r="Y546" s="95"/>
      <c r="Z546" s="1"/>
      <c r="AA546" s="94"/>
      <c r="AB546" s="1"/>
      <c r="AC546" s="1"/>
      <c r="AD546" s="1"/>
      <c r="AE546" s="30"/>
      <c r="AF546" s="633"/>
      <c r="AG546" s="94"/>
      <c r="AH546" s="94"/>
      <c r="AI546" s="94"/>
      <c r="AJ546" s="94"/>
      <c r="AK546" s="94"/>
      <c r="AL546" s="94"/>
    </row>
    <row r="547" spans="3:38">
      <c r="C547" s="30"/>
      <c r="F547" s="95"/>
      <c r="G547" s="1"/>
      <c r="H547" s="94"/>
      <c r="I547" s="90"/>
      <c r="J547" s="90"/>
      <c r="K547" s="1"/>
      <c r="L547" s="74"/>
      <c r="M547" s="633"/>
      <c r="N547" s="274"/>
      <c r="O547" s="94"/>
      <c r="P547" s="94"/>
      <c r="Q547" s="94"/>
      <c r="R547" s="94"/>
      <c r="S547" s="94"/>
      <c r="V547" s="30"/>
      <c r="W547" s="30"/>
      <c r="X547" s="1"/>
      <c r="Y547" s="95"/>
      <c r="Z547" s="1"/>
      <c r="AA547" s="94"/>
      <c r="AB547" s="1"/>
      <c r="AC547" s="1"/>
      <c r="AD547" s="1"/>
      <c r="AE547" s="30"/>
      <c r="AF547" s="633"/>
      <c r="AG547" s="94"/>
      <c r="AH547" s="94"/>
      <c r="AI547" s="94"/>
      <c r="AJ547" s="94"/>
      <c r="AK547" s="94"/>
      <c r="AL547" s="94"/>
    </row>
    <row r="548" spans="3:38">
      <c r="C548" s="30"/>
      <c r="F548" s="95"/>
      <c r="G548" s="1"/>
      <c r="H548" s="94"/>
      <c r="I548" s="90"/>
      <c r="J548" s="90"/>
      <c r="K548" s="1"/>
      <c r="L548" s="74"/>
      <c r="M548" s="633"/>
      <c r="N548" s="274"/>
      <c r="O548" s="94"/>
      <c r="P548" s="94"/>
      <c r="Q548" s="94"/>
      <c r="R548" s="94"/>
      <c r="S548" s="94"/>
      <c r="V548" s="30"/>
      <c r="W548" s="30"/>
      <c r="X548" s="1"/>
      <c r="Y548" s="95"/>
      <c r="Z548" s="1"/>
      <c r="AA548" s="94"/>
      <c r="AB548" s="1"/>
      <c r="AC548" s="1"/>
      <c r="AD548" s="1"/>
      <c r="AE548" s="30"/>
      <c r="AF548" s="633"/>
      <c r="AG548" s="94"/>
      <c r="AH548" s="94"/>
      <c r="AI548" s="94"/>
      <c r="AJ548" s="94"/>
      <c r="AK548" s="94"/>
      <c r="AL548" s="94"/>
    </row>
    <row r="549" spans="3:38">
      <c r="C549" s="30"/>
      <c r="F549" s="95"/>
      <c r="G549" s="1"/>
      <c r="H549" s="94"/>
      <c r="I549" s="90"/>
      <c r="J549" s="90"/>
      <c r="K549" s="1"/>
      <c r="L549" s="74"/>
      <c r="M549" s="633"/>
      <c r="N549" s="274"/>
      <c r="O549" s="94"/>
      <c r="P549" s="94"/>
      <c r="Q549" s="94"/>
      <c r="R549" s="94"/>
      <c r="S549" s="94"/>
      <c r="V549" s="30"/>
      <c r="W549" s="30"/>
      <c r="X549" s="1"/>
      <c r="Y549" s="95"/>
      <c r="Z549" s="1"/>
      <c r="AA549" s="94"/>
      <c r="AB549" s="1"/>
      <c r="AC549" s="1"/>
      <c r="AD549" s="1"/>
      <c r="AE549" s="30"/>
      <c r="AF549" s="633"/>
      <c r="AG549" s="94"/>
      <c r="AH549" s="94"/>
      <c r="AI549" s="94"/>
      <c r="AJ549" s="94"/>
      <c r="AK549" s="94"/>
      <c r="AL549" s="94"/>
    </row>
    <row r="550" spans="3:38">
      <c r="C550" s="30"/>
      <c r="F550" s="95"/>
      <c r="G550" s="1"/>
      <c r="H550" s="94"/>
      <c r="I550" s="90"/>
      <c r="J550" s="90"/>
      <c r="K550" s="1"/>
      <c r="L550" s="74"/>
      <c r="M550" s="633"/>
      <c r="N550" s="274"/>
      <c r="O550" s="94"/>
      <c r="P550" s="94"/>
      <c r="Q550" s="94"/>
      <c r="R550" s="94"/>
      <c r="S550" s="94"/>
      <c r="V550" s="30"/>
      <c r="W550" s="30"/>
      <c r="X550" s="1"/>
      <c r="Y550" s="95"/>
      <c r="Z550" s="1"/>
      <c r="AA550" s="94"/>
      <c r="AB550" s="1"/>
      <c r="AC550" s="1"/>
      <c r="AD550" s="1"/>
      <c r="AE550" s="30"/>
      <c r="AF550" s="633"/>
      <c r="AG550" s="94"/>
      <c r="AH550" s="94"/>
      <c r="AI550" s="94"/>
      <c r="AJ550" s="94"/>
      <c r="AK550" s="94"/>
      <c r="AL550" s="94"/>
    </row>
    <row r="551" spans="3:38">
      <c r="C551" s="30"/>
      <c r="F551" s="95"/>
      <c r="G551" s="1"/>
      <c r="H551" s="94"/>
      <c r="I551" s="90"/>
      <c r="J551" s="90"/>
      <c r="K551" s="1"/>
      <c r="L551" s="74"/>
      <c r="M551" s="633"/>
      <c r="N551" s="274"/>
      <c r="O551" s="94"/>
      <c r="P551" s="94"/>
      <c r="Q551" s="94"/>
      <c r="R551" s="94"/>
      <c r="S551" s="94"/>
      <c r="V551" s="30"/>
      <c r="W551" s="30"/>
      <c r="X551" s="1"/>
      <c r="Y551" s="95"/>
      <c r="Z551" s="1"/>
      <c r="AA551" s="94"/>
      <c r="AB551" s="1"/>
      <c r="AC551" s="1"/>
      <c r="AD551" s="1"/>
      <c r="AE551" s="30"/>
      <c r="AF551" s="633"/>
      <c r="AG551" s="94"/>
      <c r="AH551" s="94"/>
      <c r="AI551" s="94"/>
      <c r="AJ551" s="94"/>
      <c r="AK551" s="94"/>
      <c r="AL551" s="94"/>
    </row>
    <row r="552" spans="3:38">
      <c r="C552" s="30"/>
      <c r="F552" s="95"/>
      <c r="G552" s="1"/>
      <c r="H552" s="94"/>
      <c r="I552" s="90"/>
      <c r="J552" s="90"/>
      <c r="K552" s="1"/>
      <c r="L552" s="74"/>
      <c r="M552" s="633"/>
      <c r="N552" s="274"/>
      <c r="O552" s="94"/>
      <c r="P552" s="94"/>
      <c r="Q552" s="94"/>
      <c r="R552" s="94"/>
      <c r="S552" s="94"/>
      <c r="V552" s="30"/>
      <c r="W552" s="30"/>
      <c r="X552" s="1"/>
      <c r="Y552" s="95"/>
      <c r="Z552" s="1"/>
      <c r="AA552" s="94"/>
      <c r="AB552" s="1"/>
      <c r="AC552" s="1"/>
      <c r="AD552" s="1"/>
      <c r="AE552" s="30"/>
      <c r="AF552" s="633"/>
      <c r="AG552" s="94"/>
      <c r="AH552" s="94"/>
      <c r="AI552" s="94"/>
      <c r="AJ552" s="94"/>
      <c r="AK552" s="94"/>
      <c r="AL552" s="94"/>
    </row>
    <row r="553" spans="3:38">
      <c r="C553" s="30"/>
      <c r="F553" s="95"/>
      <c r="G553" s="1"/>
      <c r="H553" s="94"/>
      <c r="I553" s="90"/>
      <c r="J553" s="90"/>
      <c r="K553" s="1"/>
      <c r="L553" s="74"/>
      <c r="M553" s="633"/>
      <c r="N553" s="274"/>
      <c r="O553" s="94"/>
      <c r="P553" s="94"/>
      <c r="Q553" s="94"/>
      <c r="R553" s="94"/>
      <c r="S553" s="94"/>
      <c r="V553" s="30"/>
      <c r="W553" s="30"/>
      <c r="X553" s="1"/>
      <c r="Y553" s="95"/>
      <c r="Z553" s="1"/>
      <c r="AA553" s="94"/>
      <c r="AB553" s="1"/>
      <c r="AC553" s="1"/>
      <c r="AD553" s="1"/>
      <c r="AE553" s="30"/>
      <c r="AF553" s="633"/>
      <c r="AG553" s="94"/>
      <c r="AH553" s="94"/>
      <c r="AI553" s="94"/>
      <c r="AJ553" s="94"/>
      <c r="AK553" s="94"/>
      <c r="AL553" s="94"/>
    </row>
    <row r="554" spans="3:38">
      <c r="C554" s="30"/>
      <c r="F554" s="95"/>
      <c r="G554" s="1"/>
      <c r="H554" s="94"/>
      <c r="I554" s="90"/>
      <c r="J554" s="90"/>
      <c r="K554" s="1"/>
      <c r="L554" s="74"/>
      <c r="M554" s="633"/>
      <c r="N554" s="274"/>
      <c r="O554" s="94"/>
      <c r="P554" s="94"/>
      <c r="Q554" s="94"/>
      <c r="R554" s="94"/>
      <c r="S554" s="94"/>
      <c r="V554" s="30"/>
      <c r="W554" s="30"/>
      <c r="X554" s="1"/>
      <c r="Y554" s="95"/>
      <c r="Z554" s="1"/>
      <c r="AA554" s="94"/>
      <c r="AB554" s="1"/>
      <c r="AC554" s="1"/>
      <c r="AD554" s="1"/>
      <c r="AE554" s="30"/>
      <c r="AF554" s="633"/>
      <c r="AG554" s="94"/>
      <c r="AH554" s="94"/>
      <c r="AI554" s="94"/>
      <c r="AJ554" s="94"/>
      <c r="AK554" s="94"/>
      <c r="AL554" s="94"/>
    </row>
    <row r="555" spans="3:38">
      <c r="C555" s="30"/>
      <c r="F555" s="95"/>
      <c r="G555" s="1"/>
      <c r="H555" s="94"/>
      <c r="I555" s="90"/>
      <c r="J555" s="90"/>
      <c r="K555" s="1"/>
      <c r="L555" s="74"/>
      <c r="M555" s="633"/>
      <c r="N555" s="274"/>
      <c r="O555" s="94"/>
      <c r="P555" s="94"/>
      <c r="Q555" s="94"/>
      <c r="R555" s="94"/>
      <c r="S555" s="94"/>
      <c r="V555" s="30"/>
      <c r="W555" s="30"/>
      <c r="X555" s="1"/>
      <c r="Y555" s="95"/>
      <c r="Z555" s="1"/>
      <c r="AA555" s="94"/>
      <c r="AB555" s="1"/>
      <c r="AC555" s="1"/>
      <c r="AD555" s="1"/>
      <c r="AE555" s="30"/>
      <c r="AF555" s="633"/>
      <c r="AG555" s="94"/>
      <c r="AH555" s="94"/>
      <c r="AI555" s="94"/>
      <c r="AJ555" s="94"/>
      <c r="AK555" s="94"/>
      <c r="AL555" s="94"/>
    </row>
    <row r="556" spans="3:38">
      <c r="C556" s="30"/>
      <c r="F556" s="95"/>
      <c r="G556" s="1"/>
      <c r="H556" s="94"/>
      <c r="I556" s="90"/>
      <c r="J556" s="90"/>
      <c r="K556" s="1"/>
      <c r="L556" s="74"/>
      <c r="M556" s="633"/>
      <c r="N556" s="274"/>
      <c r="O556" s="94"/>
      <c r="P556" s="94"/>
      <c r="Q556" s="94"/>
      <c r="R556" s="94"/>
      <c r="S556" s="94"/>
      <c r="V556" s="30"/>
      <c r="W556" s="30"/>
      <c r="X556" s="1"/>
      <c r="Y556" s="95"/>
      <c r="Z556" s="1"/>
      <c r="AA556" s="94"/>
      <c r="AB556" s="1"/>
      <c r="AC556" s="1"/>
      <c r="AD556" s="1"/>
      <c r="AE556" s="30"/>
      <c r="AF556" s="633"/>
      <c r="AG556" s="94"/>
      <c r="AH556" s="94"/>
      <c r="AI556" s="94"/>
      <c r="AJ556" s="94"/>
      <c r="AK556" s="94"/>
      <c r="AL556" s="94"/>
    </row>
    <row r="557" spans="3:38">
      <c r="C557" s="30"/>
      <c r="F557" s="95"/>
      <c r="G557" s="1"/>
      <c r="H557" s="94"/>
      <c r="I557" s="90"/>
      <c r="J557" s="90"/>
      <c r="K557" s="1"/>
      <c r="L557" s="74"/>
      <c r="M557" s="633"/>
      <c r="N557" s="274"/>
      <c r="O557" s="94"/>
      <c r="P557" s="94"/>
      <c r="Q557" s="94"/>
      <c r="R557" s="94"/>
      <c r="S557" s="94"/>
      <c r="V557" s="30"/>
      <c r="W557" s="30"/>
      <c r="X557" s="1"/>
      <c r="Y557" s="95"/>
      <c r="Z557" s="1"/>
      <c r="AA557" s="94"/>
      <c r="AB557" s="1"/>
      <c r="AC557" s="1"/>
      <c r="AD557" s="1"/>
      <c r="AE557" s="30"/>
      <c r="AF557" s="633"/>
      <c r="AG557" s="94"/>
      <c r="AH557" s="94"/>
      <c r="AI557" s="94"/>
      <c r="AJ557" s="94"/>
      <c r="AK557" s="94"/>
      <c r="AL557" s="94"/>
    </row>
    <row r="558" spans="3:38">
      <c r="C558" s="30"/>
      <c r="F558" s="95"/>
      <c r="G558" s="1"/>
      <c r="H558" s="94"/>
      <c r="I558" s="90"/>
      <c r="J558" s="90"/>
      <c r="K558" s="1"/>
      <c r="L558" s="74"/>
      <c r="M558" s="633"/>
      <c r="N558" s="274"/>
      <c r="O558" s="94"/>
      <c r="P558" s="94"/>
      <c r="Q558" s="94"/>
      <c r="R558" s="94"/>
      <c r="S558" s="94"/>
      <c r="V558" s="30"/>
      <c r="W558" s="30"/>
      <c r="X558" s="1"/>
      <c r="Y558" s="95"/>
      <c r="Z558" s="1"/>
      <c r="AA558" s="94"/>
      <c r="AB558" s="1"/>
      <c r="AC558" s="1"/>
      <c r="AD558" s="1"/>
      <c r="AE558" s="30"/>
      <c r="AF558" s="633"/>
      <c r="AG558" s="94"/>
      <c r="AH558" s="94"/>
      <c r="AI558" s="94"/>
      <c r="AJ558" s="94"/>
      <c r="AK558" s="94"/>
      <c r="AL558" s="94"/>
    </row>
    <row r="559" spans="3:38">
      <c r="C559" s="30"/>
      <c r="F559" s="95"/>
      <c r="G559" s="1"/>
      <c r="H559" s="94"/>
      <c r="I559" s="90"/>
      <c r="J559" s="90"/>
      <c r="K559" s="1"/>
      <c r="L559" s="74"/>
      <c r="M559" s="633"/>
      <c r="N559" s="274"/>
      <c r="O559" s="94"/>
      <c r="P559" s="94"/>
      <c r="Q559" s="94"/>
      <c r="R559" s="94"/>
      <c r="S559" s="94"/>
      <c r="V559" s="30"/>
      <c r="W559" s="30"/>
      <c r="X559" s="1"/>
      <c r="Y559" s="95"/>
      <c r="Z559" s="1"/>
      <c r="AA559" s="94"/>
      <c r="AB559" s="1"/>
      <c r="AC559" s="1"/>
      <c r="AD559" s="1"/>
      <c r="AE559" s="30"/>
      <c r="AF559" s="633"/>
      <c r="AG559" s="94"/>
      <c r="AH559" s="94"/>
      <c r="AI559" s="94"/>
      <c r="AJ559" s="94"/>
      <c r="AK559" s="94"/>
      <c r="AL559" s="94"/>
    </row>
    <row r="560" spans="3:38">
      <c r="C560" s="30"/>
      <c r="F560" s="95"/>
      <c r="G560" s="1"/>
      <c r="H560" s="94"/>
      <c r="I560" s="90"/>
      <c r="J560" s="90"/>
      <c r="K560" s="1"/>
      <c r="L560" s="74"/>
      <c r="M560" s="633"/>
      <c r="N560" s="274"/>
      <c r="O560" s="94"/>
      <c r="P560" s="94"/>
      <c r="Q560" s="94"/>
      <c r="R560" s="94"/>
      <c r="S560" s="94"/>
      <c r="V560" s="30"/>
      <c r="W560" s="30"/>
      <c r="X560" s="1"/>
      <c r="Y560" s="95"/>
      <c r="Z560" s="1"/>
      <c r="AA560" s="94"/>
      <c r="AB560" s="1"/>
      <c r="AC560" s="1"/>
      <c r="AD560" s="1"/>
      <c r="AE560" s="30"/>
      <c r="AF560" s="633"/>
      <c r="AG560" s="94"/>
      <c r="AH560" s="94"/>
      <c r="AI560" s="94"/>
      <c r="AJ560" s="94"/>
      <c r="AK560" s="94"/>
      <c r="AL560" s="94"/>
    </row>
    <row r="561" spans="3:38">
      <c r="C561" s="30"/>
      <c r="F561" s="95"/>
      <c r="G561" s="1"/>
      <c r="H561" s="94"/>
      <c r="I561" s="90"/>
      <c r="J561" s="90"/>
      <c r="K561" s="1"/>
      <c r="L561" s="74"/>
      <c r="M561" s="633"/>
      <c r="N561" s="274"/>
      <c r="O561" s="94"/>
      <c r="P561" s="94"/>
      <c r="Q561" s="94"/>
      <c r="R561" s="94"/>
      <c r="S561" s="94"/>
      <c r="V561" s="30"/>
      <c r="W561" s="30"/>
      <c r="X561" s="1"/>
      <c r="Y561" s="95"/>
      <c r="Z561" s="1"/>
      <c r="AA561" s="94"/>
      <c r="AB561" s="1"/>
      <c r="AC561" s="1"/>
      <c r="AD561" s="1"/>
      <c r="AE561" s="30"/>
      <c r="AF561" s="633"/>
      <c r="AG561" s="94"/>
      <c r="AH561" s="94"/>
      <c r="AI561" s="94"/>
      <c r="AJ561" s="94"/>
      <c r="AK561" s="94"/>
      <c r="AL561" s="94"/>
    </row>
    <row r="562" spans="3:38">
      <c r="C562" s="30"/>
      <c r="F562" s="95"/>
      <c r="G562" s="1"/>
      <c r="H562" s="94"/>
      <c r="I562" s="90"/>
      <c r="J562" s="90"/>
      <c r="K562" s="1"/>
      <c r="L562" s="74"/>
      <c r="M562" s="633"/>
      <c r="N562" s="274"/>
      <c r="O562" s="94"/>
      <c r="P562" s="94"/>
      <c r="Q562" s="94"/>
      <c r="R562" s="94"/>
      <c r="S562" s="94"/>
      <c r="V562" s="30"/>
      <c r="W562" s="30"/>
      <c r="X562" s="1"/>
      <c r="Y562" s="95"/>
      <c r="Z562" s="1"/>
      <c r="AA562" s="94"/>
      <c r="AB562" s="1"/>
      <c r="AC562" s="1"/>
      <c r="AD562" s="1"/>
      <c r="AE562" s="30"/>
      <c r="AF562" s="633"/>
      <c r="AG562" s="94"/>
      <c r="AH562" s="94"/>
      <c r="AI562" s="94"/>
      <c r="AJ562" s="94"/>
      <c r="AK562" s="94"/>
      <c r="AL562" s="94"/>
    </row>
    <row r="563" spans="3:38">
      <c r="C563" s="30"/>
      <c r="F563" s="95"/>
      <c r="G563" s="1"/>
      <c r="H563" s="94"/>
      <c r="I563" s="90"/>
      <c r="J563" s="90"/>
      <c r="K563" s="1"/>
      <c r="L563" s="74"/>
      <c r="M563" s="633"/>
      <c r="N563" s="274"/>
      <c r="O563" s="94"/>
      <c r="P563" s="94"/>
      <c r="Q563" s="94"/>
      <c r="R563" s="94"/>
      <c r="S563" s="94"/>
      <c r="V563" s="30"/>
      <c r="W563" s="30"/>
      <c r="X563" s="1"/>
      <c r="Y563" s="95"/>
      <c r="Z563" s="1"/>
      <c r="AA563" s="94"/>
      <c r="AB563" s="1"/>
      <c r="AC563" s="1"/>
      <c r="AD563" s="1"/>
      <c r="AE563" s="30"/>
      <c r="AF563" s="633"/>
      <c r="AG563" s="94"/>
      <c r="AH563" s="94"/>
      <c r="AI563" s="94"/>
      <c r="AJ563" s="94"/>
      <c r="AK563" s="94"/>
      <c r="AL563" s="94"/>
    </row>
    <row r="564" spans="3:38">
      <c r="C564" s="30"/>
      <c r="F564" s="95"/>
      <c r="G564" s="1"/>
      <c r="H564" s="94"/>
      <c r="I564" s="90"/>
      <c r="J564" s="90"/>
      <c r="K564" s="1"/>
      <c r="L564" s="74"/>
      <c r="M564" s="633"/>
      <c r="N564" s="274"/>
      <c r="O564" s="94"/>
      <c r="P564" s="94"/>
      <c r="Q564" s="94"/>
      <c r="R564" s="94"/>
      <c r="S564" s="94"/>
      <c r="V564" s="30"/>
      <c r="W564" s="30"/>
      <c r="X564" s="1"/>
      <c r="Y564" s="95"/>
      <c r="Z564" s="1"/>
      <c r="AA564" s="94"/>
      <c r="AB564" s="1"/>
      <c r="AC564" s="1"/>
      <c r="AD564" s="1"/>
      <c r="AE564" s="30"/>
      <c r="AF564" s="633"/>
      <c r="AG564" s="94"/>
      <c r="AH564" s="94"/>
      <c r="AI564" s="94"/>
      <c r="AJ564" s="94"/>
      <c r="AK564" s="94"/>
      <c r="AL564" s="94"/>
    </row>
    <row r="565" spans="3:38">
      <c r="C565" s="30"/>
      <c r="F565" s="95"/>
      <c r="G565" s="1"/>
      <c r="H565" s="94"/>
      <c r="I565" s="90"/>
      <c r="J565" s="90"/>
      <c r="K565" s="1"/>
      <c r="L565" s="74"/>
      <c r="M565" s="633"/>
      <c r="N565" s="274"/>
      <c r="O565" s="94"/>
      <c r="P565" s="94"/>
      <c r="Q565" s="94"/>
      <c r="R565" s="94"/>
      <c r="S565" s="94"/>
      <c r="V565" s="30"/>
      <c r="W565" s="30"/>
      <c r="X565" s="1"/>
      <c r="Y565" s="95"/>
      <c r="Z565" s="1"/>
      <c r="AA565" s="94"/>
      <c r="AB565" s="1"/>
      <c r="AC565" s="1"/>
      <c r="AD565" s="1"/>
      <c r="AE565" s="30"/>
      <c r="AF565" s="633"/>
      <c r="AG565" s="94"/>
      <c r="AH565" s="94"/>
      <c r="AI565" s="94"/>
      <c r="AJ565" s="94"/>
      <c r="AK565" s="94"/>
      <c r="AL565" s="94"/>
    </row>
    <row r="566" spans="3:38">
      <c r="C566" s="30"/>
      <c r="F566" s="95"/>
      <c r="G566" s="1"/>
      <c r="H566" s="94"/>
      <c r="I566" s="90"/>
      <c r="J566" s="90"/>
      <c r="K566" s="1"/>
      <c r="L566" s="74"/>
      <c r="M566" s="633"/>
      <c r="N566" s="274"/>
      <c r="O566" s="94"/>
      <c r="P566" s="94"/>
      <c r="Q566" s="94"/>
      <c r="R566" s="94"/>
      <c r="S566" s="94"/>
      <c r="V566" s="30"/>
      <c r="W566" s="30"/>
      <c r="X566" s="1"/>
      <c r="Y566" s="95"/>
      <c r="Z566" s="1"/>
      <c r="AA566" s="94"/>
      <c r="AB566" s="1"/>
      <c r="AC566" s="1"/>
      <c r="AD566" s="1"/>
      <c r="AE566" s="30"/>
      <c r="AF566" s="633"/>
      <c r="AG566" s="94"/>
      <c r="AH566" s="94"/>
      <c r="AI566" s="94"/>
      <c r="AJ566" s="94"/>
      <c r="AK566" s="94"/>
      <c r="AL566" s="94"/>
    </row>
    <row r="567" spans="3:38">
      <c r="C567" s="30"/>
      <c r="F567" s="95"/>
      <c r="G567" s="1"/>
      <c r="H567" s="94"/>
      <c r="I567" s="90"/>
      <c r="J567" s="90"/>
      <c r="K567" s="1"/>
      <c r="L567" s="74"/>
      <c r="M567" s="633"/>
      <c r="N567" s="274"/>
      <c r="O567" s="94"/>
      <c r="P567" s="94"/>
      <c r="Q567" s="94"/>
      <c r="R567" s="94"/>
      <c r="S567" s="94"/>
      <c r="V567" s="30"/>
      <c r="W567" s="30"/>
      <c r="X567" s="1"/>
      <c r="Y567" s="95"/>
      <c r="Z567" s="1"/>
      <c r="AA567" s="94"/>
      <c r="AB567" s="1"/>
      <c r="AC567" s="1"/>
      <c r="AD567" s="1"/>
      <c r="AE567" s="30"/>
      <c r="AF567" s="633"/>
      <c r="AG567" s="94"/>
      <c r="AH567" s="94"/>
      <c r="AI567" s="94"/>
      <c r="AJ567" s="94"/>
      <c r="AK567" s="94"/>
      <c r="AL567" s="94"/>
    </row>
    <row r="568" spans="3:38">
      <c r="C568" s="30"/>
      <c r="F568" s="95"/>
      <c r="G568" s="1"/>
      <c r="H568" s="94"/>
      <c r="I568" s="90"/>
      <c r="J568" s="90"/>
      <c r="K568" s="1"/>
      <c r="L568" s="74"/>
      <c r="M568" s="633"/>
      <c r="N568" s="274"/>
      <c r="O568" s="94"/>
      <c r="P568" s="94"/>
      <c r="Q568" s="94"/>
      <c r="R568" s="94"/>
      <c r="S568" s="94"/>
      <c r="V568" s="30"/>
      <c r="W568" s="30"/>
      <c r="X568" s="1"/>
      <c r="Y568" s="95"/>
      <c r="Z568" s="1"/>
      <c r="AA568" s="94"/>
      <c r="AB568" s="1"/>
      <c r="AC568" s="1"/>
      <c r="AD568" s="1"/>
      <c r="AE568" s="30"/>
      <c r="AF568" s="633"/>
      <c r="AG568" s="94"/>
      <c r="AH568" s="94"/>
      <c r="AI568" s="94"/>
      <c r="AJ568" s="94"/>
      <c r="AK568" s="94"/>
      <c r="AL568" s="94"/>
    </row>
    <row r="569" spans="3:38">
      <c r="C569" s="30"/>
      <c r="F569" s="95"/>
      <c r="G569" s="1"/>
      <c r="H569" s="94"/>
      <c r="I569" s="90"/>
      <c r="J569" s="90"/>
      <c r="K569" s="1"/>
      <c r="L569" s="74"/>
      <c r="M569" s="633"/>
      <c r="N569" s="274"/>
      <c r="O569" s="94"/>
      <c r="P569" s="94"/>
      <c r="Q569" s="94"/>
      <c r="R569" s="94"/>
      <c r="S569" s="94"/>
      <c r="V569" s="30"/>
      <c r="W569" s="30"/>
      <c r="X569" s="1"/>
      <c r="Y569" s="95"/>
      <c r="Z569" s="1"/>
      <c r="AA569" s="94"/>
      <c r="AB569" s="1"/>
      <c r="AC569" s="1"/>
      <c r="AD569" s="1"/>
      <c r="AE569" s="30"/>
      <c r="AF569" s="633"/>
      <c r="AG569" s="94"/>
      <c r="AH569" s="94"/>
      <c r="AI569" s="94"/>
      <c r="AJ569" s="94"/>
      <c r="AK569" s="94"/>
      <c r="AL569" s="94"/>
    </row>
    <row r="570" spans="3:38">
      <c r="C570" s="30"/>
      <c r="F570" s="95"/>
      <c r="G570" s="1"/>
      <c r="H570" s="94"/>
      <c r="I570" s="90"/>
      <c r="J570" s="90"/>
      <c r="K570" s="1"/>
      <c r="L570" s="74"/>
      <c r="M570" s="633"/>
      <c r="N570" s="274"/>
      <c r="O570" s="94"/>
      <c r="P570" s="94"/>
      <c r="Q570" s="94"/>
      <c r="R570" s="94"/>
      <c r="S570" s="94"/>
      <c r="V570" s="30"/>
      <c r="W570" s="30"/>
      <c r="X570" s="1"/>
      <c r="Y570" s="95"/>
      <c r="Z570" s="1"/>
      <c r="AA570" s="94"/>
      <c r="AB570" s="1"/>
      <c r="AC570" s="1"/>
      <c r="AD570" s="1"/>
      <c r="AE570" s="30"/>
      <c r="AF570" s="633"/>
      <c r="AG570" s="94"/>
      <c r="AH570" s="94"/>
      <c r="AI570" s="94"/>
      <c r="AJ570" s="94"/>
      <c r="AK570" s="94"/>
      <c r="AL570" s="94"/>
    </row>
    <row r="571" spans="3:38">
      <c r="C571" s="30"/>
      <c r="F571" s="95"/>
      <c r="G571" s="1"/>
      <c r="H571" s="94"/>
      <c r="I571" s="90"/>
      <c r="J571" s="90"/>
      <c r="K571" s="1"/>
      <c r="L571" s="74"/>
      <c r="M571" s="633"/>
      <c r="N571" s="274"/>
      <c r="O571" s="94"/>
      <c r="P571" s="94"/>
      <c r="Q571" s="94"/>
      <c r="R571" s="94"/>
      <c r="S571" s="94"/>
      <c r="V571" s="30"/>
      <c r="W571" s="30"/>
      <c r="X571" s="1"/>
      <c r="Y571" s="95"/>
      <c r="Z571" s="1"/>
      <c r="AA571" s="94"/>
      <c r="AB571" s="1"/>
      <c r="AC571" s="1"/>
      <c r="AD571" s="1"/>
      <c r="AE571" s="30"/>
      <c r="AF571" s="633"/>
      <c r="AG571" s="94"/>
      <c r="AH571" s="94"/>
      <c r="AI571" s="94"/>
      <c r="AJ571" s="94"/>
      <c r="AK571" s="94"/>
      <c r="AL571" s="94"/>
    </row>
    <row r="572" spans="3:38">
      <c r="C572" s="30"/>
      <c r="F572" s="95"/>
      <c r="G572" s="1"/>
      <c r="H572" s="94"/>
      <c r="I572" s="90"/>
      <c r="J572" s="90"/>
      <c r="K572" s="1"/>
      <c r="L572" s="74"/>
      <c r="M572" s="633"/>
      <c r="N572" s="274"/>
      <c r="O572" s="94"/>
      <c r="P572" s="94"/>
      <c r="Q572" s="94"/>
      <c r="R572" s="94"/>
      <c r="S572" s="94"/>
      <c r="V572" s="30"/>
      <c r="W572" s="30"/>
      <c r="X572" s="1"/>
      <c r="Y572" s="95"/>
      <c r="Z572" s="1"/>
      <c r="AA572" s="94"/>
      <c r="AB572" s="1"/>
      <c r="AC572" s="1"/>
      <c r="AD572" s="1"/>
      <c r="AE572" s="30"/>
      <c r="AF572" s="633"/>
      <c r="AG572" s="94"/>
      <c r="AH572" s="94"/>
      <c r="AI572" s="94"/>
      <c r="AJ572" s="94"/>
      <c r="AK572" s="94"/>
      <c r="AL572" s="94"/>
    </row>
    <row r="573" spans="3:38">
      <c r="C573" s="30"/>
      <c r="F573" s="95"/>
      <c r="G573" s="1"/>
      <c r="H573" s="94"/>
      <c r="I573" s="90"/>
      <c r="J573" s="90"/>
      <c r="K573" s="1"/>
      <c r="L573" s="74"/>
      <c r="M573" s="633"/>
      <c r="N573" s="274"/>
      <c r="O573" s="94"/>
      <c r="P573" s="94"/>
      <c r="Q573" s="94"/>
      <c r="R573" s="94"/>
      <c r="S573" s="94"/>
      <c r="V573" s="30"/>
      <c r="W573" s="30"/>
      <c r="X573" s="1"/>
      <c r="Y573" s="95"/>
      <c r="Z573" s="1"/>
      <c r="AA573" s="94"/>
      <c r="AB573" s="1"/>
      <c r="AC573" s="1"/>
      <c r="AD573" s="1"/>
      <c r="AE573" s="30"/>
      <c r="AF573" s="633"/>
      <c r="AG573" s="94"/>
      <c r="AH573" s="94"/>
      <c r="AI573" s="94"/>
      <c r="AJ573" s="94"/>
      <c r="AK573" s="94"/>
      <c r="AL573" s="94"/>
    </row>
    <row r="574" spans="3:38">
      <c r="C574" s="30"/>
      <c r="F574" s="95"/>
      <c r="G574" s="1"/>
      <c r="H574" s="94"/>
      <c r="I574" s="90"/>
      <c r="J574" s="90"/>
      <c r="K574" s="1"/>
      <c r="L574" s="74"/>
      <c r="M574" s="633"/>
      <c r="N574" s="274"/>
      <c r="O574" s="94"/>
      <c r="P574" s="94"/>
      <c r="Q574" s="94"/>
      <c r="R574" s="94"/>
      <c r="S574" s="94"/>
      <c r="V574" s="30"/>
      <c r="W574" s="30"/>
      <c r="X574" s="1"/>
      <c r="Y574" s="95"/>
      <c r="Z574" s="1"/>
      <c r="AA574" s="94"/>
      <c r="AB574" s="1"/>
      <c r="AC574" s="1"/>
      <c r="AD574" s="1"/>
      <c r="AE574" s="30"/>
      <c r="AF574" s="633"/>
      <c r="AG574" s="94"/>
      <c r="AH574" s="94"/>
      <c r="AI574" s="94"/>
      <c r="AJ574" s="94"/>
      <c r="AK574" s="94"/>
      <c r="AL574" s="94"/>
    </row>
    <row r="575" spans="3:38">
      <c r="C575" s="30"/>
      <c r="F575" s="95"/>
      <c r="G575" s="1"/>
      <c r="H575" s="94"/>
      <c r="I575" s="90"/>
      <c r="J575" s="90"/>
      <c r="K575" s="1"/>
      <c r="L575" s="74"/>
      <c r="M575" s="633"/>
      <c r="N575" s="274"/>
      <c r="O575" s="94"/>
      <c r="P575" s="94"/>
      <c r="Q575" s="94"/>
      <c r="R575" s="94"/>
      <c r="S575" s="94"/>
      <c r="V575" s="30"/>
      <c r="W575" s="30"/>
      <c r="X575" s="1"/>
      <c r="Y575" s="95"/>
      <c r="Z575" s="1"/>
      <c r="AA575" s="94"/>
      <c r="AB575" s="1"/>
      <c r="AC575" s="1"/>
      <c r="AD575" s="1"/>
      <c r="AE575" s="30"/>
      <c r="AF575" s="633"/>
      <c r="AG575" s="94"/>
      <c r="AH575" s="94"/>
      <c r="AI575" s="94"/>
      <c r="AJ575" s="94"/>
      <c r="AK575" s="94"/>
      <c r="AL575" s="94"/>
    </row>
    <row r="576" spans="3:38">
      <c r="C576" s="30"/>
      <c r="F576" s="95"/>
      <c r="G576" s="1"/>
      <c r="H576" s="94"/>
      <c r="I576" s="90"/>
      <c r="J576" s="90"/>
      <c r="K576" s="1"/>
      <c r="L576" s="74"/>
      <c r="M576" s="633"/>
      <c r="N576" s="274"/>
      <c r="O576" s="94"/>
      <c r="P576" s="94"/>
      <c r="Q576" s="94"/>
      <c r="R576" s="94"/>
      <c r="S576" s="94"/>
      <c r="V576" s="30"/>
      <c r="W576" s="30"/>
      <c r="X576" s="1"/>
      <c r="Y576" s="95"/>
      <c r="Z576" s="1"/>
      <c r="AA576" s="94"/>
      <c r="AB576" s="1"/>
      <c r="AC576" s="1"/>
      <c r="AD576" s="1"/>
      <c r="AE576" s="30"/>
      <c r="AF576" s="633"/>
      <c r="AG576" s="94"/>
      <c r="AH576" s="94"/>
      <c r="AI576" s="94"/>
      <c r="AJ576" s="94"/>
      <c r="AK576" s="94"/>
      <c r="AL576" s="94"/>
    </row>
    <row r="577" spans="3:38">
      <c r="C577" s="30"/>
      <c r="F577" s="95"/>
      <c r="G577" s="1"/>
      <c r="H577" s="94"/>
      <c r="I577" s="90"/>
      <c r="J577" s="90"/>
      <c r="K577" s="1"/>
      <c r="L577" s="74"/>
      <c r="M577" s="633"/>
      <c r="N577" s="274"/>
      <c r="O577" s="94"/>
      <c r="P577" s="94"/>
      <c r="Q577" s="94"/>
      <c r="R577" s="94"/>
      <c r="S577" s="94"/>
      <c r="V577" s="30"/>
      <c r="W577" s="30"/>
      <c r="X577" s="1"/>
      <c r="Y577" s="95"/>
      <c r="Z577" s="1"/>
      <c r="AA577" s="94"/>
      <c r="AB577" s="1"/>
      <c r="AC577" s="1"/>
      <c r="AD577" s="1"/>
      <c r="AE577" s="30"/>
      <c r="AF577" s="633"/>
      <c r="AG577" s="94"/>
      <c r="AH577" s="94"/>
      <c r="AI577" s="94"/>
      <c r="AJ577" s="94"/>
      <c r="AK577" s="94"/>
      <c r="AL577" s="94"/>
    </row>
    <row r="578" spans="3:38">
      <c r="C578" s="30"/>
      <c r="F578" s="95"/>
      <c r="G578" s="1"/>
      <c r="H578" s="94"/>
      <c r="I578" s="90"/>
      <c r="J578" s="90"/>
      <c r="K578" s="1"/>
      <c r="L578" s="74"/>
      <c r="M578" s="633"/>
      <c r="N578" s="274"/>
      <c r="O578" s="94"/>
      <c r="P578" s="94"/>
      <c r="Q578" s="94"/>
      <c r="R578" s="94"/>
      <c r="S578" s="94"/>
      <c r="V578" s="30"/>
      <c r="W578" s="30"/>
      <c r="X578" s="1"/>
      <c r="Y578" s="95"/>
      <c r="Z578" s="1"/>
      <c r="AA578" s="94"/>
      <c r="AB578" s="1"/>
      <c r="AC578" s="1"/>
      <c r="AD578" s="1"/>
      <c r="AE578" s="30"/>
      <c r="AF578" s="633"/>
      <c r="AG578" s="94"/>
      <c r="AH578" s="94"/>
      <c r="AI578" s="94"/>
      <c r="AJ578" s="94"/>
      <c r="AK578" s="94"/>
      <c r="AL578" s="94"/>
    </row>
    <row r="579" spans="3:38">
      <c r="C579" s="30"/>
      <c r="F579" s="95"/>
      <c r="G579" s="1"/>
      <c r="H579" s="94"/>
      <c r="I579" s="90"/>
      <c r="J579" s="90"/>
      <c r="K579" s="1"/>
      <c r="L579" s="74"/>
      <c r="M579" s="633"/>
      <c r="N579" s="274"/>
      <c r="O579" s="94"/>
      <c r="P579" s="94"/>
      <c r="Q579" s="94"/>
      <c r="R579" s="94"/>
      <c r="S579" s="94"/>
      <c r="V579" s="30"/>
      <c r="W579" s="30"/>
      <c r="X579" s="1"/>
      <c r="Y579" s="95"/>
      <c r="Z579" s="1"/>
      <c r="AA579" s="94"/>
      <c r="AB579" s="1"/>
      <c r="AC579" s="1"/>
      <c r="AD579" s="1"/>
      <c r="AE579" s="30"/>
      <c r="AF579" s="633"/>
      <c r="AG579" s="94"/>
      <c r="AH579" s="94"/>
      <c r="AI579" s="94"/>
      <c r="AJ579" s="94"/>
      <c r="AK579" s="94"/>
      <c r="AL579" s="94"/>
    </row>
    <row r="580" spans="3:38">
      <c r="C580" s="30"/>
      <c r="F580" s="95"/>
      <c r="G580" s="1"/>
      <c r="H580" s="94"/>
      <c r="I580" s="90"/>
      <c r="J580" s="90"/>
      <c r="K580" s="1"/>
      <c r="L580" s="74"/>
      <c r="M580" s="633"/>
      <c r="N580" s="274"/>
      <c r="O580" s="94"/>
      <c r="P580" s="94"/>
      <c r="Q580" s="94"/>
      <c r="R580" s="94"/>
      <c r="S580" s="94"/>
      <c r="V580" s="30"/>
      <c r="W580" s="30"/>
      <c r="X580" s="1"/>
      <c r="Y580" s="95"/>
      <c r="Z580" s="1"/>
      <c r="AA580" s="94"/>
      <c r="AB580" s="1"/>
      <c r="AC580" s="1"/>
      <c r="AD580" s="1"/>
      <c r="AE580" s="30"/>
      <c r="AF580" s="633"/>
      <c r="AG580" s="94"/>
      <c r="AH580" s="94"/>
      <c r="AI580" s="94"/>
      <c r="AJ580" s="94"/>
      <c r="AK580" s="94"/>
      <c r="AL580" s="94"/>
    </row>
    <row r="581" spans="3:38">
      <c r="C581" s="30"/>
      <c r="F581" s="95"/>
      <c r="G581" s="1"/>
      <c r="H581" s="94"/>
      <c r="I581" s="90"/>
      <c r="J581" s="90"/>
      <c r="K581" s="1"/>
      <c r="L581" s="74"/>
      <c r="M581" s="633"/>
      <c r="N581" s="274"/>
      <c r="O581" s="94"/>
      <c r="P581" s="94"/>
      <c r="Q581" s="94"/>
      <c r="R581" s="94"/>
      <c r="S581" s="94"/>
      <c r="V581" s="30"/>
      <c r="W581" s="30"/>
      <c r="X581" s="1"/>
      <c r="Y581" s="95"/>
      <c r="Z581" s="1"/>
      <c r="AA581" s="94"/>
      <c r="AB581" s="1"/>
      <c r="AC581" s="1"/>
      <c r="AD581" s="1"/>
      <c r="AE581" s="30"/>
      <c r="AF581" s="633"/>
      <c r="AG581" s="94"/>
      <c r="AH581" s="94"/>
      <c r="AI581" s="94"/>
      <c r="AJ581" s="94"/>
      <c r="AK581" s="94"/>
      <c r="AL581" s="94"/>
    </row>
    <row r="582" spans="3:38">
      <c r="C582" s="30"/>
      <c r="F582" s="95"/>
      <c r="G582" s="1"/>
      <c r="H582" s="94"/>
      <c r="I582" s="90"/>
      <c r="J582" s="90"/>
      <c r="K582" s="1"/>
      <c r="L582" s="74"/>
      <c r="M582" s="633"/>
      <c r="N582" s="274"/>
      <c r="O582" s="94"/>
      <c r="P582" s="94"/>
      <c r="Q582" s="94"/>
      <c r="R582" s="94"/>
      <c r="S582" s="94"/>
      <c r="V582" s="30"/>
      <c r="W582" s="30"/>
      <c r="X582" s="1"/>
      <c r="Y582" s="95"/>
      <c r="Z582" s="1"/>
      <c r="AA582" s="94"/>
      <c r="AB582" s="1"/>
      <c r="AC582" s="1"/>
      <c r="AD582" s="1"/>
      <c r="AE582" s="30"/>
      <c r="AF582" s="633"/>
      <c r="AG582" s="94"/>
      <c r="AH582" s="94"/>
      <c r="AI582" s="94"/>
      <c r="AJ582" s="94"/>
      <c r="AK582" s="94"/>
      <c r="AL582" s="94"/>
    </row>
    <row r="583" spans="3:38">
      <c r="C583" s="30"/>
      <c r="F583" s="95"/>
      <c r="G583" s="1"/>
      <c r="H583" s="94"/>
      <c r="I583" s="90"/>
      <c r="J583" s="90"/>
      <c r="K583" s="1"/>
      <c r="L583" s="74"/>
      <c r="M583" s="633"/>
      <c r="N583" s="274"/>
      <c r="O583" s="94"/>
      <c r="P583" s="94"/>
      <c r="Q583" s="94"/>
      <c r="R583" s="94"/>
      <c r="S583" s="94"/>
      <c r="V583" s="30"/>
      <c r="W583" s="30"/>
      <c r="X583" s="1"/>
      <c r="Y583" s="95"/>
      <c r="Z583" s="1"/>
      <c r="AA583" s="94"/>
      <c r="AB583" s="1"/>
      <c r="AC583" s="1"/>
      <c r="AD583" s="1"/>
      <c r="AE583" s="30"/>
      <c r="AF583" s="633"/>
      <c r="AG583" s="94"/>
      <c r="AH583" s="94"/>
      <c r="AI583" s="94"/>
      <c r="AJ583" s="94"/>
      <c r="AK583" s="94"/>
      <c r="AL583" s="94"/>
    </row>
    <row r="584" spans="3:38">
      <c r="C584" s="30"/>
      <c r="F584" s="95"/>
      <c r="G584" s="1"/>
      <c r="H584" s="94"/>
      <c r="I584" s="90"/>
      <c r="J584" s="90"/>
      <c r="K584" s="1"/>
      <c r="L584" s="74"/>
      <c r="M584" s="633"/>
      <c r="N584" s="274"/>
      <c r="O584" s="94"/>
      <c r="P584" s="94"/>
      <c r="Q584" s="94"/>
      <c r="R584" s="94"/>
      <c r="S584" s="94"/>
      <c r="V584" s="30"/>
      <c r="W584" s="30"/>
      <c r="X584" s="1"/>
      <c r="Y584" s="95"/>
      <c r="Z584" s="1"/>
      <c r="AA584" s="94"/>
      <c r="AB584" s="1"/>
      <c r="AC584" s="1"/>
      <c r="AD584" s="1"/>
      <c r="AE584" s="30"/>
      <c r="AF584" s="633"/>
      <c r="AG584" s="94"/>
      <c r="AH584" s="94"/>
      <c r="AI584" s="94"/>
      <c r="AJ584" s="94"/>
      <c r="AK584" s="94"/>
      <c r="AL584" s="94"/>
    </row>
    <row r="585" spans="3:38">
      <c r="C585" s="30"/>
      <c r="F585" s="95"/>
      <c r="G585" s="1"/>
      <c r="H585" s="94"/>
      <c r="I585" s="90"/>
      <c r="J585" s="90"/>
      <c r="K585" s="1"/>
      <c r="L585" s="74"/>
      <c r="M585" s="633"/>
      <c r="N585" s="274"/>
      <c r="O585" s="94"/>
      <c r="P585" s="94"/>
      <c r="Q585" s="94"/>
      <c r="R585" s="94"/>
      <c r="S585" s="94"/>
      <c r="V585" s="30"/>
      <c r="W585" s="30"/>
      <c r="X585" s="1"/>
      <c r="Y585" s="95"/>
      <c r="Z585" s="1"/>
      <c r="AA585" s="94"/>
      <c r="AB585" s="1"/>
      <c r="AC585" s="1"/>
      <c r="AD585" s="1"/>
      <c r="AE585" s="30"/>
      <c r="AF585" s="633"/>
      <c r="AG585" s="94"/>
      <c r="AH585" s="94"/>
      <c r="AI585" s="94"/>
      <c r="AJ585" s="94"/>
      <c r="AK585" s="94"/>
      <c r="AL585" s="94"/>
    </row>
    <row r="586" spans="3:38">
      <c r="C586" s="30"/>
      <c r="F586" s="95"/>
      <c r="G586" s="1"/>
      <c r="H586" s="94"/>
      <c r="I586" s="90"/>
      <c r="J586" s="90"/>
      <c r="K586" s="1"/>
      <c r="L586" s="74"/>
      <c r="M586" s="633"/>
      <c r="N586" s="274"/>
      <c r="O586" s="94"/>
      <c r="P586" s="94"/>
      <c r="Q586" s="94"/>
      <c r="R586" s="94"/>
      <c r="S586" s="94"/>
      <c r="V586" s="30"/>
      <c r="W586" s="30"/>
      <c r="X586" s="1"/>
      <c r="Y586" s="95"/>
      <c r="Z586" s="1"/>
      <c r="AA586" s="94"/>
      <c r="AB586" s="1"/>
      <c r="AC586" s="1"/>
      <c r="AD586" s="1"/>
      <c r="AE586" s="30"/>
      <c r="AF586" s="633"/>
      <c r="AG586" s="94"/>
      <c r="AH586" s="94"/>
      <c r="AI586" s="94"/>
      <c r="AJ586" s="94"/>
      <c r="AK586" s="94"/>
      <c r="AL586" s="94"/>
    </row>
    <row r="587" spans="3:38">
      <c r="C587" s="30"/>
      <c r="F587" s="95"/>
      <c r="G587" s="1"/>
      <c r="H587" s="94"/>
      <c r="I587" s="90"/>
      <c r="J587" s="90"/>
      <c r="K587" s="1"/>
      <c r="L587" s="74"/>
      <c r="M587" s="633"/>
      <c r="N587" s="274"/>
      <c r="O587" s="94"/>
      <c r="P587" s="94"/>
      <c r="Q587" s="94"/>
      <c r="R587" s="94"/>
      <c r="S587" s="94"/>
      <c r="V587" s="30"/>
      <c r="W587" s="30"/>
      <c r="X587" s="1"/>
      <c r="Y587" s="95"/>
      <c r="Z587" s="1"/>
      <c r="AA587" s="94"/>
      <c r="AB587" s="1"/>
      <c r="AC587" s="1"/>
      <c r="AD587" s="1"/>
      <c r="AE587" s="30"/>
      <c r="AF587" s="633"/>
      <c r="AG587" s="94"/>
      <c r="AH587" s="94"/>
      <c r="AI587" s="94"/>
      <c r="AJ587" s="94"/>
      <c r="AK587" s="94"/>
      <c r="AL587" s="94"/>
    </row>
    <row r="588" spans="3:38">
      <c r="C588" s="30"/>
      <c r="F588" s="95"/>
      <c r="G588" s="1"/>
      <c r="H588" s="94"/>
      <c r="I588" s="90"/>
      <c r="J588" s="90"/>
      <c r="K588" s="1"/>
      <c r="L588" s="74"/>
      <c r="M588" s="633"/>
      <c r="N588" s="274"/>
      <c r="O588" s="94"/>
      <c r="P588" s="94"/>
      <c r="Q588" s="94"/>
      <c r="R588" s="94"/>
      <c r="S588" s="94"/>
      <c r="V588" s="30"/>
      <c r="W588" s="30"/>
      <c r="X588" s="1"/>
      <c r="Y588" s="95"/>
      <c r="Z588" s="1"/>
      <c r="AA588" s="94"/>
      <c r="AB588" s="1"/>
      <c r="AC588" s="1"/>
      <c r="AD588" s="1"/>
      <c r="AE588" s="30"/>
      <c r="AF588" s="633"/>
      <c r="AG588" s="94"/>
      <c r="AH588" s="94"/>
      <c r="AI588" s="94"/>
      <c r="AJ588" s="94"/>
      <c r="AK588" s="94"/>
      <c r="AL588" s="94"/>
    </row>
    <row r="589" spans="3:38">
      <c r="C589" s="30"/>
      <c r="F589" s="95"/>
      <c r="G589" s="1"/>
      <c r="H589" s="94"/>
      <c r="I589" s="90"/>
      <c r="J589" s="90"/>
      <c r="K589" s="1"/>
      <c r="L589" s="74"/>
      <c r="M589" s="633"/>
      <c r="N589" s="274"/>
      <c r="O589" s="94"/>
      <c r="P589" s="94"/>
      <c r="Q589" s="94"/>
      <c r="R589" s="94"/>
      <c r="S589" s="94"/>
      <c r="V589" s="30"/>
      <c r="W589" s="30"/>
      <c r="X589" s="1"/>
      <c r="Y589" s="95"/>
      <c r="Z589" s="1"/>
      <c r="AA589" s="94"/>
      <c r="AB589" s="1"/>
      <c r="AC589" s="1"/>
      <c r="AD589" s="1"/>
      <c r="AE589" s="30"/>
      <c r="AF589" s="633"/>
      <c r="AG589" s="94"/>
      <c r="AH589" s="94"/>
      <c r="AI589" s="94"/>
      <c r="AJ589" s="94"/>
      <c r="AK589" s="94"/>
      <c r="AL589" s="94"/>
    </row>
    <row r="590" spans="3:38">
      <c r="C590" s="30"/>
      <c r="F590" s="95"/>
      <c r="G590" s="1"/>
      <c r="H590" s="94"/>
      <c r="I590" s="90"/>
      <c r="J590" s="90"/>
      <c r="K590" s="1"/>
      <c r="L590" s="74"/>
      <c r="M590" s="633"/>
      <c r="N590" s="274"/>
      <c r="O590" s="94"/>
      <c r="P590" s="94"/>
      <c r="Q590" s="94"/>
      <c r="R590" s="94"/>
      <c r="S590" s="94"/>
      <c r="V590" s="30"/>
      <c r="W590" s="30"/>
      <c r="X590" s="1"/>
      <c r="Y590" s="95"/>
      <c r="Z590" s="1"/>
      <c r="AA590" s="94"/>
      <c r="AB590" s="1"/>
      <c r="AC590" s="1"/>
      <c r="AD590" s="1"/>
      <c r="AE590" s="30"/>
      <c r="AF590" s="633"/>
      <c r="AG590" s="94"/>
      <c r="AH590" s="94"/>
      <c r="AI590" s="94"/>
      <c r="AJ590" s="94"/>
      <c r="AK590" s="94"/>
      <c r="AL590" s="94"/>
    </row>
    <row r="591" spans="3:38">
      <c r="C591" s="30"/>
      <c r="F591" s="95"/>
      <c r="G591" s="1"/>
      <c r="H591" s="94"/>
      <c r="I591" s="90"/>
      <c r="J591" s="90"/>
      <c r="K591" s="1"/>
      <c r="L591" s="74"/>
      <c r="M591" s="633"/>
      <c r="N591" s="274"/>
      <c r="O591" s="94"/>
      <c r="P591" s="94"/>
      <c r="Q591" s="94"/>
      <c r="R591" s="94"/>
      <c r="S591" s="94"/>
      <c r="V591" s="30"/>
      <c r="W591" s="30"/>
      <c r="X591" s="1"/>
      <c r="Y591" s="95"/>
      <c r="Z591" s="1"/>
      <c r="AA591" s="94"/>
      <c r="AB591" s="1"/>
      <c r="AC591" s="1"/>
      <c r="AD591" s="1"/>
      <c r="AE591" s="30"/>
      <c r="AF591" s="633"/>
      <c r="AG591" s="94"/>
      <c r="AH591" s="94"/>
      <c r="AI591" s="94"/>
      <c r="AJ591" s="94"/>
      <c r="AK591" s="94"/>
      <c r="AL591" s="94"/>
    </row>
    <row r="592" spans="3:38">
      <c r="C592" s="30"/>
      <c r="F592" s="95"/>
      <c r="G592" s="1"/>
      <c r="H592" s="94"/>
      <c r="I592" s="90"/>
      <c r="J592" s="90"/>
      <c r="K592" s="1"/>
      <c r="L592" s="74"/>
      <c r="M592" s="633"/>
      <c r="N592" s="274"/>
      <c r="O592" s="94"/>
      <c r="P592" s="94"/>
      <c r="Q592" s="94"/>
      <c r="R592" s="94"/>
      <c r="S592" s="94"/>
      <c r="V592" s="30"/>
      <c r="W592" s="30"/>
      <c r="X592" s="1"/>
      <c r="Y592" s="95"/>
      <c r="Z592" s="1"/>
      <c r="AA592" s="94"/>
      <c r="AB592" s="1"/>
      <c r="AC592" s="1"/>
      <c r="AD592" s="1"/>
      <c r="AE592" s="30"/>
      <c r="AF592" s="633"/>
      <c r="AG592" s="94"/>
      <c r="AH592" s="94"/>
      <c r="AI592" s="94"/>
      <c r="AJ592" s="94"/>
      <c r="AK592" s="94"/>
      <c r="AL592" s="94"/>
    </row>
    <row r="593" spans="3:38">
      <c r="C593" s="30"/>
      <c r="F593" s="95"/>
      <c r="G593" s="1"/>
      <c r="H593" s="94"/>
      <c r="I593" s="90"/>
      <c r="J593" s="90"/>
      <c r="K593" s="1"/>
      <c r="L593" s="74"/>
      <c r="M593" s="633"/>
      <c r="N593" s="274"/>
      <c r="O593" s="94"/>
      <c r="P593" s="94"/>
      <c r="Q593" s="94"/>
      <c r="R593" s="94"/>
      <c r="S593" s="94"/>
      <c r="V593" s="30"/>
      <c r="W593" s="30"/>
      <c r="X593" s="1"/>
      <c r="Y593" s="95"/>
      <c r="Z593" s="1"/>
      <c r="AA593" s="94"/>
      <c r="AB593" s="1"/>
      <c r="AC593" s="1"/>
      <c r="AD593" s="1"/>
      <c r="AE593" s="30"/>
      <c r="AF593" s="633"/>
      <c r="AG593" s="94"/>
      <c r="AH593" s="94"/>
      <c r="AI593" s="94"/>
      <c r="AJ593" s="94"/>
      <c r="AK593" s="94"/>
      <c r="AL593" s="94"/>
    </row>
    <row r="594" spans="3:38">
      <c r="C594" s="30"/>
      <c r="F594" s="95"/>
      <c r="G594" s="1"/>
      <c r="H594" s="94"/>
      <c r="I594" s="90"/>
      <c r="J594" s="90"/>
      <c r="K594" s="1"/>
      <c r="L594" s="74"/>
      <c r="M594" s="633"/>
      <c r="N594" s="274"/>
      <c r="O594" s="94"/>
      <c r="P594" s="94"/>
      <c r="Q594" s="94"/>
      <c r="R594" s="94"/>
      <c r="S594" s="94"/>
      <c r="V594" s="30"/>
      <c r="W594" s="30"/>
      <c r="X594" s="1"/>
      <c r="Y594" s="95"/>
      <c r="Z594" s="1"/>
      <c r="AA594" s="94"/>
      <c r="AB594" s="1"/>
      <c r="AC594" s="1"/>
      <c r="AD594" s="1"/>
      <c r="AE594" s="30"/>
      <c r="AF594" s="633"/>
      <c r="AG594" s="94"/>
      <c r="AH594" s="94"/>
      <c r="AI594" s="94"/>
      <c r="AJ594" s="94"/>
      <c r="AK594" s="94"/>
      <c r="AL594" s="94"/>
    </row>
    <row r="595" spans="3:38">
      <c r="C595" s="30"/>
      <c r="F595" s="95"/>
      <c r="G595" s="1"/>
      <c r="H595" s="94"/>
      <c r="I595" s="90"/>
      <c r="J595" s="90"/>
      <c r="K595" s="1"/>
      <c r="L595" s="74"/>
      <c r="M595" s="633"/>
      <c r="N595" s="274"/>
      <c r="O595" s="94"/>
      <c r="P595" s="94"/>
      <c r="Q595" s="94"/>
      <c r="R595" s="94"/>
      <c r="S595" s="94"/>
      <c r="V595" s="30"/>
      <c r="W595" s="30"/>
      <c r="X595" s="1"/>
      <c r="Y595" s="95"/>
      <c r="Z595" s="1"/>
      <c r="AA595" s="94"/>
      <c r="AB595" s="1"/>
      <c r="AC595" s="1"/>
      <c r="AD595" s="1"/>
      <c r="AE595" s="30"/>
      <c r="AF595" s="633"/>
      <c r="AG595" s="94"/>
      <c r="AH595" s="94"/>
      <c r="AI595" s="94"/>
      <c r="AJ595" s="94"/>
      <c r="AK595" s="94"/>
      <c r="AL595" s="94"/>
    </row>
    <row r="596" spans="3:38">
      <c r="C596" s="30"/>
      <c r="F596" s="95"/>
      <c r="G596" s="1"/>
      <c r="H596" s="94"/>
      <c r="I596" s="90"/>
      <c r="J596" s="90"/>
      <c r="K596" s="1"/>
      <c r="L596" s="74"/>
      <c r="M596" s="633"/>
      <c r="N596" s="274"/>
      <c r="O596" s="94"/>
      <c r="P596" s="94"/>
      <c r="Q596" s="94"/>
      <c r="R596" s="94"/>
      <c r="S596" s="94"/>
      <c r="V596" s="30"/>
      <c r="W596" s="30"/>
      <c r="X596" s="1"/>
      <c r="Y596" s="95"/>
      <c r="Z596" s="1"/>
      <c r="AA596" s="94"/>
      <c r="AB596" s="1"/>
      <c r="AC596" s="1"/>
      <c r="AD596" s="1"/>
      <c r="AE596" s="30"/>
      <c r="AF596" s="633"/>
      <c r="AG596" s="94"/>
      <c r="AH596" s="94"/>
      <c r="AI596" s="94"/>
      <c r="AJ596" s="94"/>
      <c r="AK596" s="94"/>
      <c r="AL596" s="94"/>
    </row>
    <row r="597" spans="3:38">
      <c r="C597" s="30"/>
      <c r="F597" s="95"/>
      <c r="G597" s="1"/>
      <c r="H597" s="94"/>
      <c r="I597" s="90"/>
      <c r="J597" s="90"/>
      <c r="K597" s="1"/>
      <c r="L597" s="74"/>
      <c r="M597" s="633"/>
      <c r="N597" s="274"/>
      <c r="O597" s="94"/>
      <c r="P597" s="94"/>
      <c r="Q597" s="94"/>
      <c r="R597" s="94"/>
      <c r="S597" s="94"/>
      <c r="V597" s="30"/>
      <c r="W597" s="30"/>
      <c r="X597" s="1"/>
      <c r="Y597" s="95"/>
      <c r="Z597" s="1"/>
      <c r="AA597" s="94"/>
      <c r="AB597" s="1"/>
      <c r="AC597" s="1"/>
      <c r="AD597" s="1"/>
      <c r="AE597" s="30"/>
      <c r="AF597" s="633"/>
      <c r="AG597" s="94"/>
      <c r="AH597" s="94"/>
      <c r="AI597" s="94"/>
      <c r="AJ597" s="94"/>
      <c r="AK597" s="94"/>
      <c r="AL597" s="94"/>
    </row>
    <row r="598" spans="3:38">
      <c r="C598" s="30"/>
      <c r="F598" s="95"/>
      <c r="G598" s="1"/>
      <c r="H598" s="94"/>
      <c r="I598" s="90"/>
      <c r="J598" s="90"/>
      <c r="K598" s="1"/>
      <c r="L598" s="74"/>
      <c r="M598" s="633"/>
      <c r="N598" s="274"/>
      <c r="O598" s="94"/>
      <c r="P598" s="94"/>
      <c r="Q598" s="94"/>
      <c r="R598" s="94"/>
      <c r="S598" s="94"/>
      <c r="V598" s="30"/>
      <c r="W598" s="30"/>
      <c r="X598" s="1"/>
      <c r="Y598" s="95"/>
      <c r="Z598" s="1"/>
      <c r="AA598" s="94"/>
      <c r="AB598" s="1"/>
      <c r="AC598" s="1"/>
      <c r="AD598" s="1"/>
      <c r="AE598" s="30"/>
      <c r="AF598" s="633"/>
      <c r="AG598" s="94"/>
      <c r="AH598" s="94"/>
      <c r="AI598" s="94"/>
      <c r="AJ598" s="94"/>
      <c r="AK598" s="94"/>
      <c r="AL598" s="94"/>
    </row>
    <row r="599" spans="3:38">
      <c r="C599" s="30"/>
      <c r="F599" s="95"/>
      <c r="G599" s="1"/>
      <c r="H599" s="94"/>
      <c r="I599" s="90"/>
      <c r="J599" s="90"/>
      <c r="K599" s="1"/>
      <c r="L599" s="74"/>
      <c r="M599" s="633"/>
      <c r="N599" s="274"/>
      <c r="O599" s="94"/>
      <c r="P599" s="94"/>
      <c r="Q599" s="94"/>
      <c r="R599" s="94"/>
      <c r="S599" s="94"/>
      <c r="V599" s="30"/>
      <c r="W599" s="30"/>
      <c r="X599" s="1"/>
      <c r="Y599" s="95"/>
      <c r="Z599" s="1"/>
      <c r="AA599" s="94"/>
      <c r="AB599" s="1"/>
      <c r="AC599" s="1"/>
      <c r="AD599" s="1"/>
      <c r="AE599" s="30"/>
      <c r="AF599" s="633"/>
      <c r="AG599" s="94"/>
      <c r="AH599" s="94"/>
      <c r="AI599" s="94"/>
      <c r="AJ599" s="94"/>
      <c r="AK599" s="94"/>
      <c r="AL599" s="94"/>
    </row>
    <row r="600" spans="3:38">
      <c r="C600" s="30"/>
      <c r="F600" s="95"/>
      <c r="G600" s="1"/>
      <c r="H600" s="94"/>
      <c r="I600" s="90"/>
      <c r="J600" s="90"/>
      <c r="K600" s="1"/>
      <c r="L600" s="74"/>
      <c r="M600" s="633"/>
      <c r="N600" s="274"/>
      <c r="O600" s="94"/>
      <c r="P600" s="94"/>
      <c r="Q600" s="94"/>
      <c r="R600" s="94"/>
      <c r="S600" s="94"/>
      <c r="V600" s="30"/>
      <c r="W600" s="30"/>
      <c r="X600" s="1"/>
      <c r="Y600" s="95"/>
      <c r="Z600" s="1"/>
      <c r="AA600" s="94"/>
      <c r="AB600" s="1"/>
      <c r="AC600" s="1"/>
      <c r="AD600" s="1"/>
      <c r="AE600" s="30"/>
      <c r="AF600" s="633"/>
      <c r="AG600" s="94"/>
      <c r="AH600" s="94"/>
      <c r="AI600" s="94"/>
      <c r="AJ600" s="94"/>
      <c r="AK600" s="94"/>
      <c r="AL600" s="94"/>
    </row>
    <row r="601" spans="3:38">
      <c r="C601" s="30"/>
      <c r="F601" s="95"/>
      <c r="G601" s="1"/>
      <c r="H601" s="94"/>
      <c r="I601" s="90"/>
      <c r="J601" s="90"/>
      <c r="K601" s="1"/>
      <c r="L601" s="74"/>
      <c r="M601" s="633"/>
      <c r="N601" s="274"/>
      <c r="O601" s="94"/>
      <c r="P601" s="94"/>
      <c r="Q601" s="94"/>
      <c r="R601" s="94"/>
      <c r="S601" s="94"/>
      <c r="V601" s="30"/>
      <c r="W601" s="30"/>
      <c r="X601" s="1"/>
      <c r="Y601" s="95"/>
      <c r="Z601" s="1"/>
      <c r="AA601" s="94"/>
      <c r="AB601" s="1"/>
      <c r="AC601" s="1"/>
      <c r="AD601" s="1"/>
      <c r="AE601" s="30"/>
      <c r="AF601" s="633"/>
      <c r="AG601" s="94"/>
      <c r="AH601" s="94"/>
      <c r="AI601" s="94"/>
      <c r="AJ601" s="94"/>
      <c r="AK601" s="94"/>
      <c r="AL601" s="94"/>
    </row>
    <row r="602" spans="3:38">
      <c r="C602" s="30"/>
      <c r="F602" s="95"/>
      <c r="G602" s="1"/>
      <c r="H602" s="94"/>
      <c r="I602" s="90"/>
      <c r="J602" s="90"/>
      <c r="K602" s="1"/>
      <c r="L602" s="74"/>
      <c r="M602" s="633"/>
      <c r="N602" s="274"/>
      <c r="O602" s="94"/>
      <c r="P602" s="94"/>
      <c r="Q602" s="94"/>
      <c r="R602" s="94"/>
      <c r="S602" s="94"/>
      <c r="V602" s="30"/>
      <c r="W602" s="30"/>
      <c r="X602" s="1"/>
      <c r="Y602" s="95"/>
      <c r="Z602" s="1"/>
      <c r="AA602" s="94"/>
      <c r="AB602" s="1"/>
      <c r="AC602" s="1"/>
      <c r="AD602" s="1"/>
      <c r="AE602" s="30"/>
      <c r="AF602" s="633"/>
      <c r="AG602" s="94"/>
      <c r="AH602" s="94"/>
      <c r="AI602" s="94"/>
      <c r="AJ602" s="94"/>
      <c r="AK602" s="94"/>
      <c r="AL602" s="94"/>
    </row>
    <row r="603" spans="3:38">
      <c r="C603" s="30"/>
      <c r="F603" s="95"/>
      <c r="G603" s="1"/>
      <c r="H603" s="94"/>
      <c r="I603" s="90"/>
      <c r="J603" s="90"/>
      <c r="K603" s="1"/>
      <c r="L603" s="74"/>
      <c r="M603" s="633"/>
      <c r="N603" s="274"/>
      <c r="O603" s="94"/>
      <c r="P603" s="94"/>
      <c r="Q603" s="94"/>
      <c r="R603" s="94"/>
      <c r="S603" s="94"/>
      <c r="V603" s="30"/>
      <c r="W603" s="30"/>
      <c r="X603" s="1"/>
      <c r="Y603" s="95"/>
      <c r="Z603" s="1"/>
      <c r="AA603" s="94"/>
      <c r="AB603" s="1"/>
      <c r="AC603" s="1"/>
      <c r="AD603" s="1"/>
      <c r="AE603" s="30"/>
      <c r="AF603" s="633"/>
      <c r="AG603" s="94"/>
      <c r="AH603" s="94"/>
      <c r="AI603" s="94"/>
      <c r="AJ603" s="94"/>
      <c r="AK603" s="94"/>
      <c r="AL603" s="94"/>
    </row>
    <row r="604" spans="3:38">
      <c r="C604" s="30"/>
      <c r="F604" s="95"/>
      <c r="G604" s="1"/>
      <c r="H604" s="94"/>
      <c r="I604" s="90"/>
      <c r="J604" s="90"/>
      <c r="K604" s="1"/>
      <c r="L604" s="74"/>
      <c r="M604" s="633"/>
      <c r="N604" s="274"/>
      <c r="O604" s="94"/>
      <c r="P604" s="94"/>
      <c r="Q604" s="94"/>
      <c r="R604" s="94"/>
      <c r="S604" s="94"/>
      <c r="V604" s="30"/>
      <c r="W604" s="30"/>
      <c r="X604" s="1"/>
      <c r="Y604" s="95"/>
      <c r="Z604" s="1"/>
      <c r="AA604" s="94"/>
      <c r="AB604" s="1"/>
      <c r="AC604" s="1"/>
      <c r="AD604" s="1"/>
      <c r="AE604" s="30"/>
      <c r="AF604" s="633"/>
      <c r="AG604" s="94"/>
      <c r="AH604" s="94"/>
      <c r="AI604" s="94"/>
      <c r="AJ604" s="94"/>
      <c r="AK604" s="94"/>
      <c r="AL604" s="94"/>
    </row>
    <row r="605" spans="3:38">
      <c r="C605" s="30"/>
      <c r="F605" s="95"/>
      <c r="G605" s="1"/>
      <c r="H605" s="94"/>
      <c r="I605" s="90"/>
      <c r="J605" s="90"/>
      <c r="K605" s="1"/>
      <c r="L605" s="74"/>
      <c r="M605" s="633"/>
      <c r="N605" s="274"/>
      <c r="O605" s="94"/>
      <c r="P605" s="94"/>
      <c r="Q605" s="94"/>
      <c r="R605" s="94"/>
      <c r="S605" s="94"/>
      <c r="V605" s="30"/>
      <c r="W605" s="30"/>
      <c r="X605" s="1"/>
      <c r="Y605" s="95"/>
      <c r="Z605" s="1"/>
      <c r="AA605" s="94"/>
      <c r="AB605" s="1"/>
      <c r="AC605" s="1"/>
      <c r="AD605" s="1"/>
      <c r="AE605" s="30"/>
      <c r="AF605" s="633"/>
      <c r="AG605" s="94"/>
      <c r="AH605" s="94"/>
      <c r="AI605" s="94"/>
      <c r="AJ605" s="94"/>
      <c r="AK605" s="94"/>
      <c r="AL605" s="94"/>
    </row>
    <row r="606" spans="3:38">
      <c r="C606" s="30"/>
      <c r="F606" s="95"/>
      <c r="G606" s="1"/>
      <c r="H606" s="94"/>
      <c r="I606" s="90"/>
      <c r="J606" s="90"/>
      <c r="K606" s="1"/>
      <c r="L606" s="74"/>
      <c r="M606" s="633"/>
      <c r="N606" s="274"/>
      <c r="O606" s="94"/>
      <c r="P606" s="94"/>
      <c r="Q606" s="94"/>
      <c r="R606" s="94"/>
      <c r="S606" s="94"/>
      <c r="V606" s="30"/>
      <c r="W606" s="30"/>
      <c r="X606" s="1"/>
      <c r="Y606" s="95"/>
      <c r="Z606" s="1"/>
      <c r="AA606" s="94"/>
      <c r="AB606" s="1"/>
      <c r="AC606" s="1"/>
      <c r="AD606" s="1"/>
      <c r="AE606" s="30"/>
      <c r="AF606" s="633"/>
      <c r="AG606" s="94"/>
      <c r="AH606" s="94"/>
      <c r="AI606" s="94"/>
      <c r="AJ606" s="94"/>
      <c r="AK606" s="94"/>
      <c r="AL606" s="94"/>
    </row>
    <row r="607" spans="3:38">
      <c r="C607" s="30"/>
      <c r="F607" s="95"/>
      <c r="G607" s="1"/>
      <c r="H607" s="94"/>
      <c r="I607" s="90"/>
      <c r="J607" s="90"/>
      <c r="K607" s="1"/>
      <c r="L607" s="74"/>
      <c r="M607" s="633"/>
      <c r="N607" s="274"/>
      <c r="O607" s="94"/>
      <c r="P607" s="94"/>
      <c r="Q607" s="94"/>
      <c r="R607" s="94"/>
      <c r="S607" s="94"/>
      <c r="V607" s="30"/>
      <c r="W607" s="30"/>
      <c r="X607" s="1"/>
      <c r="Y607" s="95"/>
      <c r="Z607" s="1"/>
      <c r="AA607" s="94"/>
      <c r="AB607" s="1"/>
      <c r="AC607" s="1"/>
      <c r="AD607" s="1"/>
      <c r="AE607" s="30"/>
      <c r="AF607" s="633"/>
      <c r="AG607" s="94"/>
      <c r="AH607" s="94"/>
      <c r="AI607" s="94"/>
      <c r="AJ607" s="94"/>
      <c r="AK607" s="94"/>
      <c r="AL607" s="94"/>
    </row>
    <row r="608" spans="3:38">
      <c r="C608" s="30"/>
      <c r="F608" s="95"/>
      <c r="G608" s="1"/>
      <c r="H608" s="94"/>
      <c r="I608" s="90"/>
      <c r="J608" s="90"/>
      <c r="K608" s="1"/>
      <c r="L608" s="74"/>
      <c r="M608" s="633"/>
      <c r="N608" s="274"/>
      <c r="O608" s="94"/>
      <c r="P608" s="94"/>
      <c r="Q608" s="94"/>
      <c r="R608" s="94"/>
      <c r="S608" s="94"/>
      <c r="V608" s="30"/>
      <c r="W608" s="30"/>
      <c r="X608" s="1"/>
      <c r="Y608" s="95"/>
      <c r="Z608" s="1"/>
      <c r="AA608" s="94"/>
      <c r="AB608" s="1"/>
      <c r="AC608" s="1"/>
      <c r="AD608" s="1"/>
      <c r="AE608" s="30"/>
      <c r="AF608" s="633"/>
      <c r="AG608" s="94"/>
      <c r="AH608" s="94"/>
      <c r="AI608" s="94"/>
      <c r="AJ608" s="94"/>
      <c r="AK608" s="94"/>
      <c r="AL608" s="94"/>
    </row>
    <row r="609" spans="3:38">
      <c r="C609" s="30"/>
      <c r="F609" s="95"/>
      <c r="G609" s="1"/>
      <c r="H609" s="94"/>
      <c r="I609" s="90"/>
      <c r="J609" s="90"/>
      <c r="K609" s="1"/>
      <c r="L609" s="74"/>
      <c r="M609" s="633"/>
      <c r="N609" s="274"/>
      <c r="O609" s="94"/>
      <c r="P609" s="94"/>
      <c r="Q609" s="94"/>
      <c r="R609" s="94"/>
      <c r="S609" s="94"/>
      <c r="V609" s="30"/>
      <c r="W609" s="30"/>
      <c r="X609" s="1"/>
      <c r="Y609" s="95"/>
      <c r="Z609" s="1"/>
      <c r="AA609" s="94"/>
      <c r="AB609" s="1"/>
      <c r="AC609" s="1"/>
      <c r="AD609" s="1"/>
      <c r="AE609" s="30"/>
      <c r="AF609" s="633"/>
      <c r="AG609" s="94"/>
      <c r="AH609" s="94"/>
      <c r="AI609" s="94"/>
      <c r="AJ609" s="94"/>
      <c r="AK609" s="94"/>
      <c r="AL609" s="94"/>
    </row>
    <row r="610" spans="3:38">
      <c r="C610" s="30"/>
      <c r="F610" s="95"/>
      <c r="G610" s="1"/>
      <c r="H610" s="94"/>
      <c r="I610" s="90"/>
      <c r="J610" s="90"/>
      <c r="K610" s="1"/>
      <c r="L610" s="74"/>
      <c r="M610" s="633"/>
      <c r="N610" s="274"/>
      <c r="O610" s="94"/>
      <c r="P610" s="94"/>
      <c r="Q610" s="94"/>
      <c r="R610" s="94"/>
      <c r="S610" s="94"/>
      <c r="V610" s="30"/>
      <c r="W610" s="30"/>
      <c r="X610" s="1"/>
      <c r="Y610" s="95"/>
      <c r="Z610" s="1"/>
      <c r="AA610" s="94"/>
      <c r="AB610" s="1"/>
      <c r="AC610" s="1"/>
      <c r="AD610" s="1"/>
      <c r="AE610" s="30"/>
      <c r="AF610" s="633"/>
      <c r="AG610" s="94"/>
      <c r="AH610" s="94"/>
      <c r="AI610" s="94"/>
      <c r="AJ610" s="94"/>
      <c r="AK610" s="94"/>
      <c r="AL610" s="94"/>
    </row>
    <row r="611" spans="3:38">
      <c r="C611" s="30"/>
      <c r="F611" s="95"/>
      <c r="G611" s="1"/>
      <c r="H611" s="94"/>
      <c r="I611" s="90"/>
      <c r="J611" s="90"/>
      <c r="K611" s="1"/>
      <c r="L611" s="74"/>
      <c r="M611" s="633"/>
      <c r="N611" s="274"/>
      <c r="O611" s="94"/>
      <c r="P611" s="94"/>
      <c r="Q611" s="94"/>
      <c r="R611" s="94"/>
      <c r="S611" s="94"/>
      <c r="V611" s="30"/>
      <c r="W611" s="30"/>
      <c r="X611" s="1"/>
      <c r="Y611" s="95"/>
      <c r="Z611" s="1"/>
      <c r="AA611" s="94"/>
      <c r="AB611" s="1"/>
      <c r="AC611" s="1"/>
      <c r="AD611" s="1"/>
      <c r="AE611" s="30"/>
      <c r="AF611" s="633"/>
      <c r="AG611" s="94"/>
      <c r="AH611" s="94"/>
      <c r="AI611" s="94"/>
      <c r="AJ611" s="94"/>
      <c r="AK611" s="94"/>
      <c r="AL611" s="94"/>
    </row>
    <row r="612" spans="3:38">
      <c r="C612" s="30"/>
      <c r="F612" s="95"/>
      <c r="G612" s="1"/>
      <c r="H612" s="94"/>
      <c r="I612" s="90"/>
      <c r="J612" s="90"/>
      <c r="K612" s="1"/>
      <c r="L612" s="74"/>
      <c r="M612" s="633"/>
      <c r="N612" s="274"/>
      <c r="O612" s="94"/>
      <c r="P612" s="94"/>
      <c r="Q612" s="94"/>
      <c r="R612" s="94"/>
      <c r="S612" s="94"/>
      <c r="V612" s="30"/>
      <c r="W612" s="30"/>
      <c r="X612" s="1"/>
      <c r="Y612" s="95"/>
      <c r="Z612" s="1"/>
      <c r="AA612" s="94"/>
      <c r="AB612" s="1"/>
      <c r="AC612" s="1"/>
      <c r="AD612" s="1"/>
      <c r="AE612" s="30"/>
      <c r="AF612" s="633"/>
      <c r="AG612" s="94"/>
      <c r="AH612" s="94"/>
      <c r="AI612" s="94"/>
      <c r="AJ612" s="94"/>
      <c r="AK612" s="94"/>
      <c r="AL612" s="94"/>
    </row>
    <row r="613" spans="3:38">
      <c r="C613" s="30"/>
      <c r="F613" s="95"/>
      <c r="G613" s="1"/>
      <c r="H613" s="94"/>
      <c r="I613" s="90"/>
      <c r="J613" s="90"/>
      <c r="K613" s="1"/>
      <c r="L613" s="74"/>
      <c r="M613" s="633"/>
      <c r="N613" s="274"/>
      <c r="O613" s="94"/>
      <c r="P613" s="94"/>
      <c r="Q613" s="94"/>
      <c r="R613" s="94"/>
      <c r="S613" s="94"/>
      <c r="V613" s="30"/>
      <c r="W613" s="30"/>
      <c r="X613" s="1"/>
      <c r="Y613" s="95"/>
      <c r="Z613" s="1"/>
      <c r="AA613" s="94"/>
      <c r="AB613" s="1"/>
      <c r="AC613" s="1"/>
      <c r="AD613" s="1"/>
      <c r="AE613" s="30"/>
      <c r="AF613" s="633"/>
      <c r="AG613" s="94"/>
      <c r="AH613" s="94"/>
      <c r="AI613" s="94"/>
      <c r="AJ613" s="94"/>
      <c r="AK613" s="94"/>
      <c r="AL613" s="94"/>
    </row>
    <row r="614" spans="3:38">
      <c r="C614" s="30"/>
      <c r="F614" s="95"/>
      <c r="G614" s="1"/>
      <c r="H614" s="94"/>
      <c r="I614" s="90"/>
      <c r="J614" s="90"/>
      <c r="K614" s="1"/>
      <c r="L614" s="74"/>
      <c r="M614" s="633"/>
      <c r="N614" s="274"/>
      <c r="O614" s="94"/>
      <c r="P614" s="94"/>
      <c r="Q614" s="94"/>
      <c r="R614" s="94"/>
      <c r="S614" s="94"/>
      <c r="V614" s="30"/>
      <c r="W614" s="30"/>
      <c r="X614" s="1"/>
      <c r="Y614" s="95"/>
      <c r="Z614" s="1"/>
      <c r="AA614" s="94"/>
      <c r="AB614" s="1"/>
      <c r="AC614" s="1"/>
      <c r="AD614" s="1"/>
      <c r="AE614" s="30"/>
      <c r="AF614" s="633"/>
      <c r="AG614" s="94"/>
      <c r="AH614" s="94"/>
      <c r="AI614" s="94"/>
      <c r="AJ614" s="94"/>
      <c r="AK614" s="94"/>
      <c r="AL614" s="94"/>
    </row>
    <row r="615" spans="3:38">
      <c r="C615" s="30"/>
      <c r="F615" s="95"/>
      <c r="G615" s="1"/>
      <c r="H615" s="94"/>
      <c r="I615" s="90"/>
      <c r="J615" s="90"/>
      <c r="K615" s="1"/>
      <c r="L615" s="74"/>
      <c r="M615" s="633"/>
      <c r="N615" s="274"/>
      <c r="O615" s="94"/>
      <c r="P615" s="94"/>
      <c r="Q615" s="94"/>
      <c r="R615" s="94"/>
      <c r="S615" s="94"/>
      <c r="V615" s="30"/>
      <c r="W615" s="30"/>
      <c r="X615" s="1"/>
      <c r="Y615" s="95"/>
      <c r="Z615" s="1"/>
      <c r="AA615" s="94"/>
      <c r="AB615" s="1"/>
      <c r="AC615" s="1"/>
      <c r="AD615" s="1"/>
      <c r="AE615" s="30"/>
      <c r="AF615" s="633"/>
      <c r="AG615" s="94"/>
      <c r="AH615" s="94"/>
      <c r="AI615" s="94"/>
      <c r="AJ615" s="94"/>
      <c r="AK615" s="94"/>
      <c r="AL615" s="94"/>
    </row>
    <row r="616" spans="3:38">
      <c r="C616" s="30"/>
      <c r="F616" s="95"/>
      <c r="G616" s="1"/>
      <c r="H616" s="94"/>
      <c r="I616" s="90"/>
      <c r="J616" s="90"/>
      <c r="K616" s="1"/>
      <c r="L616" s="74"/>
      <c r="M616" s="633"/>
      <c r="N616" s="274"/>
      <c r="O616" s="94"/>
      <c r="P616" s="94"/>
      <c r="Q616" s="94"/>
      <c r="R616" s="94"/>
      <c r="S616" s="94"/>
      <c r="V616" s="30"/>
      <c r="W616" s="30"/>
      <c r="X616" s="1"/>
      <c r="Y616" s="95"/>
      <c r="Z616" s="1"/>
      <c r="AA616" s="94"/>
      <c r="AB616" s="1"/>
      <c r="AC616" s="1"/>
      <c r="AD616" s="1"/>
      <c r="AE616" s="30"/>
      <c r="AF616" s="633"/>
      <c r="AG616" s="94"/>
      <c r="AH616" s="94"/>
      <c r="AI616" s="94"/>
      <c r="AJ616" s="94"/>
      <c r="AK616" s="94"/>
      <c r="AL616" s="94"/>
    </row>
    <row r="617" spans="3:38">
      <c r="C617" s="30"/>
      <c r="F617" s="95"/>
      <c r="G617" s="1"/>
      <c r="H617" s="94"/>
      <c r="I617" s="90"/>
      <c r="J617" s="90"/>
      <c r="K617" s="1"/>
      <c r="L617" s="74"/>
      <c r="M617" s="633"/>
      <c r="N617" s="274"/>
      <c r="O617" s="94"/>
      <c r="P617" s="94"/>
      <c r="Q617" s="94"/>
      <c r="R617" s="94"/>
      <c r="S617" s="94"/>
      <c r="V617" s="30"/>
      <c r="W617" s="30"/>
      <c r="X617" s="1"/>
      <c r="Y617" s="95"/>
      <c r="Z617" s="1"/>
      <c r="AA617" s="94"/>
      <c r="AB617" s="1"/>
      <c r="AC617" s="1"/>
      <c r="AD617" s="1"/>
      <c r="AE617" s="30"/>
      <c r="AF617" s="633"/>
      <c r="AG617" s="94"/>
      <c r="AH617" s="94"/>
      <c r="AI617" s="94"/>
      <c r="AJ617" s="94"/>
      <c r="AK617" s="94"/>
      <c r="AL617" s="94"/>
    </row>
    <row r="618" spans="3:38">
      <c r="C618" s="30"/>
      <c r="F618" s="95"/>
      <c r="G618" s="1"/>
      <c r="H618" s="94"/>
      <c r="I618" s="90"/>
      <c r="J618" s="90"/>
      <c r="K618" s="1"/>
      <c r="L618" s="74"/>
      <c r="M618" s="633"/>
      <c r="N618" s="274"/>
      <c r="O618" s="94"/>
      <c r="P618" s="94"/>
      <c r="Q618" s="94"/>
      <c r="R618" s="94"/>
      <c r="S618" s="94"/>
      <c r="V618" s="30"/>
      <c r="W618" s="30"/>
      <c r="X618" s="1"/>
      <c r="Y618" s="95"/>
      <c r="Z618" s="1"/>
      <c r="AA618" s="94"/>
      <c r="AB618" s="1"/>
      <c r="AC618" s="1"/>
      <c r="AD618" s="1"/>
      <c r="AE618" s="30"/>
      <c r="AF618" s="633"/>
      <c r="AG618" s="94"/>
      <c r="AH618" s="94"/>
      <c r="AI618" s="94"/>
      <c r="AJ618" s="94"/>
      <c r="AK618" s="94"/>
      <c r="AL618" s="94"/>
    </row>
    <row r="619" spans="3:38">
      <c r="C619" s="30"/>
      <c r="F619" s="95"/>
      <c r="G619" s="1"/>
      <c r="H619" s="94"/>
      <c r="I619" s="90"/>
      <c r="J619" s="90"/>
      <c r="K619" s="1"/>
      <c r="L619" s="74"/>
      <c r="M619" s="633"/>
      <c r="N619" s="274"/>
      <c r="O619" s="94"/>
      <c r="P619" s="94"/>
      <c r="Q619" s="94"/>
      <c r="R619" s="94"/>
      <c r="S619" s="94"/>
      <c r="V619" s="30"/>
      <c r="W619" s="30"/>
      <c r="X619" s="1"/>
      <c r="Y619" s="95"/>
      <c r="Z619" s="1"/>
      <c r="AA619" s="94"/>
      <c r="AB619" s="1"/>
      <c r="AC619" s="1"/>
      <c r="AD619" s="1"/>
      <c r="AE619" s="30"/>
      <c r="AF619" s="633"/>
      <c r="AG619" s="94"/>
      <c r="AH619" s="94"/>
      <c r="AI619" s="94"/>
      <c r="AJ619" s="94"/>
      <c r="AK619" s="94"/>
      <c r="AL619" s="94"/>
    </row>
    <row r="620" spans="3:38">
      <c r="C620" s="30"/>
      <c r="F620" s="95"/>
      <c r="G620" s="1"/>
      <c r="H620" s="94"/>
      <c r="I620" s="90"/>
      <c r="J620" s="90"/>
      <c r="K620" s="1"/>
      <c r="L620" s="74"/>
      <c r="M620" s="633"/>
      <c r="N620" s="274"/>
      <c r="O620" s="94"/>
      <c r="P620" s="94"/>
      <c r="Q620" s="94"/>
      <c r="R620" s="94"/>
      <c r="S620" s="94"/>
      <c r="V620" s="30"/>
      <c r="W620" s="30"/>
      <c r="X620" s="1"/>
      <c r="Y620" s="95"/>
      <c r="Z620" s="1"/>
      <c r="AA620" s="94"/>
      <c r="AB620" s="1"/>
      <c r="AC620" s="1"/>
      <c r="AD620" s="1"/>
      <c r="AE620" s="30"/>
      <c r="AF620" s="633"/>
      <c r="AG620" s="94"/>
      <c r="AH620" s="94"/>
      <c r="AI620" s="94"/>
      <c r="AJ620" s="94"/>
      <c r="AK620" s="94"/>
      <c r="AL620" s="94"/>
    </row>
    <row r="621" spans="3:38">
      <c r="C621" s="30"/>
      <c r="F621" s="95"/>
      <c r="G621" s="1"/>
      <c r="H621" s="94"/>
      <c r="I621" s="90"/>
      <c r="J621" s="90"/>
      <c r="K621" s="1"/>
      <c r="L621" s="74"/>
      <c r="M621" s="633"/>
      <c r="N621" s="274"/>
      <c r="O621" s="94"/>
      <c r="P621" s="94"/>
      <c r="Q621" s="94"/>
      <c r="R621" s="94"/>
      <c r="S621" s="94"/>
      <c r="V621" s="30"/>
      <c r="W621" s="30"/>
      <c r="X621" s="1"/>
      <c r="Y621" s="95"/>
      <c r="Z621" s="1"/>
      <c r="AA621" s="94"/>
      <c r="AB621" s="1"/>
      <c r="AC621" s="1"/>
      <c r="AD621" s="1"/>
      <c r="AE621" s="30"/>
      <c r="AF621" s="633"/>
      <c r="AG621" s="94"/>
      <c r="AH621" s="94"/>
      <c r="AI621" s="94"/>
      <c r="AJ621" s="94"/>
      <c r="AK621" s="94"/>
      <c r="AL621" s="94"/>
    </row>
    <row r="622" spans="3:38">
      <c r="C622" s="30"/>
      <c r="F622" s="95"/>
      <c r="G622" s="1"/>
      <c r="H622" s="94"/>
      <c r="I622" s="90"/>
      <c r="J622" s="90"/>
      <c r="K622" s="1"/>
      <c r="L622" s="74"/>
      <c r="M622" s="633"/>
      <c r="N622" s="274"/>
      <c r="O622" s="94"/>
      <c r="P622" s="94"/>
      <c r="Q622" s="94"/>
      <c r="R622" s="94"/>
      <c r="S622" s="94"/>
      <c r="V622" s="30"/>
      <c r="W622" s="30"/>
      <c r="X622" s="1"/>
      <c r="Y622" s="95"/>
      <c r="Z622" s="1"/>
      <c r="AA622" s="94"/>
      <c r="AB622" s="1"/>
      <c r="AC622" s="1"/>
      <c r="AD622" s="1"/>
      <c r="AE622" s="30"/>
      <c r="AF622" s="633"/>
      <c r="AG622" s="94"/>
      <c r="AH622" s="94"/>
      <c r="AI622" s="94"/>
      <c r="AJ622" s="94"/>
      <c r="AK622" s="94"/>
      <c r="AL622" s="94"/>
    </row>
    <row r="623" spans="3:38">
      <c r="C623" s="30"/>
      <c r="F623" s="95"/>
      <c r="G623" s="1"/>
      <c r="H623" s="94"/>
      <c r="I623" s="90"/>
      <c r="J623" s="90"/>
      <c r="K623" s="1"/>
      <c r="L623" s="74"/>
      <c r="M623" s="633"/>
      <c r="N623" s="274"/>
      <c r="O623" s="94"/>
      <c r="P623" s="94"/>
      <c r="Q623" s="94"/>
      <c r="R623" s="94"/>
      <c r="S623" s="94"/>
      <c r="V623" s="30"/>
      <c r="W623" s="30"/>
      <c r="X623" s="1"/>
      <c r="Y623" s="95"/>
      <c r="Z623" s="1"/>
      <c r="AA623" s="94"/>
      <c r="AB623" s="1"/>
      <c r="AC623" s="1"/>
      <c r="AD623" s="1"/>
      <c r="AE623" s="30"/>
      <c r="AF623" s="633"/>
      <c r="AG623" s="94"/>
      <c r="AH623" s="94"/>
      <c r="AI623" s="94"/>
      <c r="AJ623" s="94"/>
      <c r="AK623" s="94"/>
      <c r="AL623" s="94"/>
    </row>
    <row r="624" spans="3:38">
      <c r="C624" s="30"/>
      <c r="F624" s="95"/>
      <c r="G624" s="1"/>
      <c r="H624" s="94"/>
      <c r="I624" s="90"/>
      <c r="J624" s="90"/>
      <c r="K624" s="1"/>
      <c r="L624" s="74"/>
      <c r="M624" s="633"/>
      <c r="N624" s="274"/>
      <c r="O624" s="94"/>
      <c r="P624" s="94"/>
      <c r="Q624" s="94"/>
      <c r="R624" s="94"/>
      <c r="S624" s="94"/>
      <c r="V624" s="30"/>
      <c r="W624" s="30"/>
      <c r="X624" s="1"/>
      <c r="Y624" s="95"/>
      <c r="Z624" s="1"/>
      <c r="AA624" s="94"/>
      <c r="AB624" s="1"/>
      <c r="AC624" s="1"/>
      <c r="AD624" s="1"/>
      <c r="AE624" s="30"/>
      <c r="AF624" s="633"/>
      <c r="AG624" s="94"/>
      <c r="AH624" s="94"/>
      <c r="AI624" s="94"/>
      <c r="AJ624" s="94"/>
      <c r="AK624" s="94"/>
      <c r="AL624" s="94"/>
    </row>
    <row r="625" spans="3:38">
      <c r="C625" s="30"/>
      <c r="F625" s="95"/>
      <c r="G625" s="1"/>
      <c r="H625" s="94"/>
      <c r="I625" s="90"/>
      <c r="J625" s="90"/>
      <c r="K625" s="1"/>
      <c r="L625" s="74"/>
      <c r="M625" s="633"/>
      <c r="N625" s="274"/>
      <c r="O625" s="94"/>
      <c r="P625" s="94"/>
      <c r="Q625" s="94"/>
      <c r="R625" s="94"/>
      <c r="S625" s="94"/>
      <c r="V625" s="30"/>
      <c r="W625" s="30"/>
      <c r="X625" s="1"/>
      <c r="Y625" s="95"/>
      <c r="Z625" s="1"/>
      <c r="AA625" s="94"/>
      <c r="AB625" s="1"/>
      <c r="AC625" s="1"/>
      <c r="AD625" s="1"/>
      <c r="AE625" s="30"/>
      <c r="AF625" s="633"/>
      <c r="AG625" s="94"/>
      <c r="AH625" s="94"/>
      <c r="AI625" s="94"/>
      <c r="AJ625" s="94"/>
      <c r="AK625" s="94"/>
      <c r="AL625" s="94"/>
    </row>
    <row r="626" spans="3:38">
      <c r="C626" s="30"/>
      <c r="F626" s="95"/>
      <c r="G626" s="1"/>
      <c r="H626" s="94"/>
      <c r="I626" s="90"/>
      <c r="J626" s="90"/>
      <c r="K626" s="1"/>
      <c r="L626" s="74"/>
      <c r="M626" s="633"/>
      <c r="N626" s="274"/>
      <c r="O626" s="94"/>
      <c r="P626" s="94"/>
      <c r="Q626" s="94"/>
      <c r="R626" s="94"/>
      <c r="S626" s="94"/>
      <c r="V626" s="30"/>
      <c r="W626" s="30"/>
      <c r="X626" s="1"/>
      <c r="Y626" s="95"/>
      <c r="Z626" s="1"/>
      <c r="AA626" s="94"/>
      <c r="AB626" s="1"/>
      <c r="AC626" s="1"/>
      <c r="AD626" s="1"/>
      <c r="AE626" s="30"/>
      <c r="AF626" s="633"/>
      <c r="AG626" s="94"/>
      <c r="AH626" s="94"/>
      <c r="AI626" s="94"/>
      <c r="AJ626" s="94"/>
      <c r="AK626" s="94"/>
      <c r="AL626" s="94"/>
    </row>
    <row r="627" spans="3:38">
      <c r="C627" s="30"/>
      <c r="F627" s="95"/>
      <c r="G627" s="1"/>
      <c r="H627" s="94"/>
      <c r="I627" s="90"/>
      <c r="J627" s="90"/>
      <c r="K627" s="1"/>
      <c r="L627" s="74"/>
      <c r="M627" s="633"/>
      <c r="N627" s="274"/>
      <c r="O627" s="94"/>
      <c r="P627" s="94"/>
      <c r="Q627" s="94"/>
      <c r="R627" s="94"/>
      <c r="S627" s="94"/>
      <c r="V627" s="30"/>
      <c r="W627" s="30"/>
      <c r="X627" s="1"/>
      <c r="Y627" s="95"/>
      <c r="Z627" s="1"/>
      <c r="AA627" s="94"/>
      <c r="AB627" s="1"/>
      <c r="AC627" s="1"/>
      <c r="AD627" s="1"/>
      <c r="AE627" s="30"/>
      <c r="AF627" s="633"/>
      <c r="AG627" s="94"/>
      <c r="AH627" s="94"/>
      <c r="AI627" s="94"/>
      <c r="AJ627" s="94"/>
      <c r="AK627" s="94"/>
      <c r="AL627" s="94"/>
    </row>
    <row r="628" spans="3:38">
      <c r="C628" s="30"/>
      <c r="F628" s="95"/>
      <c r="G628" s="1"/>
      <c r="H628" s="94"/>
      <c r="I628" s="90"/>
      <c r="J628" s="90"/>
      <c r="K628" s="1"/>
      <c r="L628" s="74"/>
      <c r="M628" s="633"/>
      <c r="N628" s="274"/>
      <c r="O628" s="94"/>
      <c r="P628" s="94"/>
      <c r="Q628" s="94"/>
      <c r="R628" s="94"/>
      <c r="S628" s="94"/>
      <c r="V628" s="30"/>
      <c r="W628" s="30"/>
      <c r="X628" s="1"/>
      <c r="Y628" s="95"/>
      <c r="Z628" s="1"/>
      <c r="AA628" s="94"/>
      <c r="AB628" s="1"/>
      <c r="AC628" s="1"/>
      <c r="AD628" s="1"/>
      <c r="AE628" s="30"/>
      <c r="AF628" s="633"/>
      <c r="AG628" s="94"/>
      <c r="AH628" s="94"/>
      <c r="AI628" s="94"/>
      <c r="AJ628" s="94"/>
      <c r="AK628" s="94"/>
      <c r="AL628" s="94"/>
    </row>
    <row r="629" spans="3:38">
      <c r="C629" s="30"/>
      <c r="F629" s="95"/>
      <c r="G629" s="1"/>
      <c r="H629" s="94"/>
      <c r="I629" s="90"/>
      <c r="J629" s="90"/>
      <c r="K629" s="1"/>
      <c r="L629" s="74"/>
      <c r="M629" s="633"/>
      <c r="N629" s="274"/>
      <c r="O629" s="94"/>
      <c r="P629" s="94"/>
      <c r="Q629" s="94"/>
      <c r="R629" s="94"/>
      <c r="S629" s="94"/>
      <c r="V629" s="30"/>
      <c r="W629" s="30"/>
      <c r="X629" s="1"/>
      <c r="Y629" s="95"/>
      <c r="Z629" s="1"/>
      <c r="AA629" s="94"/>
      <c r="AB629" s="1"/>
      <c r="AC629" s="1"/>
      <c r="AD629" s="1"/>
      <c r="AE629" s="30"/>
      <c r="AF629" s="633"/>
      <c r="AG629" s="94"/>
      <c r="AH629" s="94"/>
      <c r="AI629" s="94"/>
      <c r="AJ629" s="94"/>
      <c r="AK629" s="94"/>
      <c r="AL629" s="94"/>
    </row>
    <row r="630" spans="3:38">
      <c r="C630" s="30"/>
      <c r="F630" s="95"/>
      <c r="G630" s="1"/>
      <c r="H630" s="94"/>
      <c r="I630" s="90"/>
      <c r="J630" s="90"/>
      <c r="K630" s="1"/>
      <c r="L630" s="74"/>
      <c r="M630" s="633"/>
      <c r="N630" s="274"/>
      <c r="O630" s="94"/>
      <c r="P630" s="94"/>
      <c r="Q630" s="94"/>
      <c r="R630" s="94"/>
      <c r="S630" s="94"/>
      <c r="V630" s="30"/>
      <c r="W630" s="30"/>
      <c r="X630" s="1"/>
      <c r="Y630" s="95"/>
      <c r="Z630" s="1"/>
      <c r="AA630" s="94"/>
      <c r="AB630" s="1"/>
      <c r="AC630" s="1"/>
      <c r="AD630" s="1"/>
      <c r="AE630" s="30"/>
      <c r="AF630" s="633"/>
      <c r="AG630" s="94"/>
      <c r="AH630" s="94"/>
      <c r="AI630" s="94"/>
      <c r="AJ630" s="94"/>
      <c r="AK630" s="94"/>
      <c r="AL630" s="94"/>
    </row>
    <row r="631" spans="3:38">
      <c r="C631" s="30"/>
      <c r="F631" s="95"/>
      <c r="G631" s="1"/>
      <c r="H631" s="94"/>
      <c r="I631" s="90"/>
      <c r="J631" s="90"/>
      <c r="K631" s="1"/>
      <c r="L631" s="74"/>
      <c r="M631" s="633"/>
      <c r="N631" s="274"/>
      <c r="O631" s="94"/>
      <c r="P631" s="94"/>
      <c r="Q631" s="94"/>
      <c r="R631" s="94"/>
      <c r="S631" s="94"/>
      <c r="V631" s="30"/>
      <c r="W631" s="30"/>
      <c r="X631" s="1"/>
      <c r="Y631" s="95"/>
      <c r="Z631" s="1"/>
      <c r="AA631" s="94"/>
      <c r="AB631" s="1"/>
      <c r="AC631" s="1"/>
      <c r="AD631" s="1"/>
      <c r="AE631" s="30"/>
      <c r="AF631" s="633"/>
      <c r="AG631" s="94"/>
      <c r="AH631" s="94"/>
      <c r="AI631" s="94"/>
      <c r="AJ631" s="94"/>
      <c r="AK631" s="94"/>
      <c r="AL631" s="94"/>
    </row>
    <row r="632" spans="3:38">
      <c r="C632" s="30"/>
      <c r="F632" s="95"/>
      <c r="G632" s="1"/>
      <c r="H632" s="94"/>
      <c r="I632" s="90"/>
      <c r="J632" s="90"/>
      <c r="K632" s="1"/>
      <c r="L632" s="74"/>
      <c r="M632" s="633"/>
      <c r="N632" s="274"/>
      <c r="O632" s="94"/>
      <c r="P632" s="94"/>
      <c r="Q632" s="94"/>
      <c r="R632" s="94"/>
      <c r="S632" s="94"/>
      <c r="V632" s="30"/>
      <c r="W632" s="30"/>
      <c r="X632" s="1"/>
      <c r="Y632" s="95"/>
      <c r="Z632" s="1"/>
      <c r="AA632" s="94"/>
      <c r="AB632" s="1"/>
      <c r="AC632" s="1"/>
      <c r="AD632" s="1"/>
      <c r="AE632" s="30"/>
      <c r="AF632" s="633"/>
      <c r="AG632" s="94"/>
      <c r="AH632" s="94"/>
      <c r="AI632" s="94"/>
      <c r="AJ632" s="94"/>
      <c r="AK632" s="94"/>
      <c r="AL632" s="94"/>
    </row>
    <row r="633" spans="3:38">
      <c r="C633" s="30"/>
      <c r="F633" s="95"/>
      <c r="G633" s="1"/>
      <c r="H633" s="94"/>
      <c r="I633" s="90"/>
      <c r="J633" s="90"/>
      <c r="K633" s="1"/>
      <c r="L633" s="74"/>
      <c r="M633" s="633"/>
      <c r="N633" s="274"/>
      <c r="O633" s="94"/>
      <c r="P633" s="94"/>
      <c r="Q633" s="94"/>
      <c r="R633" s="94"/>
      <c r="S633" s="94"/>
      <c r="V633" s="30"/>
      <c r="W633" s="30"/>
      <c r="X633" s="1"/>
      <c r="Y633" s="95"/>
      <c r="Z633" s="1"/>
      <c r="AA633" s="94"/>
      <c r="AB633" s="1"/>
      <c r="AC633" s="1"/>
      <c r="AD633" s="1"/>
      <c r="AE633" s="30"/>
      <c r="AF633" s="633"/>
      <c r="AG633" s="94"/>
      <c r="AH633" s="94"/>
      <c r="AI633" s="94"/>
      <c r="AJ633" s="94"/>
      <c r="AK633" s="94"/>
      <c r="AL633" s="94"/>
    </row>
    <row r="634" spans="3:38">
      <c r="C634" s="30"/>
      <c r="F634" s="95"/>
      <c r="G634" s="1"/>
      <c r="H634" s="94"/>
      <c r="I634" s="90"/>
      <c r="J634" s="90"/>
      <c r="K634" s="1"/>
      <c r="L634" s="74"/>
      <c r="M634" s="633"/>
      <c r="N634" s="274"/>
      <c r="O634" s="94"/>
      <c r="P634" s="94"/>
      <c r="Q634" s="94"/>
      <c r="R634" s="94"/>
      <c r="S634" s="94"/>
      <c r="V634" s="30"/>
      <c r="W634" s="30"/>
      <c r="X634" s="1"/>
      <c r="Y634" s="95"/>
      <c r="Z634" s="1"/>
      <c r="AA634" s="94"/>
      <c r="AB634" s="1"/>
      <c r="AC634" s="1"/>
      <c r="AD634" s="1"/>
      <c r="AE634" s="30"/>
      <c r="AF634" s="633"/>
      <c r="AG634" s="94"/>
      <c r="AH634" s="94"/>
      <c r="AI634" s="94"/>
      <c r="AJ634" s="94"/>
      <c r="AK634" s="94"/>
      <c r="AL634" s="94"/>
    </row>
    <row r="635" spans="3:38">
      <c r="C635" s="30"/>
      <c r="F635" s="95"/>
      <c r="G635" s="1"/>
      <c r="H635" s="94"/>
      <c r="I635" s="90"/>
      <c r="J635" s="90"/>
      <c r="K635" s="1"/>
      <c r="L635" s="74"/>
      <c r="M635" s="633"/>
      <c r="N635" s="274"/>
      <c r="O635" s="94"/>
      <c r="P635" s="94"/>
      <c r="Q635" s="94"/>
      <c r="R635" s="94"/>
      <c r="S635" s="94"/>
      <c r="V635" s="30"/>
      <c r="W635" s="30"/>
      <c r="X635" s="1"/>
      <c r="Y635" s="95"/>
      <c r="Z635" s="1"/>
      <c r="AA635" s="94"/>
      <c r="AB635" s="1"/>
      <c r="AC635" s="1"/>
      <c r="AD635" s="1"/>
      <c r="AE635" s="30"/>
      <c r="AF635" s="633"/>
      <c r="AG635" s="94"/>
      <c r="AH635" s="94"/>
      <c r="AI635" s="94"/>
      <c r="AJ635" s="94"/>
      <c r="AK635" s="94"/>
      <c r="AL635" s="94"/>
    </row>
    <row r="636" spans="3:38">
      <c r="C636" s="30"/>
      <c r="F636" s="95"/>
      <c r="G636" s="1"/>
      <c r="H636" s="94"/>
      <c r="I636" s="90"/>
      <c r="J636" s="90"/>
      <c r="K636" s="1"/>
      <c r="L636" s="74"/>
      <c r="M636" s="633"/>
      <c r="N636" s="274"/>
      <c r="O636" s="94"/>
      <c r="P636" s="94"/>
      <c r="Q636" s="94"/>
      <c r="R636" s="94"/>
      <c r="S636" s="94"/>
      <c r="V636" s="30"/>
      <c r="W636" s="30"/>
      <c r="X636" s="1"/>
      <c r="Y636" s="95"/>
      <c r="Z636" s="1"/>
      <c r="AA636" s="94"/>
      <c r="AB636" s="1"/>
      <c r="AC636" s="1"/>
      <c r="AD636" s="1"/>
      <c r="AE636" s="30"/>
      <c r="AF636" s="633"/>
      <c r="AG636" s="94"/>
      <c r="AH636" s="94"/>
      <c r="AI636" s="94"/>
      <c r="AJ636" s="94"/>
      <c r="AK636" s="94"/>
      <c r="AL636" s="94"/>
    </row>
    <row r="637" spans="3:38">
      <c r="C637" s="30"/>
      <c r="F637" s="95"/>
      <c r="G637" s="1"/>
      <c r="H637" s="94"/>
      <c r="I637" s="90"/>
      <c r="J637" s="90"/>
      <c r="K637" s="1"/>
      <c r="L637" s="74"/>
      <c r="M637" s="633"/>
      <c r="N637" s="274"/>
      <c r="O637" s="94"/>
      <c r="P637" s="94"/>
      <c r="Q637" s="94"/>
      <c r="R637" s="94"/>
      <c r="S637" s="94"/>
      <c r="V637" s="30"/>
      <c r="W637" s="30"/>
      <c r="X637" s="1"/>
      <c r="Y637" s="95"/>
      <c r="Z637" s="1"/>
      <c r="AA637" s="94"/>
      <c r="AB637" s="1"/>
      <c r="AC637" s="1"/>
      <c r="AD637" s="1"/>
      <c r="AE637" s="30"/>
      <c r="AF637" s="633"/>
      <c r="AG637" s="94"/>
      <c r="AH637" s="94"/>
      <c r="AI637" s="94"/>
      <c r="AJ637" s="94"/>
      <c r="AK637" s="94"/>
      <c r="AL637" s="94"/>
    </row>
    <row r="638" spans="3:38">
      <c r="C638" s="30"/>
      <c r="F638" s="95"/>
      <c r="G638" s="1"/>
      <c r="H638" s="94"/>
      <c r="I638" s="90"/>
      <c r="J638" s="90"/>
      <c r="K638" s="1"/>
      <c r="L638" s="74"/>
      <c r="M638" s="633"/>
      <c r="N638" s="274"/>
      <c r="O638" s="94"/>
      <c r="P638" s="94"/>
      <c r="Q638" s="94"/>
      <c r="R638" s="94"/>
      <c r="S638" s="94"/>
      <c r="V638" s="30"/>
      <c r="W638" s="30"/>
      <c r="X638" s="1"/>
      <c r="Y638" s="95"/>
      <c r="Z638" s="1"/>
      <c r="AA638" s="94"/>
      <c r="AB638" s="1"/>
      <c r="AC638" s="1"/>
      <c r="AD638" s="1"/>
      <c r="AE638" s="30"/>
      <c r="AF638" s="633"/>
      <c r="AG638" s="94"/>
      <c r="AH638" s="94"/>
      <c r="AI638" s="94"/>
      <c r="AJ638" s="94"/>
      <c r="AK638" s="94"/>
      <c r="AL638" s="94"/>
    </row>
    <row r="639" spans="3:38">
      <c r="C639" s="30"/>
      <c r="F639" s="95"/>
      <c r="G639" s="1"/>
      <c r="H639" s="94"/>
      <c r="I639" s="90"/>
      <c r="J639" s="90"/>
      <c r="K639" s="1"/>
      <c r="L639" s="74"/>
      <c r="M639" s="633"/>
      <c r="N639" s="274"/>
      <c r="O639" s="94"/>
      <c r="P639" s="94"/>
      <c r="Q639" s="94"/>
      <c r="R639" s="94"/>
      <c r="S639" s="94"/>
      <c r="V639" s="30"/>
      <c r="W639" s="30"/>
      <c r="X639" s="1"/>
      <c r="Y639" s="95"/>
      <c r="Z639" s="1"/>
      <c r="AA639" s="94"/>
      <c r="AB639" s="1"/>
      <c r="AC639" s="1"/>
      <c r="AD639" s="1"/>
      <c r="AE639" s="30"/>
      <c r="AF639" s="633"/>
      <c r="AG639" s="94"/>
      <c r="AH639" s="94"/>
      <c r="AI639" s="94"/>
      <c r="AJ639" s="94"/>
      <c r="AK639" s="94"/>
      <c r="AL639" s="94"/>
    </row>
    <row r="640" spans="3:38">
      <c r="C640" s="30"/>
      <c r="F640" s="95"/>
      <c r="G640" s="1"/>
      <c r="H640" s="94"/>
      <c r="I640" s="90"/>
      <c r="J640" s="90"/>
      <c r="K640" s="1"/>
      <c r="L640" s="74"/>
      <c r="M640" s="633"/>
      <c r="N640" s="274"/>
      <c r="O640" s="94"/>
      <c r="P640" s="94"/>
      <c r="Q640" s="94"/>
      <c r="R640" s="94"/>
      <c r="S640" s="94"/>
      <c r="V640" s="30"/>
      <c r="W640" s="30"/>
      <c r="X640" s="1"/>
      <c r="Y640" s="95"/>
      <c r="Z640" s="1"/>
      <c r="AA640" s="94"/>
      <c r="AB640" s="1"/>
      <c r="AC640" s="1"/>
      <c r="AD640" s="1"/>
      <c r="AE640" s="30"/>
      <c r="AF640" s="633"/>
      <c r="AG640" s="94"/>
      <c r="AH640" s="94"/>
      <c r="AI640" s="94"/>
      <c r="AJ640" s="94"/>
      <c r="AK640" s="94"/>
      <c r="AL640" s="94"/>
    </row>
    <row r="641" spans="3:38">
      <c r="C641" s="30"/>
      <c r="F641" s="95"/>
      <c r="G641" s="1"/>
      <c r="H641" s="94"/>
      <c r="I641" s="90"/>
      <c r="J641" s="90"/>
      <c r="K641" s="1"/>
      <c r="L641" s="74"/>
      <c r="M641" s="633"/>
      <c r="N641" s="274"/>
      <c r="O641" s="94"/>
      <c r="P641" s="94"/>
      <c r="Q641" s="94"/>
      <c r="R641" s="94"/>
      <c r="S641" s="94"/>
      <c r="V641" s="30"/>
      <c r="W641" s="30"/>
      <c r="X641" s="1"/>
      <c r="Y641" s="95"/>
      <c r="Z641" s="1"/>
      <c r="AA641" s="94"/>
      <c r="AB641" s="1"/>
      <c r="AC641" s="1"/>
      <c r="AD641" s="1"/>
      <c r="AE641" s="30"/>
      <c r="AF641" s="633"/>
      <c r="AG641" s="94"/>
      <c r="AH641" s="94"/>
      <c r="AI641" s="94"/>
      <c r="AJ641" s="94"/>
      <c r="AK641" s="94"/>
      <c r="AL641" s="94"/>
    </row>
    <row r="642" spans="3:38">
      <c r="C642" s="30"/>
      <c r="F642" s="95"/>
      <c r="G642" s="1"/>
      <c r="H642" s="94"/>
      <c r="I642" s="90"/>
      <c r="J642" s="90"/>
      <c r="K642" s="1"/>
      <c r="L642" s="74"/>
      <c r="M642" s="633"/>
      <c r="N642" s="274"/>
      <c r="O642" s="94"/>
      <c r="P642" s="94"/>
      <c r="Q642" s="94"/>
      <c r="R642" s="94"/>
      <c r="S642" s="94"/>
      <c r="V642" s="30"/>
      <c r="W642" s="30"/>
      <c r="X642" s="1"/>
      <c r="Y642" s="95"/>
      <c r="Z642" s="1"/>
      <c r="AA642" s="94"/>
      <c r="AB642" s="1"/>
      <c r="AC642" s="1"/>
      <c r="AD642" s="1"/>
      <c r="AE642" s="30"/>
      <c r="AF642" s="633"/>
      <c r="AG642" s="94"/>
      <c r="AH642" s="94"/>
      <c r="AI642" s="94"/>
      <c r="AJ642" s="94"/>
      <c r="AK642" s="94"/>
      <c r="AL642" s="94"/>
    </row>
    <row r="643" spans="3:38">
      <c r="C643" s="30"/>
      <c r="F643" s="95"/>
      <c r="G643" s="1"/>
      <c r="H643" s="94"/>
      <c r="I643" s="90"/>
      <c r="J643" s="90"/>
      <c r="K643" s="1"/>
      <c r="L643" s="74"/>
      <c r="M643" s="633"/>
      <c r="N643" s="274"/>
      <c r="O643" s="94"/>
      <c r="P643" s="94"/>
      <c r="Q643" s="94"/>
      <c r="R643" s="94"/>
      <c r="S643" s="94"/>
      <c r="V643" s="30"/>
      <c r="W643" s="30"/>
      <c r="X643" s="1"/>
      <c r="Y643" s="95"/>
      <c r="Z643" s="1"/>
      <c r="AA643" s="94"/>
      <c r="AB643" s="1"/>
      <c r="AC643" s="1"/>
      <c r="AD643" s="1"/>
      <c r="AE643" s="30"/>
      <c r="AF643" s="633"/>
      <c r="AG643" s="94"/>
      <c r="AH643" s="94"/>
      <c r="AI643" s="94"/>
      <c r="AJ643" s="94"/>
      <c r="AK643" s="94"/>
      <c r="AL643" s="94"/>
    </row>
    <row r="644" spans="3:38">
      <c r="C644" s="30"/>
      <c r="F644" s="95"/>
      <c r="G644" s="1"/>
      <c r="H644" s="94"/>
      <c r="I644" s="90"/>
      <c r="J644" s="90"/>
      <c r="K644" s="1"/>
      <c r="L644" s="74"/>
      <c r="M644" s="633"/>
      <c r="N644" s="274"/>
      <c r="O644" s="94"/>
      <c r="P644" s="94"/>
      <c r="Q644" s="94"/>
      <c r="R644" s="94"/>
      <c r="S644" s="94"/>
      <c r="V644" s="30"/>
      <c r="W644" s="30"/>
      <c r="X644" s="1"/>
      <c r="Y644" s="95"/>
      <c r="Z644" s="1"/>
      <c r="AA644" s="94"/>
      <c r="AB644" s="1"/>
      <c r="AC644" s="1"/>
      <c r="AD644" s="1"/>
      <c r="AE644" s="30"/>
      <c r="AF644" s="633"/>
      <c r="AG644" s="94"/>
      <c r="AH644" s="94"/>
      <c r="AI644" s="94"/>
      <c r="AJ644" s="94"/>
      <c r="AK644" s="94"/>
      <c r="AL644" s="94"/>
    </row>
    <row r="645" spans="3:38">
      <c r="C645" s="30"/>
      <c r="F645" s="95"/>
      <c r="G645" s="1"/>
      <c r="H645" s="94"/>
      <c r="I645" s="90"/>
      <c r="J645" s="90"/>
      <c r="K645" s="1"/>
      <c r="L645" s="74"/>
      <c r="M645" s="633"/>
      <c r="N645" s="274"/>
      <c r="O645" s="94"/>
      <c r="P645" s="94"/>
      <c r="Q645" s="94"/>
      <c r="R645" s="94"/>
      <c r="S645" s="94"/>
      <c r="V645" s="30"/>
      <c r="W645" s="30"/>
      <c r="X645" s="1"/>
      <c r="Y645" s="95"/>
      <c r="Z645" s="1"/>
      <c r="AA645" s="94"/>
      <c r="AB645" s="1"/>
      <c r="AC645" s="1"/>
      <c r="AD645" s="1"/>
      <c r="AE645" s="30"/>
      <c r="AF645" s="633"/>
      <c r="AG645" s="94"/>
      <c r="AH645" s="94"/>
      <c r="AI645" s="94"/>
      <c r="AJ645" s="94"/>
      <c r="AK645" s="94"/>
      <c r="AL645" s="94"/>
    </row>
    <row r="646" spans="3:38">
      <c r="C646" s="30"/>
      <c r="F646" s="95"/>
      <c r="G646" s="1"/>
      <c r="H646" s="94"/>
      <c r="I646" s="90"/>
      <c r="J646" s="90"/>
      <c r="K646" s="1"/>
      <c r="L646" s="74"/>
      <c r="M646" s="633"/>
      <c r="N646" s="274"/>
      <c r="O646" s="94"/>
      <c r="P646" s="94"/>
      <c r="Q646" s="94"/>
      <c r="R646" s="94"/>
      <c r="S646" s="94"/>
      <c r="V646" s="30"/>
      <c r="W646" s="30"/>
      <c r="X646" s="1"/>
      <c r="Y646" s="95"/>
      <c r="Z646" s="1"/>
      <c r="AA646" s="94"/>
      <c r="AB646" s="1"/>
      <c r="AC646" s="1"/>
      <c r="AD646" s="1"/>
      <c r="AE646" s="30"/>
      <c r="AF646" s="633"/>
      <c r="AG646" s="94"/>
      <c r="AH646" s="94"/>
      <c r="AI646" s="94"/>
      <c r="AJ646" s="94"/>
      <c r="AK646" s="94"/>
      <c r="AL646" s="94"/>
    </row>
    <row r="647" spans="3:38">
      <c r="C647" s="30"/>
      <c r="F647" s="95"/>
      <c r="G647" s="1"/>
      <c r="H647" s="94"/>
      <c r="I647" s="90"/>
      <c r="J647" s="90"/>
      <c r="K647" s="1"/>
      <c r="L647" s="74"/>
      <c r="M647" s="633"/>
      <c r="N647" s="274"/>
      <c r="O647" s="94"/>
      <c r="P647" s="94"/>
      <c r="Q647" s="94"/>
      <c r="R647" s="94"/>
      <c r="S647" s="94"/>
      <c r="V647" s="30"/>
      <c r="W647" s="30"/>
      <c r="X647" s="1"/>
      <c r="Y647" s="95"/>
      <c r="Z647" s="1"/>
      <c r="AA647" s="94"/>
      <c r="AB647" s="1"/>
      <c r="AC647" s="1"/>
      <c r="AD647" s="1"/>
      <c r="AE647" s="30"/>
      <c r="AF647" s="633"/>
      <c r="AG647" s="94"/>
      <c r="AH647" s="94"/>
      <c r="AI647" s="94"/>
      <c r="AJ647" s="94"/>
      <c r="AK647" s="94"/>
      <c r="AL647" s="94"/>
    </row>
    <row r="648" spans="3:38">
      <c r="C648" s="30"/>
      <c r="F648" s="95"/>
      <c r="G648" s="1"/>
      <c r="H648" s="94"/>
      <c r="I648" s="90"/>
      <c r="J648" s="90"/>
      <c r="K648" s="1"/>
      <c r="L648" s="74"/>
      <c r="M648" s="633"/>
      <c r="N648" s="274"/>
      <c r="O648" s="94"/>
      <c r="P648" s="94"/>
      <c r="Q648" s="94"/>
      <c r="R648" s="94"/>
      <c r="S648" s="94"/>
      <c r="V648" s="30"/>
      <c r="W648" s="30"/>
      <c r="X648" s="1"/>
      <c r="Y648" s="95"/>
      <c r="Z648" s="1"/>
      <c r="AA648" s="94"/>
      <c r="AB648" s="1"/>
      <c r="AC648" s="1"/>
      <c r="AD648" s="1"/>
      <c r="AE648" s="30"/>
      <c r="AF648" s="633"/>
      <c r="AG648" s="94"/>
      <c r="AH648" s="94"/>
      <c r="AI648" s="94"/>
      <c r="AJ648" s="94"/>
      <c r="AK648" s="94"/>
      <c r="AL648" s="94"/>
    </row>
    <row r="649" spans="3:38">
      <c r="C649" s="30"/>
      <c r="F649" s="95"/>
      <c r="G649" s="1"/>
      <c r="H649" s="94"/>
      <c r="I649" s="90"/>
      <c r="J649" s="90"/>
      <c r="K649" s="1"/>
      <c r="L649" s="74"/>
      <c r="M649" s="633"/>
      <c r="N649" s="274"/>
      <c r="O649" s="94"/>
      <c r="P649" s="94"/>
      <c r="Q649" s="94"/>
      <c r="R649" s="94"/>
      <c r="S649" s="94"/>
      <c r="V649" s="30"/>
      <c r="W649" s="30"/>
      <c r="X649" s="1"/>
      <c r="Y649" s="95"/>
      <c r="Z649" s="1"/>
      <c r="AA649" s="94"/>
      <c r="AB649" s="1"/>
      <c r="AC649" s="1"/>
      <c r="AD649" s="1"/>
      <c r="AE649" s="30"/>
      <c r="AF649" s="633"/>
      <c r="AG649" s="94"/>
      <c r="AH649" s="94"/>
      <c r="AI649" s="94"/>
      <c r="AJ649" s="94"/>
      <c r="AK649" s="94"/>
      <c r="AL649" s="94"/>
    </row>
    <row r="650" spans="3:38">
      <c r="C650" s="30"/>
      <c r="F650" s="95"/>
      <c r="G650" s="1"/>
      <c r="H650" s="94"/>
      <c r="I650" s="90"/>
      <c r="J650" s="90"/>
      <c r="K650" s="1"/>
      <c r="L650" s="74"/>
      <c r="M650" s="633"/>
      <c r="N650" s="274"/>
      <c r="O650" s="94"/>
      <c r="P650" s="94"/>
      <c r="Q650" s="94"/>
      <c r="R650" s="94"/>
      <c r="S650" s="94"/>
      <c r="V650" s="30"/>
      <c r="W650" s="30"/>
      <c r="X650" s="1"/>
      <c r="Y650" s="95"/>
      <c r="Z650" s="1"/>
      <c r="AA650" s="94"/>
      <c r="AB650" s="1"/>
      <c r="AC650" s="1"/>
      <c r="AD650" s="1"/>
      <c r="AE650" s="30"/>
      <c r="AF650" s="633"/>
      <c r="AG650" s="94"/>
      <c r="AH650" s="94"/>
      <c r="AI650" s="94"/>
      <c r="AJ650" s="94"/>
      <c r="AK650" s="94"/>
      <c r="AL650" s="94"/>
    </row>
    <row r="651" spans="3:38">
      <c r="C651" s="30"/>
      <c r="F651" s="95"/>
      <c r="G651" s="1"/>
      <c r="H651" s="94"/>
      <c r="I651" s="90"/>
      <c r="J651" s="90"/>
      <c r="K651" s="1"/>
      <c r="L651" s="74"/>
      <c r="M651" s="633"/>
      <c r="N651" s="274"/>
      <c r="O651" s="94"/>
      <c r="P651" s="94"/>
      <c r="Q651" s="94"/>
      <c r="R651" s="94"/>
      <c r="S651" s="94"/>
      <c r="V651" s="30"/>
      <c r="W651" s="30"/>
      <c r="X651" s="1"/>
      <c r="Y651" s="95"/>
      <c r="Z651" s="1"/>
      <c r="AA651" s="94"/>
      <c r="AB651" s="1"/>
      <c r="AC651" s="1"/>
      <c r="AD651" s="1"/>
      <c r="AE651" s="30"/>
      <c r="AF651" s="633"/>
      <c r="AG651" s="94"/>
      <c r="AH651" s="94"/>
      <c r="AI651" s="94"/>
      <c r="AJ651" s="94"/>
      <c r="AK651" s="94"/>
      <c r="AL651" s="94"/>
    </row>
    <row r="652" spans="3:38">
      <c r="C652" s="30"/>
      <c r="F652" s="95"/>
      <c r="G652" s="1"/>
      <c r="H652" s="94"/>
      <c r="I652" s="90"/>
      <c r="J652" s="90"/>
      <c r="K652" s="1"/>
      <c r="L652" s="74"/>
      <c r="M652" s="633"/>
      <c r="N652" s="274"/>
      <c r="O652" s="94"/>
      <c r="P652" s="94"/>
      <c r="Q652" s="94"/>
      <c r="R652" s="94"/>
      <c r="S652" s="94"/>
      <c r="V652" s="30"/>
      <c r="W652" s="30"/>
      <c r="X652" s="1"/>
      <c r="Y652" s="95"/>
      <c r="Z652" s="1"/>
      <c r="AA652" s="94"/>
      <c r="AB652" s="1"/>
      <c r="AC652" s="1"/>
      <c r="AD652" s="1"/>
      <c r="AE652" s="30"/>
      <c r="AF652" s="633"/>
      <c r="AG652" s="94"/>
      <c r="AH652" s="94"/>
      <c r="AI652" s="94"/>
      <c r="AJ652" s="94"/>
      <c r="AK652" s="94"/>
      <c r="AL652" s="94"/>
    </row>
    <row r="653" spans="3:38">
      <c r="C653" s="30"/>
      <c r="F653" s="95"/>
      <c r="G653" s="1"/>
      <c r="H653" s="94"/>
      <c r="I653" s="90"/>
      <c r="J653" s="90"/>
      <c r="K653" s="1"/>
      <c r="L653" s="74"/>
      <c r="M653" s="633"/>
      <c r="N653" s="274"/>
      <c r="O653" s="94"/>
      <c r="P653" s="94"/>
      <c r="Q653" s="94"/>
      <c r="R653" s="94"/>
      <c r="S653" s="94"/>
      <c r="V653" s="30"/>
      <c r="W653" s="30"/>
      <c r="X653" s="1"/>
      <c r="Y653" s="95"/>
      <c r="Z653" s="1"/>
      <c r="AA653" s="94"/>
      <c r="AB653" s="1"/>
      <c r="AC653" s="1"/>
      <c r="AD653" s="1"/>
      <c r="AE653" s="30"/>
      <c r="AF653" s="633"/>
      <c r="AG653" s="94"/>
      <c r="AH653" s="94"/>
      <c r="AI653" s="94"/>
      <c r="AJ653" s="94"/>
      <c r="AK653" s="94"/>
      <c r="AL653" s="94"/>
    </row>
    <row r="654" spans="3:38">
      <c r="C654" s="30"/>
      <c r="F654" s="95"/>
      <c r="G654" s="1"/>
      <c r="H654" s="94"/>
      <c r="I654" s="90"/>
      <c r="J654" s="90"/>
      <c r="K654" s="1"/>
      <c r="L654" s="74"/>
      <c r="M654" s="633"/>
      <c r="N654" s="274"/>
      <c r="O654" s="94"/>
      <c r="P654" s="94"/>
      <c r="Q654" s="94"/>
      <c r="R654" s="94"/>
      <c r="S654" s="94"/>
      <c r="V654" s="30"/>
      <c r="W654" s="30"/>
      <c r="X654" s="1"/>
      <c r="Y654" s="95"/>
      <c r="Z654" s="1"/>
      <c r="AA654" s="94"/>
      <c r="AB654" s="1"/>
      <c r="AC654" s="1"/>
      <c r="AD654" s="1"/>
      <c r="AE654" s="30"/>
      <c r="AF654" s="633"/>
      <c r="AG654" s="94"/>
      <c r="AH654" s="94"/>
      <c r="AI654" s="94"/>
      <c r="AJ654" s="94"/>
      <c r="AK654" s="94"/>
      <c r="AL654" s="94"/>
    </row>
    <row r="655" spans="3:38">
      <c r="C655" s="30"/>
      <c r="F655" s="95"/>
      <c r="G655" s="1"/>
      <c r="H655" s="94"/>
      <c r="I655" s="90"/>
      <c r="J655" s="90"/>
      <c r="K655" s="1"/>
      <c r="L655" s="74"/>
      <c r="M655" s="633"/>
      <c r="N655" s="274"/>
      <c r="O655" s="94"/>
      <c r="P655" s="94"/>
      <c r="Q655" s="94"/>
      <c r="R655" s="94"/>
      <c r="S655" s="94"/>
      <c r="V655" s="30"/>
      <c r="W655" s="30"/>
      <c r="X655" s="1"/>
      <c r="Y655" s="95"/>
      <c r="Z655" s="1"/>
      <c r="AA655" s="94"/>
      <c r="AB655" s="1"/>
      <c r="AC655" s="1"/>
      <c r="AD655" s="1"/>
      <c r="AE655" s="30"/>
      <c r="AF655" s="633"/>
      <c r="AG655" s="94"/>
      <c r="AH655" s="94"/>
      <c r="AI655" s="94"/>
      <c r="AJ655" s="94"/>
      <c r="AK655" s="94"/>
      <c r="AL655" s="94"/>
    </row>
    <row r="656" spans="3:38">
      <c r="C656" s="30"/>
      <c r="F656" s="95"/>
      <c r="G656" s="1"/>
      <c r="H656" s="94"/>
      <c r="I656" s="90"/>
      <c r="J656" s="90"/>
      <c r="K656" s="1"/>
      <c r="L656" s="74"/>
      <c r="M656" s="633"/>
      <c r="N656" s="274"/>
      <c r="O656" s="94"/>
      <c r="P656" s="94"/>
      <c r="Q656" s="94"/>
      <c r="R656" s="94"/>
      <c r="S656" s="94"/>
      <c r="V656" s="30"/>
      <c r="W656" s="30"/>
      <c r="X656" s="1"/>
      <c r="Y656" s="95"/>
      <c r="Z656" s="1"/>
      <c r="AA656" s="94"/>
      <c r="AB656" s="1"/>
      <c r="AC656" s="1"/>
      <c r="AD656" s="1"/>
      <c r="AE656" s="30"/>
      <c r="AF656" s="633"/>
      <c r="AG656" s="94"/>
      <c r="AH656" s="94"/>
      <c r="AI656" s="94"/>
      <c r="AJ656" s="94"/>
      <c r="AK656" s="94"/>
      <c r="AL656" s="94"/>
    </row>
    <row r="657" spans="3:38">
      <c r="C657" s="30"/>
      <c r="F657" s="95"/>
      <c r="G657" s="1"/>
      <c r="H657" s="94"/>
      <c r="I657" s="90"/>
      <c r="J657" s="90"/>
      <c r="K657" s="1"/>
      <c r="L657" s="74"/>
      <c r="M657" s="633"/>
      <c r="N657" s="274"/>
      <c r="O657" s="94"/>
      <c r="P657" s="94"/>
      <c r="Q657" s="94"/>
      <c r="R657" s="94"/>
      <c r="S657" s="94"/>
      <c r="V657" s="30"/>
      <c r="W657" s="30"/>
      <c r="X657" s="1"/>
      <c r="Y657" s="95"/>
      <c r="Z657" s="1"/>
      <c r="AA657" s="94"/>
      <c r="AB657" s="1"/>
      <c r="AC657" s="1"/>
      <c r="AD657" s="1"/>
      <c r="AE657" s="30"/>
      <c r="AF657" s="633"/>
      <c r="AG657" s="94"/>
      <c r="AH657" s="94"/>
      <c r="AI657" s="94"/>
      <c r="AJ657" s="94"/>
      <c r="AK657" s="94"/>
      <c r="AL657" s="94"/>
    </row>
    <row r="658" spans="3:38">
      <c r="C658" s="30"/>
      <c r="F658" s="95"/>
      <c r="G658" s="1"/>
      <c r="H658" s="94"/>
      <c r="I658" s="90"/>
      <c r="J658" s="90"/>
      <c r="K658" s="1"/>
      <c r="L658" s="74"/>
      <c r="M658" s="633"/>
      <c r="N658" s="274"/>
      <c r="O658" s="94"/>
      <c r="P658" s="94"/>
      <c r="Q658" s="94"/>
      <c r="R658" s="94"/>
      <c r="S658" s="94"/>
      <c r="V658" s="30"/>
      <c r="W658" s="30"/>
      <c r="X658" s="1"/>
      <c r="Y658" s="95"/>
      <c r="Z658" s="1"/>
      <c r="AA658" s="94"/>
      <c r="AB658" s="1"/>
      <c r="AC658" s="1"/>
      <c r="AD658" s="1"/>
      <c r="AE658" s="30"/>
      <c r="AF658" s="633"/>
      <c r="AG658" s="94"/>
      <c r="AH658" s="94"/>
      <c r="AI658" s="94"/>
      <c r="AJ658" s="94"/>
      <c r="AK658" s="94"/>
      <c r="AL658" s="94"/>
    </row>
    <row r="659" spans="3:38">
      <c r="C659" s="30"/>
      <c r="F659" s="95"/>
      <c r="G659" s="1"/>
      <c r="H659" s="94"/>
      <c r="I659" s="90"/>
      <c r="J659" s="90"/>
      <c r="K659" s="1"/>
      <c r="L659" s="74"/>
      <c r="M659" s="633"/>
      <c r="N659" s="274"/>
      <c r="O659" s="94"/>
      <c r="P659" s="94"/>
      <c r="Q659" s="94"/>
      <c r="R659" s="94"/>
      <c r="S659" s="94"/>
      <c r="V659" s="30"/>
      <c r="W659" s="30"/>
      <c r="X659" s="1"/>
      <c r="Y659" s="95"/>
      <c r="Z659" s="1"/>
      <c r="AA659" s="94"/>
      <c r="AB659" s="1"/>
      <c r="AC659" s="1"/>
      <c r="AD659" s="1"/>
      <c r="AE659" s="30"/>
      <c r="AF659" s="633"/>
      <c r="AG659" s="94"/>
      <c r="AH659" s="94"/>
      <c r="AI659" s="94"/>
      <c r="AJ659" s="94"/>
      <c r="AK659" s="94"/>
      <c r="AL659" s="94"/>
    </row>
    <row r="660" spans="3:38">
      <c r="C660" s="30"/>
      <c r="F660" s="95"/>
      <c r="G660" s="1"/>
      <c r="H660" s="94"/>
      <c r="I660" s="90"/>
      <c r="J660" s="90"/>
      <c r="K660" s="1"/>
      <c r="L660" s="74"/>
      <c r="M660" s="633"/>
      <c r="N660" s="274"/>
      <c r="O660" s="94"/>
      <c r="P660" s="94"/>
      <c r="Q660" s="94"/>
      <c r="R660" s="94"/>
      <c r="S660" s="94"/>
      <c r="V660" s="30"/>
      <c r="W660" s="30"/>
      <c r="X660" s="1"/>
      <c r="Y660" s="95"/>
      <c r="Z660" s="1"/>
      <c r="AA660" s="94"/>
      <c r="AB660" s="1"/>
      <c r="AC660" s="1"/>
      <c r="AD660" s="1"/>
      <c r="AE660" s="30"/>
      <c r="AF660" s="633"/>
      <c r="AG660" s="94"/>
      <c r="AH660" s="94"/>
      <c r="AI660" s="94"/>
      <c r="AJ660" s="94"/>
      <c r="AK660" s="94"/>
      <c r="AL660" s="94"/>
    </row>
    <row r="661" spans="3:38">
      <c r="C661" s="30"/>
      <c r="F661" s="95"/>
      <c r="G661" s="1"/>
      <c r="H661" s="94"/>
      <c r="I661" s="90"/>
      <c r="J661" s="90"/>
      <c r="K661" s="1"/>
      <c r="L661" s="74"/>
      <c r="M661" s="633"/>
      <c r="N661" s="274"/>
      <c r="O661" s="94"/>
      <c r="P661" s="94"/>
      <c r="Q661" s="94"/>
      <c r="R661" s="94"/>
      <c r="S661" s="94"/>
      <c r="V661" s="30"/>
      <c r="W661" s="30"/>
      <c r="X661" s="1"/>
      <c r="Y661" s="95"/>
      <c r="Z661" s="1"/>
      <c r="AA661" s="94"/>
      <c r="AB661" s="1"/>
      <c r="AC661" s="1"/>
      <c r="AD661" s="1"/>
      <c r="AE661" s="30"/>
      <c r="AF661" s="633"/>
      <c r="AG661" s="94"/>
      <c r="AH661" s="94"/>
      <c r="AI661" s="94"/>
      <c r="AJ661" s="94"/>
      <c r="AK661" s="94"/>
      <c r="AL661" s="94"/>
    </row>
    <row r="662" spans="3:38">
      <c r="C662" s="30"/>
      <c r="F662" s="95"/>
      <c r="G662" s="1"/>
      <c r="H662" s="94"/>
      <c r="I662" s="90"/>
      <c r="J662" s="90"/>
      <c r="K662" s="1"/>
      <c r="L662" s="74"/>
      <c r="M662" s="633"/>
      <c r="N662" s="274"/>
      <c r="O662" s="94"/>
      <c r="P662" s="94"/>
      <c r="Q662" s="94"/>
      <c r="R662" s="94"/>
      <c r="S662" s="94"/>
      <c r="V662" s="30"/>
      <c r="W662" s="30"/>
      <c r="X662" s="1"/>
      <c r="Y662" s="95"/>
      <c r="Z662" s="1"/>
      <c r="AA662" s="94"/>
      <c r="AB662" s="1"/>
      <c r="AC662" s="1"/>
      <c r="AD662" s="1"/>
      <c r="AE662" s="30"/>
      <c r="AF662" s="633"/>
      <c r="AG662" s="94"/>
      <c r="AH662" s="94"/>
      <c r="AI662" s="94"/>
      <c r="AJ662" s="94"/>
      <c r="AK662" s="94"/>
      <c r="AL662" s="94"/>
    </row>
    <row r="663" spans="3:38">
      <c r="C663" s="30"/>
      <c r="F663" s="95"/>
      <c r="G663" s="1"/>
      <c r="H663" s="94"/>
      <c r="I663" s="90"/>
      <c r="J663" s="90"/>
      <c r="K663" s="1"/>
      <c r="L663" s="74"/>
      <c r="M663" s="633"/>
      <c r="N663" s="274"/>
      <c r="O663" s="94"/>
      <c r="P663" s="94"/>
      <c r="Q663" s="94"/>
      <c r="R663" s="94"/>
      <c r="S663" s="94"/>
      <c r="V663" s="30"/>
      <c r="W663" s="30"/>
      <c r="X663" s="1"/>
      <c r="Y663" s="95"/>
      <c r="Z663" s="1"/>
      <c r="AA663" s="94"/>
      <c r="AB663" s="1"/>
      <c r="AC663" s="1"/>
      <c r="AD663" s="1"/>
      <c r="AE663" s="30"/>
      <c r="AF663" s="633"/>
      <c r="AG663" s="94"/>
      <c r="AH663" s="94"/>
      <c r="AI663" s="94"/>
      <c r="AJ663" s="94"/>
      <c r="AK663" s="94"/>
      <c r="AL663" s="94"/>
    </row>
    <row r="664" spans="3:38">
      <c r="C664" s="30"/>
      <c r="F664" s="95"/>
      <c r="G664" s="1"/>
      <c r="H664" s="94"/>
      <c r="I664" s="90"/>
      <c r="J664" s="90"/>
      <c r="K664" s="1"/>
      <c r="L664" s="74"/>
      <c r="M664" s="633"/>
      <c r="N664" s="274"/>
      <c r="O664" s="94"/>
      <c r="P664" s="94"/>
      <c r="Q664" s="94"/>
      <c r="R664" s="94"/>
      <c r="S664" s="94"/>
      <c r="V664" s="30"/>
      <c r="W664" s="30"/>
      <c r="X664" s="1"/>
      <c r="Y664" s="95"/>
      <c r="Z664" s="1"/>
      <c r="AA664" s="94"/>
      <c r="AB664" s="1"/>
      <c r="AC664" s="1"/>
      <c r="AD664" s="1"/>
      <c r="AE664" s="30"/>
      <c r="AF664" s="633"/>
      <c r="AG664" s="94"/>
      <c r="AH664" s="94"/>
      <c r="AI664" s="94"/>
      <c r="AJ664" s="94"/>
      <c r="AK664" s="94"/>
      <c r="AL664" s="94"/>
    </row>
    <row r="665" spans="3:38">
      <c r="C665" s="30"/>
      <c r="F665" s="95"/>
      <c r="G665" s="1"/>
      <c r="H665" s="94"/>
      <c r="I665" s="90"/>
      <c r="J665" s="90"/>
      <c r="K665" s="1"/>
      <c r="L665" s="74"/>
      <c r="M665" s="633"/>
      <c r="N665" s="274"/>
      <c r="O665" s="94"/>
      <c r="P665" s="94"/>
      <c r="Q665" s="94"/>
      <c r="R665" s="94"/>
      <c r="S665" s="94"/>
      <c r="V665" s="30"/>
      <c r="W665" s="30"/>
      <c r="X665" s="1"/>
      <c r="Y665" s="95"/>
      <c r="Z665" s="1"/>
      <c r="AA665" s="94"/>
      <c r="AB665" s="1"/>
      <c r="AC665" s="1"/>
      <c r="AD665" s="1"/>
      <c r="AE665" s="30"/>
      <c r="AF665" s="633"/>
      <c r="AG665" s="94"/>
      <c r="AH665" s="94"/>
      <c r="AI665" s="94"/>
      <c r="AJ665" s="94"/>
      <c r="AK665" s="94"/>
      <c r="AL665" s="94"/>
    </row>
    <row r="666" spans="3:38">
      <c r="C666" s="30"/>
      <c r="F666" s="95"/>
      <c r="G666" s="1"/>
      <c r="H666" s="94"/>
      <c r="I666" s="90"/>
      <c r="J666" s="90"/>
      <c r="K666" s="1"/>
      <c r="L666" s="74"/>
      <c r="M666" s="633"/>
      <c r="N666" s="274"/>
      <c r="O666" s="94"/>
      <c r="P666" s="94"/>
      <c r="Q666" s="94"/>
      <c r="R666" s="94"/>
      <c r="S666" s="94"/>
      <c r="V666" s="30"/>
      <c r="W666" s="30"/>
      <c r="X666" s="1"/>
      <c r="Y666" s="95"/>
      <c r="Z666" s="1"/>
      <c r="AA666" s="94"/>
      <c r="AB666" s="1"/>
      <c r="AC666" s="1"/>
      <c r="AD666" s="1"/>
      <c r="AE666" s="30"/>
      <c r="AF666" s="633"/>
      <c r="AG666" s="94"/>
      <c r="AH666" s="94"/>
      <c r="AI666" s="94"/>
      <c r="AJ666" s="94"/>
      <c r="AK666" s="94"/>
      <c r="AL666" s="94"/>
    </row>
    <row r="667" spans="3:38">
      <c r="C667" s="30"/>
      <c r="F667" s="95"/>
      <c r="G667" s="1"/>
      <c r="H667" s="94"/>
      <c r="I667" s="90"/>
      <c r="J667" s="90"/>
      <c r="K667" s="1"/>
      <c r="L667" s="74"/>
      <c r="M667" s="633"/>
      <c r="N667" s="274"/>
      <c r="O667" s="94"/>
      <c r="P667" s="94"/>
      <c r="Q667" s="94"/>
      <c r="R667" s="94"/>
      <c r="S667" s="94"/>
      <c r="V667" s="30"/>
      <c r="W667" s="30"/>
      <c r="X667" s="1"/>
      <c r="Y667" s="95"/>
      <c r="Z667" s="1"/>
      <c r="AA667" s="94"/>
      <c r="AB667" s="1"/>
      <c r="AC667" s="1"/>
      <c r="AD667" s="1"/>
      <c r="AE667" s="30"/>
      <c r="AF667" s="633"/>
      <c r="AG667" s="94"/>
      <c r="AH667" s="94"/>
      <c r="AI667" s="94"/>
      <c r="AJ667" s="94"/>
      <c r="AK667" s="94"/>
      <c r="AL667" s="94"/>
    </row>
    <row r="668" spans="3:38">
      <c r="C668" s="30"/>
      <c r="F668" s="95"/>
      <c r="G668" s="1"/>
      <c r="H668" s="94"/>
      <c r="I668" s="90"/>
      <c r="J668" s="90"/>
      <c r="K668" s="1"/>
      <c r="L668" s="74"/>
      <c r="M668" s="633"/>
      <c r="N668" s="274"/>
      <c r="O668" s="94"/>
      <c r="P668" s="94"/>
      <c r="Q668" s="94"/>
      <c r="R668" s="94"/>
      <c r="S668" s="94"/>
      <c r="V668" s="30"/>
      <c r="W668" s="30"/>
      <c r="X668" s="1"/>
      <c r="Y668" s="95"/>
      <c r="Z668" s="1"/>
      <c r="AA668" s="94"/>
      <c r="AB668" s="1"/>
      <c r="AC668" s="1"/>
      <c r="AD668" s="1"/>
      <c r="AE668" s="30"/>
      <c r="AF668" s="633"/>
      <c r="AG668" s="94"/>
      <c r="AH668" s="94"/>
      <c r="AI668" s="94"/>
      <c r="AJ668" s="94"/>
      <c r="AK668" s="94"/>
      <c r="AL668" s="94"/>
    </row>
    <row r="669" spans="3:38">
      <c r="C669" s="30"/>
      <c r="F669" s="95"/>
      <c r="G669" s="1"/>
      <c r="H669" s="94"/>
      <c r="I669" s="90"/>
      <c r="J669" s="90"/>
      <c r="K669" s="1"/>
      <c r="L669" s="74"/>
      <c r="M669" s="633"/>
      <c r="N669" s="274"/>
      <c r="O669" s="94"/>
      <c r="P669" s="94"/>
      <c r="Q669" s="94"/>
      <c r="R669" s="94"/>
      <c r="S669" s="94"/>
      <c r="V669" s="30"/>
      <c r="W669" s="30"/>
      <c r="X669" s="1"/>
      <c r="Y669" s="95"/>
      <c r="Z669" s="1"/>
      <c r="AA669" s="94"/>
      <c r="AB669" s="1"/>
      <c r="AC669" s="1"/>
      <c r="AD669" s="1"/>
      <c r="AE669" s="30"/>
      <c r="AF669" s="633"/>
      <c r="AG669" s="94"/>
      <c r="AH669" s="94"/>
      <c r="AI669" s="94"/>
      <c r="AJ669" s="94"/>
      <c r="AK669" s="94"/>
      <c r="AL669" s="94"/>
    </row>
    <row r="670" spans="3:38">
      <c r="C670" s="30"/>
      <c r="F670" s="95"/>
      <c r="G670" s="1"/>
      <c r="H670" s="94"/>
      <c r="I670" s="90"/>
      <c r="J670" s="90"/>
      <c r="K670" s="1"/>
      <c r="L670" s="74"/>
      <c r="M670" s="633"/>
      <c r="N670" s="274"/>
      <c r="O670" s="94"/>
      <c r="P670" s="94"/>
      <c r="Q670" s="94"/>
      <c r="R670" s="94"/>
      <c r="S670" s="94"/>
      <c r="V670" s="30"/>
      <c r="W670" s="30"/>
      <c r="X670" s="1"/>
      <c r="Y670" s="95"/>
      <c r="Z670" s="1"/>
      <c r="AA670" s="94"/>
      <c r="AB670" s="1"/>
      <c r="AC670" s="1"/>
      <c r="AD670" s="1"/>
      <c r="AE670" s="30"/>
      <c r="AF670" s="633"/>
      <c r="AG670" s="94"/>
      <c r="AH670" s="94"/>
      <c r="AI670" s="94"/>
      <c r="AJ670" s="94"/>
      <c r="AK670" s="94"/>
      <c r="AL670" s="94"/>
    </row>
    <row r="671" spans="3:38">
      <c r="C671" s="30"/>
      <c r="F671" s="95"/>
      <c r="G671" s="1"/>
      <c r="H671" s="94"/>
      <c r="I671" s="90"/>
      <c r="J671" s="90"/>
      <c r="K671" s="1"/>
      <c r="L671" s="74"/>
      <c r="M671" s="633"/>
      <c r="N671" s="274"/>
      <c r="O671" s="94"/>
      <c r="P671" s="94"/>
      <c r="Q671" s="94"/>
      <c r="R671" s="94"/>
      <c r="S671" s="94"/>
      <c r="V671" s="30"/>
      <c r="W671" s="30"/>
      <c r="X671" s="1"/>
      <c r="Y671" s="95"/>
      <c r="Z671" s="1"/>
      <c r="AA671" s="94"/>
      <c r="AB671" s="1"/>
      <c r="AC671" s="1"/>
      <c r="AD671" s="1"/>
      <c r="AE671" s="30"/>
      <c r="AF671" s="633"/>
      <c r="AG671" s="94"/>
      <c r="AH671" s="94"/>
      <c r="AI671" s="94"/>
      <c r="AJ671" s="94"/>
      <c r="AK671" s="94"/>
      <c r="AL671" s="94"/>
    </row>
    <row r="672" spans="3:38">
      <c r="C672" s="30"/>
      <c r="F672" s="95"/>
      <c r="G672" s="1"/>
      <c r="H672" s="94"/>
      <c r="I672" s="90"/>
      <c r="J672" s="90"/>
      <c r="K672" s="1"/>
      <c r="L672" s="74"/>
      <c r="M672" s="633"/>
      <c r="N672" s="274"/>
      <c r="O672" s="94"/>
      <c r="P672" s="94"/>
      <c r="Q672" s="94"/>
      <c r="R672" s="94"/>
      <c r="S672" s="94"/>
      <c r="V672" s="30"/>
      <c r="W672" s="30"/>
      <c r="X672" s="1"/>
      <c r="Y672" s="95"/>
      <c r="Z672" s="1"/>
      <c r="AA672" s="94"/>
      <c r="AB672" s="1"/>
      <c r="AC672" s="1"/>
      <c r="AD672" s="1"/>
      <c r="AE672" s="30"/>
      <c r="AF672" s="633"/>
      <c r="AG672" s="94"/>
      <c r="AH672" s="94"/>
      <c r="AI672" s="94"/>
      <c r="AJ672" s="94"/>
      <c r="AK672" s="94"/>
      <c r="AL672" s="94"/>
    </row>
    <row r="673" spans="3:38">
      <c r="C673" s="30"/>
      <c r="F673" s="95"/>
      <c r="G673" s="1"/>
      <c r="H673" s="94"/>
      <c r="I673" s="90"/>
      <c r="J673" s="90"/>
      <c r="K673" s="1"/>
      <c r="L673" s="74"/>
      <c r="M673" s="633"/>
      <c r="N673" s="274"/>
      <c r="O673" s="94"/>
      <c r="P673" s="94"/>
      <c r="Q673" s="94"/>
      <c r="R673" s="94"/>
      <c r="S673" s="94"/>
      <c r="V673" s="30"/>
      <c r="W673" s="30"/>
      <c r="X673" s="1"/>
      <c r="Y673" s="95"/>
      <c r="Z673" s="1"/>
      <c r="AA673" s="94"/>
      <c r="AB673" s="1"/>
      <c r="AC673" s="1"/>
      <c r="AD673" s="1"/>
      <c r="AE673" s="30"/>
      <c r="AF673" s="633"/>
      <c r="AG673" s="94"/>
      <c r="AH673" s="94"/>
      <c r="AI673" s="94"/>
      <c r="AJ673" s="94"/>
      <c r="AK673" s="94"/>
      <c r="AL673" s="94"/>
    </row>
    <row r="674" spans="3:38">
      <c r="C674" s="30"/>
      <c r="F674" s="95"/>
      <c r="G674" s="1"/>
      <c r="H674" s="94"/>
      <c r="I674" s="90"/>
      <c r="J674" s="90"/>
      <c r="K674" s="1"/>
      <c r="L674" s="74"/>
      <c r="M674" s="633"/>
      <c r="N674" s="274"/>
      <c r="O674" s="94"/>
      <c r="P674" s="94"/>
      <c r="Q674" s="94"/>
      <c r="R674" s="94"/>
      <c r="S674" s="94"/>
      <c r="V674" s="30"/>
      <c r="W674" s="30"/>
      <c r="X674" s="1"/>
      <c r="Y674" s="95"/>
      <c r="Z674" s="1"/>
      <c r="AA674" s="94"/>
      <c r="AB674" s="1"/>
      <c r="AC674" s="1"/>
      <c r="AD674" s="1"/>
      <c r="AE674" s="30"/>
      <c r="AF674" s="633"/>
      <c r="AG674" s="94"/>
      <c r="AH674" s="94"/>
      <c r="AI674" s="94"/>
      <c r="AJ674" s="94"/>
      <c r="AK674" s="94"/>
      <c r="AL674" s="94"/>
    </row>
    <row r="675" spans="3:38">
      <c r="C675" s="30"/>
      <c r="F675" s="95"/>
      <c r="G675" s="1"/>
      <c r="H675" s="94"/>
      <c r="I675" s="90"/>
      <c r="J675" s="90"/>
      <c r="K675" s="1"/>
      <c r="L675" s="74"/>
      <c r="M675" s="633"/>
      <c r="N675" s="274"/>
      <c r="O675" s="94"/>
      <c r="P675" s="94"/>
      <c r="Q675" s="94"/>
      <c r="R675" s="94"/>
      <c r="S675" s="94"/>
      <c r="V675" s="30"/>
      <c r="W675" s="30"/>
      <c r="X675" s="1"/>
      <c r="Y675" s="95"/>
      <c r="Z675" s="1"/>
      <c r="AA675" s="94"/>
      <c r="AB675" s="1"/>
      <c r="AC675" s="1"/>
      <c r="AD675" s="1"/>
      <c r="AE675" s="30"/>
      <c r="AF675" s="633"/>
      <c r="AG675" s="94"/>
      <c r="AH675" s="94"/>
      <c r="AI675" s="94"/>
      <c r="AJ675" s="94"/>
      <c r="AK675" s="94"/>
      <c r="AL675" s="94"/>
    </row>
    <row r="676" spans="3:38">
      <c r="C676" s="30"/>
      <c r="F676" s="95"/>
      <c r="G676" s="1"/>
      <c r="H676" s="94"/>
      <c r="I676" s="90"/>
      <c r="J676" s="90"/>
      <c r="K676" s="1"/>
      <c r="L676" s="74"/>
      <c r="M676" s="633"/>
      <c r="N676" s="274"/>
      <c r="O676" s="94"/>
      <c r="P676" s="94"/>
      <c r="Q676" s="94"/>
      <c r="R676" s="94"/>
      <c r="S676" s="94"/>
      <c r="V676" s="30"/>
      <c r="W676" s="30"/>
      <c r="X676" s="1"/>
      <c r="Y676" s="95"/>
      <c r="Z676" s="1"/>
      <c r="AA676" s="94"/>
      <c r="AB676" s="1"/>
      <c r="AC676" s="1"/>
      <c r="AD676" s="1"/>
      <c r="AE676" s="30"/>
      <c r="AF676" s="633"/>
      <c r="AG676" s="94"/>
      <c r="AH676" s="94"/>
      <c r="AI676" s="94"/>
      <c r="AJ676" s="94"/>
      <c r="AK676" s="94"/>
      <c r="AL676" s="94"/>
    </row>
    <row r="677" spans="3:38">
      <c r="C677" s="30"/>
      <c r="F677" s="95"/>
      <c r="G677" s="1"/>
      <c r="H677" s="94"/>
      <c r="I677" s="90"/>
      <c r="J677" s="90"/>
      <c r="K677" s="1"/>
      <c r="L677" s="74"/>
      <c r="M677" s="633"/>
      <c r="N677" s="274"/>
      <c r="O677" s="94"/>
      <c r="P677" s="94"/>
      <c r="Q677" s="94"/>
      <c r="R677" s="94"/>
      <c r="S677" s="94"/>
      <c r="V677" s="30"/>
      <c r="W677" s="30"/>
      <c r="X677" s="1"/>
      <c r="Y677" s="95"/>
      <c r="Z677" s="1"/>
      <c r="AA677" s="94"/>
      <c r="AB677" s="1"/>
      <c r="AC677" s="1"/>
      <c r="AD677" s="1"/>
      <c r="AE677" s="30"/>
      <c r="AF677" s="633"/>
      <c r="AG677" s="94"/>
      <c r="AH677" s="94"/>
      <c r="AI677" s="94"/>
      <c r="AJ677" s="94"/>
      <c r="AK677" s="94"/>
      <c r="AL677" s="94"/>
    </row>
    <row r="678" spans="3:38">
      <c r="C678" s="30"/>
      <c r="F678" s="95"/>
      <c r="G678" s="1"/>
      <c r="H678" s="94"/>
      <c r="I678" s="90"/>
      <c r="J678" s="90"/>
      <c r="K678" s="1"/>
      <c r="L678" s="74"/>
      <c r="M678" s="633"/>
      <c r="N678" s="274"/>
      <c r="O678" s="94"/>
      <c r="P678" s="94"/>
      <c r="Q678" s="94"/>
      <c r="R678" s="94"/>
      <c r="S678" s="94"/>
      <c r="V678" s="30"/>
      <c r="W678" s="30"/>
      <c r="X678" s="1"/>
      <c r="Y678" s="95"/>
      <c r="Z678" s="1"/>
      <c r="AA678" s="94"/>
      <c r="AB678" s="1"/>
      <c r="AC678" s="1"/>
      <c r="AD678" s="1"/>
      <c r="AE678" s="30"/>
      <c r="AF678" s="633"/>
      <c r="AG678" s="94"/>
      <c r="AH678" s="94"/>
      <c r="AI678" s="94"/>
      <c r="AJ678" s="94"/>
      <c r="AK678" s="94"/>
      <c r="AL678" s="94"/>
    </row>
    <row r="679" spans="3:38">
      <c r="C679" s="30"/>
      <c r="F679" s="95"/>
      <c r="G679" s="1"/>
      <c r="H679" s="94"/>
      <c r="I679" s="90"/>
      <c r="J679" s="90"/>
      <c r="K679" s="1"/>
      <c r="L679" s="74"/>
      <c r="M679" s="633"/>
      <c r="N679" s="274"/>
      <c r="O679" s="94"/>
      <c r="P679" s="94"/>
      <c r="Q679" s="94"/>
      <c r="R679" s="94"/>
      <c r="S679" s="94"/>
      <c r="V679" s="30"/>
      <c r="W679" s="30"/>
      <c r="X679" s="1"/>
      <c r="Y679" s="95"/>
      <c r="Z679" s="1"/>
      <c r="AA679" s="94"/>
      <c r="AB679" s="1"/>
      <c r="AC679" s="1"/>
      <c r="AD679" s="1"/>
      <c r="AE679" s="30"/>
      <c r="AF679" s="633"/>
      <c r="AG679" s="94"/>
      <c r="AH679" s="94"/>
      <c r="AI679" s="94"/>
      <c r="AJ679" s="94"/>
      <c r="AK679" s="94"/>
      <c r="AL679" s="94"/>
    </row>
    <row r="680" spans="3:38">
      <c r="C680" s="30"/>
      <c r="F680" s="95"/>
      <c r="G680" s="1"/>
      <c r="H680" s="94"/>
      <c r="I680" s="90"/>
      <c r="J680" s="90"/>
      <c r="K680" s="1"/>
      <c r="L680" s="74"/>
      <c r="M680" s="633"/>
      <c r="N680" s="274"/>
      <c r="O680" s="94"/>
      <c r="P680" s="94"/>
      <c r="Q680" s="94"/>
      <c r="R680" s="94"/>
      <c r="S680" s="94"/>
      <c r="V680" s="30"/>
      <c r="W680" s="30"/>
      <c r="X680" s="1"/>
      <c r="Y680" s="95"/>
      <c r="Z680" s="1"/>
      <c r="AA680" s="94"/>
      <c r="AB680" s="1"/>
      <c r="AC680" s="1"/>
      <c r="AD680" s="1"/>
      <c r="AE680" s="30"/>
      <c r="AF680" s="633"/>
      <c r="AG680" s="94"/>
      <c r="AH680" s="94"/>
      <c r="AI680" s="94"/>
      <c r="AJ680" s="94"/>
      <c r="AK680" s="94"/>
      <c r="AL680" s="94"/>
    </row>
    <row r="681" spans="3:38">
      <c r="C681" s="30"/>
      <c r="F681" s="95"/>
      <c r="G681" s="1"/>
      <c r="H681" s="94"/>
      <c r="I681" s="90"/>
      <c r="J681" s="90"/>
      <c r="K681" s="1"/>
      <c r="L681" s="74"/>
      <c r="M681" s="633"/>
      <c r="N681" s="274"/>
      <c r="O681" s="94"/>
      <c r="P681" s="94"/>
      <c r="Q681" s="94"/>
      <c r="R681" s="94"/>
      <c r="S681" s="94"/>
      <c r="V681" s="30"/>
      <c r="W681" s="30"/>
      <c r="X681" s="1"/>
      <c r="Y681" s="95"/>
      <c r="Z681" s="1"/>
      <c r="AA681" s="94"/>
      <c r="AB681" s="1"/>
      <c r="AC681" s="1"/>
      <c r="AD681" s="1"/>
      <c r="AE681" s="30"/>
      <c r="AF681" s="633"/>
      <c r="AG681" s="94"/>
      <c r="AH681" s="94"/>
      <c r="AI681" s="94"/>
      <c r="AJ681" s="94"/>
      <c r="AK681" s="94"/>
      <c r="AL681" s="94"/>
    </row>
    <row r="682" spans="3:38">
      <c r="C682" s="30"/>
      <c r="F682" s="95"/>
      <c r="G682" s="1"/>
      <c r="H682" s="94"/>
      <c r="I682" s="90"/>
      <c r="J682" s="90"/>
      <c r="K682" s="1"/>
      <c r="L682" s="74"/>
      <c r="M682" s="633"/>
      <c r="N682" s="274"/>
      <c r="O682" s="94"/>
      <c r="P682" s="94"/>
      <c r="Q682" s="94"/>
      <c r="R682" s="94"/>
      <c r="S682" s="94"/>
      <c r="V682" s="30"/>
      <c r="W682" s="30"/>
      <c r="X682" s="1"/>
      <c r="Y682" s="95"/>
      <c r="Z682" s="1"/>
      <c r="AA682" s="94"/>
      <c r="AB682" s="1"/>
      <c r="AC682" s="1"/>
      <c r="AD682" s="1"/>
      <c r="AE682" s="30"/>
      <c r="AF682" s="633"/>
      <c r="AG682" s="94"/>
      <c r="AH682" s="94"/>
      <c r="AI682" s="94"/>
      <c r="AJ682" s="94"/>
      <c r="AK682" s="94"/>
      <c r="AL682" s="94"/>
    </row>
    <row r="683" spans="3:38">
      <c r="C683" s="30"/>
      <c r="F683" s="95"/>
      <c r="G683" s="1"/>
      <c r="H683" s="94"/>
      <c r="I683" s="90"/>
      <c r="J683" s="90"/>
      <c r="K683" s="1"/>
      <c r="L683" s="74"/>
      <c r="M683" s="633"/>
      <c r="N683" s="274"/>
      <c r="O683" s="94"/>
      <c r="P683" s="94"/>
      <c r="Q683" s="94"/>
      <c r="R683" s="94"/>
      <c r="S683" s="94"/>
      <c r="V683" s="30"/>
      <c r="W683" s="30"/>
      <c r="X683" s="1"/>
      <c r="Y683" s="95"/>
      <c r="Z683" s="1"/>
      <c r="AA683" s="94"/>
      <c r="AB683" s="1"/>
      <c r="AC683" s="1"/>
      <c r="AD683" s="1"/>
      <c r="AE683" s="30"/>
      <c r="AF683" s="633"/>
      <c r="AG683" s="94"/>
      <c r="AH683" s="94"/>
      <c r="AI683" s="94"/>
      <c r="AJ683" s="94"/>
      <c r="AK683" s="94"/>
      <c r="AL683" s="94"/>
    </row>
    <row r="684" spans="3:38">
      <c r="C684" s="30"/>
      <c r="F684" s="95"/>
      <c r="G684" s="1"/>
      <c r="H684" s="94"/>
      <c r="I684" s="90"/>
      <c r="J684" s="90"/>
      <c r="K684" s="1"/>
      <c r="L684" s="74"/>
      <c r="M684" s="633"/>
      <c r="N684" s="274"/>
      <c r="O684" s="94"/>
      <c r="P684" s="94"/>
      <c r="Q684" s="94"/>
      <c r="R684" s="94"/>
      <c r="S684" s="94"/>
      <c r="V684" s="30"/>
      <c r="W684" s="30"/>
      <c r="X684" s="1"/>
      <c r="Y684" s="95"/>
      <c r="Z684" s="1"/>
      <c r="AA684" s="94"/>
      <c r="AB684" s="1"/>
      <c r="AC684" s="1"/>
      <c r="AD684" s="1"/>
      <c r="AE684" s="30"/>
      <c r="AF684" s="633"/>
      <c r="AG684" s="94"/>
      <c r="AH684" s="94"/>
      <c r="AI684" s="94"/>
      <c r="AJ684" s="94"/>
      <c r="AK684" s="94"/>
      <c r="AL684" s="94"/>
    </row>
    <row r="685" spans="3:38">
      <c r="C685" s="30"/>
      <c r="F685" s="95"/>
      <c r="G685" s="1"/>
      <c r="H685" s="94"/>
      <c r="I685" s="90"/>
      <c r="J685" s="90"/>
      <c r="K685" s="1"/>
      <c r="L685" s="74"/>
      <c r="M685" s="633"/>
      <c r="N685" s="274"/>
      <c r="O685" s="94"/>
      <c r="P685" s="94"/>
      <c r="Q685" s="94"/>
      <c r="R685" s="94"/>
      <c r="S685" s="94"/>
      <c r="V685" s="30"/>
      <c r="W685" s="30"/>
      <c r="X685" s="1"/>
      <c r="Y685" s="95"/>
      <c r="Z685" s="1"/>
      <c r="AA685" s="94"/>
      <c r="AB685" s="1"/>
      <c r="AC685" s="1"/>
      <c r="AD685" s="1"/>
      <c r="AE685" s="30"/>
      <c r="AF685" s="633"/>
      <c r="AG685" s="94"/>
      <c r="AH685" s="94"/>
      <c r="AI685" s="94"/>
      <c r="AJ685" s="94"/>
      <c r="AK685" s="94"/>
      <c r="AL685" s="94"/>
    </row>
    <row r="686" spans="3:38">
      <c r="C686" s="30"/>
      <c r="F686" s="95"/>
      <c r="G686" s="1"/>
      <c r="H686" s="94"/>
      <c r="I686" s="90"/>
      <c r="J686" s="90"/>
      <c r="K686" s="1"/>
      <c r="L686" s="74"/>
      <c r="M686" s="633"/>
      <c r="N686" s="274"/>
      <c r="O686" s="94"/>
      <c r="P686" s="94"/>
      <c r="Q686" s="94"/>
      <c r="R686" s="94"/>
      <c r="S686" s="94"/>
      <c r="V686" s="30"/>
      <c r="W686" s="30"/>
      <c r="X686" s="1"/>
      <c r="Y686" s="95"/>
      <c r="Z686" s="1"/>
      <c r="AA686" s="94"/>
      <c r="AB686" s="1"/>
      <c r="AC686" s="1"/>
      <c r="AD686" s="1"/>
      <c r="AE686" s="30"/>
      <c r="AF686" s="633"/>
      <c r="AG686" s="94"/>
      <c r="AH686" s="94"/>
      <c r="AI686" s="94"/>
      <c r="AJ686" s="94"/>
      <c r="AK686" s="94"/>
      <c r="AL686" s="94"/>
    </row>
    <row r="687" spans="3:38">
      <c r="C687" s="30"/>
      <c r="F687" s="95"/>
      <c r="G687" s="1"/>
      <c r="H687" s="94"/>
      <c r="I687" s="90"/>
      <c r="J687" s="90"/>
      <c r="K687" s="1"/>
      <c r="L687" s="74"/>
      <c r="M687" s="633"/>
      <c r="N687" s="274"/>
      <c r="O687" s="94"/>
      <c r="P687" s="94"/>
      <c r="Q687" s="94"/>
      <c r="R687" s="94"/>
      <c r="S687" s="94"/>
      <c r="V687" s="30"/>
      <c r="W687" s="30"/>
      <c r="X687" s="1"/>
      <c r="Y687" s="95"/>
      <c r="Z687" s="1"/>
      <c r="AA687" s="94"/>
      <c r="AB687" s="1"/>
      <c r="AC687" s="1"/>
      <c r="AD687" s="1"/>
      <c r="AE687" s="30"/>
      <c r="AF687" s="633"/>
      <c r="AG687" s="94"/>
      <c r="AH687" s="94"/>
      <c r="AI687" s="94"/>
      <c r="AJ687" s="94"/>
      <c r="AK687" s="94"/>
      <c r="AL687" s="94"/>
    </row>
    <row r="688" spans="3:38">
      <c r="C688" s="30"/>
      <c r="F688" s="95"/>
      <c r="G688" s="1"/>
      <c r="H688" s="94"/>
      <c r="I688" s="90"/>
      <c r="J688" s="90"/>
      <c r="K688" s="1"/>
      <c r="L688" s="74"/>
      <c r="M688" s="633"/>
      <c r="N688" s="274"/>
      <c r="O688" s="94"/>
      <c r="P688" s="94"/>
      <c r="Q688" s="94"/>
      <c r="R688" s="94"/>
      <c r="S688" s="94"/>
      <c r="V688" s="30"/>
      <c r="W688" s="30"/>
      <c r="X688" s="1"/>
      <c r="Y688" s="95"/>
      <c r="Z688" s="1"/>
      <c r="AA688" s="94"/>
      <c r="AB688" s="1"/>
      <c r="AC688" s="1"/>
      <c r="AD688" s="1"/>
      <c r="AE688" s="30"/>
      <c r="AF688" s="633"/>
      <c r="AG688" s="94"/>
      <c r="AH688" s="94"/>
      <c r="AI688" s="94"/>
      <c r="AJ688" s="94"/>
      <c r="AK688" s="94"/>
      <c r="AL688" s="94"/>
    </row>
    <row r="689" spans="3:38">
      <c r="C689" s="30"/>
      <c r="F689" s="95"/>
      <c r="G689" s="1"/>
      <c r="H689" s="94"/>
      <c r="I689" s="90"/>
      <c r="J689" s="90"/>
      <c r="K689" s="1"/>
      <c r="L689" s="74"/>
      <c r="M689" s="633"/>
      <c r="N689" s="274"/>
      <c r="O689" s="94"/>
      <c r="P689" s="94"/>
      <c r="Q689" s="94"/>
      <c r="R689" s="94"/>
      <c r="S689" s="94"/>
      <c r="V689" s="30"/>
      <c r="W689" s="30"/>
      <c r="X689" s="1"/>
      <c r="Y689" s="95"/>
      <c r="Z689" s="1"/>
      <c r="AA689" s="94"/>
      <c r="AB689" s="1"/>
      <c r="AC689" s="1"/>
      <c r="AD689" s="1"/>
      <c r="AE689" s="30"/>
      <c r="AF689" s="633"/>
      <c r="AG689" s="94"/>
      <c r="AH689" s="94"/>
      <c r="AI689" s="94"/>
      <c r="AJ689" s="94"/>
      <c r="AK689" s="94"/>
      <c r="AL689" s="94"/>
    </row>
    <row r="690" spans="3:38">
      <c r="C690" s="30"/>
      <c r="F690" s="95"/>
      <c r="G690" s="1"/>
      <c r="H690" s="94"/>
      <c r="I690" s="90"/>
      <c r="J690" s="90"/>
      <c r="K690" s="1"/>
      <c r="L690" s="74"/>
      <c r="M690" s="633"/>
      <c r="N690" s="274"/>
      <c r="O690" s="94"/>
      <c r="P690" s="94"/>
      <c r="Q690" s="94"/>
      <c r="R690" s="94"/>
      <c r="S690" s="94"/>
      <c r="V690" s="30"/>
      <c r="W690" s="30"/>
      <c r="X690" s="1"/>
      <c r="Y690" s="95"/>
      <c r="Z690" s="1"/>
      <c r="AA690" s="94"/>
      <c r="AB690" s="1"/>
      <c r="AC690" s="1"/>
      <c r="AD690" s="1"/>
      <c r="AE690" s="30"/>
      <c r="AF690" s="633"/>
      <c r="AG690" s="94"/>
      <c r="AH690" s="94"/>
      <c r="AI690" s="94"/>
      <c r="AJ690" s="94"/>
      <c r="AK690" s="94"/>
      <c r="AL690" s="94"/>
    </row>
    <row r="691" spans="3:38">
      <c r="C691" s="30"/>
      <c r="F691" s="95"/>
      <c r="G691" s="1"/>
      <c r="H691" s="94"/>
      <c r="I691" s="90"/>
      <c r="J691" s="90"/>
      <c r="K691" s="1"/>
      <c r="L691" s="74"/>
      <c r="M691" s="633"/>
      <c r="N691" s="274"/>
      <c r="O691" s="94"/>
      <c r="P691" s="94"/>
      <c r="Q691" s="94"/>
      <c r="R691" s="94"/>
      <c r="S691" s="94"/>
      <c r="V691" s="30"/>
      <c r="W691" s="30"/>
      <c r="X691" s="1"/>
      <c r="Y691" s="95"/>
      <c r="Z691" s="1"/>
      <c r="AA691" s="94"/>
      <c r="AB691" s="1"/>
      <c r="AC691" s="1"/>
      <c r="AD691" s="1"/>
      <c r="AE691" s="30"/>
      <c r="AF691" s="633"/>
      <c r="AG691" s="94"/>
      <c r="AH691" s="94"/>
      <c r="AI691" s="94"/>
      <c r="AJ691" s="94"/>
      <c r="AK691" s="94"/>
      <c r="AL691" s="94"/>
    </row>
    <row r="692" spans="3:38">
      <c r="C692" s="30"/>
      <c r="F692" s="95"/>
      <c r="G692" s="1"/>
      <c r="H692" s="94"/>
      <c r="I692" s="90"/>
      <c r="J692" s="90"/>
      <c r="K692" s="1"/>
      <c r="L692" s="74"/>
      <c r="M692" s="633"/>
      <c r="N692" s="274"/>
      <c r="O692" s="94"/>
      <c r="P692" s="94"/>
      <c r="Q692" s="94"/>
      <c r="R692" s="94"/>
      <c r="S692" s="94"/>
      <c r="V692" s="30"/>
      <c r="W692" s="30"/>
      <c r="X692" s="1"/>
      <c r="Y692" s="95"/>
      <c r="Z692" s="1"/>
      <c r="AA692" s="94"/>
      <c r="AB692" s="1"/>
      <c r="AC692" s="1"/>
      <c r="AD692" s="1"/>
      <c r="AE692" s="30"/>
      <c r="AF692" s="633"/>
      <c r="AG692" s="94"/>
      <c r="AH692" s="94"/>
      <c r="AI692" s="94"/>
      <c r="AJ692" s="94"/>
      <c r="AK692" s="94"/>
      <c r="AL692" s="94"/>
    </row>
    <row r="693" spans="3:38">
      <c r="C693" s="30"/>
      <c r="F693" s="95"/>
      <c r="G693" s="1"/>
      <c r="H693" s="94"/>
      <c r="I693" s="90"/>
      <c r="J693" s="90"/>
      <c r="K693" s="1"/>
      <c r="L693" s="74"/>
      <c r="M693" s="633"/>
      <c r="N693" s="274"/>
      <c r="O693" s="94"/>
      <c r="P693" s="94"/>
      <c r="Q693" s="94"/>
      <c r="R693" s="94"/>
      <c r="S693" s="94"/>
      <c r="V693" s="30"/>
      <c r="W693" s="30"/>
      <c r="X693" s="1"/>
      <c r="Y693" s="95"/>
      <c r="Z693" s="1"/>
      <c r="AA693" s="94"/>
      <c r="AB693" s="1"/>
      <c r="AC693" s="1"/>
      <c r="AD693" s="1"/>
      <c r="AE693" s="30"/>
      <c r="AF693" s="633"/>
      <c r="AG693" s="94"/>
      <c r="AH693" s="94"/>
      <c r="AI693" s="94"/>
      <c r="AJ693" s="94"/>
      <c r="AK693" s="94"/>
      <c r="AL693" s="94"/>
    </row>
    <row r="694" spans="3:38">
      <c r="C694" s="30"/>
      <c r="F694" s="95"/>
      <c r="G694" s="1"/>
      <c r="H694" s="94"/>
      <c r="I694" s="90"/>
      <c r="J694" s="90"/>
      <c r="K694" s="1"/>
      <c r="L694" s="74"/>
      <c r="M694" s="633"/>
      <c r="N694" s="274"/>
      <c r="O694" s="94"/>
      <c r="P694" s="94"/>
      <c r="Q694" s="94"/>
      <c r="R694" s="94"/>
      <c r="S694" s="94"/>
      <c r="V694" s="30"/>
      <c r="W694" s="30"/>
      <c r="X694" s="1"/>
      <c r="Y694" s="95"/>
      <c r="Z694" s="1"/>
      <c r="AA694" s="94"/>
      <c r="AB694" s="1"/>
      <c r="AC694" s="1"/>
      <c r="AD694" s="1"/>
      <c r="AE694" s="30"/>
      <c r="AF694" s="633"/>
      <c r="AG694" s="94"/>
      <c r="AH694" s="94"/>
      <c r="AI694" s="94"/>
      <c r="AJ694" s="94"/>
      <c r="AK694" s="94"/>
      <c r="AL694" s="94"/>
    </row>
    <row r="695" spans="3:38">
      <c r="C695" s="30"/>
      <c r="F695" s="95"/>
      <c r="G695" s="1"/>
      <c r="H695" s="94"/>
      <c r="I695" s="90"/>
      <c r="J695" s="90"/>
      <c r="K695" s="1"/>
      <c r="L695" s="74"/>
      <c r="M695" s="633"/>
      <c r="N695" s="274"/>
      <c r="O695" s="94"/>
      <c r="P695" s="94"/>
      <c r="Q695" s="94"/>
      <c r="R695" s="94"/>
      <c r="S695" s="94"/>
      <c r="V695" s="30"/>
      <c r="W695" s="30"/>
      <c r="X695" s="1"/>
      <c r="Y695" s="95"/>
      <c r="Z695" s="1"/>
      <c r="AA695" s="94"/>
      <c r="AB695" s="1"/>
      <c r="AC695" s="1"/>
      <c r="AD695" s="1"/>
      <c r="AE695" s="30"/>
      <c r="AF695" s="633"/>
      <c r="AG695" s="94"/>
      <c r="AH695" s="94"/>
      <c r="AI695" s="94"/>
      <c r="AJ695" s="94"/>
      <c r="AK695" s="94"/>
      <c r="AL695" s="94"/>
    </row>
    <row r="696" spans="3:38">
      <c r="C696" s="30"/>
      <c r="F696" s="95"/>
      <c r="G696" s="1"/>
      <c r="H696" s="94"/>
      <c r="I696" s="90"/>
      <c r="J696" s="90"/>
      <c r="K696" s="1"/>
      <c r="L696" s="74"/>
      <c r="M696" s="633"/>
      <c r="N696" s="274"/>
      <c r="O696" s="94"/>
      <c r="P696" s="94"/>
      <c r="Q696" s="94"/>
      <c r="R696" s="94"/>
      <c r="S696" s="94"/>
      <c r="V696" s="30"/>
      <c r="W696" s="30"/>
      <c r="X696" s="1"/>
      <c r="Y696" s="95"/>
      <c r="Z696" s="1"/>
      <c r="AA696" s="94"/>
      <c r="AB696" s="1"/>
      <c r="AC696" s="1"/>
      <c r="AD696" s="1"/>
      <c r="AE696" s="30"/>
      <c r="AF696" s="633"/>
      <c r="AG696" s="94"/>
      <c r="AH696" s="94"/>
      <c r="AI696" s="94"/>
      <c r="AJ696" s="94"/>
      <c r="AK696" s="94"/>
      <c r="AL696" s="94"/>
    </row>
    <row r="697" spans="3:38">
      <c r="C697" s="30"/>
      <c r="F697" s="95"/>
      <c r="G697" s="1"/>
      <c r="H697" s="94"/>
      <c r="I697" s="90"/>
      <c r="J697" s="90"/>
      <c r="K697" s="1"/>
      <c r="L697" s="74"/>
      <c r="M697" s="633"/>
      <c r="N697" s="274"/>
      <c r="O697" s="94"/>
      <c r="P697" s="94"/>
      <c r="Q697" s="94"/>
      <c r="R697" s="94"/>
      <c r="S697" s="94"/>
      <c r="V697" s="30"/>
      <c r="W697" s="30"/>
      <c r="X697" s="1"/>
      <c r="Y697" s="95"/>
      <c r="Z697" s="1"/>
      <c r="AA697" s="94"/>
      <c r="AB697" s="1"/>
      <c r="AC697" s="1"/>
      <c r="AD697" s="1"/>
      <c r="AE697" s="30"/>
      <c r="AF697" s="633"/>
      <c r="AG697" s="94"/>
      <c r="AH697" s="94"/>
      <c r="AI697" s="94"/>
      <c r="AJ697" s="94"/>
      <c r="AK697" s="94"/>
      <c r="AL697" s="94"/>
    </row>
    <row r="698" spans="3:38">
      <c r="C698" s="30"/>
      <c r="F698" s="95"/>
      <c r="G698" s="1"/>
      <c r="H698" s="94"/>
      <c r="I698" s="90"/>
      <c r="J698" s="90"/>
      <c r="K698" s="1"/>
      <c r="L698" s="74"/>
      <c r="M698" s="633"/>
      <c r="N698" s="274"/>
      <c r="O698" s="94"/>
      <c r="P698" s="94"/>
      <c r="Q698" s="94"/>
      <c r="R698" s="94"/>
      <c r="S698" s="94"/>
      <c r="V698" s="30"/>
      <c r="W698" s="30"/>
      <c r="X698" s="1"/>
      <c r="Y698" s="95"/>
      <c r="Z698" s="1"/>
      <c r="AA698" s="94"/>
      <c r="AB698" s="1"/>
      <c r="AC698" s="1"/>
      <c r="AD698" s="1"/>
      <c r="AE698" s="30"/>
      <c r="AF698" s="633"/>
      <c r="AG698" s="94"/>
      <c r="AH698" s="94"/>
      <c r="AI698" s="94"/>
      <c r="AJ698" s="94"/>
      <c r="AK698" s="94"/>
      <c r="AL698" s="94"/>
    </row>
    <row r="699" spans="3:38">
      <c r="C699" s="30"/>
      <c r="F699" s="95"/>
      <c r="G699" s="1"/>
      <c r="H699" s="94"/>
      <c r="I699" s="90"/>
      <c r="J699" s="90"/>
      <c r="K699" s="1"/>
      <c r="L699" s="74"/>
      <c r="M699" s="633"/>
      <c r="N699" s="274"/>
      <c r="O699" s="94"/>
      <c r="P699" s="94"/>
      <c r="Q699" s="94"/>
      <c r="R699" s="94"/>
      <c r="S699" s="94"/>
      <c r="V699" s="30"/>
      <c r="W699" s="30"/>
      <c r="X699" s="1"/>
      <c r="Y699" s="95"/>
      <c r="Z699" s="1"/>
      <c r="AA699" s="94"/>
      <c r="AB699" s="1"/>
      <c r="AC699" s="1"/>
      <c r="AD699" s="1"/>
      <c r="AE699" s="30"/>
      <c r="AF699" s="633"/>
      <c r="AG699" s="94"/>
      <c r="AH699" s="94"/>
      <c r="AI699" s="94"/>
      <c r="AJ699" s="94"/>
      <c r="AK699" s="94"/>
      <c r="AL699" s="94"/>
    </row>
    <row r="700" spans="3:38">
      <c r="C700" s="30"/>
      <c r="F700" s="95"/>
      <c r="G700" s="1"/>
      <c r="H700" s="94"/>
      <c r="I700" s="90"/>
      <c r="J700" s="90"/>
      <c r="K700" s="1"/>
      <c r="L700" s="74"/>
      <c r="M700" s="633"/>
      <c r="N700" s="274"/>
      <c r="O700" s="94"/>
      <c r="P700" s="94"/>
      <c r="Q700" s="94"/>
      <c r="R700" s="94"/>
      <c r="S700" s="94"/>
      <c r="V700" s="30"/>
      <c r="W700" s="30"/>
      <c r="X700" s="1"/>
      <c r="Y700" s="95"/>
      <c r="Z700" s="1"/>
      <c r="AA700" s="94"/>
      <c r="AB700" s="1"/>
      <c r="AC700" s="1"/>
      <c r="AD700" s="1"/>
      <c r="AE700" s="30"/>
      <c r="AF700" s="633"/>
      <c r="AG700" s="94"/>
      <c r="AH700" s="94"/>
      <c r="AI700" s="94"/>
      <c r="AJ700" s="94"/>
      <c r="AK700" s="94"/>
      <c r="AL700" s="94"/>
    </row>
    <row r="701" spans="3:38">
      <c r="C701" s="30"/>
      <c r="F701" s="95"/>
      <c r="G701" s="1"/>
      <c r="H701" s="94"/>
      <c r="I701" s="90"/>
      <c r="J701" s="90"/>
      <c r="K701" s="1"/>
      <c r="L701" s="74"/>
      <c r="M701" s="633"/>
      <c r="N701" s="274"/>
      <c r="O701" s="94"/>
      <c r="P701" s="94"/>
      <c r="Q701" s="94"/>
      <c r="R701" s="94"/>
      <c r="S701" s="94"/>
      <c r="V701" s="30"/>
      <c r="W701" s="30"/>
      <c r="X701" s="1"/>
      <c r="Y701" s="95"/>
      <c r="Z701" s="1"/>
      <c r="AA701" s="94"/>
      <c r="AB701" s="1"/>
      <c r="AC701" s="1"/>
      <c r="AD701" s="1"/>
      <c r="AE701" s="30"/>
      <c r="AF701" s="633"/>
      <c r="AG701" s="94"/>
      <c r="AH701" s="94"/>
      <c r="AI701" s="94"/>
      <c r="AJ701" s="94"/>
      <c r="AK701" s="94"/>
      <c r="AL701" s="94"/>
    </row>
    <row r="702" spans="3:38">
      <c r="C702" s="30"/>
      <c r="F702" s="95"/>
      <c r="G702" s="1"/>
      <c r="H702" s="94"/>
      <c r="I702" s="90"/>
      <c r="J702" s="90"/>
      <c r="K702" s="1"/>
      <c r="L702" s="74"/>
      <c r="M702" s="633"/>
      <c r="N702" s="274"/>
      <c r="O702" s="94"/>
      <c r="P702" s="94"/>
      <c r="Q702" s="94"/>
      <c r="R702" s="94"/>
      <c r="S702" s="94"/>
      <c r="V702" s="30"/>
      <c r="W702" s="30"/>
      <c r="X702" s="1"/>
      <c r="Y702" s="95"/>
      <c r="Z702" s="1"/>
      <c r="AA702" s="94"/>
      <c r="AB702" s="1"/>
      <c r="AC702" s="1"/>
      <c r="AD702" s="1"/>
      <c r="AE702" s="30"/>
      <c r="AF702" s="633"/>
      <c r="AG702" s="94"/>
      <c r="AH702" s="94"/>
      <c r="AI702" s="94"/>
      <c r="AJ702" s="94"/>
      <c r="AK702" s="94"/>
      <c r="AL702" s="94"/>
    </row>
    <row r="703" spans="3:38">
      <c r="C703" s="30"/>
      <c r="F703" s="95"/>
      <c r="G703" s="1"/>
      <c r="H703" s="94"/>
      <c r="I703" s="90"/>
      <c r="J703" s="90"/>
      <c r="K703" s="1"/>
      <c r="L703" s="74"/>
      <c r="M703" s="633"/>
      <c r="N703" s="274"/>
      <c r="O703" s="94"/>
      <c r="P703" s="94"/>
      <c r="Q703" s="94"/>
      <c r="R703" s="94"/>
      <c r="S703" s="94"/>
      <c r="V703" s="30"/>
      <c r="W703" s="30"/>
      <c r="X703" s="1"/>
      <c r="Y703" s="95"/>
      <c r="Z703" s="1"/>
      <c r="AA703" s="94"/>
      <c r="AB703" s="1"/>
      <c r="AC703" s="1"/>
      <c r="AD703" s="1"/>
      <c r="AE703" s="30"/>
      <c r="AF703" s="633"/>
      <c r="AG703" s="94"/>
      <c r="AH703" s="94"/>
      <c r="AI703" s="94"/>
      <c r="AJ703" s="94"/>
      <c r="AK703" s="94"/>
      <c r="AL703" s="94"/>
    </row>
    <row r="704" spans="3:38">
      <c r="C704" s="30"/>
      <c r="F704" s="95"/>
      <c r="G704" s="1"/>
      <c r="H704" s="94"/>
      <c r="I704" s="90"/>
      <c r="J704" s="90"/>
      <c r="K704" s="1"/>
      <c r="L704" s="74"/>
      <c r="M704" s="633"/>
      <c r="N704" s="274"/>
      <c r="O704" s="94"/>
      <c r="P704" s="94"/>
      <c r="Q704" s="94"/>
      <c r="R704" s="94"/>
      <c r="S704" s="94"/>
      <c r="V704" s="30"/>
      <c r="W704" s="30"/>
      <c r="X704" s="1"/>
      <c r="Y704" s="95"/>
      <c r="Z704" s="1"/>
      <c r="AA704" s="94"/>
      <c r="AB704" s="1"/>
      <c r="AC704" s="1"/>
      <c r="AD704" s="1"/>
      <c r="AE704" s="30"/>
      <c r="AF704" s="633"/>
      <c r="AG704" s="94"/>
      <c r="AH704" s="94"/>
      <c r="AI704" s="94"/>
      <c r="AJ704" s="94"/>
      <c r="AK704" s="94"/>
      <c r="AL704" s="94"/>
    </row>
    <row r="705" spans="3:38">
      <c r="C705" s="30"/>
      <c r="F705" s="95"/>
      <c r="G705" s="1"/>
      <c r="H705" s="94"/>
      <c r="I705" s="90"/>
      <c r="J705" s="90"/>
      <c r="K705" s="1"/>
      <c r="L705" s="74"/>
      <c r="M705" s="633"/>
      <c r="N705" s="274"/>
      <c r="O705" s="94"/>
      <c r="P705" s="94"/>
      <c r="Q705" s="94"/>
      <c r="R705" s="94"/>
      <c r="S705" s="94"/>
      <c r="V705" s="30"/>
      <c r="W705" s="30"/>
      <c r="X705" s="1"/>
      <c r="Y705" s="95"/>
      <c r="Z705" s="1"/>
      <c r="AA705" s="94"/>
      <c r="AB705" s="1"/>
      <c r="AC705" s="1"/>
      <c r="AD705" s="1"/>
      <c r="AE705" s="30"/>
      <c r="AF705" s="633"/>
      <c r="AG705" s="94"/>
      <c r="AH705" s="94"/>
      <c r="AI705" s="94"/>
      <c r="AJ705" s="94"/>
      <c r="AK705" s="94"/>
      <c r="AL705" s="94"/>
    </row>
    <row r="706" spans="3:38">
      <c r="C706" s="30"/>
      <c r="F706" s="95"/>
      <c r="G706" s="1"/>
      <c r="H706" s="94"/>
      <c r="I706" s="90"/>
      <c r="J706" s="90"/>
      <c r="K706" s="1"/>
      <c r="L706" s="74"/>
      <c r="M706" s="633"/>
      <c r="N706" s="274"/>
      <c r="O706" s="94"/>
      <c r="P706" s="94"/>
      <c r="Q706" s="94"/>
      <c r="R706" s="94"/>
      <c r="S706" s="94"/>
      <c r="V706" s="30"/>
      <c r="W706" s="30"/>
      <c r="X706" s="1"/>
      <c r="Y706" s="95"/>
      <c r="Z706" s="1"/>
      <c r="AA706" s="94"/>
      <c r="AB706" s="1"/>
      <c r="AC706" s="1"/>
      <c r="AD706" s="1"/>
      <c r="AE706" s="30"/>
      <c r="AF706" s="633"/>
      <c r="AG706" s="94"/>
      <c r="AH706" s="94"/>
      <c r="AI706" s="94"/>
      <c r="AJ706" s="94"/>
      <c r="AK706" s="94"/>
      <c r="AL706" s="94"/>
    </row>
    <row r="707" spans="3:38">
      <c r="C707" s="30"/>
      <c r="F707" s="95"/>
      <c r="G707" s="1"/>
      <c r="H707" s="94"/>
      <c r="I707" s="90"/>
      <c r="J707" s="90"/>
      <c r="K707" s="1"/>
      <c r="L707" s="74"/>
      <c r="M707" s="633"/>
      <c r="N707" s="274"/>
      <c r="O707" s="94"/>
      <c r="P707" s="94"/>
      <c r="Q707" s="94"/>
      <c r="R707" s="94"/>
      <c r="S707" s="94"/>
      <c r="V707" s="30"/>
      <c r="W707" s="30"/>
      <c r="X707" s="1"/>
      <c r="Y707" s="95"/>
      <c r="Z707" s="1"/>
      <c r="AA707" s="94"/>
      <c r="AB707" s="1"/>
      <c r="AC707" s="1"/>
      <c r="AD707" s="1"/>
      <c r="AE707" s="30"/>
      <c r="AF707" s="633"/>
      <c r="AG707" s="94"/>
      <c r="AH707" s="94"/>
      <c r="AI707" s="94"/>
      <c r="AJ707" s="94"/>
      <c r="AK707" s="94"/>
      <c r="AL707" s="94"/>
    </row>
    <row r="708" spans="3:38">
      <c r="C708" s="30"/>
      <c r="F708" s="95"/>
      <c r="G708" s="1"/>
      <c r="H708" s="94"/>
      <c r="I708" s="90"/>
      <c r="J708" s="90"/>
      <c r="K708" s="1"/>
      <c r="L708" s="74"/>
      <c r="M708" s="633"/>
      <c r="N708" s="274"/>
      <c r="O708" s="94"/>
      <c r="P708" s="94"/>
      <c r="Q708" s="94"/>
      <c r="R708" s="94"/>
      <c r="S708" s="94"/>
      <c r="V708" s="30"/>
      <c r="W708" s="30"/>
      <c r="X708" s="1"/>
      <c r="Y708" s="95"/>
      <c r="Z708" s="1"/>
      <c r="AA708" s="94"/>
      <c r="AB708" s="1"/>
      <c r="AC708" s="1"/>
      <c r="AD708" s="1"/>
      <c r="AE708" s="30"/>
      <c r="AF708" s="633"/>
      <c r="AG708" s="94"/>
      <c r="AH708" s="94"/>
      <c r="AI708" s="94"/>
      <c r="AJ708" s="94"/>
      <c r="AK708" s="94"/>
      <c r="AL708" s="94"/>
    </row>
    <row r="709" spans="3:38">
      <c r="C709" s="30"/>
      <c r="F709" s="95"/>
      <c r="G709" s="1"/>
      <c r="H709" s="94"/>
      <c r="I709" s="90"/>
      <c r="J709" s="90"/>
      <c r="K709" s="1"/>
      <c r="L709" s="74"/>
      <c r="M709" s="633"/>
      <c r="N709" s="274"/>
      <c r="O709" s="94"/>
      <c r="P709" s="94"/>
      <c r="Q709" s="94"/>
      <c r="R709" s="94"/>
      <c r="S709" s="94"/>
      <c r="V709" s="30"/>
      <c r="W709" s="30"/>
      <c r="X709" s="1"/>
      <c r="Y709" s="95"/>
      <c r="Z709" s="1"/>
      <c r="AA709" s="94"/>
      <c r="AB709" s="1"/>
      <c r="AC709" s="1"/>
      <c r="AD709" s="1"/>
      <c r="AE709" s="30"/>
      <c r="AF709" s="633"/>
      <c r="AG709" s="94"/>
      <c r="AH709" s="94"/>
      <c r="AI709" s="94"/>
      <c r="AJ709" s="94"/>
      <c r="AK709" s="94"/>
      <c r="AL709" s="94"/>
    </row>
    <row r="710" spans="3:38">
      <c r="C710" s="30"/>
      <c r="F710" s="95"/>
      <c r="G710" s="1"/>
      <c r="H710" s="94"/>
      <c r="I710" s="90"/>
      <c r="J710" s="90"/>
      <c r="K710" s="1"/>
      <c r="L710" s="74"/>
      <c r="M710" s="633"/>
      <c r="N710" s="274"/>
      <c r="O710" s="94"/>
      <c r="P710" s="94"/>
      <c r="Q710" s="94"/>
      <c r="R710" s="94"/>
      <c r="S710" s="94"/>
      <c r="V710" s="30"/>
      <c r="W710" s="30"/>
      <c r="X710" s="1"/>
      <c r="Y710" s="95"/>
      <c r="Z710" s="1"/>
      <c r="AA710" s="94"/>
      <c r="AB710" s="1"/>
      <c r="AC710" s="1"/>
      <c r="AD710" s="1"/>
      <c r="AE710" s="30"/>
      <c r="AF710" s="633"/>
      <c r="AG710" s="94"/>
      <c r="AH710" s="94"/>
      <c r="AI710" s="94"/>
      <c r="AJ710" s="94"/>
      <c r="AK710" s="94"/>
      <c r="AL710" s="94"/>
    </row>
    <row r="711" spans="3:38">
      <c r="C711" s="30"/>
      <c r="F711" s="95"/>
      <c r="G711" s="1"/>
      <c r="H711" s="94"/>
      <c r="I711" s="90"/>
      <c r="J711" s="90"/>
      <c r="K711" s="1"/>
      <c r="L711" s="74"/>
      <c r="M711" s="633"/>
      <c r="N711" s="274"/>
      <c r="O711" s="94"/>
      <c r="P711" s="94"/>
      <c r="Q711" s="94"/>
      <c r="R711" s="94"/>
      <c r="S711" s="94"/>
      <c r="V711" s="30"/>
      <c r="W711" s="30"/>
      <c r="X711" s="1"/>
      <c r="Y711" s="95"/>
      <c r="Z711" s="1"/>
      <c r="AA711" s="94"/>
      <c r="AB711" s="1"/>
      <c r="AC711" s="1"/>
      <c r="AD711" s="1"/>
      <c r="AE711" s="30"/>
      <c r="AF711" s="633"/>
      <c r="AG711" s="94"/>
      <c r="AH711" s="94"/>
      <c r="AI711" s="94"/>
      <c r="AJ711" s="94"/>
      <c r="AK711" s="94"/>
      <c r="AL711" s="94"/>
    </row>
    <row r="712" spans="3:38">
      <c r="C712" s="30"/>
      <c r="F712" s="95"/>
      <c r="G712" s="1"/>
      <c r="H712" s="94"/>
      <c r="I712" s="90"/>
      <c r="J712" s="90"/>
      <c r="K712" s="1"/>
      <c r="L712" s="74"/>
      <c r="M712" s="633"/>
      <c r="N712" s="274"/>
      <c r="O712" s="94"/>
      <c r="P712" s="94"/>
      <c r="Q712" s="94"/>
      <c r="R712" s="94"/>
      <c r="S712" s="94"/>
      <c r="V712" s="30"/>
      <c r="W712" s="30"/>
      <c r="X712" s="1"/>
      <c r="Y712" s="95"/>
      <c r="Z712" s="1"/>
      <c r="AA712" s="94"/>
      <c r="AB712" s="1"/>
      <c r="AC712" s="1"/>
      <c r="AD712" s="1"/>
      <c r="AE712" s="30"/>
      <c r="AF712" s="633"/>
      <c r="AG712" s="94"/>
      <c r="AH712" s="94"/>
      <c r="AI712" s="94"/>
      <c r="AJ712" s="94"/>
      <c r="AK712" s="94"/>
      <c r="AL712" s="94"/>
    </row>
    <row r="713" spans="3:38">
      <c r="C713" s="30"/>
      <c r="F713" s="95"/>
      <c r="G713" s="1"/>
      <c r="H713" s="94"/>
      <c r="I713" s="90"/>
      <c r="J713" s="90"/>
      <c r="K713" s="1"/>
      <c r="L713" s="74"/>
      <c r="M713" s="633"/>
      <c r="N713" s="274"/>
      <c r="O713" s="94"/>
      <c r="P713" s="94"/>
      <c r="Q713" s="94"/>
      <c r="R713" s="94"/>
      <c r="S713" s="94"/>
      <c r="V713" s="30"/>
      <c r="W713" s="30"/>
      <c r="X713" s="1"/>
      <c r="Y713" s="95"/>
      <c r="Z713" s="1"/>
      <c r="AA713" s="94"/>
      <c r="AB713" s="1"/>
      <c r="AC713" s="1"/>
      <c r="AD713" s="1"/>
      <c r="AE713" s="30"/>
      <c r="AF713" s="633"/>
      <c r="AG713" s="94"/>
      <c r="AH713" s="94"/>
      <c r="AI713" s="94"/>
      <c r="AJ713" s="94"/>
      <c r="AK713" s="94"/>
      <c r="AL713" s="94"/>
    </row>
    <row r="714" spans="3:38">
      <c r="C714" s="30"/>
      <c r="F714" s="95"/>
      <c r="G714" s="1"/>
      <c r="H714" s="94"/>
      <c r="I714" s="90"/>
      <c r="J714" s="90"/>
      <c r="K714" s="1"/>
      <c r="L714" s="74"/>
      <c r="M714" s="633"/>
      <c r="N714" s="274"/>
      <c r="O714" s="94"/>
      <c r="P714" s="94"/>
      <c r="Q714" s="94"/>
      <c r="R714" s="94"/>
      <c r="S714" s="94"/>
      <c r="V714" s="30"/>
      <c r="W714" s="30"/>
      <c r="X714" s="1"/>
      <c r="Y714" s="95"/>
      <c r="Z714" s="1"/>
      <c r="AA714" s="94"/>
      <c r="AB714" s="1"/>
      <c r="AC714" s="1"/>
      <c r="AD714" s="1"/>
      <c r="AE714" s="30"/>
      <c r="AF714" s="633"/>
      <c r="AG714" s="94"/>
      <c r="AH714" s="94"/>
      <c r="AI714" s="94"/>
      <c r="AJ714" s="94"/>
      <c r="AK714" s="94"/>
      <c r="AL714" s="94"/>
    </row>
    <row r="715" spans="3:38">
      <c r="C715" s="30"/>
      <c r="F715" s="95"/>
      <c r="G715" s="1"/>
      <c r="H715" s="94"/>
      <c r="I715" s="90"/>
      <c r="J715" s="90"/>
      <c r="K715" s="1"/>
      <c r="L715" s="74"/>
      <c r="M715" s="633"/>
      <c r="N715" s="274"/>
      <c r="O715" s="94"/>
      <c r="P715" s="94"/>
      <c r="Q715" s="94"/>
      <c r="R715" s="94"/>
      <c r="S715" s="94"/>
      <c r="V715" s="30"/>
      <c r="W715" s="30"/>
      <c r="X715" s="1"/>
      <c r="Y715" s="95"/>
      <c r="Z715" s="1"/>
      <c r="AA715" s="94"/>
      <c r="AB715" s="1"/>
      <c r="AC715" s="1"/>
      <c r="AD715" s="1"/>
      <c r="AE715" s="30"/>
      <c r="AF715" s="633"/>
      <c r="AG715" s="94"/>
      <c r="AH715" s="94"/>
      <c r="AI715" s="94"/>
      <c r="AJ715" s="94"/>
      <c r="AK715" s="94"/>
      <c r="AL715" s="94"/>
    </row>
    <row r="716" spans="3:38">
      <c r="C716" s="30"/>
      <c r="F716" s="95"/>
      <c r="G716" s="1"/>
      <c r="H716" s="94"/>
      <c r="I716" s="90"/>
      <c r="J716" s="90"/>
      <c r="K716" s="1"/>
      <c r="L716" s="74"/>
      <c r="M716" s="633"/>
      <c r="N716" s="274"/>
      <c r="O716" s="94"/>
      <c r="P716" s="94"/>
      <c r="Q716" s="94"/>
      <c r="R716" s="94"/>
      <c r="S716" s="94"/>
      <c r="V716" s="30"/>
      <c r="W716" s="30"/>
      <c r="X716" s="1"/>
      <c r="Y716" s="95"/>
      <c r="Z716" s="1"/>
      <c r="AA716" s="94"/>
      <c r="AB716" s="1"/>
      <c r="AC716" s="1"/>
      <c r="AD716" s="1"/>
      <c r="AE716" s="30"/>
      <c r="AF716" s="633"/>
      <c r="AG716" s="94"/>
      <c r="AH716" s="94"/>
      <c r="AI716" s="94"/>
      <c r="AJ716" s="94"/>
      <c r="AK716" s="94"/>
      <c r="AL716" s="94"/>
    </row>
    <row r="717" spans="3:38">
      <c r="C717" s="30"/>
      <c r="F717" s="95"/>
      <c r="G717" s="1"/>
      <c r="H717" s="94"/>
      <c r="I717" s="90"/>
      <c r="J717" s="90"/>
      <c r="K717" s="1"/>
      <c r="L717" s="74"/>
      <c r="M717" s="633"/>
      <c r="N717" s="274"/>
      <c r="O717" s="94"/>
      <c r="P717" s="94"/>
      <c r="Q717" s="94"/>
      <c r="R717" s="94"/>
      <c r="S717" s="94"/>
      <c r="V717" s="30"/>
      <c r="W717" s="30"/>
      <c r="X717" s="1"/>
      <c r="Y717" s="95"/>
      <c r="Z717" s="1"/>
      <c r="AA717" s="94"/>
      <c r="AB717" s="1"/>
      <c r="AC717" s="1"/>
      <c r="AD717" s="1"/>
      <c r="AE717" s="30"/>
      <c r="AF717" s="633"/>
      <c r="AG717" s="94"/>
      <c r="AH717" s="94"/>
      <c r="AI717" s="94"/>
      <c r="AJ717" s="94"/>
      <c r="AK717" s="94"/>
      <c r="AL717" s="94"/>
    </row>
    <row r="718" spans="3:38">
      <c r="C718" s="30"/>
      <c r="F718" s="95"/>
      <c r="G718" s="1"/>
      <c r="H718" s="94"/>
      <c r="I718" s="90"/>
      <c r="J718" s="90"/>
      <c r="K718" s="1"/>
      <c r="L718" s="74"/>
      <c r="M718" s="633"/>
      <c r="N718" s="274"/>
      <c r="O718" s="94"/>
      <c r="P718" s="94"/>
      <c r="Q718" s="94"/>
      <c r="R718" s="94"/>
      <c r="S718" s="94"/>
      <c r="V718" s="30"/>
      <c r="W718" s="30"/>
      <c r="X718" s="1"/>
      <c r="Y718" s="95"/>
      <c r="Z718" s="1"/>
      <c r="AA718" s="94"/>
      <c r="AB718" s="1"/>
      <c r="AC718" s="1"/>
      <c r="AD718" s="1"/>
      <c r="AE718" s="30"/>
      <c r="AF718" s="633"/>
      <c r="AG718" s="94"/>
      <c r="AH718" s="94"/>
      <c r="AI718" s="94"/>
      <c r="AJ718" s="94"/>
      <c r="AK718" s="94"/>
      <c r="AL718" s="94"/>
    </row>
    <row r="719" spans="3:38">
      <c r="C719" s="30"/>
      <c r="F719" s="95"/>
      <c r="G719" s="1"/>
      <c r="H719" s="94"/>
      <c r="I719" s="90"/>
      <c r="J719" s="90"/>
      <c r="K719" s="1"/>
      <c r="L719" s="74"/>
      <c r="M719" s="633"/>
      <c r="N719" s="274"/>
      <c r="O719" s="94"/>
      <c r="P719" s="94"/>
      <c r="Q719" s="94"/>
      <c r="R719" s="94"/>
      <c r="S719" s="94"/>
      <c r="V719" s="30"/>
      <c r="W719" s="30"/>
      <c r="X719" s="1"/>
      <c r="Y719" s="95"/>
      <c r="Z719" s="1"/>
      <c r="AA719" s="94"/>
      <c r="AB719" s="1"/>
      <c r="AC719" s="1"/>
      <c r="AD719" s="1"/>
      <c r="AE719" s="30"/>
      <c r="AF719" s="633"/>
      <c r="AG719" s="94"/>
      <c r="AH719" s="94"/>
      <c r="AI719" s="94"/>
      <c r="AJ719" s="94"/>
      <c r="AK719" s="94"/>
      <c r="AL719" s="94"/>
    </row>
    <row r="720" spans="3:38">
      <c r="C720" s="30"/>
      <c r="F720" s="95"/>
      <c r="G720" s="1"/>
      <c r="H720" s="94"/>
      <c r="I720" s="90"/>
      <c r="J720" s="90"/>
      <c r="K720" s="1"/>
      <c r="L720" s="74"/>
      <c r="M720" s="633"/>
      <c r="N720" s="274"/>
      <c r="O720" s="94"/>
      <c r="P720" s="94"/>
      <c r="Q720" s="94"/>
      <c r="R720" s="94"/>
      <c r="S720" s="94"/>
      <c r="V720" s="30"/>
      <c r="W720" s="30"/>
      <c r="X720" s="1"/>
      <c r="Y720" s="95"/>
      <c r="Z720" s="1"/>
      <c r="AA720" s="94"/>
      <c r="AB720" s="1"/>
      <c r="AC720" s="1"/>
      <c r="AD720" s="1"/>
      <c r="AE720" s="30"/>
      <c r="AF720" s="633"/>
      <c r="AG720" s="94"/>
      <c r="AH720" s="94"/>
      <c r="AI720" s="94"/>
      <c r="AJ720" s="94"/>
      <c r="AK720" s="94"/>
      <c r="AL720" s="94"/>
    </row>
    <row r="721" spans="3:38">
      <c r="C721" s="30"/>
      <c r="F721" s="95"/>
      <c r="G721" s="1"/>
      <c r="H721" s="94"/>
      <c r="I721" s="90"/>
      <c r="J721" s="90"/>
      <c r="K721" s="1"/>
      <c r="L721" s="74"/>
      <c r="M721" s="633"/>
      <c r="N721" s="274"/>
      <c r="O721" s="94"/>
      <c r="P721" s="94"/>
      <c r="Q721" s="94"/>
      <c r="R721" s="94"/>
      <c r="S721" s="94"/>
      <c r="V721" s="30"/>
      <c r="W721" s="30"/>
      <c r="X721" s="1"/>
      <c r="Y721" s="95"/>
      <c r="Z721" s="1"/>
      <c r="AA721" s="94"/>
      <c r="AB721" s="1"/>
      <c r="AC721" s="1"/>
      <c r="AD721" s="1"/>
      <c r="AE721" s="30"/>
      <c r="AF721" s="633"/>
      <c r="AG721" s="94"/>
      <c r="AH721" s="94"/>
      <c r="AI721" s="94"/>
      <c r="AJ721" s="94"/>
      <c r="AK721" s="94"/>
      <c r="AL721" s="94"/>
    </row>
    <row r="722" spans="3:38">
      <c r="C722" s="30"/>
      <c r="F722" s="95"/>
      <c r="G722" s="1"/>
      <c r="H722" s="94"/>
      <c r="I722" s="90"/>
      <c r="J722" s="90"/>
      <c r="K722" s="1"/>
      <c r="L722" s="74"/>
      <c r="M722" s="633"/>
      <c r="N722" s="274"/>
      <c r="O722" s="94"/>
      <c r="P722" s="94"/>
      <c r="Q722" s="94"/>
      <c r="R722" s="94"/>
      <c r="S722" s="94"/>
      <c r="V722" s="30"/>
      <c r="W722" s="30"/>
      <c r="X722" s="1"/>
      <c r="Y722" s="95"/>
      <c r="Z722" s="1"/>
      <c r="AA722" s="94"/>
      <c r="AB722" s="1"/>
      <c r="AC722" s="1"/>
      <c r="AD722" s="1"/>
      <c r="AE722" s="30"/>
      <c r="AF722" s="633"/>
      <c r="AG722" s="94"/>
      <c r="AH722" s="94"/>
      <c r="AI722" s="94"/>
      <c r="AJ722" s="94"/>
      <c r="AK722" s="94"/>
      <c r="AL722" s="94"/>
    </row>
    <row r="723" spans="3:38">
      <c r="C723" s="30"/>
      <c r="F723" s="95"/>
      <c r="G723" s="1"/>
      <c r="H723" s="94"/>
      <c r="I723" s="90"/>
      <c r="J723" s="90"/>
      <c r="K723" s="1"/>
      <c r="L723" s="74"/>
      <c r="M723" s="633"/>
      <c r="N723" s="274"/>
      <c r="O723" s="94"/>
      <c r="P723" s="94"/>
      <c r="Q723" s="94"/>
      <c r="R723" s="94"/>
      <c r="S723" s="94"/>
      <c r="V723" s="30"/>
      <c r="W723" s="30"/>
      <c r="X723" s="1"/>
      <c r="Y723" s="95"/>
      <c r="Z723" s="1"/>
      <c r="AA723" s="94"/>
      <c r="AB723" s="1"/>
      <c r="AC723" s="1"/>
      <c r="AD723" s="1"/>
      <c r="AE723" s="30"/>
      <c r="AF723" s="633"/>
      <c r="AG723" s="94"/>
      <c r="AH723" s="94"/>
      <c r="AI723" s="94"/>
      <c r="AJ723" s="94"/>
      <c r="AK723" s="94"/>
      <c r="AL723" s="94"/>
    </row>
    <row r="724" spans="3:38">
      <c r="C724" s="30"/>
      <c r="F724" s="95"/>
      <c r="G724" s="1"/>
      <c r="H724" s="94"/>
      <c r="I724" s="90"/>
      <c r="J724" s="90"/>
      <c r="K724" s="1"/>
      <c r="L724" s="74"/>
      <c r="M724" s="633"/>
      <c r="N724" s="274"/>
      <c r="O724" s="94"/>
      <c r="P724" s="94"/>
      <c r="Q724" s="94"/>
      <c r="R724" s="94"/>
      <c r="S724" s="94"/>
      <c r="V724" s="30"/>
      <c r="W724" s="30"/>
      <c r="X724" s="1"/>
      <c r="Y724" s="95"/>
      <c r="Z724" s="1"/>
      <c r="AA724" s="94"/>
      <c r="AB724" s="1"/>
      <c r="AC724" s="1"/>
      <c r="AD724" s="1"/>
      <c r="AE724" s="30"/>
      <c r="AF724" s="633"/>
      <c r="AG724" s="94"/>
      <c r="AH724" s="94"/>
      <c r="AI724" s="94"/>
      <c r="AJ724" s="94"/>
      <c r="AK724" s="94"/>
      <c r="AL724" s="94"/>
    </row>
    <row r="725" spans="3:38">
      <c r="C725" s="30"/>
      <c r="F725" s="95"/>
      <c r="G725" s="1"/>
      <c r="H725" s="94"/>
      <c r="I725" s="90"/>
      <c r="J725" s="90"/>
      <c r="K725" s="1"/>
      <c r="L725" s="74"/>
      <c r="M725" s="633"/>
      <c r="N725" s="274"/>
      <c r="O725" s="94"/>
      <c r="P725" s="94"/>
      <c r="Q725" s="94"/>
      <c r="R725" s="94"/>
      <c r="S725" s="94"/>
      <c r="V725" s="30"/>
      <c r="W725" s="30"/>
      <c r="X725" s="1"/>
      <c r="Y725" s="95"/>
      <c r="Z725" s="1"/>
      <c r="AA725" s="94"/>
      <c r="AB725" s="1"/>
      <c r="AC725" s="1"/>
      <c r="AD725" s="1"/>
      <c r="AE725" s="30"/>
      <c r="AF725" s="633"/>
      <c r="AG725" s="94"/>
      <c r="AH725" s="94"/>
      <c r="AI725" s="94"/>
      <c r="AJ725" s="94"/>
      <c r="AK725" s="94"/>
      <c r="AL725" s="94"/>
    </row>
    <row r="726" spans="3:38">
      <c r="C726" s="30"/>
      <c r="F726" s="95"/>
      <c r="G726" s="1"/>
      <c r="H726" s="94"/>
      <c r="I726" s="90"/>
      <c r="J726" s="90"/>
      <c r="K726" s="1"/>
      <c r="L726" s="74"/>
      <c r="M726" s="633"/>
      <c r="N726" s="274"/>
      <c r="O726" s="94"/>
      <c r="P726" s="94"/>
      <c r="Q726" s="94"/>
      <c r="R726" s="94"/>
      <c r="S726" s="94"/>
      <c r="V726" s="30"/>
      <c r="W726" s="30"/>
      <c r="X726" s="1"/>
      <c r="Y726" s="95"/>
      <c r="Z726" s="1"/>
      <c r="AA726" s="94"/>
      <c r="AB726" s="1"/>
      <c r="AC726" s="1"/>
      <c r="AD726" s="1"/>
      <c r="AE726" s="30"/>
      <c r="AF726" s="633"/>
      <c r="AG726" s="94"/>
      <c r="AH726" s="94"/>
      <c r="AI726" s="94"/>
      <c r="AJ726" s="94"/>
      <c r="AK726" s="94"/>
      <c r="AL726" s="94"/>
    </row>
    <row r="727" spans="3:38">
      <c r="C727" s="30"/>
      <c r="F727" s="95"/>
      <c r="G727" s="1"/>
      <c r="H727" s="94"/>
      <c r="I727" s="90"/>
      <c r="J727" s="90"/>
      <c r="K727" s="1"/>
      <c r="L727" s="74"/>
      <c r="M727" s="633"/>
      <c r="N727" s="274"/>
      <c r="O727" s="94"/>
      <c r="P727" s="94"/>
      <c r="Q727" s="94"/>
      <c r="R727" s="94"/>
      <c r="S727" s="94"/>
      <c r="V727" s="30"/>
      <c r="W727" s="30"/>
      <c r="X727" s="1"/>
      <c r="Y727" s="95"/>
      <c r="Z727" s="1"/>
      <c r="AA727" s="94"/>
      <c r="AB727" s="1"/>
      <c r="AC727" s="1"/>
      <c r="AD727" s="1"/>
      <c r="AE727" s="30"/>
      <c r="AF727" s="633"/>
      <c r="AG727" s="94"/>
      <c r="AH727" s="94"/>
      <c r="AI727" s="94"/>
      <c r="AJ727" s="94"/>
      <c r="AK727" s="94"/>
      <c r="AL727" s="94"/>
    </row>
    <row r="728" spans="3:38">
      <c r="C728" s="30"/>
      <c r="F728" s="95"/>
      <c r="G728" s="1"/>
      <c r="H728" s="94"/>
      <c r="I728" s="90"/>
      <c r="J728" s="90"/>
      <c r="K728" s="1"/>
      <c r="L728" s="74"/>
      <c r="M728" s="633"/>
      <c r="N728" s="274"/>
      <c r="O728" s="94"/>
      <c r="P728" s="94"/>
      <c r="Q728" s="94"/>
      <c r="R728" s="94"/>
      <c r="S728" s="94"/>
      <c r="V728" s="30"/>
      <c r="W728" s="30"/>
      <c r="X728" s="1"/>
      <c r="Y728" s="95"/>
      <c r="Z728" s="1"/>
      <c r="AA728" s="94"/>
      <c r="AB728" s="1"/>
      <c r="AC728" s="1"/>
      <c r="AD728" s="1"/>
      <c r="AE728" s="30"/>
      <c r="AF728" s="633"/>
      <c r="AG728" s="94"/>
      <c r="AH728" s="94"/>
      <c r="AI728" s="94"/>
      <c r="AJ728" s="94"/>
      <c r="AK728" s="94"/>
      <c r="AL728" s="94"/>
    </row>
    <row r="729" spans="3:38">
      <c r="C729" s="30"/>
      <c r="F729" s="95"/>
      <c r="G729" s="1"/>
      <c r="H729" s="94"/>
      <c r="I729" s="90"/>
      <c r="J729" s="90"/>
      <c r="K729" s="1"/>
      <c r="L729" s="74"/>
      <c r="M729" s="633"/>
      <c r="N729" s="274"/>
      <c r="O729" s="94"/>
      <c r="P729" s="94"/>
      <c r="Q729" s="94"/>
      <c r="R729" s="94"/>
      <c r="S729" s="94"/>
      <c r="V729" s="30"/>
      <c r="W729" s="30"/>
      <c r="X729" s="1"/>
      <c r="Y729" s="95"/>
      <c r="Z729" s="1"/>
      <c r="AA729" s="94"/>
      <c r="AB729" s="1"/>
      <c r="AC729" s="1"/>
      <c r="AD729" s="1"/>
      <c r="AE729" s="30"/>
      <c r="AF729" s="633"/>
      <c r="AG729" s="94"/>
      <c r="AH729" s="94"/>
      <c r="AI729" s="94"/>
      <c r="AJ729" s="94"/>
      <c r="AK729" s="94"/>
      <c r="AL729" s="94"/>
    </row>
    <row r="730" spans="3:38">
      <c r="C730" s="30"/>
      <c r="F730" s="95"/>
      <c r="G730" s="1"/>
      <c r="H730" s="94"/>
      <c r="I730" s="90"/>
      <c r="J730" s="90"/>
      <c r="K730" s="1"/>
      <c r="L730" s="74"/>
      <c r="M730" s="633"/>
      <c r="N730" s="274"/>
      <c r="O730" s="94"/>
      <c r="P730" s="94"/>
      <c r="Q730" s="94"/>
      <c r="R730" s="94"/>
      <c r="S730" s="94"/>
      <c r="V730" s="30"/>
      <c r="W730" s="30"/>
      <c r="X730" s="1"/>
      <c r="Y730" s="95"/>
      <c r="Z730" s="1"/>
      <c r="AA730" s="94"/>
      <c r="AB730" s="1"/>
      <c r="AC730" s="1"/>
      <c r="AD730" s="1"/>
      <c r="AE730" s="30"/>
      <c r="AF730" s="633"/>
      <c r="AG730" s="94"/>
      <c r="AH730" s="94"/>
      <c r="AI730" s="94"/>
      <c r="AJ730" s="94"/>
      <c r="AK730" s="94"/>
      <c r="AL730" s="94"/>
    </row>
    <row r="731" spans="3:38">
      <c r="C731" s="30"/>
      <c r="F731" s="95"/>
      <c r="G731" s="1"/>
      <c r="H731" s="94"/>
      <c r="I731" s="90"/>
      <c r="J731" s="90"/>
      <c r="K731" s="1"/>
      <c r="L731" s="74"/>
      <c r="M731" s="633"/>
      <c r="N731" s="274"/>
      <c r="O731" s="94"/>
      <c r="P731" s="94"/>
      <c r="Q731" s="94"/>
      <c r="R731" s="94"/>
      <c r="S731" s="94"/>
      <c r="V731" s="30"/>
      <c r="W731" s="30"/>
      <c r="X731" s="1"/>
      <c r="Y731" s="95"/>
      <c r="Z731" s="1"/>
      <c r="AA731" s="94"/>
      <c r="AB731" s="1"/>
      <c r="AC731" s="1"/>
      <c r="AD731" s="1"/>
      <c r="AE731" s="30"/>
      <c r="AF731" s="633"/>
      <c r="AG731" s="94"/>
      <c r="AH731" s="94"/>
      <c r="AI731" s="94"/>
      <c r="AJ731" s="94"/>
      <c r="AK731" s="94"/>
      <c r="AL731" s="94"/>
    </row>
    <row r="732" spans="3:38">
      <c r="C732" s="30"/>
      <c r="F732" s="95"/>
      <c r="G732" s="1"/>
      <c r="H732" s="94"/>
      <c r="I732" s="90"/>
      <c r="J732" s="90"/>
      <c r="K732" s="1"/>
      <c r="L732" s="74"/>
      <c r="M732" s="633"/>
      <c r="N732" s="274"/>
      <c r="O732" s="94"/>
      <c r="P732" s="94"/>
      <c r="Q732" s="94"/>
      <c r="R732" s="94"/>
      <c r="S732" s="94"/>
      <c r="V732" s="30"/>
      <c r="W732" s="30"/>
      <c r="X732" s="1"/>
      <c r="Y732" s="95"/>
      <c r="Z732" s="1"/>
      <c r="AA732" s="94"/>
      <c r="AB732" s="1"/>
      <c r="AC732" s="1"/>
      <c r="AD732" s="1"/>
      <c r="AE732" s="30"/>
      <c r="AF732" s="633"/>
      <c r="AG732" s="94"/>
      <c r="AH732" s="94"/>
      <c r="AI732" s="94"/>
      <c r="AJ732" s="94"/>
      <c r="AK732" s="94"/>
      <c r="AL732" s="94"/>
    </row>
    <row r="733" spans="3:38">
      <c r="C733" s="30"/>
      <c r="F733" s="95"/>
      <c r="G733" s="1"/>
      <c r="H733" s="94"/>
      <c r="I733" s="90"/>
      <c r="J733" s="90"/>
      <c r="K733" s="1"/>
      <c r="L733" s="74"/>
      <c r="M733" s="633"/>
      <c r="N733" s="274"/>
      <c r="O733" s="94"/>
      <c r="P733" s="94"/>
      <c r="Q733" s="94"/>
      <c r="R733" s="94"/>
      <c r="S733" s="94"/>
      <c r="V733" s="30"/>
      <c r="W733" s="30"/>
      <c r="X733" s="1"/>
      <c r="Y733" s="95"/>
      <c r="Z733" s="1"/>
      <c r="AA733" s="94"/>
      <c r="AB733" s="1"/>
      <c r="AC733" s="1"/>
      <c r="AD733" s="1"/>
      <c r="AE733" s="30"/>
      <c r="AF733" s="633"/>
      <c r="AG733" s="94"/>
      <c r="AH733" s="94"/>
      <c r="AI733" s="94"/>
      <c r="AJ733" s="94"/>
      <c r="AK733" s="94"/>
      <c r="AL733" s="94"/>
    </row>
    <row r="734" spans="3:38">
      <c r="C734" s="30"/>
      <c r="F734" s="95"/>
      <c r="G734" s="1"/>
      <c r="H734" s="94"/>
      <c r="I734" s="90"/>
      <c r="J734" s="90"/>
      <c r="K734" s="1"/>
      <c r="L734" s="74"/>
      <c r="M734" s="633"/>
      <c r="N734" s="274"/>
      <c r="O734" s="94"/>
      <c r="P734" s="94"/>
      <c r="Q734" s="94"/>
      <c r="R734" s="94"/>
      <c r="S734" s="94"/>
      <c r="V734" s="30"/>
      <c r="W734" s="30"/>
      <c r="X734" s="1"/>
      <c r="Y734" s="95"/>
      <c r="Z734" s="1"/>
      <c r="AA734" s="94"/>
      <c r="AB734" s="1"/>
      <c r="AC734" s="1"/>
      <c r="AD734" s="1"/>
      <c r="AE734" s="30"/>
      <c r="AF734" s="633"/>
      <c r="AG734" s="94"/>
      <c r="AH734" s="94"/>
      <c r="AI734" s="94"/>
      <c r="AJ734" s="94"/>
      <c r="AK734" s="94"/>
      <c r="AL734" s="94"/>
    </row>
    <row r="735" spans="3:38">
      <c r="C735" s="30"/>
      <c r="F735" s="95"/>
      <c r="G735" s="1"/>
      <c r="H735" s="94"/>
      <c r="I735" s="90"/>
      <c r="J735" s="90"/>
      <c r="K735" s="1"/>
      <c r="L735" s="74"/>
      <c r="M735" s="633"/>
      <c r="N735" s="274"/>
      <c r="O735" s="94"/>
      <c r="P735" s="94"/>
      <c r="Q735" s="94"/>
      <c r="R735" s="94"/>
      <c r="S735" s="94"/>
      <c r="V735" s="30"/>
      <c r="W735" s="30"/>
      <c r="X735" s="1"/>
      <c r="Y735" s="95"/>
      <c r="Z735" s="1"/>
      <c r="AA735" s="94"/>
      <c r="AB735" s="1"/>
      <c r="AC735" s="1"/>
      <c r="AD735" s="1"/>
      <c r="AE735" s="30"/>
      <c r="AF735" s="633"/>
      <c r="AG735" s="94"/>
      <c r="AH735" s="94"/>
      <c r="AI735" s="94"/>
      <c r="AJ735" s="94"/>
      <c r="AK735" s="94"/>
      <c r="AL735" s="94"/>
    </row>
    <row r="736" spans="3:38">
      <c r="C736" s="30"/>
      <c r="F736" s="95"/>
      <c r="G736" s="1"/>
      <c r="H736" s="94"/>
      <c r="I736" s="90"/>
      <c r="J736" s="90"/>
      <c r="K736" s="1"/>
      <c r="L736" s="74"/>
      <c r="M736" s="633"/>
      <c r="N736" s="274"/>
      <c r="O736" s="94"/>
      <c r="P736" s="94"/>
      <c r="Q736" s="94"/>
      <c r="R736" s="94"/>
      <c r="S736" s="94"/>
      <c r="V736" s="30"/>
      <c r="W736" s="30"/>
      <c r="X736" s="1"/>
      <c r="Y736" s="95"/>
      <c r="Z736" s="1"/>
      <c r="AA736" s="94"/>
      <c r="AB736" s="1"/>
      <c r="AC736" s="1"/>
      <c r="AD736" s="1"/>
      <c r="AE736" s="30"/>
      <c r="AF736" s="633"/>
      <c r="AG736" s="94"/>
      <c r="AH736" s="94"/>
      <c r="AI736" s="94"/>
      <c r="AJ736" s="94"/>
      <c r="AK736" s="94"/>
      <c r="AL736" s="94"/>
    </row>
    <row r="737" spans="3:38">
      <c r="C737" s="30"/>
      <c r="F737" s="95"/>
      <c r="G737" s="1"/>
      <c r="H737" s="94"/>
      <c r="I737" s="90"/>
      <c r="J737" s="90"/>
      <c r="K737" s="1"/>
      <c r="L737" s="74"/>
      <c r="M737" s="633"/>
      <c r="N737" s="274"/>
      <c r="O737" s="94"/>
      <c r="P737" s="94"/>
      <c r="Q737" s="94"/>
      <c r="R737" s="94"/>
      <c r="S737" s="94"/>
      <c r="V737" s="30"/>
      <c r="W737" s="30"/>
      <c r="X737" s="1"/>
      <c r="Y737" s="95"/>
      <c r="Z737" s="1"/>
      <c r="AA737" s="94"/>
      <c r="AB737" s="1"/>
      <c r="AC737" s="1"/>
      <c r="AD737" s="1"/>
      <c r="AE737" s="30"/>
      <c r="AF737" s="633"/>
      <c r="AG737" s="94"/>
      <c r="AH737" s="94"/>
      <c r="AI737" s="94"/>
      <c r="AJ737" s="94"/>
      <c r="AK737" s="94"/>
      <c r="AL737" s="94"/>
    </row>
    <row r="738" spans="3:38">
      <c r="C738" s="30"/>
      <c r="F738" s="95"/>
      <c r="G738" s="1"/>
      <c r="H738" s="94"/>
      <c r="I738" s="90"/>
      <c r="J738" s="90"/>
      <c r="K738" s="1"/>
      <c r="L738" s="74"/>
      <c r="M738" s="633"/>
      <c r="N738" s="274"/>
      <c r="O738" s="94"/>
      <c r="P738" s="94"/>
      <c r="Q738" s="94"/>
      <c r="R738" s="94"/>
      <c r="S738" s="94"/>
      <c r="V738" s="30"/>
      <c r="W738" s="30"/>
      <c r="X738" s="1"/>
      <c r="Y738" s="95"/>
      <c r="Z738" s="1"/>
      <c r="AA738" s="94"/>
      <c r="AB738" s="1"/>
      <c r="AC738" s="1"/>
      <c r="AD738" s="1"/>
      <c r="AE738" s="30"/>
      <c r="AF738" s="633"/>
      <c r="AG738" s="94"/>
      <c r="AH738" s="94"/>
      <c r="AI738" s="94"/>
      <c r="AJ738" s="94"/>
      <c r="AK738" s="94"/>
      <c r="AL738" s="94"/>
    </row>
    <row r="739" spans="3:38">
      <c r="C739" s="30"/>
      <c r="F739" s="95"/>
      <c r="G739" s="1"/>
      <c r="H739" s="94"/>
      <c r="I739" s="90"/>
      <c r="J739" s="90"/>
      <c r="K739" s="1"/>
      <c r="L739" s="74"/>
      <c r="M739" s="633"/>
      <c r="N739" s="274"/>
      <c r="O739" s="94"/>
      <c r="P739" s="94"/>
      <c r="Q739" s="94"/>
      <c r="R739" s="94"/>
      <c r="S739" s="94"/>
      <c r="V739" s="30"/>
      <c r="W739" s="30"/>
      <c r="X739" s="1"/>
      <c r="Y739" s="95"/>
      <c r="Z739" s="1"/>
      <c r="AA739" s="94"/>
      <c r="AB739" s="1"/>
      <c r="AC739" s="1"/>
      <c r="AD739" s="1"/>
      <c r="AE739" s="30"/>
      <c r="AF739" s="633"/>
      <c r="AG739" s="94"/>
      <c r="AH739" s="94"/>
      <c r="AI739" s="94"/>
      <c r="AJ739" s="94"/>
      <c r="AK739" s="94"/>
      <c r="AL739" s="94"/>
    </row>
    <row r="740" spans="3:38">
      <c r="C740" s="30"/>
      <c r="F740" s="95"/>
      <c r="G740" s="1"/>
      <c r="H740" s="94"/>
      <c r="I740" s="90"/>
      <c r="J740" s="90"/>
      <c r="K740" s="1"/>
      <c r="L740" s="74"/>
      <c r="M740" s="633"/>
      <c r="N740" s="274"/>
      <c r="O740" s="94"/>
      <c r="P740" s="94"/>
      <c r="Q740" s="94"/>
      <c r="R740" s="94"/>
      <c r="S740" s="94"/>
      <c r="V740" s="30"/>
      <c r="W740" s="30"/>
      <c r="X740" s="1"/>
      <c r="Y740" s="95"/>
      <c r="Z740" s="1"/>
      <c r="AA740" s="94"/>
      <c r="AB740" s="1"/>
      <c r="AC740" s="1"/>
      <c r="AD740" s="1"/>
      <c r="AE740" s="30"/>
      <c r="AF740" s="633"/>
      <c r="AG740" s="94"/>
      <c r="AH740" s="94"/>
      <c r="AI740" s="94"/>
      <c r="AJ740" s="94"/>
      <c r="AK740" s="94"/>
      <c r="AL740" s="94"/>
    </row>
    <row r="741" spans="3:38">
      <c r="C741" s="30"/>
      <c r="F741" s="95"/>
      <c r="G741" s="1"/>
      <c r="H741" s="94"/>
      <c r="I741" s="90"/>
      <c r="J741" s="90"/>
      <c r="K741" s="1"/>
      <c r="L741" s="74"/>
      <c r="M741" s="633"/>
      <c r="N741" s="274"/>
      <c r="O741" s="94"/>
      <c r="P741" s="94"/>
      <c r="Q741" s="94"/>
      <c r="R741" s="94"/>
      <c r="S741" s="94"/>
      <c r="V741" s="30"/>
      <c r="W741" s="30"/>
      <c r="X741" s="1"/>
      <c r="Y741" s="95"/>
      <c r="Z741" s="1"/>
      <c r="AA741" s="94"/>
      <c r="AB741" s="1"/>
      <c r="AC741" s="1"/>
      <c r="AD741" s="1"/>
      <c r="AE741" s="30"/>
      <c r="AF741" s="633"/>
      <c r="AG741" s="94"/>
      <c r="AH741" s="94"/>
      <c r="AI741" s="94"/>
      <c r="AJ741" s="94"/>
      <c r="AK741" s="94"/>
      <c r="AL741" s="94"/>
    </row>
    <row r="742" spans="3:38">
      <c r="C742" s="30"/>
      <c r="F742" s="95"/>
      <c r="G742" s="1"/>
      <c r="H742" s="94"/>
      <c r="I742" s="90"/>
      <c r="J742" s="90"/>
      <c r="K742" s="1"/>
      <c r="L742" s="74"/>
      <c r="M742" s="633"/>
      <c r="N742" s="274"/>
      <c r="O742" s="94"/>
      <c r="P742" s="94"/>
      <c r="Q742" s="94"/>
      <c r="R742" s="94"/>
      <c r="S742" s="94"/>
      <c r="V742" s="30"/>
      <c r="W742" s="30"/>
      <c r="X742" s="1"/>
      <c r="Y742" s="95"/>
      <c r="Z742" s="1"/>
      <c r="AA742" s="94"/>
      <c r="AB742" s="1"/>
      <c r="AC742" s="1"/>
      <c r="AD742" s="1"/>
      <c r="AE742" s="30"/>
      <c r="AF742" s="633"/>
      <c r="AG742" s="94"/>
      <c r="AH742" s="94"/>
      <c r="AI742" s="94"/>
      <c r="AJ742" s="94"/>
      <c r="AK742" s="94"/>
      <c r="AL742" s="94"/>
    </row>
    <row r="743" spans="3:38">
      <c r="C743" s="30"/>
      <c r="F743" s="95"/>
      <c r="G743" s="1"/>
      <c r="H743" s="94"/>
      <c r="I743" s="90"/>
      <c r="J743" s="90"/>
      <c r="K743" s="1"/>
      <c r="L743" s="74"/>
      <c r="M743" s="633"/>
      <c r="N743" s="274"/>
      <c r="O743" s="94"/>
      <c r="P743" s="94"/>
      <c r="Q743" s="94"/>
      <c r="R743" s="94"/>
      <c r="S743" s="94"/>
      <c r="V743" s="30"/>
      <c r="W743" s="30"/>
      <c r="X743" s="1"/>
      <c r="Y743" s="95"/>
      <c r="Z743" s="1"/>
      <c r="AA743" s="94"/>
      <c r="AB743" s="1"/>
      <c r="AC743" s="1"/>
      <c r="AD743" s="1"/>
      <c r="AE743" s="30"/>
      <c r="AF743" s="633"/>
      <c r="AG743" s="94"/>
      <c r="AH743" s="94"/>
      <c r="AI743" s="94"/>
      <c r="AJ743" s="94"/>
      <c r="AK743" s="94"/>
      <c r="AL743" s="94"/>
    </row>
    <row r="744" spans="3:38">
      <c r="C744" s="30"/>
      <c r="F744" s="95"/>
      <c r="G744" s="1"/>
      <c r="H744" s="94"/>
      <c r="I744" s="90"/>
      <c r="J744" s="90"/>
      <c r="K744" s="1"/>
      <c r="L744" s="74"/>
      <c r="M744" s="633"/>
      <c r="N744" s="274"/>
      <c r="O744" s="94"/>
      <c r="P744" s="94"/>
      <c r="Q744" s="94"/>
      <c r="R744" s="94"/>
      <c r="S744" s="94"/>
      <c r="V744" s="30"/>
      <c r="W744" s="30"/>
      <c r="X744" s="1"/>
      <c r="Y744" s="95"/>
      <c r="Z744" s="1"/>
      <c r="AA744" s="94"/>
      <c r="AB744" s="1"/>
      <c r="AC744" s="1"/>
      <c r="AD744" s="1"/>
      <c r="AE744" s="30"/>
      <c r="AF744" s="633"/>
      <c r="AG744" s="94"/>
      <c r="AH744" s="94"/>
      <c r="AI744" s="94"/>
      <c r="AJ744" s="94"/>
      <c r="AK744" s="94"/>
      <c r="AL744" s="94"/>
    </row>
    <row r="745" spans="3:38">
      <c r="C745" s="30"/>
      <c r="F745" s="95"/>
      <c r="G745" s="1"/>
      <c r="H745" s="94"/>
      <c r="I745" s="90"/>
      <c r="J745" s="90"/>
      <c r="K745" s="1"/>
      <c r="L745" s="74"/>
      <c r="M745" s="633"/>
      <c r="N745" s="274"/>
      <c r="O745" s="94"/>
      <c r="P745" s="94"/>
      <c r="Q745" s="94"/>
      <c r="R745" s="94"/>
      <c r="S745" s="94"/>
      <c r="V745" s="30"/>
      <c r="W745" s="30"/>
      <c r="X745" s="1"/>
      <c r="Y745" s="95"/>
      <c r="Z745" s="1"/>
      <c r="AA745" s="94"/>
      <c r="AB745" s="1"/>
      <c r="AC745" s="1"/>
      <c r="AD745" s="1"/>
      <c r="AE745" s="30"/>
      <c r="AF745" s="633"/>
      <c r="AG745" s="94"/>
      <c r="AH745" s="94"/>
      <c r="AI745" s="94"/>
      <c r="AJ745" s="94"/>
      <c r="AK745" s="94"/>
      <c r="AL745" s="94"/>
    </row>
    <row r="746" spans="3:38">
      <c r="C746" s="30"/>
      <c r="F746" s="95"/>
      <c r="G746" s="1"/>
      <c r="H746" s="94"/>
      <c r="I746" s="90"/>
      <c r="J746" s="90"/>
      <c r="K746" s="1"/>
      <c r="L746" s="74"/>
      <c r="M746" s="633"/>
      <c r="N746" s="274"/>
      <c r="O746" s="94"/>
      <c r="P746" s="94"/>
      <c r="Q746" s="94"/>
      <c r="R746" s="94"/>
      <c r="S746" s="94"/>
      <c r="V746" s="30"/>
      <c r="W746" s="30"/>
      <c r="X746" s="1"/>
      <c r="Y746" s="95"/>
      <c r="Z746" s="1"/>
      <c r="AA746" s="94"/>
      <c r="AB746" s="1"/>
      <c r="AC746" s="1"/>
      <c r="AD746" s="1"/>
      <c r="AE746" s="30"/>
      <c r="AF746" s="633"/>
      <c r="AG746" s="94"/>
      <c r="AH746" s="94"/>
      <c r="AI746" s="94"/>
      <c r="AJ746" s="94"/>
      <c r="AK746" s="94"/>
      <c r="AL746" s="94"/>
    </row>
    <row r="747" spans="3:38">
      <c r="C747" s="30"/>
      <c r="F747" s="95"/>
      <c r="G747" s="1"/>
      <c r="H747" s="94"/>
      <c r="I747" s="90"/>
      <c r="J747" s="90"/>
      <c r="K747" s="1"/>
      <c r="L747" s="74"/>
      <c r="M747" s="633"/>
      <c r="N747" s="274"/>
      <c r="O747" s="94"/>
      <c r="P747" s="94"/>
      <c r="Q747" s="94"/>
      <c r="R747" s="94"/>
      <c r="S747" s="94"/>
      <c r="V747" s="30"/>
      <c r="W747" s="30"/>
      <c r="X747" s="1"/>
      <c r="Y747" s="95"/>
      <c r="Z747" s="1"/>
      <c r="AA747" s="94"/>
      <c r="AB747" s="1"/>
      <c r="AC747" s="1"/>
      <c r="AD747" s="1"/>
      <c r="AE747" s="30"/>
      <c r="AF747" s="633"/>
      <c r="AG747" s="94"/>
      <c r="AH747" s="94"/>
      <c r="AI747" s="94"/>
      <c r="AJ747" s="94"/>
      <c r="AK747" s="94"/>
      <c r="AL747" s="94"/>
    </row>
    <row r="748" spans="3:38">
      <c r="C748" s="30"/>
      <c r="F748" s="95"/>
      <c r="G748" s="1"/>
      <c r="H748" s="94"/>
      <c r="I748" s="90"/>
      <c r="J748" s="90"/>
      <c r="K748" s="1"/>
      <c r="L748" s="74"/>
      <c r="M748" s="633"/>
      <c r="N748" s="274"/>
      <c r="O748" s="94"/>
      <c r="P748" s="94"/>
      <c r="Q748" s="94"/>
      <c r="R748" s="94"/>
      <c r="S748" s="94"/>
      <c r="V748" s="30"/>
      <c r="W748" s="30"/>
      <c r="X748" s="1"/>
      <c r="Y748" s="95"/>
      <c r="Z748" s="1"/>
      <c r="AA748" s="94"/>
      <c r="AB748" s="1"/>
      <c r="AC748" s="1"/>
      <c r="AD748" s="1"/>
      <c r="AE748" s="30"/>
      <c r="AF748" s="633"/>
      <c r="AG748" s="94"/>
      <c r="AH748" s="94"/>
      <c r="AI748" s="94"/>
      <c r="AJ748" s="94"/>
      <c r="AK748" s="94"/>
      <c r="AL748" s="94"/>
    </row>
    <row r="749" spans="3:38">
      <c r="C749" s="30"/>
      <c r="F749" s="95"/>
      <c r="G749" s="1"/>
      <c r="H749" s="94"/>
      <c r="I749" s="90"/>
      <c r="J749" s="90"/>
      <c r="K749" s="1"/>
      <c r="L749" s="74"/>
      <c r="M749" s="633"/>
      <c r="N749" s="274"/>
      <c r="O749" s="94"/>
      <c r="P749" s="94"/>
      <c r="Q749" s="94"/>
      <c r="R749" s="94"/>
      <c r="S749" s="94"/>
      <c r="V749" s="30"/>
      <c r="W749" s="30"/>
      <c r="X749" s="1"/>
      <c r="Y749" s="95"/>
      <c r="Z749" s="1"/>
      <c r="AA749" s="94"/>
      <c r="AB749" s="1"/>
      <c r="AC749" s="1"/>
      <c r="AD749" s="1"/>
      <c r="AE749" s="30"/>
      <c r="AF749" s="633"/>
      <c r="AG749" s="94"/>
      <c r="AH749" s="94"/>
      <c r="AI749" s="94"/>
      <c r="AJ749" s="94"/>
      <c r="AK749" s="94"/>
      <c r="AL749" s="94"/>
    </row>
    <row r="750" spans="3:38">
      <c r="C750" s="30"/>
      <c r="F750" s="95"/>
      <c r="G750" s="1"/>
      <c r="H750" s="94"/>
      <c r="I750" s="90"/>
      <c r="J750" s="90"/>
      <c r="K750" s="1"/>
      <c r="L750" s="74"/>
      <c r="M750" s="633"/>
      <c r="N750" s="274"/>
      <c r="O750" s="94"/>
      <c r="P750" s="94"/>
      <c r="Q750" s="94"/>
      <c r="R750" s="94"/>
      <c r="S750" s="94"/>
      <c r="V750" s="30"/>
      <c r="W750" s="30"/>
      <c r="X750" s="1"/>
      <c r="Y750" s="95"/>
      <c r="Z750" s="1"/>
      <c r="AA750" s="94"/>
      <c r="AB750" s="1"/>
      <c r="AC750" s="1"/>
      <c r="AD750" s="1"/>
      <c r="AE750" s="30"/>
      <c r="AF750" s="633"/>
      <c r="AG750" s="94"/>
      <c r="AH750" s="94"/>
      <c r="AI750" s="94"/>
      <c r="AJ750" s="94"/>
      <c r="AK750" s="94"/>
      <c r="AL750" s="94"/>
    </row>
    <row r="751" spans="3:38">
      <c r="C751" s="30"/>
      <c r="F751" s="95"/>
      <c r="G751" s="1"/>
      <c r="H751" s="94"/>
      <c r="I751" s="90"/>
      <c r="J751" s="90"/>
      <c r="K751" s="1"/>
      <c r="L751" s="74"/>
      <c r="M751" s="633"/>
      <c r="N751" s="274"/>
      <c r="O751" s="94"/>
      <c r="P751" s="94"/>
      <c r="Q751" s="94"/>
      <c r="R751" s="94"/>
      <c r="S751" s="94"/>
      <c r="V751" s="30"/>
      <c r="W751" s="30"/>
      <c r="X751" s="1"/>
      <c r="Y751" s="95"/>
      <c r="Z751" s="1"/>
      <c r="AA751" s="94"/>
      <c r="AB751" s="1"/>
      <c r="AC751" s="1"/>
      <c r="AD751" s="1"/>
      <c r="AE751" s="30"/>
      <c r="AF751" s="633"/>
      <c r="AG751" s="94"/>
      <c r="AH751" s="94"/>
      <c r="AI751" s="94"/>
      <c r="AJ751" s="94"/>
      <c r="AK751" s="94"/>
      <c r="AL751" s="94"/>
    </row>
    <row r="752" spans="3:38">
      <c r="C752" s="30"/>
      <c r="F752" s="95"/>
      <c r="G752" s="1"/>
      <c r="H752" s="94"/>
      <c r="I752" s="90"/>
      <c r="J752" s="90"/>
      <c r="K752" s="1"/>
      <c r="L752" s="74"/>
      <c r="M752" s="633"/>
      <c r="N752" s="274"/>
      <c r="O752" s="94"/>
      <c r="P752" s="94"/>
      <c r="Q752" s="94"/>
      <c r="R752" s="94"/>
      <c r="S752" s="94"/>
      <c r="V752" s="30"/>
      <c r="W752" s="30"/>
      <c r="X752" s="1"/>
      <c r="Y752" s="95"/>
      <c r="Z752" s="1"/>
      <c r="AA752" s="94"/>
      <c r="AB752" s="1"/>
      <c r="AC752" s="1"/>
      <c r="AD752" s="1"/>
      <c r="AE752" s="30"/>
      <c r="AF752" s="633"/>
      <c r="AG752" s="94"/>
      <c r="AH752" s="94"/>
      <c r="AI752" s="94"/>
      <c r="AJ752" s="94"/>
      <c r="AK752" s="94"/>
      <c r="AL752" s="94"/>
    </row>
    <row r="753" spans="3:38">
      <c r="C753" s="30"/>
      <c r="F753" s="95"/>
      <c r="G753" s="1"/>
      <c r="H753" s="94"/>
      <c r="I753" s="90"/>
      <c r="J753" s="90"/>
      <c r="K753" s="1"/>
      <c r="L753" s="74"/>
      <c r="M753" s="633"/>
      <c r="N753" s="274"/>
      <c r="O753" s="94"/>
      <c r="P753" s="94"/>
      <c r="Q753" s="94"/>
      <c r="R753" s="94"/>
      <c r="S753" s="94"/>
      <c r="V753" s="30"/>
      <c r="W753" s="30"/>
      <c r="X753" s="1"/>
      <c r="Y753" s="95"/>
      <c r="Z753" s="1"/>
      <c r="AA753" s="94"/>
      <c r="AB753" s="1"/>
      <c r="AC753" s="1"/>
      <c r="AD753" s="1"/>
      <c r="AE753" s="30"/>
      <c r="AF753" s="633"/>
      <c r="AG753" s="94"/>
      <c r="AH753" s="94"/>
      <c r="AI753" s="94"/>
      <c r="AJ753" s="94"/>
      <c r="AK753" s="94"/>
      <c r="AL753" s="94"/>
    </row>
    <row r="754" spans="3:38">
      <c r="C754" s="30"/>
      <c r="F754" s="95"/>
      <c r="G754" s="1"/>
      <c r="H754" s="94"/>
      <c r="I754" s="90"/>
      <c r="J754" s="90"/>
      <c r="K754" s="1"/>
      <c r="L754" s="74"/>
      <c r="M754" s="633"/>
      <c r="N754" s="274"/>
      <c r="O754" s="94"/>
      <c r="P754" s="94"/>
      <c r="Q754" s="94"/>
      <c r="R754" s="94"/>
      <c r="S754" s="94"/>
      <c r="V754" s="30"/>
      <c r="W754" s="30"/>
      <c r="X754" s="1"/>
      <c r="Y754" s="95"/>
      <c r="Z754" s="1"/>
      <c r="AA754" s="94"/>
      <c r="AB754" s="1"/>
      <c r="AC754" s="1"/>
      <c r="AD754" s="1"/>
      <c r="AE754" s="30"/>
      <c r="AF754" s="633"/>
      <c r="AG754" s="94"/>
      <c r="AH754" s="94"/>
      <c r="AI754" s="94"/>
      <c r="AJ754" s="94"/>
      <c r="AK754" s="94"/>
      <c r="AL754" s="94"/>
    </row>
    <row r="755" spans="3:38">
      <c r="C755" s="30"/>
      <c r="F755" s="95"/>
      <c r="G755" s="1"/>
      <c r="H755" s="94"/>
      <c r="I755" s="90"/>
      <c r="J755" s="90"/>
      <c r="K755" s="1"/>
      <c r="L755" s="74"/>
      <c r="M755" s="633"/>
      <c r="N755" s="274"/>
      <c r="O755" s="94"/>
      <c r="P755" s="94"/>
      <c r="Q755" s="94"/>
      <c r="R755" s="94"/>
      <c r="S755" s="94"/>
      <c r="V755" s="30"/>
      <c r="W755" s="30"/>
      <c r="X755" s="1"/>
      <c r="Y755" s="95"/>
      <c r="Z755" s="1"/>
      <c r="AA755" s="94"/>
      <c r="AB755" s="1"/>
      <c r="AC755" s="1"/>
      <c r="AD755" s="1"/>
      <c r="AE755" s="30"/>
      <c r="AF755" s="633"/>
      <c r="AG755" s="94"/>
      <c r="AH755" s="94"/>
      <c r="AI755" s="94"/>
      <c r="AJ755" s="94"/>
      <c r="AK755" s="94"/>
      <c r="AL755" s="94"/>
    </row>
    <row r="756" spans="3:38">
      <c r="C756" s="30"/>
      <c r="F756" s="95"/>
      <c r="G756" s="1"/>
      <c r="H756" s="94"/>
      <c r="I756" s="90"/>
      <c r="J756" s="90"/>
      <c r="K756" s="1"/>
      <c r="L756" s="74"/>
      <c r="M756" s="633"/>
      <c r="N756" s="274"/>
      <c r="O756" s="94"/>
      <c r="P756" s="94"/>
      <c r="Q756" s="94"/>
      <c r="R756" s="94"/>
      <c r="S756" s="94"/>
      <c r="V756" s="30"/>
      <c r="W756" s="30"/>
      <c r="X756" s="1"/>
      <c r="Y756" s="95"/>
      <c r="Z756" s="1"/>
      <c r="AA756" s="94"/>
      <c r="AB756" s="1"/>
      <c r="AC756" s="1"/>
      <c r="AD756" s="1"/>
      <c r="AE756" s="30"/>
      <c r="AF756" s="633"/>
      <c r="AG756" s="94"/>
      <c r="AH756" s="94"/>
      <c r="AI756" s="94"/>
      <c r="AJ756" s="94"/>
      <c r="AK756" s="94"/>
      <c r="AL756" s="94"/>
    </row>
    <row r="757" spans="3:38">
      <c r="C757" s="30"/>
      <c r="F757" s="95"/>
      <c r="G757" s="1"/>
      <c r="H757" s="94"/>
      <c r="I757" s="90"/>
      <c r="J757" s="90"/>
      <c r="K757" s="1"/>
      <c r="L757" s="74"/>
      <c r="M757" s="633"/>
      <c r="N757" s="274"/>
      <c r="O757" s="94"/>
      <c r="P757" s="94"/>
      <c r="Q757" s="94"/>
      <c r="R757" s="94"/>
      <c r="S757" s="94"/>
      <c r="V757" s="30"/>
      <c r="W757" s="30"/>
      <c r="X757" s="1"/>
      <c r="Y757" s="95"/>
      <c r="Z757" s="1"/>
      <c r="AA757" s="94"/>
      <c r="AB757" s="1"/>
      <c r="AC757" s="1"/>
      <c r="AD757" s="1"/>
      <c r="AE757" s="30"/>
      <c r="AF757" s="633"/>
      <c r="AG757" s="94"/>
      <c r="AH757" s="94"/>
      <c r="AI757" s="94"/>
      <c r="AJ757" s="94"/>
      <c r="AK757" s="94"/>
      <c r="AL757" s="94"/>
    </row>
    <row r="758" spans="3:38">
      <c r="C758" s="30"/>
      <c r="F758" s="95"/>
      <c r="G758" s="1"/>
      <c r="H758" s="94"/>
      <c r="I758" s="90"/>
      <c r="J758" s="90"/>
      <c r="K758" s="1"/>
      <c r="L758" s="74"/>
      <c r="M758" s="633"/>
      <c r="N758" s="274"/>
      <c r="O758" s="94"/>
      <c r="P758" s="94"/>
      <c r="Q758" s="94"/>
      <c r="R758" s="94"/>
      <c r="S758" s="94"/>
      <c r="V758" s="30"/>
      <c r="W758" s="30"/>
      <c r="X758" s="1"/>
      <c r="Y758" s="95"/>
      <c r="Z758" s="1"/>
      <c r="AA758" s="94"/>
      <c r="AB758" s="1"/>
      <c r="AC758" s="1"/>
      <c r="AD758" s="1"/>
      <c r="AE758" s="30"/>
      <c r="AF758" s="633"/>
      <c r="AG758" s="94"/>
      <c r="AH758" s="94"/>
      <c r="AI758" s="94"/>
      <c r="AJ758" s="94"/>
      <c r="AK758" s="94"/>
      <c r="AL758" s="94"/>
    </row>
    <row r="759" spans="3:38">
      <c r="C759" s="30"/>
      <c r="F759" s="95"/>
      <c r="G759" s="1"/>
      <c r="H759" s="94"/>
      <c r="I759" s="90"/>
      <c r="J759" s="90"/>
      <c r="K759" s="1"/>
      <c r="L759" s="74"/>
      <c r="M759" s="633"/>
      <c r="N759" s="274"/>
      <c r="O759" s="94"/>
      <c r="P759" s="94"/>
      <c r="Q759" s="94"/>
      <c r="R759" s="94"/>
      <c r="S759" s="94"/>
      <c r="V759" s="30"/>
      <c r="W759" s="30"/>
      <c r="X759" s="1"/>
      <c r="Y759" s="95"/>
      <c r="Z759" s="1"/>
      <c r="AA759" s="94"/>
      <c r="AB759" s="1"/>
      <c r="AC759" s="1"/>
      <c r="AD759" s="1"/>
      <c r="AE759" s="30"/>
      <c r="AF759" s="633"/>
      <c r="AG759" s="94"/>
      <c r="AH759" s="94"/>
      <c r="AI759" s="94"/>
      <c r="AJ759" s="94"/>
      <c r="AK759" s="94"/>
      <c r="AL759" s="94"/>
    </row>
    <row r="760" spans="3:38">
      <c r="C760" s="30"/>
      <c r="F760" s="95"/>
      <c r="G760" s="1"/>
      <c r="H760" s="94"/>
      <c r="I760" s="90"/>
      <c r="J760" s="90"/>
      <c r="K760" s="1"/>
      <c r="L760" s="74"/>
      <c r="M760" s="633"/>
      <c r="N760" s="274"/>
      <c r="O760" s="94"/>
      <c r="P760" s="94"/>
      <c r="Q760" s="94"/>
      <c r="R760" s="94"/>
      <c r="S760" s="94"/>
      <c r="V760" s="30"/>
      <c r="W760" s="30"/>
      <c r="X760" s="1"/>
      <c r="Y760" s="95"/>
      <c r="Z760" s="1"/>
      <c r="AA760" s="94"/>
      <c r="AB760" s="1"/>
      <c r="AC760" s="1"/>
      <c r="AD760" s="1"/>
      <c r="AE760" s="30"/>
      <c r="AF760" s="633"/>
      <c r="AG760" s="94"/>
      <c r="AH760" s="94"/>
      <c r="AI760" s="94"/>
      <c r="AJ760" s="94"/>
      <c r="AK760" s="94"/>
      <c r="AL760" s="94"/>
    </row>
    <row r="761" spans="3:38">
      <c r="C761" s="30"/>
      <c r="F761" s="95"/>
      <c r="G761" s="1"/>
      <c r="H761" s="94"/>
      <c r="I761" s="90"/>
      <c r="J761" s="90"/>
      <c r="K761" s="1"/>
      <c r="L761" s="74"/>
      <c r="M761" s="633"/>
      <c r="N761" s="274"/>
      <c r="O761" s="94"/>
      <c r="P761" s="94"/>
      <c r="Q761" s="94"/>
      <c r="R761" s="94"/>
      <c r="S761" s="94"/>
      <c r="V761" s="30"/>
      <c r="W761" s="30"/>
      <c r="X761" s="1"/>
      <c r="Y761" s="95"/>
      <c r="Z761" s="1"/>
      <c r="AA761" s="94"/>
      <c r="AB761" s="1"/>
      <c r="AC761" s="1"/>
      <c r="AD761" s="1"/>
      <c r="AE761" s="30"/>
      <c r="AF761" s="633"/>
      <c r="AG761" s="94"/>
      <c r="AH761" s="94"/>
      <c r="AI761" s="94"/>
      <c r="AJ761" s="94"/>
      <c r="AK761" s="94"/>
      <c r="AL761" s="94"/>
    </row>
    <row r="762" spans="3:38">
      <c r="C762" s="30"/>
      <c r="F762" s="95"/>
      <c r="G762" s="1"/>
      <c r="H762" s="94"/>
      <c r="I762" s="90"/>
      <c r="J762" s="90"/>
      <c r="K762" s="1"/>
      <c r="L762" s="74"/>
      <c r="M762" s="633"/>
      <c r="N762" s="274"/>
      <c r="O762" s="94"/>
      <c r="P762" s="94"/>
      <c r="Q762" s="94"/>
      <c r="R762" s="94"/>
      <c r="S762" s="94"/>
      <c r="V762" s="30"/>
      <c r="W762" s="30"/>
      <c r="X762" s="1"/>
      <c r="Y762" s="95"/>
      <c r="Z762" s="1"/>
      <c r="AA762" s="94"/>
      <c r="AB762" s="1"/>
      <c r="AC762" s="1"/>
      <c r="AD762" s="1"/>
      <c r="AE762" s="30"/>
      <c r="AF762" s="633"/>
      <c r="AG762" s="94"/>
      <c r="AH762" s="94"/>
      <c r="AI762" s="94"/>
      <c r="AJ762" s="94"/>
      <c r="AK762" s="94"/>
      <c r="AL762" s="94"/>
    </row>
    <row r="763" spans="3:38">
      <c r="C763" s="30"/>
      <c r="F763" s="95"/>
      <c r="G763" s="1"/>
      <c r="H763" s="94"/>
      <c r="I763" s="90"/>
      <c r="J763" s="90"/>
      <c r="K763" s="1"/>
      <c r="L763" s="74"/>
      <c r="M763" s="633"/>
      <c r="N763" s="274"/>
      <c r="O763" s="94"/>
      <c r="P763" s="94"/>
      <c r="Q763" s="94"/>
      <c r="R763" s="94"/>
      <c r="S763" s="94"/>
      <c r="V763" s="30"/>
      <c r="W763" s="30"/>
      <c r="X763" s="1"/>
      <c r="Y763" s="95"/>
      <c r="Z763" s="1"/>
      <c r="AA763" s="94"/>
      <c r="AB763" s="1"/>
      <c r="AC763" s="1"/>
      <c r="AD763" s="1"/>
      <c r="AE763" s="30"/>
      <c r="AF763" s="633"/>
      <c r="AG763" s="94"/>
      <c r="AH763" s="94"/>
      <c r="AI763" s="94"/>
      <c r="AJ763" s="94"/>
      <c r="AK763" s="94"/>
      <c r="AL763" s="94"/>
    </row>
    <row r="764" spans="3:38">
      <c r="C764" s="30"/>
      <c r="F764" s="95"/>
      <c r="G764" s="1"/>
      <c r="H764" s="94"/>
      <c r="I764" s="90"/>
      <c r="J764" s="90"/>
      <c r="K764" s="1"/>
      <c r="L764" s="74"/>
      <c r="M764" s="633"/>
      <c r="N764" s="274"/>
      <c r="O764" s="94"/>
      <c r="P764" s="94"/>
      <c r="Q764" s="94"/>
      <c r="R764" s="94"/>
      <c r="S764" s="94"/>
      <c r="V764" s="30"/>
      <c r="W764" s="30"/>
      <c r="X764" s="1"/>
      <c r="Y764" s="95"/>
      <c r="Z764" s="1"/>
      <c r="AA764" s="94"/>
      <c r="AB764" s="1"/>
      <c r="AC764" s="1"/>
      <c r="AD764" s="1"/>
      <c r="AE764" s="30"/>
      <c r="AF764" s="633"/>
      <c r="AG764" s="94"/>
      <c r="AH764" s="94"/>
      <c r="AI764" s="94"/>
      <c r="AJ764" s="94"/>
      <c r="AK764" s="94"/>
      <c r="AL764" s="94"/>
    </row>
    <row r="765" spans="3:38">
      <c r="C765" s="30"/>
      <c r="F765" s="95"/>
      <c r="G765" s="1"/>
      <c r="H765" s="94"/>
      <c r="I765" s="90"/>
      <c r="J765" s="90"/>
      <c r="K765" s="1"/>
      <c r="L765" s="74"/>
      <c r="M765" s="633"/>
      <c r="N765" s="274"/>
      <c r="O765" s="94"/>
      <c r="P765" s="94"/>
      <c r="Q765" s="94"/>
      <c r="R765" s="94"/>
      <c r="S765" s="94"/>
      <c r="V765" s="30"/>
      <c r="W765" s="30"/>
      <c r="X765" s="1"/>
      <c r="Y765" s="95"/>
      <c r="Z765" s="1"/>
      <c r="AA765" s="94"/>
      <c r="AB765" s="1"/>
      <c r="AC765" s="1"/>
      <c r="AD765" s="1"/>
      <c r="AE765" s="30"/>
      <c r="AF765" s="633"/>
      <c r="AG765" s="94"/>
      <c r="AH765" s="94"/>
      <c r="AI765" s="94"/>
      <c r="AJ765" s="94"/>
      <c r="AK765" s="94"/>
      <c r="AL765" s="94"/>
    </row>
    <row r="766" spans="3:38">
      <c r="C766" s="30"/>
      <c r="F766" s="95"/>
      <c r="G766" s="1"/>
      <c r="H766" s="94"/>
      <c r="I766" s="90"/>
      <c r="J766" s="90"/>
      <c r="K766" s="1"/>
      <c r="L766" s="74"/>
      <c r="M766" s="633"/>
      <c r="N766" s="274"/>
      <c r="O766" s="94"/>
      <c r="P766" s="94"/>
      <c r="Q766" s="94"/>
      <c r="R766" s="94"/>
      <c r="S766" s="94"/>
      <c r="V766" s="30"/>
      <c r="W766" s="30"/>
      <c r="X766" s="1"/>
      <c r="Y766" s="95"/>
      <c r="Z766" s="1"/>
      <c r="AA766" s="94"/>
      <c r="AB766" s="1"/>
      <c r="AC766" s="1"/>
      <c r="AD766" s="1"/>
      <c r="AE766" s="30"/>
      <c r="AF766" s="633"/>
      <c r="AG766" s="94"/>
      <c r="AH766" s="94"/>
      <c r="AI766" s="94"/>
      <c r="AJ766" s="94"/>
      <c r="AK766" s="94"/>
      <c r="AL766" s="94"/>
    </row>
    <row r="767" spans="3:38">
      <c r="C767" s="30"/>
      <c r="F767" s="95"/>
      <c r="G767" s="1"/>
      <c r="H767" s="94"/>
      <c r="I767" s="90"/>
      <c r="J767" s="90"/>
      <c r="K767" s="1"/>
      <c r="L767" s="74"/>
      <c r="M767" s="633"/>
      <c r="N767" s="274"/>
      <c r="O767" s="94"/>
      <c r="P767" s="94"/>
      <c r="Q767" s="94"/>
      <c r="R767" s="94"/>
      <c r="S767" s="94"/>
      <c r="V767" s="30"/>
      <c r="W767" s="30"/>
      <c r="X767" s="1"/>
      <c r="Y767" s="95"/>
      <c r="Z767" s="1"/>
      <c r="AA767" s="94"/>
      <c r="AB767" s="1"/>
      <c r="AC767" s="1"/>
      <c r="AD767" s="1"/>
      <c r="AE767" s="30"/>
      <c r="AF767" s="633"/>
      <c r="AG767" s="94"/>
      <c r="AH767" s="94"/>
      <c r="AI767" s="94"/>
      <c r="AJ767" s="94"/>
      <c r="AK767" s="94"/>
      <c r="AL767" s="94"/>
    </row>
    <row r="768" spans="3:38">
      <c r="C768" s="30"/>
      <c r="F768" s="95"/>
      <c r="G768" s="1"/>
      <c r="H768" s="94"/>
      <c r="I768" s="90"/>
      <c r="J768" s="90"/>
      <c r="K768" s="1"/>
      <c r="L768" s="74"/>
      <c r="M768" s="633"/>
      <c r="N768" s="274"/>
      <c r="O768" s="94"/>
      <c r="P768" s="94"/>
      <c r="Q768" s="94"/>
      <c r="R768" s="94"/>
      <c r="S768" s="94"/>
      <c r="V768" s="30"/>
      <c r="W768" s="30"/>
      <c r="X768" s="1"/>
      <c r="Y768" s="95"/>
      <c r="Z768" s="1"/>
      <c r="AA768" s="94"/>
      <c r="AB768" s="1"/>
      <c r="AC768" s="1"/>
      <c r="AD768" s="1"/>
      <c r="AE768" s="30"/>
      <c r="AF768" s="633"/>
      <c r="AG768" s="94"/>
      <c r="AH768" s="94"/>
      <c r="AI768" s="94"/>
      <c r="AJ768" s="94"/>
      <c r="AK768" s="94"/>
      <c r="AL768" s="94"/>
    </row>
    <row r="769" spans="3:38">
      <c r="C769" s="30"/>
      <c r="F769" s="95"/>
      <c r="G769" s="1"/>
      <c r="H769" s="94"/>
      <c r="I769" s="90"/>
      <c r="J769" s="90"/>
      <c r="K769" s="1"/>
      <c r="L769" s="74"/>
      <c r="M769" s="633"/>
      <c r="N769" s="274"/>
      <c r="O769" s="94"/>
      <c r="P769" s="94"/>
      <c r="Q769" s="94"/>
      <c r="R769" s="94"/>
      <c r="S769" s="94"/>
      <c r="V769" s="30"/>
      <c r="W769" s="30"/>
      <c r="X769" s="1"/>
      <c r="Y769" s="95"/>
      <c r="Z769" s="1"/>
      <c r="AA769" s="94"/>
      <c r="AB769" s="1"/>
      <c r="AC769" s="1"/>
      <c r="AD769" s="1"/>
      <c r="AE769" s="30"/>
      <c r="AF769" s="633"/>
      <c r="AG769" s="94"/>
      <c r="AH769" s="94"/>
      <c r="AI769" s="94"/>
      <c r="AJ769" s="94"/>
      <c r="AK769" s="94"/>
      <c r="AL769" s="94"/>
    </row>
    <row r="770" spans="3:38">
      <c r="C770" s="30"/>
      <c r="F770" s="95"/>
      <c r="G770" s="1"/>
      <c r="H770" s="94"/>
      <c r="I770" s="90"/>
      <c r="J770" s="90"/>
      <c r="K770" s="1"/>
      <c r="L770" s="74"/>
      <c r="M770" s="633"/>
      <c r="N770" s="274"/>
      <c r="O770" s="94"/>
      <c r="P770" s="94"/>
      <c r="Q770" s="94"/>
      <c r="R770" s="94"/>
      <c r="S770" s="94"/>
      <c r="V770" s="30"/>
      <c r="W770" s="30"/>
      <c r="X770" s="1"/>
      <c r="Y770" s="95"/>
      <c r="Z770" s="1"/>
      <c r="AA770" s="94"/>
      <c r="AB770" s="1"/>
      <c r="AC770" s="1"/>
      <c r="AD770" s="1"/>
      <c r="AE770" s="30"/>
      <c r="AF770" s="633"/>
      <c r="AG770" s="94"/>
      <c r="AH770" s="94"/>
      <c r="AI770" s="94"/>
      <c r="AJ770" s="94"/>
      <c r="AK770" s="94"/>
      <c r="AL770" s="94"/>
    </row>
    <row r="771" spans="3:38">
      <c r="C771" s="30"/>
      <c r="F771" s="95"/>
      <c r="G771" s="1"/>
      <c r="H771" s="94"/>
      <c r="I771" s="90"/>
      <c r="J771" s="90"/>
      <c r="K771" s="1"/>
      <c r="L771" s="74"/>
      <c r="M771" s="633"/>
      <c r="N771" s="274"/>
      <c r="O771" s="94"/>
      <c r="P771" s="94"/>
      <c r="Q771" s="94"/>
      <c r="R771" s="94"/>
      <c r="S771" s="94"/>
      <c r="V771" s="30"/>
      <c r="W771" s="30"/>
      <c r="X771" s="1"/>
      <c r="Y771" s="95"/>
      <c r="Z771" s="1"/>
      <c r="AA771" s="94"/>
      <c r="AB771" s="1"/>
      <c r="AC771" s="1"/>
      <c r="AD771" s="1"/>
      <c r="AE771" s="30"/>
      <c r="AF771" s="633"/>
      <c r="AG771" s="94"/>
      <c r="AH771" s="94"/>
      <c r="AI771" s="94"/>
      <c r="AJ771" s="94"/>
      <c r="AK771" s="94"/>
      <c r="AL771" s="94"/>
    </row>
    <row r="772" spans="3:38">
      <c r="C772" s="30"/>
      <c r="F772" s="95"/>
      <c r="G772" s="1"/>
      <c r="H772" s="94"/>
      <c r="I772" s="90"/>
      <c r="J772" s="90"/>
      <c r="K772" s="1"/>
      <c r="L772" s="74"/>
      <c r="M772" s="633"/>
      <c r="N772" s="274"/>
      <c r="O772" s="94"/>
      <c r="P772" s="94"/>
      <c r="Q772" s="94"/>
      <c r="R772" s="94"/>
      <c r="S772" s="94"/>
      <c r="V772" s="30"/>
      <c r="W772" s="30"/>
      <c r="X772" s="1"/>
      <c r="Y772" s="95"/>
      <c r="Z772" s="1"/>
      <c r="AA772" s="94"/>
      <c r="AB772" s="1"/>
      <c r="AC772" s="1"/>
      <c r="AD772" s="1"/>
      <c r="AE772" s="30"/>
      <c r="AF772" s="633"/>
      <c r="AG772" s="94"/>
      <c r="AH772" s="94"/>
      <c r="AI772" s="94"/>
      <c r="AJ772" s="94"/>
      <c r="AK772" s="94"/>
      <c r="AL772" s="94"/>
    </row>
    <row r="773" spans="3:38">
      <c r="C773" s="30"/>
      <c r="F773" s="95"/>
      <c r="G773" s="1"/>
      <c r="H773" s="94"/>
      <c r="I773" s="90"/>
      <c r="J773" s="90"/>
      <c r="K773" s="1"/>
      <c r="L773" s="74"/>
      <c r="M773" s="633"/>
      <c r="N773" s="274"/>
      <c r="O773" s="94"/>
      <c r="P773" s="94"/>
      <c r="Q773" s="94"/>
      <c r="R773" s="94"/>
      <c r="S773" s="94"/>
      <c r="V773" s="30"/>
      <c r="W773" s="30"/>
      <c r="X773" s="1"/>
      <c r="Y773" s="95"/>
      <c r="Z773" s="1"/>
      <c r="AA773" s="94"/>
      <c r="AB773" s="1"/>
      <c r="AC773" s="1"/>
      <c r="AD773" s="1"/>
      <c r="AE773" s="30"/>
      <c r="AF773" s="633"/>
      <c r="AG773" s="94"/>
      <c r="AH773" s="94"/>
      <c r="AI773" s="94"/>
      <c r="AJ773" s="94"/>
      <c r="AK773" s="94"/>
      <c r="AL773" s="94"/>
    </row>
    <row r="774" spans="3:38">
      <c r="C774" s="30"/>
      <c r="F774" s="95"/>
      <c r="G774" s="1"/>
      <c r="H774" s="94"/>
      <c r="I774" s="90"/>
      <c r="J774" s="90"/>
      <c r="K774" s="1"/>
      <c r="L774" s="74"/>
      <c r="M774" s="633"/>
      <c r="N774" s="274"/>
      <c r="O774" s="94"/>
      <c r="P774" s="94"/>
      <c r="Q774" s="94"/>
      <c r="R774" s="94"/>
      <c r="S774" s="94"/>
      <c r="V774" s="30"/>
      <c r="W774" s="30"/>
      <c r="X774" s="1"/>
      <c r="Y774" s="95"/>
      <c r="Z774" s="1"/>
      <c r="AA774" s="94"/>
      <c r="AB774" s="1"/>
      <c r="AC774" s="1"/>
      <c r="AD774" s="1"/>
      <c r="AE774" s="30"/>
      <c r="AF774" s="633"/>
      <c r="AG774" s="94"/>
      <c r="AH774" s="94"/>
      <c r="AI774" s="94"/>
      <c r="AJ774" s="94"/>
      <c r="AK774" s="94"/>
      <c r="AL774" s="94"/>
    </row>
    <row r="775" spans="3:38">
      <c r="C775" s="30"/>
      <c r="F775" s="95"/>
      <c r="G775" s="1"/>
      <c r="H775" s="94"/>
      <c r="I775" s="90"/>
      <c r="J775" s="90"/>
      <c r="K775" s="1"/>
      <c r="L775" s="74"/>
      <c r="M775" s="633"/>
      <c r="N775" s="274"/>
      <c r="O775" s="94"/>
      <c r="P775" s="94"/>
      <c r="Q775" s="94"/>
      <c r="R775" s="94"/>
      <c r="S775" s="94"/>
      <c r="V775" s="30"/>
      <c r="W775" s="30"/>
      <c r="X775" s="1"/>
      <c r="Y775" s="95"/>
      <c r="Z775" s="1"/>
      <c r="AA775" s="94"/>
      <c r="AB775" s="1"/>
      <c r="AC775" s="1"/>
      <c r="AD775" s="1"/>
      <c r="AE775" s="30"/>
      <c r="AF775" s="633"/>
      <c r="AG775" s="94"/>
      <c r="AH775" s="94"/>
      <c r="AI775" s="94"/>
      <c r="AJ775" s="94"/>
      <c r="AK775" s="94"/>
      <c r="AL775" s="94"/>
    </row>
    <row r="776" spans="3:38">
      <c r="C776" s="30"/>
      <c r="F776" s="95"/>
      <c r="G776" s="1"/>
      <c r="H776" s="94"/>
      <c r="I776" s="90"/>
      <c r="J776" s="90"/>
      <c r="K776" s="1"/>
      <c r="L776" s="74"/>
      <c r="M776" s="633"/>
      <c r="N776" s="274"/>
      <c r="O776" s="94"/>
      <c r="P776" s="94"/>
      <c r="Q776" s="94"/>
      <c r="R776" s="94"/>
      <c r="S776" s="94"/>
      <c r="V776" s="30"/>
      <c r="W776" s="30"/>
      <c r="X776" s="1"/>
      <c r="Y776" s="95"/>
      <c r="Z776" s="1"/>
      <c r="AA776" s="94"/>
      <c r="AB776" s="1"/>
      <c r="AC776" s="1"/>
      <c r="AD776" s="1"/>
      <c r="AE776" s="30"/>
      <c r="AF776" s="633"/>
      <c r="AG776" s="94"/>
      <c r="AH776" s="94"/>
      <c r="AI776" s="94"/>
      <c r="AJ776" s="94"/>
      <c r="AK776" s="94"/>
      <c r="AL776" s="94"/>
    </row>
    <row r="777" spans="3:38">
      <c r="C777" s="30"/>
      <c r="F777" s="95"/>
      <c r="G777" s="1"/>
      <c r="H777" s="94"/>
      <c r="I777" s="90"/>
      <c r="J777" s="90"/>
      <c r="K777" s="1"/>
      <c r="L777" s="74"/>
      <c r="M777" s="633"/>
      <c r="N777" s="274"/>
      <c r="O777" s="94"/>
      <c r="P777" s="94"/>
      <c r="Q777" s="94"/>
      <c r="R777" s="94"/>
      <c r="S777" s="94"/>
      <c r="V777" s="30"/>
      <c r="W777" s="30"/>
      <c r="X777" s="1"/>
      <c r="Y777" s="95"/>
      <c r="Z777" s="1"/>
      <c r="AA777" s="94"/>
      <c r="AB777" s="1"/>
      <c r="AC777" s="1"/>
      <c r="AD777" s="1"/>
      <c r="AE777" s="30"/>
      <c r="AF777" s="633"/>
      <c r="AG777" s="94"/>
      <c r="AH777" s="94"/>
      <c r="AI777" s="94"/>
      <c r="AJ777" s="94"/>
      <c r="AK777" s="94"/>
      <c r="AL777" s="94"/>
    </row>
    <row r="778" spans="3:38">
      <c r="C778" s="30"/>
      <c r="F778" s="95"/>
      <c r="G778" s="1"/>
      <c r="H778" s="94"/>
      <c r="I778" s="90"/>
      <c r="J778" s="90"/>
      <c r="K778" s="1"/>
      <c r="L778" s="74"/>
      <c r="M778" s="633"/>
      <c r="N778" s="274"/>
      <c r="O778" s="94"/>
      <c r="P778" s="94"/>
      <c r="Q778" s="94"/>
      <c r="R778" s="94"/>
      <c r="S778" s="94"/>
      <c r="V778" s="30"/>
      <c r="W778" s="30"/>
      <c r="X778" s="1"/>
      <c r="Y778" s="95"/>
      <c r="Z778" s="1"/>
      <c r="AA778" s="94"/>
      <c r="AB778" s="1"/>
      <c r="AC778" s="1"/>
      <c r="AD778" s="1"/>
      <c r="AE778" s="30"/>
      <c r="AF778" s="633"/>
      <c r="AG778" s="94"/>
      <c r="AH778" s="94"/>
      <c r="AI778" s="94"/>
      <c r="AJ778" s="94"/>
      <c r="AK778" s="94"/>
      <c r="AL778" s="94"/>
    </row>
    <row r="779" spans="3:38">
      <c r="C779" s="30"/>
      <c r="F779" s="95"/>
      <c r="G779" s="1"/>
      <c r="H779" s="94"/>
      <c r="I779" s="90"/>
      <c r="J779" s="90"/>
      <c r="K779" s="1"/>
      <c r="L779" s="74"/>
      <c r="M779" s="633"/>
      <c r="N779" s="274"/>
      <c r="O779" s="94"/>
      <c r="P779" s="94"/>
      <c r="Q779" s="94"/>
      <c r="R779" s="94"/>
      <c r="S779" s="94"/>
      <c r="V779" s="30"/>
      <c r="W779" s="30"/>
      <c r="X779" s="1"/>
      <c r="Y779" s="95"/>
      <c r="Z779" s="1"/>
      <c r="AA779" s="94"/>
      <c r="AB779" s="1"/>
      <c r="AC779" s="1"/>
      <c r="AD779" s="1"/>
      <c r="AE779" s="30"/>
      <c r="AF779" s="633"/>
      <c r="AG779" s="94"/>
      <c r="AH779" s="94"/>
      <c r="AI779" s="94"/>
      <c r="AJ779" s="94"/>
      <c r="AK779" s="94"/>
      <c r="AL779" s="94"/>
    </row>
    <row r="780" spans="3:38">
      <c r="C780" s="30"/>
      <c r="F780" s="95"/>
      <c r="G780" s="1"/>
      <c r="H780" s="94"/>
      <c r="I780" s="90"/>
      <c r="J780" s="90"/>
      <c r="K780" s="1"/>
      <c r="L780" s="74"/>
      <c r="M780" s="633"/>
      <c r="N780" s="274"/>
      <c r="O780" s="94"/>
      <c r="P780" s="94"/>
      <c r="Q780" s="94"/>
      <c r="R780" s="94"/>
      <c r="S780" s="94"/>
      <c r="V780" s="30"/>
      <c r="W780" s="30"/>
      <c r="X780" s="1"/>
      <c r="Y780" s="95"/>
      <c r="Z780" s="1"/>
      <c r="AA780" s="94"/>
      <c r="AB780" s="1"/>
      <c r="AC780" s="1"/>
      <c r="AD780" s="1"/>
      <c r="AE780" s="30"/>
      <c r="AF780" s="633"/>
      <c r="AG780" s="94"/>
      <c r="AH780" s="94"/>
      <c r="AI780" s="94"/>
      <c r="AJ780" s="94"/>
      <c r="AK780" s="94"/>
      <c r="AL780" s="94"/>
    </row>
    <row r="781" spans="3:38">
      <c r="C781" s="30"/>
      <c r="F781" s="95"/>
      <c r="G781" s="1"/>
      <c r="H781" s="94"/>
      <c r="I781" s="90"/>
      <c r="J781" s="90"/>
      <c r="K781" s="1"/>
      <c r="L781" s="74"/>
      <c r="M781" s="633"/>
      <c r="N781" s="274"/>
      <c r="O781" s="94"/>
      <c r="P781" s="94"/>
      <c r="Q781" s="94"/>
      <c r="R781" s="94"/>
      <c r="S781" s="94"/>
      <c r="V781" s="30"/>
      <c r="W781" s="30"/>
      <c r="X781" s="1"/>
      <c r="Y781" s="95"/>
      <c r="Z781" s="1"/>
      <c r="AA781" s="94"/>
      <c r="AB781" s="1"/>
      <c r="AC781" s="1"/>
      <c r="AD781" s="1"/>
      <c r="AE781" s="30"/>
      <c r="AF781" s="633"/>
      <c r="AG781" s="94"/>
      <c r="AH781" s="94"/>
      <c r="AI781" s="94"/>
      <c r="AJ781" s="94"/>
      <c r="AK781" s="94"/>
      <c r="AL781" s="94"/>
    </row>
    <row r="782" spans="3:38">
      <c r="C782" s="30"/>
      <c r="F782" s="95"/>
      <c r="G782" s="1"/>
      <c r="H782" s="94"/>
      <c r="I782" s="90"/>
      <c r="J782" s="90"/>
      <c r="K782" s="1"/>
      <c r="L782" s="74"/>
      <c r="M782" s="633"/>
      <c r="N782" s="274"/>
      <c r="O782" s="94"/>
      <c r="P782" s="94"/>
      <c r="Q782" s="94"/>
      <c r="R782" s="94"/>
      <c r="S782" s="94"/>
      <c r="V782" s="30"/>
      <c r="W782" s="30"/>
      <c r="X782" s="1"/>
      <c r="Y782" s="95"/>
      <c r="Z782" s="1"/>
      <c r="AA782" s="94"/>
      <c r="AB782" s="1"/>
      <c r="AC782" s="1"/>
      <c r="AD782" s="1"/>
      <c r="AE782" s="30"/>
      <c r="AF782" s="633"/>
      <c r="AG782" s="94"/>
      <c r="AH782" s="94"/>
      <c r="AI782" s="94"/>
      <c r="AJ782" s="94"/>
      <c r="AK782" s="94"/>
      <c r="AL782" s="94"/>
    </row>
    <row r="783" spans="3:38">
      <c r="C783" s="30"/>
      <c r="F783" s="95"/>
      <c r="G783" s="1"/>
      <c r="H783" s="94"/>
      <c r="I783" s="90"/>
      <c r="J783" s="90"/>
      <c r="K783" s="1"/>
      <c r="L783" s="74"/>
      <c r="M783" s="633"/>
      <c r="N783" s="274"/>
      <c r="O783" s="94"/>
      <c r="P783" s="94"/>
      <c r="Q783" s="94"/>
      <c r="R783" s="94"/>
      <c r="S783" s="94"/>
      <c r="V783" s="30"/>
      <c r="W783" s="30"/>
      <c r="X783" s="1"/>
      <c r="Y783" s="95"/>
      <c r="Z783" s="1"/>
      <c r="AA783" s="94"/>
      <c r="AB783" s="1"/>
      <c r="AC783" s="1"/>
      <c r="AD783" s="1"/>
      <c r="AE783" s="30"/>
      <c r="AF783" s="633"/>
      <c r="AG783" s="94"/>
      <c r="AH783" s="94"/>
      <c r="AI783" s="94"/>
      <c r="AJ783" s="94"/>
      <c r="AK783" s="94"/>
      <c r="AL783" s="94"/>
    </row>
    <row r="784" spans="3:38">
      <c r="C784" s="30"/>
      <c r="F784" s="95"/>
      <c r="G784" s="1"/>
      <c r="H784" s="94"/>
      <c r="I784" s="90"/>
      <c r="J784" s="90"/>
      <c r="K784" s="1"/>
      <c r="L784" s="74"/>
      <c r="M784" s="633"/>
      <c r="N784" s="274"/>
      <c r="O784" s="94"/>
      <c r="P784" s="94"/>
      <c r="Q784" s="94"/>
      <c r="R784" s="94"/>
      <c r="S784" s="94"/>
      <c r="V784" s="30"/>
      <c r="W784" s="30"/>
      <c r="X784" s="1"/>
      <c r="Y784" s="95"/>
      <c r="Z784" s="1"/>
      <c r="AA784" s="94"/>
      <c r="AB784" s="1"/>
      <c r="AC784" s="1"/>
      <c r="AD784" s="1"/>
      <c r="AE784" s="30"/>
      <c r="AF784" s="633"/>
      <c r="AG784" s="94"/>
      <c r="AH784" s="94"/>
      <c r="AI784" s="94"/>
      <c r="AJ784" s="94"/>
      <c r="AK784" s="94"/>
      <c r="AL784" s="94"/>
    </row>
    <row r="785" spans="3:38">
      <c r="C785" s="30"/>
      <c r="F785" s="95"/>
      <c r="G785" s="1"/>
      <c r="H785" s="94"/>
      <c r="I785" s="90"/>
      <c r="J785" s="90"/>
      <c r="K785" s="1"/>
      <c r="L785" s="74"/>
      <c r="M785" s="633"/>
      <c r="N785" s="274"/>
      <c r="O785" s="94"/>
      <c r="P785" s="94"/>
      <c r="Q785" s="94"/>
      <c r="R785" s="94"/>
      <c r="S785" s="94"/>
      <c r="V785" s="30"/>
      <c r="W785" s="30"/>
      <c r="X785" s="1"/>
      <c r="Y785" s="95"/>
      <c r="Z785" s="1"/>
      <c r="AA785" s="94"/>
      <c r="AB785" s="1"/>
      <c r="AC785" s="1"/>
      <c r="AD785" s="1"/>
      <c r="AE785" s="30"/>
      <c r="AF785" s="633"/>
      <c r="AG785" s="94"/>
      <c r="AH785" s="94"/>
      <c r="AI785" s="94"/>
      <c r="AJ785" s="94"/>
      <c r="AK785" s="94"/>
      <c r="AL785" s="94"/>
    </row>
    <row r="786" spans="3:38">
      <c r="C786" s="30"/>
      <c r="F786" s="95"/>
      <c r="G786" s="1"/>
      <c r="H786" s="94"/>
      <c r="I786" s="90"/>
      <c r="J786" s="90"/>
      <c r="K786" s="1"/>
      <c r="L786" s="74"/>
      <c r="M786" s="633"/>
      <c r="N786" s="274"/>
      <c r="O786" s="94"/>
      <c r="P786" s="94"/>
      <c r="Q786" s="94"/>
      <c r="R786" s="94"/>
      <c r="S786" s="94"/>
      <c r="V786" s="30"/>
      <c r="W786" s="30"/>
      <c r="X786" s="1"/>
      <c r="Y786" s="95"/>
      <c r="Z786" s="1"/>
      <c r="AA786" s="94"/>
      <c r="AB786" s="1"/>
      <c r="AC786" s="1"/>
      <c r="AD786" s="1"/>
      <c r="AE786" s="30"/>
      <c r="AF786" s="633"/>
      <c r="AG786" s="94"/>
      <c r="AH786" s="94"/>
      <c r="AI786" s="94"/>
      <c r="AJ786" s="94"/>
      <c r="AK786" s="94"/>
      <c r="AL786" s="94"/>
    </row>
    <row r="787" spans="3:38">
      <c r="C787" s="30"/>
      <c r="F787" s="95"/>
      <c r="G787" s="1"/>
      <c r="H787" s="94"/>
      <c r="I787" s="90"/>
      <c r="J787" s="90"/>
      <c r="K787" s="1"/>
      <c r="L787" s="74"/>
      <c r="M787" s="633"/>
      <c r="N787" s="274"/>
      <c r="O787" s="94"/>
      <c r="P787" s="94"/>
      <c r="Q787" s="94"/>
      <c r="R787" s="94"/>
      <c r="S787" s="94"/>
      <c r="V787" s="30"/>
      <c r="W787" s="30"/>
      <c r="X787" s="1"/>
      <c r="Y787" s="95"/>
      <c r="Z787" s="1"/>
      <c r="AA787" s="94"/>
      <c r="AB787" s="1"/>
      <c r="AC787" s="1"/>
      <c r="AD787" s="1"/>
      <c r="AE787" s="30"/>
      <c r="AF787" s="633"/>
      <c r="AG787" s="94"/>
      <c r="AH787" s="94"/>
      <c r="AI787" s="94"/>
      <c r="AJ787" s="94"/>
      <c r="AK787" s="94"/>
      <c r="AL787" s="94"/>
    </row>
    <row r="788" spans="3:38">
      <c r="C788" s="30"/>
      <c r="F788" s="95"/>
      <c r="G788" s="1"/>
      <c r="H788" s="94"/>
      <c r="I788" s="90"/>
      <c r="J788" s="90"/>
      <c r="K788" s="1"/>
      <c r="L788" s="74"/>
      <c r="M788" s="633"/>
      <c r="N788" s="274"/>
      <c r="O788" s="94"/>
      <c r="P788" s="94"/>
      <c r="Q788" s="94"/>
      <c r="R788" s="94"/>
      <c r="S788" s="94"/>
      <c r="V788" s="30"/>
      <c r="W788" s="30"/>
      <c r="X788" s="1"/>
      <c r="Y788" s="95"/>
      <c r="Z788" s="1"/>
      <c r="AA788" s="94"/>
      <c r="AB788" s="1"/>
      <c r="AC788" s="1"/>
      <c r="AD788" s="1"/>
      <c r="AE788" s="30"/>
      <c r="AF788" s="633"/>
      <c r="AG788" s="94"/>
      <c r="AH788" s="94"/>
      <c r="AI788" s="94"/>
      <c r="AJ788" s="94"/>
      <c r="AK788" s="94"/>
      <c r="AL788" s="94"/>
    </row>
    <row r="789" spans="3:38">
      <c r="C789" s="30"/>
      <c r="F789" s="95"/>
      <c r="G789" s="1"/>
      <c r="H789" s="94"/>
      <c r="I789" s="90"/>
      <c r="J789" s="90"/>
      <c r="K789" s="1"/>
      <c r="L789" s="74"/>
      <c r="M789" s="633"/>
      <c r="N789" s="274"/>
      <c r="O789" s="94"/>
      <c r="P789" s="94"/>
      <c r="Q789" s="94"/>
      <c r="R789" s="94"/>
      <c r="S789" s="94"/>
      <c r="V789" s="30"/>
      <c r="W789" s="30"/>
      <c r="X789" s="1"/>
      <c r="Y789" s="95"/>
      <c r="Z789" s="1"/>
      <c r="AA789" s="94"/>
      <c r="AB789" s="1"/>
      <c r="AC789" s="1"/>
      <c r="AD789" s="1"/>
      <c r="AE789" s="30"/>
      <c r="AF789" s="633"/>
      <c r="AG789" s="94"/>
      <c r="AH789" s="94"/>
      <c r="AI789" s="94"/>
      <c r="AJ789" s="94"/>
      <c r="AK789" s="94"/>
      <c r="AL789" s="94"/>
    </row>
    <row r="790" spans="3:38">
      <c r="C790" s="30"/>
      <c r="F790" s="95"/>
      <c r="G790" s="1"/>
      <c r="H790" s="94"/>
      <c r="I790" s="90"/>
      <c r="J790" s="90"/>
      <c r="K790" s="1"/>
      <c r="L790" s="74"/>
      <c r="M790" s="633"/>
      <c r="N790" s="274"/>
      <c r="O790" s="94"/>
      <c r="P790" s="94"/>
      <c r="Q790" s="94"/>
      <c r="R790" s="94"/>
      <c r="S790" s="94"/>
      <c r="V790" s="30"/>
      <c r="W790" s="30"/>
      <c r="X790" s="1"/>
      <c r="Y790" s="95"/>
      <c r="Z790" s="1"/>
      <c r="AA790" s="94"/>
      <c r="AB790" s="1"/>
      <c r="AC790" s="1"/>
      <c r="AD790" s="1"/>
      <c r="AE790" s="30"/>
      <c r="AF790" s="633"/>
      <c r="AG790" s="94"/>
      <c r="AH790" s="94"/>
      <c r="AI790" s="94"/>
      <c r="AJ790" s="94"/>
      <c r="AK790" s="94"/>
      <c r="AL790" s="94"/>
    </row>
    <row r="791" spans="3:38">
      <c r="C791" s="30"/>
      <c r="F791" s="95"/>
      <c r="G791" s="1"/>
      <c r="H791" s="94"/>
      <c r="I791" s="90"/>
      <c r="J791" s="90"/>
      <c r="K791" s="1"/>
      <c r="L791" s="74"/>
      <c r="M791" s="633"/>
      <c r="N791" s="274"/>
      <c r="O791" s="94"/>
      <c r="P791" s="94"/>
      <c r="Q791" s="94"/>
      <c r="R791" s="94"/>
      <c r="S791" s="94"/>
      <c r="V791" s="30"/>
      <c r="W791" s="30"/>
      <c r="X791" s="1"/>
      <c r="Y791" s="95"/>
      <c r="Z791" s="1"/>
      <c r="AA791" s="94"/>
      <c r="AB791" s="1"/>
      <c r="AC791" s="1"/>
      <c r="AD791" s="1"/>
      <c r="AE791" s="30"/>
      <c r="AF791" s="633"/>
      <c r="AG791" s="94"/>
      <c r="AH791" s="94"/>
      <c r="AI791" s="94"/>
      <c r="AJ791" s="94"/>
      <c r="AK791" s="94"/>
      <c r="AL791" s="94"/>
    </row>
    <row r="792" spans="3:38">
      <c r="C792" s="30"/>
      <c r="F792" s="95"/>
      <c r="G792" s="1"/>
      <c r="H792" s="94"/>
      <c r="I792" s="90"/>
      <c r="J792" s="90"/>
      <c r="K792" s="1"/>
      <c r="L792" s="74"/>
      <c r="M792" s="633"/>
      <c r="N792" s="274"/>
      <c r="O792" s="94"/>
      <c r="P792" s="94"/>
      <c r="Q792" s="94"/>
      <c r="R792" s="94"/>
      <c r="S792" s="94"/>
      <c r="V792" s="30"/>
      <c r="W792" s="30"/>
      <c r="X792" s="1"/>
      <c r="Y792" s="95"/>
      <c r="Z792" s="1"/>
      <c r="AA792" s="94"/>
      <c r="AB792" s="1"/>
      <c r="AC792" s="1"/>
      <c r="AD792" s="1"/>
      <c r="AE792" s="30"/>
      <c r="AF792" s="633"/>
      <c r="AG792" s="94"/>
      <c r="AH792" s="94"/>
      <c r="AI792" s="94"/>
      <c r="AJ792" s="94"/>
      <c r="AK792" s="94"/>
      <c r="AL792" s="94"/>
    </row>
    <row r="793" spans="3:38">
      <c r="C793" s="30"/>
      <c r="F793" s="95"/>
      <c r="G793" s="1"/>
      <c r="H793" s="94"/>
      <c r="I793" s="90"/>
      <c r="J793" s="90"/>
      <c r="K793" s="1"/>
      <c r="L793" s="74"/>
      <c r="M793" s="633"/>
      <c r="N793" s="274"/>
      <c r="O793" s="94"/>
      <c r="P793" s="94"/>
      <c r="Q793" s="94"/>
      <c r="R793" s="94"/>
      <c r="S793" s="94"/>
      <c r="V793" s="30"/>
      <c r="W793" s="30"/>
      <c r="X793" s="1"/>
      <c r="Y793" s="95"/>
      <c r="Z793" s="1"/>
      <c r="AA793" s="94"/>
      <c r="AB793" s="1"/>
      <c r="AC793" s="1"/>
      <c r="AD793" s="1"/>
      <c r="AE793" s="30"/>
      <c r="AF793" s="633"/>
      <c r="AG793" s="94"/>
      <c r="AH793" s="94"/>
      <c r="AI793" s="94"/>
      <c r="AJ793" s="94"/>
      <c r="AK793" s="94"/>
      <c r="AL793" s="94"/>
    </row>
    <row r="794" spans="3:38">
      <c r="C794" s="30"/>
      <c r="F794" s="95"/>
      <c r="G794" s="1"/>
      <c r="H794" s="94"/>
      <c r="I794" s="90"/>
      <c r="J794" s="90"/>
      <c r="K794" s="1"/>
      <c r="L794" s="74"/>
      <c r="M794" s="633"/>
      <c r="N794" s="274"/>
      <c r="O794" s="94"/>
      <c r="P794" s="94"/>
      <c r="Q794" s="94"/>
      <c r="R794" s="94"/>
      <c r="S794" s="94"/>
      <c r="V794" s="30"/>
      <c r="W794" s="30"/>
      <c r="X794" s="1"/>
      <c r="Y794" s="95"/>
      <c r="Z794" s="1"/>
      <c r="AA794" s="94"/>
      <c r="AB794" s="1"/>
      <c r="AC794" s="1"/>
      <c r="AD794" s="1"/>
      <c r="AE794" s="30"/>
      <c r="AF794" s="633"/>
      <c r="AG794" s="94"/>
      <c r="AH794" s="94"/>
      <c r="AI794" s="94"/>
      <c r="AJ794" s="94"/>
      <c r="AK794" s="94"/>
      <c r="AL794" s="94"/>
    </row>
    <row r="795" spans="3:38">
      <c r="C795" s="30"/>
      <c r="F795" s="95"/>
      <c r="G795" s="1"/>
      <c r="H795" s="94"/>
      <c r="I795" s="90"/>
      <c r="J795" s="90"/>
      <c r="K795" s="1"/>
      <c r="L795" s="74"/>
      <c r="M795" s="633"/>
      <c r="N795" s="274"/>
      <c r="O795" s="94"/>
      <c r="P795" s="94"/>
      <c r="Q795" s="94"/>
      <c r="R795" s="94"/>
      <c r="S795" s="94"/>
      <c r="V795" s="30"/>
      <c r="W795" s="30"/>
      <c r="X795" s="1"/>
      <c r="Y795" s="95"/>
      <c r="Z795" s="1"/>
      <c r="AA795" s="94"/>
      <c r="AB795" s="1"/>
      <c r="AC795" s="1"/>
      <c r="AD795" s="1"/>
      <c r="AE795" s="30"/>
      <c r="AF795" s="633"/>
      <c r="AG795" s="94"/>
      <c r="AH795" s="94"/>
      <c r="AI795" s="94"/>
      <c r="AJ795" s="94"/>
      <c r="AK795" s="94"/>
      <c r="AL795" s="94"/>
    </row>
    <row r="796" spans="3:38">
      <c r="C796" s="30"/>
      <c r="F796" s="95"/>
      <c r="G796" s="1"/>
      <c r="H796" s="94"/>
      <c r="I796" s="90"/>
      <c r="J796" s="90"/>
      <c r="K796" s="1"/>
      <c r="L796" s="74"/>
      <c r="M796" s="633"/>
      <c r="N796" s="274"/>
      <c r="O796" s="94"/>
      <c r="P796" s="94"/>
      <c r="Q796" s="94"/>
      <c r="R796" s="94"/>
      <c r="S796" s="94"/>
      <c r="V796" s="30"/>
      <c r="W796" s="30"/>
      <c r="X796" s="1"/>
      <c r="Y796" s="95"/>
      <c r="Z796" s="1"/>
      <c r="AA796" s="94"/>
      <c r="AB796" s="1"/>
      <c r="AC796" s="1"/>
      <c r="AD796" s="1"/>
      <c r="AE796" s="30"/>
      <c r="AF796" s="633"/>
      <c r="AG796" s="94"/>
      <c r="AH796" s="94"/>
      <c r="AI796" s="94"/>
      <c r="AJ796" s="94"/>
      <c r="AK796" s="94"/>
      <c r="AL796" s="94"/>
    </row>
    <row r="797" spans="3:38">
      <c r="C797" s="30"/>
      <c r="F797" s="95"/>
      <c r="G797" s="1"/>
      <c r="H797" s="94"/>
      <c r="I797" s="90"/>
      <c r="J797" s="90"/>
      <c r="K797" s="1"/>
      <c r="L797" s="74"/>
      <c r="M797" s="633"/>
      <c r="N797" s="274"/>
      <c r="O797" s="94"/>
      <c r="P797" s="94"/>
      <c r="Q797" s="94"/>
      <c r="R797" s="94"/>
      <c r="S797" s="94"/>
      <c r="V797" s="30"/>
      <c r="W797" s="30"/>
      <c r="X797" s="1"/>
      <c r="Y797" s="95"/>
      <c r="Z797" s="1"/>
      <c r="AA797" s="94"/>
      <c r="AB797" s="1"/>
      <c r="AC797" s="1"/>
      <c r="AD797" s="1"/>
      <c r="AE797" s="30"/>
      <c r="AF797" s="633"/>
      <c r="AG797" s="94"/>
      <c r="AH797" s="94"/>
      <c r="AI797" s="94"/>
      <c r="AJ797" s="94"/>
      <c r="AK797" s="94"/>
      <c r="AL797" s="94"/>
    </row>
    <row r="798" spans="3:38">
      <c r="C798" s="30"/>
      <c r="F798" s="95"/>
      <c r="G798" s="1"/>
      <c r="H798" s="94"/>
      <c r="I798" s="90"/>
      <c r="J798" s="90"/>
      <c r="K798" s="1"/>
      <c r="L798" s="74"/>
      <c r="M798" s="633"/>
      <c r="N798" s="274"/>
      <c r="O798" s="94"/>
      <c r="P798" s="94"/>
      <c r="Q798" s="94"/>
      <c r="R798" s="94"/>
      <c r="S798" s="94"/>
      <c r="V798" s="30"/>
      <c r="W798" s="30"/>
      <c r="X798" s="1"/>
      <c r="Y798" s="95"/>
      <c r="Z798" s="1"/>
      <c r="AA798" s="94"/>
      <c r="AB798" s="1"/>
      <c r="AC798" s="1"/>
      <c r="AD798" s="1"/>
      <c r="AE798" s="30"/>
      <c r="AF798" s="633"/>
      <c r="AG798" s="94"/>
      <c r="AH798" s="94"/>
      <c r="AI798" s="94"/>
      <c r="AJ798" s="94"/>
      <c r="AK798" s="94"/>
      <c r="AL798" s="94"/>
    </row>
    <row r="799" spans="3:38">
      <c r="C799" s="30"/>
      <c r="F799" s="95"/>
      <c r="G799" s="1"/>
      <c r="H799" s="94"/>
      <c r="I799" s="90"/>
      <c r="J799" s="90"/>
      <c r="K799" s="1"/>
      <c r="L799" s="74"/>
      <c r="M799" s="633"/>
      <c r="N799" s="274"/>
      <c r="O799" s="94"/>
      <c r="P799" s="94"/>
      <c r="Q799" s="94"/>
      <c r="R799" s="94"/>
      <c r="S799" s="94"/>
      <c r="V799" s="30"/>
      <c r="W799" s="30"/>
      <c r="X799" s="1"/>
      <c r="Y799" s="95"/>
      <c r="Z799" s="1"/>
      <c r="AA799" s="94"/>
      <c r="AB799" s="1"/>
      <c r="AC799" s="1"/>
      <c r="AD799" s="1"/>
      <c r="AE799" s="30"/>
      <c r="AF799" s="633"/>
      <c r="AG799" s="94"/>
      <c r="AH799" s="94"/>
      <c r="AI799" s="94"/>
      <c r="AJ799" s="94"/>
      <c r="AK799" s="94"/>
      <c r="AL799" s="94"/>
    </row>
    <row r="800" spans="3:38">
      <c r="C800" s="30"/>
      <c r="F800" s="95"/>
      <c r="G800" s="1"/>
      <c r="H800" s="94"/>
      <c r="I800" s="90"/>
      <c r="J800" s="90"/>
      <c r="K800" s="1"/>
      <c r="L800" s="74"/>
      <c r="M800" s="633"/>
      <c r="N800" s="274"/>
      <c r="O800" s="94"/>
      <c r="P800" s="94"/>
      <c r="Q800" s="94"/>
      <c r="R800" s="94"/>
      <c r="S800" s="94"/>
      <c r="V800" s="30"/>
      <c r="W800" s="30"/>
      <c r="X800" s="1"/>
      <c r="Y800" s="95"/>
      <c r="Z800" s="1"/>
      <c r="AA800" s="94"/>
      <c r="AB800" s="1"/>
      <c r="AC800" s="1"/>
      <c r="AD800" s="1"/>
      <c r="AE800" s="30"/>
      <c r="AF800" s="633"/>
      <c r="AG800" s="94"/>
      <c r="AH800" s="94"/>
      <c r="AI800" s="94"/>
      <c r="AJ800" s="94"/>
      <c r="AK800" s="94"/>
      <c r="AL800" s="94"/>
    </row>
    <row r="801" spans="3:38">
      <c r="C801" s="30"/>
      <c r="F801" s="95"/>
      <c r="G801" s="1"/>
      <c r="H801" s="94"/>
      <c r="I801" s="90"/>
      <c r="J801" s="90"/>
      <c r="K801" s="1"/>
      <c r="L801" s="74"/>
      <c r="M801" s="633"/>
      <c r="N801" s="274"/>
      <c r="O801" s="94"/>
      <c r="P801" s="94"/>
      <c r="Q801" s="94"/>
      <c r="R801" s="94"/>
      <c r="S801" s="94"/>
      <c r="V801" s="30"/>
      <c r="W801" s="30"/>
      <c r="X801" s="1"/>
      <c r="Y801" s="95"/>
      <c r="Z801" s="1"/>
      <c r="AA801" s="94"/>
      <c r="AB801" s="1"/>
      <c r="AC801" s="1"/>
      <c r="AD801" s="1"/>
      <c r="AE801" s="30"/>
      <c r="AF801" s="633"/>
      <c r="AG801" s="94"/>
      <c r="AH801" s="94"/>
      <c r="AI801" s="94"/>
      <c r="AJ801" s="94"/>
      <c r="AK801" s="94"/>
      <c r="AL801" s="94"/>
    </row>
    <row r="802" spans="3:38">
      <c r="C802" s="30"/>
      <c r="F802" s="95"/>
      <c r="G802" s="1"/>
      <c r="H802" s="94"/>
      <c r="I802" s="90"/>
      <c r="J802" s="90"/>
      <c r="K802" s="1"/>
      <c r="L802" s="74"/>
      <c r="M802" s="633"/>
      <c r="N802" s="274"/>
      <c r="O802" s="94"/>
      <c r="P802" s="94"/>
      <c r="Q802" s="94"/>
      <c r="R802" s="94"/>
      <c r="S802" s="94"/>
      <c r="V802" s="30"/>
      <c r="W802" s="30"/>
      <c r="X802" s="1"/>
      <c r="Y802" s="95"/>
      <c r="Z802" s="1"/>
      <c r="AA802" s="94"/>
      <c r="AB802" s="1"/>
      <c r="AC802" s="1"/>
      <c r="AD802" s="1"/>
      <c r="AE802" s="30"/>
      <c r="AF802" s="633"/>
      <c r="AG802" s="94"/>
      <c r="AH802" s="94"/>
      <c r="AI802" s="94"/>
      <c r="AJ802" s="94"/>
      <c r="AK802" s="94"/>
      <c r="AL802" s="94"/>
    </row>
    <row r="803" spans="3:38">
      <c r="C803" s="30"/>
      <c r="F803" s="95"/>
      <c r="G803" s="1"/>
      <c r="H803" s="94"/>
      <c r="I803" s="90"/>
      <c r="J803" s="90"/>
      <c r="K803" s="1"/>
      <c r="L803" s="74"/>
      <c r="M803" s="633"/>
      <c r="N803" s="274"/>
      <c r="O803" s="94"/>
      <c r="P803" s="94"/>
      <c r="Q803" s="94"/>
      <c r="R803" s="94"/>
      <c r="S803" s="94"/>
      <c r="V803" s="30"/>
      <c r="W803" s="30"/>
      <c r="X803" s="1"/>
      <c r="Y803" s="95"/>
      <c r="Z803" s="1"/>
      <c r="AA803" s="94"/>
      <c r="AB803" s="1"/>
      <c r="AC803" s="1"/>
      <c r="AD803" s="1"/>
      <c r="AE803" s="30"/>
      <c r="AF803" s="633"/>
      <c r="AG803" s="94"/>
      <c r="AH803" s="94"/>
      <c r="AI803" s="94"/>
      <c r="AJ803" s="94"/>
      <c r="AK803" s="94"/>
      <c r="AL803" s="94"/>
    </row>
    <row r="804" spans="3:38">
      <c r="C804" s="30"/>
      <c r="F804" s="95"/>
      <c r="G804" s="1"/>
      <c r="H804" s="94"/>
      <c r="I804" s="90"/>
      <c r="J804" s="90"/>
      <c r="K804" s="1"/>
      <c r="L804" s="74"/>
      <c r="M804" s="633"/>
      <c r="N804" s="274"/>
      <c r="O804" s="94"/>
      <c r="P804" s="94"/>
      <c r="Q804" s="94"/>
      <c r="R804" s="94"/>
      <c r="S804" s="94"/>
      <c r="V804" s="30"/>
      <c r="W804" s="30"/>
      <c r="X804" s="1"/>
      <c r="Y804" s="95"/>
      <c r="Z804" s="1"/>
      <c r="AA804" s="94"/>
      <c r="AB804" s="1"/>
      <c r="AC804" s="1"/>
      <c r="AD804" s="1"/>
      <c r="AE804" s="30"/>
      <c r="AF804" s="633"/>
      <c r="AG804" s="94"/>
      <c r="AH804" s="94"/>
      <c r="AI804" s="94"/>
      <c r="AJ804" s="94"/>
      <c r="AK804" s="94"/>
      <c r="AL804" s="94"/>
    </row>
    <row r="805" spans="3:38">
      <c r="C805" s="30"/>
      <c r="F805" s="95"/>
      <c r="G805" s="1"/>
      <c r="H805" s="94"/>
      <c r="I805" s="90"/>
      <c r="J805" s="90"/>
      <c r="K805" s="1"/>
      <c r="L805" s="74"/>
      <c r="M805" s="633"/>
      <c r="N805" s="274"/>
      <c r="O805" s="94"/>
      <c r="P805" s="94"/>
      <c r="Q805" s="94"/>
      <c r="R805" s="94"/>
      <c r="S805" s="94"/>
      <c r="V805" s="30"/>
      <c r="W805" s="30"/>
      <c r="X805" s="1"/>
      <c r="Y805" s="95"/>
      <c r="Z805" s="1"/>
      <c r="AA805" s="94"/>
      <c r="AB805" s="1"/>
      <c r="AC805" s="1"/>
      <c r="AD805" s="1"/>
      <c r="AE805" s="30"/>
      <c r="AF805" s="633"/>
      <c r="AG805" s="94"/>
      <c r="AH805" s="94"/>
      <c r="AI805" s="94"/>
      <c r="AJ805" s="94"/>
      <c r="AK805" s="94"/>
      <c r="AL805" s="94"/>
    </row>
    <row r="806" spans="3:38">
      <c r="C806" s="30"/>
      <c r="F806" s="95"/>
      <c r="G806" s="1"/>
      <c r="H806" s="94"/>
      <c r="I806" s="90"/>
      <c r="J806" s="90"/>
      <c r="K806" s="1"/>
      <c r="L806" s="74"/>
      <c r="M806" s="633"/>
      <c r="N806" s="274"/>
      <c r="O806" s="94"/>
      <c r="P806" s="94"/>
      <c r="Q806" s="94"/>
      <c r="R806" s="94"/>
      <c r="S806" s="94"/>
      <c r="V806" s="30"/>
      <c r="W806" s="30"/>
      <c r="X806" s="1"/>
      <c r="Y806" s="95"/>
      <c r="Z806" s="1"/>
      <c r="AA806" s="94"/>
      <c r="AB806" s="1"/>
      <c r="AC806" s="1"/>
      <c r="AD806" s="1"/>
      <c r="AE806" s="30"/>
      <c r="AF806" s="633"/>
      <c r="AG806" s="94"/>
      <c r="AH806" s="94"/>
      <c r="AI806" s="94"/>
      <c r="AJ806" s="94"/>
      <c r="AK806" s="94"/>
      <c r="AL806" s="94"/>
    </row>
    <row r="807" spans="3:38">
      <c r="C807" s="30"/>
      <c r="F807" s="95"/>
      <c r="G807" s="1"/>
      <c r="H807" s="94"/>
      <c r="I807" s="90"/>
      <c r="J807" s="90"/>
      <c r="K807" s="1"/>
      <c r="L807" s="74"/>
      <c r="M807" s="633"/>
      <c r="N807" s="274"/>
      <c r="O807" s="94"/>
      <c r="P807" s="94"/>
      <c r="Q807" s="94"/>
      <c r="R807" s="94"/>
      <c r="S807" s="94"/>
      <c r="V807" s="30"/>
      <c r="W807" s="30"/>
      <c r="X807" s="1"/>
      <c r="Y807" s="95"/>
      <c r="Z807" s="1"/>
      <c r="AA807" s="94"/>
      <c r="AB807" s="1"/>
      <c r="AC807" s="1"/>
      <c r="AD807" s="1"/>
      <c r="AE807" s="30"/>
      <c r="AF807" s="633"/>
      <c r="AG807" s="94"/>
      <c r="AH807" s="94"/>
      <c r="AI807" s="94"/>
      <c r="AJ807" s="94"/>
      <c r="AK807" s="94"/>
      <c r="AL807" s="94"/>
    </row>
    <row r="808" spans="3:38">
      <c r="C808" s="30"/>
      <c r="F808" s="95"/>
      <c r="G808" s="1"/>
      <c r="H808" s="94"/>
      <c r="I808" s="90"/>
      <c r="J808" s="90"/>
      <c r="K808" s="1"/>
      <c r="L808" s="74"/>
      <c r="M808" s="633"/>
      <c r="N808" s="274"/>
      <c r="O808" s="94"/>
      <c r="P808" s="94"/>
      <c r="Q808" s="94"/>
      <c r="R808" s="94"/>
      <c r="S808" s="94"/>
      <c r="V808" s="30"/>
      <c r="W808" s="30"/>
      <c r="X808" s="1"/>
      <c r="Y808" s="95"/>
      <c r="Z808" s="1"/>
      <c r="AA808" s="94"/>
      <c r="AB808" s="1"/>
      <c r="AC808" s="1"/>
      <c r="AD808" s="1"/>
      <c r="AE808" s="30"/>
      <c r="AF808" s="633"/>
      <c r="AG808" s="94"/>
      <c r="AH808" s="94"/>
      <c r="AI808" s="94"/>
      <c r="AJ808" s="94"/>
      <c r="AK808" s="94"/>
      <c r="AL808" s="94"/>
    </row>
    <row r="809" spans="3:38">
      <c r="C809" s="30"/>
      <c r="F809" s="95"/>
      <c r="G809" s="1"/>
      <c r="H809" s="94"/>
      <c r="I809" s="90"/>
      <c r="J809" s="90"/>
      <c r="K809" s="1"/>
      <c r="L809" s="74"/>
      <c r="M809" s="633"/>
      <c r="N809" s="274"/>
      <c r="O809" s="94"/>
      <c r="P809" s="94"/>
      <c r="Q809" s="94"/>
      <c r="R809" s="94"/>
      <c r="S809" s="94"/>
      <c r="V809" s="30"/>
      <c r="W809" s="30"/>
      <c r="X809" s="1"/>
      <c r="Y809" s="95"/>
      <c r="Z809" s="1"/>
      <c r="AA809" s="94"/>
      <c r="AB809" s="1"/>
      <c r="AC809" s="1"/>
      <c r="AD809" s="1"/>
      <c r="AE809" s="30"/>
      <c r="AF809" s="633"/>
      <c r="AG809" s="94"/>
      <c r="AH809" s="94"/>
      <c r="AI809" s="94"/>
      <c r="AJ809" s="94"/>
      <c r="AK809" s="94"/>
      <c r="AL809" s="94"/>
    </row>
    <row r="810" spans="3:38">
      <c r="C810" s="30"/>
      <c r="F810" s="95"/>
      <c r="G810" s="1"/>
      <c r="H810" s="94"/>
      <c r="I810" s="90"/>
      <c r="J810" s="90"/>
      <c r="K810" s="1"/>
      <c r="L810" s="74"/>
      <c r="M810" s="633"/>
      <c r="N810" s="274"/>
      <c r="O810" s="94"/>
      <c r="P810" s="94"/>
      <c r="Q810" s="94"/>
      <c r="R810" s="94"/>
      <c r="S810" s="94"/>
      <c r="V810" s="30"/>
      <c r="W810" s="30"/>
      <c r="X810" s="1"/>
      <c r="Y810" s="95"/>
      <c r="Z810" s="1"/>
      <c r="AA810" s="94"/>
      <c r="AB810" s="1"/>
      <c r="AC810" s="1"/>
      <c r="AD810" s="1"/>
      <c r="AE810" s="30"/>
      <c r="AF810" s="633"/>
      <c r="AG810" s="94"/>
      <c r="AH810" s="94"/>
      <c r="AI810" s="94"/>
      <c r="AJ810" s="94"/>
      <c r="AK810" s="94"/>
      <c r="AL810" s="94"/>
    </row>
    <row r="811" spans="3:38">
      <c r="C811" s="30"/>
      <c r="F811" s="95"/>
      <c r="G811" s="1"/>
      <c r="H811" s="94"/>
      <c r="I811" s="90"/>
      <c r="J811" s="90"/>
      <c r="K811" s="1"/>
      <c r="L811" s="74"/>
      <c r="M811" s="633"/>
      <c r="N811" s="274"/>
      <c r="O811" s="94"/>
      <c r="P811" s="94"/>
      <c r="Q811" s="94"/>
      <c r="R811" s="94"/>
      <c r="S811" s="94"/>
      <c r="V811" s="30"/>
      <c r="W811" s="30"/>
      <c r="X811" s="1"/>
      <c r="Y811" s="95"/>
      <c r="Z811" s="1"/>
      <c r="AA811" s="94"/>
      <c r="AB811" s="1"/>
      <c r="AC811" s="1"/>
      <c r="AD811" s="1"/>
      <c r="AE811" s="30"/>
      <c r="AF811" s="633"/>
      <c r="AG811" s="94"/>
      <c r="AH811" s="94"/>
      <c r="AI811" s="94"/>
      <c r="AJ811" s="94"/>
      <c r="AK811" s="94"/>
      <c r="AL811" s="94"/>
    </row>
    <row r="812" spans="3:38">
      <c r="C812" s="30"/>
      <c r="F812" s="95"/>
      <c r="G812" s="1"/>
      <c r="H812" s="94"/>
      <c r="I812" s="90"/>
      <c r="J812" s="90"/>
      <c r="K812" s="1"/>
      <c r="L812" s="74"/>
      <c r="M812" s="633"/>
      <c r="N812" s="274"/>
      <c r="O812" s="94"/>
      <c r="P812" s="94"/>
      <c r="Q812" s="94"/>
      <c r="R812" s="94"/>
      <c r="S812" s="94"/>
      <c r="V812" s="30"/>
      <c r="W812" s="30"/>
      <c r="X812" s="1"/>
      <c r="Y812" s="95"/>
      <c r="Z812" s="1"/>
      <c r="AA812" s="94"/>
      <c r="AB812" s="1"/>
      <c r="AC812" s="1"/>
      <c r="AD812" s="1"/>
      <c r="AE812" s="30"/>
      <c r="AF812" s="633"/>
      <c r="AG812" s="94"/>
      <c r="AH812" s="94"/>
      <c r="AI812" s="94"/>
      <c r="AJ812" s="94"/>
      <c r="AK812" s="94"/>
      <c r="AL812" s="94"/>
    </row>
    <row r="813" spans="3:38">
      <c r="C813" s="30"/>
      <c r="F813" s="95"/>
      <c r="G813" s="1"/>
      <c r="H813" s="94"/>
      <c r="I813" s="90"/>
      <c r="J813" s="90"/>
      <c r="K813" s="1"/>
      <c r="L813" s="74"/>
      <c r="M813" s="633"/>
      <c r="N813" s="274"/>
      <c r="O813" s="94"/>
      <c r="P813" s="94"/>
      <c r="Q813" s="94"/>
      <c r="R813" s="94"/>
      <c r="S813" s="94"/>
      <c r="V813" s="30"/>
      <c r="W813" s="30"/>
      <c r="X813" s="1"/>
      <c r="Y813" s="95"/>
      <c r="Z813" s="1"/>
      <c r="AA813" s="94"/>
      <c r="AB813" s="1"/>
      <c r="AC813" s="1"/>
      <c r="AD813" s="1"/>
      <c r="AE813" s="30"/>
      <c r="AF813" s="633"/>
      <c r="AG813" s="94"/>
      <c r="AH813" s="94"/>
      <c r="AI813" s="94"/>
      <c r="AJ813" s="94"/>
      <c r="AK813" s="94"/>
      <c r="AL813" s="94"/>
    </row>
    <row r="814" spans="3:38">
      <c r="C814" s="30"/>
      <c r="F814" s="95"/>
      <c r="G814" s="1"/>
      <c r="H814" s="94"/>
      <c r="I814" s="90"/>
      <c r="J814" s="90"/>
      <c r="K814" s="1"/>
      <c r="L814" s="74"/>
      <c r="M814" s="633"/>
      <c r="N814" s="274"/>
      <c r="O814" s="94"/>
      <c r="P814" s="94"/>
      <c r="Q814" s="94"/>
      <c r="R814" s="94"/>
      <c r="S814" s="94"/>
      <c r="V814" s="30"/>
      <c r="W814" s="30"/>
      <c r="X814" s="1"/>
      <c r="Y814" s="95"/>
      <c r="Z814" s="1"/>
      <c r="AA814" s="94"/>
      <c r="AB814" s="1"/>
      <c r="AC814" s="1"/>
      <c r="AD814" s="1"/>
      <c r="AE814" s="30"/>
      <c r="AF814" s="633"/>
      <c r="AG814" s="94"/>
      <c r="AH814" s="94"/>
      <c r="AI814" s="94"/>
      <c r="AJ814" s="94"/>
      <c r="AK814" s="94"/>
      <c r="AL814" s="94"/>
    </row>
    <row r="815" spans="3:38">
      <c r="C815" s="30"/>
      <c r="F815" s="95"/>
      <c r="G815" s="1"/>
      <c r="H815" s="94"/>
      <c r="I815" s="90"/>
      <c r="J815" s="90"/>
      <c r="K815" s="1"/>
      <c r="L815" s="74"/>
      <c r="M815" s="633"/>
      <c r="N815" s="274"/>
      <c r="O815" s="94"/>
      <c r="P815" s="94"/>
      <c r="Q815" s="94"/>
      <c r="R815" s="94"/>
      <c r="S815" s="94"/>
      <c r="V815" s="30"/>
      <c r="W815" s="30"/>
      <c r="X815" s="1"/>
      <c r="Y815" s="95"/>
      <c r="Z815" s="1"/>
      <c r="AA815" s="94"/>
      <c r="AB815" s="1"/>
      <c r="AC815" s="1"/>
      <c r="AD815" s="1"/>
      <c r="AE815" s="30"/>
      <c r="AF815" s="633"/>
      <c r="AG815" s="94"/>
      <c r="AH815" s="94"/>
      <c r="AI815" s="94"/>
      <c r="AJ815" s="94"/>
      <c r="AK815" s="94"/>
      <c r="AL815" s="94"/>
    </row>
    <row r="816" spans="3:38">
      <c r="C816" s="30"/>
      <c r="F816" s="95"/>
      <c r="G816" s="1"/>
      <c r="H816" s="94"/>
      <c r="I816" s="90"/>
      <c r="J816" s="90"/>
      <c r="K816" s="1"/>
      <c r="L816" s="74"/>
      <c r="M816" s="633"/>
      <c r="N816" s="274"/>
      <c r="O816" s="94"/>
      <c r="P816" s="94"/>
      <c r="Q816" s="94"/>
      <c r="R816" s="94"/>
      <c r="S816" s="94"/>
      <c r="V816" s="30"/>
      <c r="W816" s="30"/>
      <c r="X816" s="1"/>
      <c r="Y816" s="95"/>
      <c r="Z816" s="1"/>
      <c r="AA816" s="94"/>
      <c r="AB816" s="1"/>
      <c r="AC816" s="1"/>
      <c r="AD816" s="1"/>
      <c r="AE816" s="30"/>
      <c r="AF816" s="633"/>
      <c r="AG816" s="94"/>
      <c r="AH816" s="94"/>
      <c r="AI816" s="94"/>
      <c r="AJ816" s="94"/>
      <c r="AK816" s="94"/>
      <c r="AL816" s="94"/>
    </row>
    <row r="817" spans="3:38">
      <c r="C817" s="30"/>
      <c r="F817" s="95"/>
      <c r="G817" s="1"/>
      <c r="H817" s="94"/>
      <c r="I817" s="90"/>
      <c r="J817" s="90"/>
      <c r="K817" s="1"/>
      <c r="L817" s="74"/>
      <c r="M817" s="633"/>
      <c r="N817" s="274"/>
      <c r="O817" s="94"/>
      <c r="P817" s="94"/>
      <c r="Q817" s="94"/>
      <c r="R817" s="94"/>
      <c r="S817" s="94"/>
      <c r="V817" s="30"/>
      <c r="W817" s="30"/>
      <c r="X817" s="1"/>
      <c r="Y817" s="95"/>
      <c r="Z817" s="1"/>
      <c r="AA817" s="94"/>
      <c r="AB817" s="1"/>
      <c r="AC817" s="1"/>
      <c r="AD817" s="1"/>
      <c r="AE817" s="30"/>
      <c r="AF817" s="633"/>
      <c r="AG817" s="94"/>
      <c r="AH817" s="94"/>
      <c r="AI817" s="94"/>
      <c r="AJ817" s="94"/>
      <c r="AK817" s="94"/>
      <c r="AL817" s="94"/>
    </row>
    <row r="818" spans="3:38">
      <c r="C818" s="30"/>
      <c r="F818" s="95"/>
      <c r="G818" s="1"/>
      <c r="H818" s="94"/>
      <c r="I818" s="90"/>
      <c r="J818" s="90"/>
      <c r="K818" s="1"/>
      <c r="L818" s="74"/>
      <c r="M818" s="633"/>
      <c r="N818" s="274"/>
      <c r="O818" s="94"/>
      <c r="P818" s="94"/>
      <c r="Q818" s="94"/>
      <c r="R818" s="94"/>
      <c r="S818" s="94"/>
      <c r="V818" s="30"/>
      <c r="W818" s="30"/>
      <c r="X818" s="1"/>
      <c r="Y818" s="95"/>
      <c r="Z818" s="1"/>
      <c r="AA818" s="94"/>
      <c r="AB818" s="1"/>
      <c r="AC818" s="1"/>
      <c r="AD818" s="1"/>
      <c r="AE818" s="30"/>
      <c r="AF818" s="633"/>
      <c r="AG818" s="94"/>
      <c r="AH818" s="94"/>
      <c r="AI818" s="94"/>
      <c r="AJ818" s="94"/>
      <c r="AK818" s="94"/>
      <c r="AL818" s="94"/>
    </row>
    <row r="819" spans="3:38">
      <c r="C819" s="30"/>
      <c r="F819" s="95"/>
      <c r="G819" s="1"/>
      <c r="H819" s="94"/>
      <c r="I819" s="90"/>
      <c r="J819" s="90"/>
      <c r="K819" s="1"/>
      <c r="L819" s="74"/>
      <c r="M819" s="633"/>
      <c r="N819" s="274"/>
      <c r="O819" s="94"/>
      <c r="P819" s="94"/>
      <c r="Q819" s="94"/>
      <c r="R819" s="94"/>
      <c r="S819" s="94"/>
      <c r="V819" s="30"/>
      <c r="W819" s="30"/>
      <c r="X819" s="1"/>
      <c r="Y819" s="95"/>
      <c r="Z819" s="1"/>
      <c r="AA819" s="94"/>
      <c r="AB819" s="1"/>
      <c r="AC819" s="1"/>
      <c r="AD819" s="1"/>
      <c r="AE819" s="30"/>
      <c r="AF819" s="633"/>
      <c r="AG819" s="94"/>
      <c r="AH819" s="94"/>
      <c r="AI819" s="94"/>
      <c r="AJ819" s="94"/>
      <c r="AK819" s="94"/>
      <c r="AL819" s="94"/>
    </row>
    <row r="820" spans="3:38">
      <c r="C820" s="30"/>
      <c r="F820" s="95"/>
      <c r="G820" s="1"/>
      <c r="H820" s="94"/>
      <c r="I820" s="90"/>
      <c r="J820" s="90"/>
      <c r="K820" s="1"/>
      <c r="L820" s="74"/>
      <c r="M820" s="633"/>
      <c r="N820" s="274"/>
      <c r="O820" s="94"/>
      <c r="P820" s="94"/>
      <c r="Q820" s="94"/>
      <c r="R820" s="94"/>
      <c r="S820" s="94"/>
      <c r="V820" s="30"/>
      <c r="W820" s="30"/>
      <c r="X820" s="1"/>
      <c r="Y820" s="95"/>
      <c r="Z820" s="1"/>
      <c r="AA820" s="94"/>
      <c r="AB820" s="1"/>
      <c r="AC820" s="1"/>
      <c r="AD820" s="1"/>
      <c r="AE820" s="30"/>
      <c r="AF820" s="633"/>
      <c r="AG820" s="94"/>
      <c r="AH820" s="94"/>
      <c r="AI820" s="94"/>
      <c r="AJ820" s="94"/>
      <c r="AK820" s="94"/>
      <c r="AL820" s="94"/>
    </row>
    <row r="821" spans="3:38">
      <c r="C821" s="30"/>
      <c r="F821" s="95"/>
      <c r="G821" s="1"/>
      <c r="H821" s="94"/>
      <c r="I821" s="90"/>
      <c r="J821" s="90"/>
      <c r="K821" s="1"/>
      <c r="L821" s="74"/>
      <c r="M821" s="633"/>
      <c r="N821" s="274"/>
      <c r="O821" s="94"/>
      <c r="P821" s="94"/>
      <c r="Q821" s="94"/>
      <c r="R821" s="94"/>
      <c r="S821" s="94"/>
      <c r="V821" s="30"/>
      <c r="W821" s="30"/>
      <c r="X821" s="1"/>
      <c r="Y821" s="95"/>
      <c r="Z821" s="1"/>
      <c r="AA821" s="94"/>
      <c r="AB821" s="1"/>
      <c r="AC821" s="1"/>
      <c r="AD821" s="1"/>
      <c r="AE821" s="30"/>
      <c r="AF821" s="633"/>
      <c r="AG821" s="94"/>
      <c r="AH821" s="94"/>
      <c r="AI821" s="94"/>
      <c r="AJ821" s="94"/>
      <c r="AK821" s="94"/>
      <c r="AL821" s="94"/>
    </row>
    <row r="822" spans="3:38">
      <c r="C822" s="30"/>
      <c r="F822" s="95"/>
      <c r="G822" s="1"/>
      <c r="H822" s="94"/>
      <c r="I822" s="90"/>
      <c r="J822" s="90"/>
      <c r="K822" s="1"/>
      <c r="L822" s="74"/>
      <c r="M822" s="633"/>
      <c r="N822" s="274"/>
      <c r="O822" s="94"/>
      <c r="P822" s="94"/>
      <c r="Q822" s="94"/>
      <c r="R822" s="94"/>
      <c r="S822" s="94"/>
      <c r="V822" s="30"/>
      <c r="W822" s="30"/>
      <c r="X822" s="1"/>
      <c r="Y822" s="95"/>
      <c r="Z822" s="1"/>
      <c r="AA822" s="94"/>
      <c r="AB822" s="1"/>
      <c r="AC822" s="1"/>
      <c r="AD822" s="1"/>
      <c r="AE822" s="30"/>
      <c r="AF822" s="633"/>
      <c r="AG822" s="94"/>
      <c r="AH822" s="94"/>
      <c r="AI822" s="94"/>
      <c r="AJ822" s="94"/>
      <c r="AK822" s="94"/>
      <c r="AL822" s="94"/>
    </row>
    <row r="823" spans="3:38">
      <c r="C823" s="30"/>
      <c r="F823" s="95"/>
      <c r="G823" s="1"/>
      <c r="H823" s="94"/>
      <c r="I823" s="90"/>
      <c r="J823" s="90"/>
      <c r="K823" s="1"/>
      <c r="L823" s="74"/>
      <c r="M823" s="633"/>
      <c r="N823" s="274"/>
      <c r="O823" s="94"/>
      <c r="P823" s="94"/>
      <c r="Q823" s="94"/>
      <c r="R823" s="94"/>
      <c r="S823" s="94"/>
      <c r="V823" s="30"/>
      <c r="W823" s="30"/>
      <c r="X823" s="1"/>
      <c r="Y823" s="95"/>
      <c r="Z823" s="1"/>
      <c r="AA823" s="94"/>
      <c r="AB823" s="1"/>
      <c r="AC823" s="1"/>
      <c r="AD823" s="1"/>
      <c r="AE823" s="30"/>
      <c r="AF823" s="633"/>
      <c r="AG823" s="94"/>
      <c r="AH823" s="94"/>
      <c r="AI823" s="94"/>
      <c r="AJ823" s="94"/>
      <c r="AK823" s="94"/>
      <c r="AL823" s="94"/>
    </row>
    <row r="824" spans="3:38">
      <c r="C824" s="30"/>
      <c r="F824" s="95"/>
      <c r="G824" s="1"/>
      <c r="H824" s="94"/>
      <c r="I824" s="90"/>
      <c r="J824" s="90"/>
      <c r="K824" s="1"/>
      <c r="L824" s="74"/>
      <c r="M824" s="633"/>
      <c r="N824" s="274"/>
      <c r="O824" s="94"/>
      <c r="P824" s="94"/>
      <c r="Q824" s="94"/>
      <c r="R824" s="94"/>
      <c r="S824" s="94"/>
      <c r="V824" s="30"/>
      <c r="W824" s="30"/>
      <c r="X824" s="1"/>
      <c r="Y824" s="95"/>
      <c r="Z824" s="1"/>
      <c r="AA824" s="94"/>
      <c r="AB824" s="1"/>
      <c r="AC824" s="1"/>
      <c r="AD824" s="1"/>
      <c r="AE824" s="30"/>
      <c r="AF824" s="633"/>
      <c r="AG824" s="94"/>
      <c r="AH824" s="94"/>
      <c r="AI824" s="94"/>
      <c r="AJ824" s="94"/>
      <c r="AK824" s="94"/>
      <c r="AL824" s="94"/>
    </row>
    <row r="825" spans="3:38">
      <c r="C825" s="30"/>
      <c r="F825" s="95"/>
      <c r="G825" s="1"/>
      <c r="H825" s="94"/>
      <c r="I825" s="90"/>
      <c r="J825" s="90"/>
      <c r="K825" s="1"/>
      <c r="L825" s="74"/>
      <c r="M825" s="633"/>
      <c r="N825" s="274"/>
      <c r="O825" s="94"/>
      <c r="P825" s="94"/>
      <c r="Q825" s="94"/>
      <c r="R825" s="94"/>
      <c r="S825" s="94"/>
      <c r="V825" s="30"/>
      <c r="W825" s="30"/>
      <c r="X825" s="1"/>
      <c r="Y825" s="95"/>
      <c r="Z825" s="1"/>
      <c r="AA825" s="94"/>
      <c r="AB825" s="1"/>
      <c r="AC825" s="1"/>
      <c r="AD825" s="1"/>
      <c r="AE825" s="30"/>
      <c r="AF825" s="633"/>
      <c r="AG825" s="94"/>
      <c r="AH825" s="94"/>
      <c r="AI825" s="94"/>
      <c r="AJ825" s="94"/>
      <c r="AK825" s="94"/>
      <c r="AL825" s="94"/>
    </row>
    <row r="826" spans="3:38">
      <c r="C826" s="30"/>
      <c r="F826" s="95"/>
      <c r="G826" s="1"/>
      <c r="H826" s="94"/>
      <c r="I826" s="90"/>
      <c r="J826" s="90"/>
      <c r="K826" s="1"/>
      <c r="L826" s="74"/>
      <c r="M826" s="633"/>
      <c r="N826" s="274"/>
      <c r="O826" s="94"/>
      <c r="P826" s="94"/>
      <c r="Q826" s="94"/>
      <c r="R826" s="94"/>
      <c r="S826" s="94"/>
      <c r="V826" s="30"/>
      <c r="W826" s="30"/>
      <c r="X826" s="1"/>
      <c r="Y826" s="95"/>
      <c r="Z826" s="1"/>
      <c r="AA826" s="94"/>
      <c r="AB826" s="1"/>
      <c r="AC826" s="1"/>
      <c r="AD826" s="1"/>
      <c r="AE826" s="30"/>
      <c r="AF826" s="633"/>
      <c r="AG826" s="94"/>
      <c r="AH826" s="94"/>
      <c r="AI826" s="94"/>
      <c r="AJ826" s="94"/>
      <c r="AK826" s="94"/>
      <c r="AL826" s="94"/>
    </row>
    <row r="827" spans="3:38">
      <c r="C827" s="30"/>
      <c r="F827" s="95"/>
      <c r="G827" s="1"/>
      <c r="H827" s="94"/>
      <c r="I827" s="90"/>
      <c r="J827" s="90"/>
      <c r="K827" s="1"/>
      <c r="L827" s="74"/>
      <c r="M827" s="633"/>
      <c r="N827" s="274"/>
      <c r="O827" s="94"/>
      <c r="P827" s="94"/>
      <c r="Q827" s="94"/>
      <c r="R827" s="94"/>
      <c r="S827" s="94"/>
      <c r="V827" s="30"/>
      <c r="W827" s="30"/>
      <c r="X827" s="1"/>
      <c r="Y827" s="95"/>
      <c r="Z827" s="1"/>
      <c r="AA827" s="94"/>
      <c r="AB827" s="1"/>
      <c r="AC827" s="1"/>
      <c r="AD827" s="1"/>
      <c r="AE827" s="30"/>
      <c r="AF827" s="633"/>
      <c r="AG827" s="94"/>
      <c r="AH827" s="94"/>
      <c r="AI827" s="94"/>
      <c r="AJ827" s="94"/>
      <c r="AK827" s="94"/>
      <c r="AL827" s="94"/>
    </row>
    <row r="828" spans="3:38">
      <c r="C828" s="30"/>
      <c r="F828" s="95"/>
      <c r="G828" s="1"/>
      <c r="H828" s="94"/>
      <c r="I828" s="90"/>
      <c r="J828" s="90"/>
      <c r="K828" s="1"/>
      <c r="L828" s="74"/>
      <c r="M828" s="633"/>
      <c r="N828" s="274"/>
      <c r="O828" s="94"/>
      <c r="P828" s="94"/>
      <c r="Q828" s="94"/>
      <c r="R828" s="94"/>
      <c r="S828" s="94"/>
      <c r="V828" s="30"/>
      <c r="W828" s="30"/>
      <c r="X828" s="1"/>
      <c r="Y828" s="95"/>
      <c r="Z828" s="1"/>
      <c r="AA828" s="94"/>
      <c r="AB828" s="1"/>
      <c r="AC828" s="1"/>
      <c r="AD828" s="1"/>
      <c r="AE828" s="30"/>
      <c r="AF828" s="633"/>
      <c r="AG828" s="94"/>
      <c r="AH828" s="94"/>
      <c r="AI828" s="94"/>
      <c r="AJ828" s="94"/>
      <c r="AK828" s="94"/>
      <c r="AL828" s="94"/>
    </row>
    <row r="829" spans="3:38">
      <c r="C829" s="30"/>
      <c r="F829" s="95"/>
      <c r="G829" s="1"/>
      <c r="H829" s="94"/>
      <c r="I829" s="90"/>
      <c r="J829" s="90"/>
      <c r="K829" s="1"/>
      <c r="L829" s="74"/>
      <c r="M829" s="633"/>
      <c r="N829" s="274"/>
      <c r="O829" s="94"/>
      <c r="P829" s="94"/>
      <c r="Q829" s="94"/>
      <c r="R829" s="94"/>
      <c r="S829" s="94"/>
      <c r="V829" s="30"/>
      <c r="W829" s="30"/>
      <c r="X829" s="1"/>
      <c r="Y829" s="95"/>
      <c r="Z829" s="1"/>
      <c r="AA829" s="94"/>
      <c r="AB829" s="1"/>
      <c r="AC829" s="1"/>
      <c r="AD829" s="1"/>
      <c r="AE829" s="30"/>
      <c r="AF829" s="633"/>
      <c r="AG829" s="94"/>
      <c r="AH829" s="94"/>
      <c r="AI829" s="94"/>
      <c r="AJ829" s="94"/>
      <c r="AK829" s="94"/>
      <c r="AL829" s="94"/>
    </row>
    <row r="830" spans="3:38">
      <c r="C830" s="30"/>
      <c r="F830" s="95"/>
      <c r="G830" s="1"/>
      <c r="H830" s="94"/>
      <c r="I830" s="90"/>
      <c r="J830" s="90"/>
      <c r="K830" s="1"/>
      <c r="L830" s="74"/>
      <c r="M830" s="633"/>
      <c r="N830" s="274"/>
      <c r="O830" s="94"/>
      <c r="P830" s="94"/>
      <c r="Q830" s="94"/>
      <c r="R830" s="94"/>
      <c r="S830" s="94"/>
      <c r="V830" s="30"/>
      <c r="W830" s="30"/>
      <c r="X830" s="1"/>
      <c r="Y830" s="95"/>
      <c r="Z830" s="1"/>
      <c r="AA830" s="94"/>
      <c r="AB830" s="1"/>
      <c r="AC830" s="1"/>
      <c r="AD830" s="1"/>
      <c r="AE830" s="30"/>
      <c r="AF830" s="633"/>
      <c r="AG830" s="94"/>
      <c r="AH830" s="94"/>
      <c r="AI830" s="94"/>
      <c r="AJ830" s="94"/>
      <c r="AK830" s="94"/>
      <c r="AL830" s="94"/>
    </row>
    <row r="831" spans="3:38">
      <c r="C831" s="30"/>
      <c r="F831" s="95"/>
      <c r="G831" s="1"/>
      <c r="H831" s="94"/>
      <c r="I831" s="90"/>
      <c r="J831" s="90"/>
      <c r="K831" s="1"/>
      <c r="L831" s="74"/>
      <c r="M831" s="633"/>
      <c r="N831" s="274"/>
      <c r="O831" s="94"/>
      <c r="P831" s="94"/>
      <c r="Q831" s="94"/>
      <c r="R831" s="94"/>
      <c r="S831" s="94"/>
      <c r="V831" s="30"/>
      <c r="W831" s="30"/>
      <c r="X831" s="1"/>
      <c r="Y831" s="95"/>
      <c r="Z831" s="1"/>
      <c r="AA831" s="94"/>
      <c r="AB831" s="1"/>
      <c r="AC831" s="1"/>
      <c r="AD831" s="1"/>
      <c r="AE831" s="30"/>
      <c r="AF831" s="633"/>
      <c r="AG831" s="94"/>
      <c r="AH831" s="94"/>
      <c r="AI831" s="94"/>
      <c r="AJ831" s="94"/>
      <c r="AK831" s="94"/>
      <c r="AL831" s="94"/>
    </row>
    <row r="832" spans="3:38">
      <c r="C832" s="30"/>
      <c r="F832" s="95"/>
      <c r="G832" s="1"/>
      <c r="H832" s="94"/>
      <c r="I832" s="90"/>
      <c r="J832" s="90"/>
      <c r="K832" s="1"/>
      <c r="L832" s="74"/>
      <c r="M832" s="633"/>
      <c r="N832" s="274"/>
      <c r="O832" s="94"/>
      <c r="P832" s="94"/>
      <c r="Q832" s="94"/>
      <c r="R832" s="94"/>
      <c r="S832" s="94"/>
      <c r="V832" s="30"/>
      <c r="W832" s="30"/>
      <c r="X832" s="1"/>
      <c r="Y832" s="95"/>
      <c r="Z832" s="1"/>
      <c r="AA832" s="94"/>
      <c r="AB832" s="1"/>
      <c r="AC832" s="1"/>
      <c r="AD832" s="1"/>
      <c r="AE832" s="30"/>
      <c r="AF832" s="633"/>
      <c r="AG832" s="94"/>
      <c r="AH832" s="94"/>
      <c r="AI832" s="94"/>
      <c r="AJ832" s="94"/>
      <c r="AK832" s="94"/>
      <c r="AL832" s="94"/>
    </row>
    <row r="833" spans="3:38">
      <c r="C833" s="30"/>
      <c r="F833" s="95"/>
      <c r="G833" s="1"/>
      <c r="H833" s="94"/>
      <c r="I833" s="90"/>
      <c r="J833" s="90"/>
      <c r="K833" s="1"/>
      <c r="L833" s="74"/>
      <c r="M833" s="633"/>
      <c r="N833" s="274"/>
      <c r="O833" s="94"/>
      <c r="P833" s="94"/>
      <c r="Q833" s="94"/>
      <c r="R833" s="94"/>
      <c r="S833" s="94"/>
      <c r="V833" s="30"/>
      <c r="W833" s="30"/>
      <c r="X833" s="1"/>
      <c r="Y833" s="95"/>
      <c r="Z833" s="1"/>
      <c r="AA833" s="94"/>
      <c r="AB833" s="1"/>
      <c r="AC833" s="1"/>
      <c r="AD833" s="1"/>
      <c r="AE833" s="30"/>
      <c r="AF833" s="633"/>
      <c r="AG833" s="94"/>
      <c r="AH833" s="94"/>
      <c r="AI833" s="94"/>
      <c r="AJ833" s="94"/>
      <c r="AK833" s="94"/>
      <c r="AL833" s="94"/>
    </row>
    <row r="834" spans="3:38">
      <c r="C834" s="30"/>
      <c r="F834" s="95"/>
      <c r="G834" s="1"/>
      <c r="H834" s="94"/>
      <c r="I834" s="90"/>
      <c r="J834" s="90"/>
      <c r="K834" s="1"/>
      <c r="L834" s="74"/>
      <c r="M834" s="633"/>
      <c r="N834" s="274"/>
      <c r="O834" s="94"/>
      <c r="P834" s="94"/>
      <c r="Q834" s="94"/>
      <c r="R834" s="94"/>
      <c r="S834" s="94"/>
      <c r="V834" s="30"/>
      <c r="W834" s="30"/>
      <c r="X834" s="1"/>
      <c r="Y834" s="95"/>
      <c r="Z834" s="1"/>
      <c r="AA834" s="94"/>
      <c r="AB834" s="1"/>
      <c r="AC834" s="1"/>
      <c r="AD834" s="1"/>
      <c r="AE834" s="30"/>
      <c r="AF834" s="633"/>
      <c r="AG834" s="94"/>
      <c r="AH834" s="94"/>
      <c r="AI834" s="94"/>
      <c r="AJ834" s="94"/>
      <c r="AK834" s="94"/>
      <c r="AL834" s="94"/>
    </row>
    <row r="835" spans="3:38">
      <c r="C835" s="30"/>
      <c r="F835" s="95"/>
      <c r="G835" s="1"/>
      <c r="H835" s="94"/>
      <c r="I835" s="90"/>
      <c r="J835" s="90"/>
      <c r="K835" s="1"/>
      <c r="L835" s="74"/>
      <c r="M835" s="633"/>
      <c r="N835" s="274"/>
      <c r="O835" s="94"/>
      <c r="P835" s="94"/>
      <c r="Q835" s="94"/>
      <c r="R835" s="94"/>
      <c r="S835" s="94"/>
      <c r="V835" s="30"/>
      <c r="W835" s="30"/>
      <c r="X835" s="1"/>
      <c r="Y835" s="95"/>
      <c r="Z835" s="1"/>
      <c r="AA835" s="94"/>
      <c r="AB835" s="1"/>
      <c r="AC835" s="1"/>
      <c r="AD835" s="1"/>
      <c r="AE835" s="30"/>
      <c r="AF835" s="633"/>
      <c r="AG835" s="94"/>
      <c r="AH835" s="94"/>
      <c r="AI835" s="94"/>
      <c r="AJ835" s="94"/>
      <c r="AK835" s="94"/>
      <c r="AL835" s="94"/>
    </row>
    <row r="836" spans="3:38">
      <c r="C836" s="30"/>
      <c r="F836" s="95"/>
      <c r="G836" s="1"/>
      <c r="H836" s="94"/>
      <c r="I836" s="90"/>
      <c r="J836" s="90"/>
      <c r="K836" s="1"/>
      <c r="L836" s="74"/>
      <c r="M836" s="633"/>
      <c r="N836" s="274"/>
      <c r="O836" s="94"/>
      <c r="P836" s="94"/>
      <c r="Q836" s="94"/>
      <c r="R836" s="94"/>
      <c r="S836" s="94"/>
      <c r="V836" s="30"/>
      <c r="W836" s="30"/>
      <c r="X836" s="1"/>
      <c r="Y836" s="95"/>
      <c r="Z836" s="1"/>
      <c r="AA836" s="94"/>
      <c r="AB836" s="1"/>
      <c r="AC836" s="1"/>
      <c r="AD836" s="1"/>
      <c r="AE836" s="30"/>
      <c r="AF836" s="633"/>
      <c r="AG836" s="94"/>
      <c r="AH836" s="94"/>
      <c r="AI836" s="94"/>
      <c r="AJ836" s="94"/>
      <c r="AK836" s="94"/>
      <c r="AL836" s="94"/>
    </row>
    <row r="837" spans="3:38">
      <c r="C837" s="30"/>
      <c r="F837" s="95"/>
      <c r="G837" s="1"/>
      <c r="H837" s="94"/>
      <c r="I837" s="90"/>
      <c r="J837" s="90"/>
      <c r="K837" s="1"/>
      <c r="L837" s="74"/>
      <c r="M837" s="633"/>
      <c r="N837" s="274"/>
      <c r="O837" s="94"/>
      <c r="P837" s="94"/>
      <c r="Q837" s="94"/>
      <c r="R837" s="94"/>
      <c r="S837" s="94"/>
      <c r="V837" s="30"/>
      <c r="W837" s="30"/>
      <c r="X837" s="1"/>
      <c r="Y837" s="95"/>
      <c r="Z837" s="1"/>
      <c r="AA837" s="94"/>
      <c r="AB837" s="1"/>
      <c r="AC837" s="1"/>
      <c r="AD837" s="1"/>
      <c r="AE837" s="30"/>
      <c r="AF837" s="633"/>
      <c r="AG837" s="94"/>
      <c r="AH837" s="94"/>
      <c r="AI837" s="94"/>
      <c r="AJ837" s="94"/>
      <c r="AK837" s="94"/>
      <c r="AL837" s="94"/>
    </row>
    <row r="838" spans="3:38">
      <c r="C838" s="30"/>
      <c r="F838" s="95"/>
      <c r="G838" s="1"/>
      <c r="H838" s="94"/>
      <c r="I838" s="90"/>
      <c r="J838" s="90"/>
      <c r="K838" s="1"/>
      <c r="L838" s="74"/>
      <c r="M838" s="633"/>
      <c r="N838" s="274"/>
      <c r="O838" s="94"/>
      <c r="P838" s="94"/>
      <c r="Q838" s="94"/>
      <c r="R838" s="94"/>
      <c r="S838" s="94"/>
      <c r="V838" s="30"/>
      <c r="W838" s="30"/>
      <c r="X838" s="1"/>
      <c r="Y838" s="95"/>
      <c r="Z838" s="1"/>
      <c r="AA838" s="94"/>
      <c r="AB838" s="1"/>
      <c r="AC838" s="1"/>
      <c r="AD838" s="1"/>
      <c r="AE838" s="30"/>
      <c r="AF838" s="633"/>
      <c r="AG838" s="94"/>
      <c r="AH838" s="94"/>
      <c r="AI838" s="94"/>
      <c r="AJ838" s="94"/>
      <c r="AK838" s="94"/>
      <c r="AL838" s="94"/>
    </row>
    <row r="839" spans="3:38">
      <c r="C839" s="30"/>
      <c r="F839" s="95"/>
      <c r="G839" s="1"/>
      <c r="H839" s="94"/>
      <c r="I839" s="90"/>
      <c r="J839" s="90"/>
      <c r="K839" s="1"/>
      <c r="L839" s="74"/>
      <c r="M839" s="633"/>
      <c r="N839" s="274"/>
      <c r="O839" s="94"/>
      <c r="P839" s="94"/>
      <c r="Q839" s="94"/>
      <c r="R839" s="94"/>
      <c r="S839" s="94"/>
      <c r="V839" s="30"/>
      <c r="W839" s="30"/>
      <c r="X839" s="1"/>
      <c r="Y839" s="95"/>
      <c r="Z839" s="1"/>
      <c r="AA839" s="94"/>
      <c r="AB839" s="1"/>
      <c r="AC839" s="1"/>
      <c r="AD839" s="1"/>
      <c r="AE839" s="30"/>
      <c r="AF839" s="633"/>
      <c r="AG839" s="94"/>
      <c r="AH839" s="94"/>
      <c r="AI839" s="94"/>
      <c r="AJ839" s="94"/>
      <c r="AK839" s="94"/>
      <c r="AL839" s="94"/>
    </row>
    <row r="840" spans="3:38">
      <c r="C840" s="30"/>
      <c r="F840" s="95"/>
      <c r="G840" s="1"/>
      <c r="H840" s="94"/>
      <c r="I840" s="90"/>
      <c r="J840" s="90"/>
      <c r="K840" s="1"/>
      <c r="L840" s="74"/>
      <c r="M840" s="633"/>
      <c r="N840" s="274"/>
      <c r="O840" s="94"/>
      <c r="P840" s="94"/>
      <c r="Q840" s="94"/>
      <c r="R840" s="94"/>
      <c r="S840" s="94"/>
      <c r="V840" s="30"/>
      <c r="W840" s="30"/>
      <c r="X840" s="1"/>
      <c r="Y840" s="95"/>
      <c r="Z840" s="1"/>
      <c r="AA840" s="94"/>
      <c r="AB840" s="1"/>
      <c r="AC840" s="1"/>
      <c r="AD840" s="1"/>
      <c r="AE840" s="30"/>
      <c r="AF840" s="633"/>
      <c r="AG840" s="94"/>
      <c r="AH840" s="94"/>
      <c r="AI840" s="94"/>
      <c r="AJ840" s="94"/>
      <c r="AK840" s="94"/>
      <c r="AL840" s="94"/>
    </row>
    <row r="841" spans="3:38">
      <c r="C841" s="30"/>
      <c r="F841" s="95"/>
      <c r="G841" s="1"/>
      <c r="H841" s="94"/>
      <c r="I841" s="90"/>
      <c r="J841" s="90"/>
      <c r="K841" s="1"/>
      <c r="L841" s="74"/>
      <c r="M841" s="633"/>
      <c r="N841" s="274"/>
      <c r="O841" s="94"/>
      <c r="P841" s="94"/>
      <c r="Q841" s="94"/>
      <c r="R841" s="94"/>
      <c r="S841" s="94"/>
      <c r="V841" s="30"/>
      <c r="W841" s="30"/>
      <c r="X841" s="1"/>
      <c r="Y841" s="95"/>
      <c r="Z841" s="1"/>
      <c r="AA841" s="94"/>
      <c r="AB841" s="1"/>
      <c r="AC841" s="1"/>
      <c r="AD841" s="1"/>
      <c r="AE841" s="30"/>
      <c r="AF841" s="633"/>
      <c r="AG841" s="94"/>
      <c r="AH841" s="94"/>
      <c r="AI841" s="94"/>
      <c r="AJ841" s="94"/>
      <c r="AK841" s="94"/>
      <c r="AL841" s="94"/>
    </row>
    <row r="842" spans="3:38">
      <c r="C842" s="30"/>
      <c r="F842" s="95"/>
      <c r="G842" s="1"/>
      <c r="H842" s="94"/>
      <c r="I842" s="90"/>
      <c r="J842" s="90"/>
      <c r="K842" s="1"/>
      <c r="L842" s="74"/>
      <c r="M842" s="633"/>
      <c r="N842" s="274"/>
      <c r="O842" s="94"/>
      <c r="P842" s="94"/>
      <c r="Q842" s="94"/>
      <c r="R842" s="94"/>
      <c r="S842" s="94"/>
      <c r="V842" s="30"/>
      <c r="W842" s="30"/>
      <c r="X842" s="1"/>
      <c r="Y842" s="95"/>
      <c r="Z842" s="1"/>
      <c r="AA842" s="94"/>
      <c r="AB842" s="1"/>
      <c r="AC842" s="1"/>
      <c r="AD842" s="1"/>
      <c r="AE842" s="30"/>
      <c r="AF842" s="633"/>
      <c r="AG842" s="94"/>
      <c r="AH842" s="94"/>
      <c r="AI842" s="94"/>
      <c r="AJ842" s="94"/>
      <c r="AK842" s="94"/>
      <c r="AL842" s="94"/>
    </row>
    <row r="843" spans="3:38">
      <c r="C843" s="30"/>
      <c r="F843" s="95"/>
      <c r="G843" s="1"/>
      <c r="H843" s="94"/>
      <c r="I843" s="90"/>
      <c r="J843" s="90"/>
      <c r="K843" s="1"/>
      <c r="L843" s="74"/>
      <c r="M843" s="633"/>
      <c r="N843" s="274"/>
      <c r="O843" s="94"/>
      <c r="P843" s="94"/>
      <c r="Q843" s="94"/>
      <c r="R843" s="94"/>
      <c r="S843" s="94"/>
      <c r="V843" s="30"/>
      <c r="W843" s="30"/>
      <c r="X843" s="1"/>
      <c r="Y843" s="95"/>
      <c r="Z843" s="1"/>
      <c r="AA843" s="94"/>
      <c r="AB843" s="1"/>
      <c r="AC843" s="1"/>
      <c r="AD843" s="1"/>
      <c r="AE843" s="30"/>
      <c r="AF843" s="633"/>
      <c r="AG843" s="94"/>
      <c r="AH843" s="94"/>
      <c r="AI843" s="94"/>
      <c r="AJ843" s="94"/>
      <c r="AK843" s="94"/>
      <c r="AL843" s="94"/>
    </row>
    <row r="844" spans="3:38">
      <c r="C844" s="30"/>
      <c r="F844" s="95"/>
      <c r="G844" s="1"/>
      <c r="H844" s="94"/>
      <c r="I844" s="90"/>
      <c r="J844" s="90"/>
      <c r="K844" s="1"/>
      <c r="L844" s="74"/>
      <c r="M844" s="633"/>
      <c r="N844" s="274"/>
      <c r="O844" s="94"/>
      <c r="P844" s="94"/>
      <c r="Q844" s="94"/>
      <c r="R844" s="94"/>
      <c r="S844" s="94"/>
      <c r="V844" s="30"/>
      <c r="W844" s="30"/>
      <c r="X844" s="1"/>
      <c r="Y844" s="95"/>
      <c r="Z844" s="1"/>
      <c r="AA844" s="94"/>
      <c r="AB844" s="1"/>
      <c r="AC844" s="1"/>
      <c r="AD844" s="1"/>
      <c r="AE844" s="30"/>
      <c r="AF844" s="633"/>
      <c r="AG844" s="94"/>
      <c r="AH844" s="94"/>
      <c r="AI844" s="94"/>
      <c r="AJ844" s="94"/>
      <c r="AK844" s="94"/>
      <c r="AL844" s="94"/>
    </row>
    <row r="845" spans="3:38">
      <c r="C845" s="30"/>
      <c r="F845" s="95"/>
      <c r="G845" s="1"/>
      <c r="H845" s="94"/>
      <c r="I845" s="90"/>
      <c r="J845" s="90"/>
      <c r="K845" s="1"/>
      <c r="L845" s="74"/>
      <c r="M845" s="633"/>
      <c r="N845" s="274"/>
      <c r="O845" s="94"/>
      <c r="P845" s="94"/>
      <c r="Q845" s="94"/>
      <c r="R845" s="94"/>
      <c r="S845" s="94"/>
      <c r="V845" s="30"/>
      <c r="W845" s="30"/>
      <c r="X845" s="1"/>
      <c r="Y845" s="95"/>
      <c r="Z845" s="1"/>
      <c r="AA845" s="94"/>
      <c r="AB845" s="1"/>
      <c r="AC845" s="1"/>
      <c r="AD845" s="1"/>
      <c r="AE845" s="30"/>
      <c r="AF845" s="633"/>
      <c r="AG845" s="94"/>
      <c r="AH845" s="94"/>
      <c r="AI845" s="94"/>
      <c r="AJ845" s="94"/>
      <c r="AK845" s="94"/>
      <c r="AL845" s="94"/>
    </row>
    <row r="846" spans="3:38">
      <c r="C846" s="30"/>
      <c r="F846" s="95"/>
      <c r="G846" s="1"/>
      <c r="H846" s="94"/>
      <c r="I846" s="90"/>
      <c r="J846" s="90"/>
      <c r="K846" s="1"/>
      <c r="L846" s="74"/>
      <c r="M846" s="633"/>
      <c r="N846" s="274"/>
      <c r="O846" s="94"/>
      <c r="P846" s="94"/>
      <c r="Q846" s="94"/>
      <c r="R846" s="94"/>
      <c r="S846" s="94"/>
      <c r="V846" s="30"/>
      <c r="W846" s="30"/>
      <c r="X846" s="1"/>
      <c r="Y846" s="95"/>
      <c r="Z846" s="1"/>
      <c r="AA846" s="94"/>
      <c r="AB846" s="1"/>
      <c r="AC846" s="1"/>
      <c r="AD846" s="1"/>
      <c r="AE846" s="30"/>
      <c r="AF846" s="633"/>
      <c r="AG846" s="94"/>
      <c r="AH846" s="94"/>
      <c r="AI846" s="94"/>
      <c r="AJ846" s="94"/>
      <c r="AK846" s="94"/>
      <c r="AL846" s="94"/>
    </row>
    <row r="847" spans="3:38">
      <c r="C847" s="30"/>
      <c r="F847" s="95"/>
      <c r="G847" s="1"/>
      <c r="H847" s="94"/>
      <c r="I847" s="90"/>
      <c r="J847" s="90"/>
      <c r="K847" s="1"/>
      <c r="L847" s="74"/>
      <c r="M847" s="633"/>
      <c r="N847" s="274"/>
      <c r="O847" s="94"/>
      <c r="P847" s="94"/>
      <c r="Q847" s="94"/>
      <c r="R847" s="94"/>
      <c r="S847" s="94"/>
      <c r="V847" s="30"/>
      <c r="W847" s="30"/>
      <c r="X847" s="1"/>
      <c r="Y847" s="95"/>
      <c r="Z847" s="1"/>
      <c r="AA847" s="94"/>
      <c r="AB847" s="1"/>
      <c r="AC847" s="1"/>
      <c r="AD847" s="1"/>
      <c r="AE847" s="30"/>
      <c r="AF847" s="633"/>
      <c r="AG847" s="94"/>
      <c r="AH847" s="94"/>
      <c r="AI847" s="94"/>
      <c r="AJ847" s="94"/>
      <c r="AK847" s="94"/>
      <c r="AL847" s="94"/>
    </row>
    <row r="848" spans="3:38">
      <c r="C848" s="30"/>
      <c r="F848" s="95"/>
      <c r="G848" s="1"/>
      <c r="H848" s="94"/>
      <c r="I848" s="90"/>
      <c r="J848" s="90"/>
      <c r="K848" s="1"/>
      <c r="L848" s="74"/>
      <c r="M848" s="633"/>
      <c r="N848" s="274"/>
      <c r="O848" s="94"/>
      <c r="P848" s="94"/>
      <c r="Q848" s="94"/>
      <c r="R848" s="94"/>
      <c r="S848" s="94"/>
      <c r="V848" s="30"/>
      <c r="W848" s="30"/>
      <c r="X848" s="1"/>
      <c r="Y848" s="95"/>
      <c r="Z848" s="1"/>
      <c r="AA848" s="94"/>
      <c r="AB848" s="1"/>
      <c r="AC848" s="1"/>
      <c r="AD848" s="1"/>
      <c r="AE848" s="30"/>
      <c r="AF848" s="633"/>
      <c r="AG848" s="94"/>
      <c r="AH848" s="94"/>
      <c r="AI848" s="94"/>
      <c r="AJ848" s="94"/>
      <c r="AK848" s="94"/>
      <c r="AL848" s="94"/>
    </row>
    <row r="849" spans="3:38">
      <c r="C849" s="30"/>
      <c r="F849" s="95"/>
      <c r="G849" s="1"/>
      <c r="H849" s="94"/>
      <c r="I849" s="90"/>
      <c r="J849" s="90"/>
      <c r="K849" s="1"/>
      <c r="L849" s="74"/>
      <c r="M849" s="633"/>
      <c r="N849" s="274"/>
      <c r="O849" s="94"/>
      <c r="P849" s="94"/>
      <c r="Q849" s="94"/>
      <c r="R849" s="94"/>
      <c r="S849" s="94"/>
      <c r="V849" s="30"/>
      <c r="W849" s="30"/>
      <c r="X849" s="1"/>
      <c r="Y849" s="95"/>
      <c r="Z849" s="1"/>
      <c r="AA849" s="94"/>
      <c r="AB849" s="1"/>
      <c r="AC849" s="1"/>
      <c r="AD849" s="1"/>
      <c r="AE849" s="30"/>
      <c r="AF849" s="633"/>
      <c r="AG849" s="94"/>
      <c r="AH849" s="94"/>
      <c r="AI849" s="94"/>
      <c r="AJ849" s="94"/>
      <c r="AK849" s="94"/>
      <c r="AL849" s="94"/>
    </row>
    <row r="850" spans="3:38">
      <c r="C850" s="30"/>
      <c r="F850" s="95"/>
      <c r="G850" s="1"/>
      <c r="H850" s="94"/>
      <c r="I850" s="90"/>
      <c r="J850" s="90"/>
      <c r="K850" s="1"/>
      <c r="L850" s="74"/>
      <c r="M850" s="633"/>
      <c r="N850" s="274"/>
      <c r="O850" s="94"/>
      <c r="P850" s="94"/>
      <c r="Q850" s="94"/>
      <c r="R850" s="94"/>
      <c r="S850" s="94"/>
      <c r="V850" s="30"/>
      <c r="W850" s="30"/>
      <c r="X850" s="1"/>
      <c r="Y850" s="95"/>
      <c r="Z850" s="1"/>
      <c r="AA850" s="94"/>
      <c r="AB850" s="1"/>
      <c r="AC850" s="1"/>
      <c r="AD850" s="1"/>
      <c r="AE850" s="30"/>
      <c r="AF850" s="633"/>
      <c r="AG850" s="94"/>
      <c r="AH850" s="94"/>
      <c r="AI850" s="94"/>
      <c r="AJ850" s="94"/>
      <c r="AK850" s="94"/>
      <c r="AL850" s="94"/>
    </row>
    <row r="851" spans="3:38">
      <c r="C851" s="30"/>
      <c r="F851" s="95"/>
      <c r="G851" s="1"/>
      <c r="H851" s="94"/>
      <c r="I851" s="90"/>
      <c r="J851" s="90"/>
      <c r="K851" s="1"/>
      <c r="L851" s="74"/>
      <c r="M851" s="633"/>
      <c r="N851" s="274"/>
      <c r="O851" s="94"/>
      <c r="P851" s="94"/>
      <c r="Q851" s="94"/>
      <c r="R851" s="94"/>
      <c r="S851" s="94"/>
      <c r="V851" s="30"/>
      <c r="W851" s="30"/>
      <c r="X851" s="1"/>
      <c r="Y851" s="95"/>
      <c r="Z851" s="1"/>
      <c r="AA851" s="94"/>
      <c r="AB851" s="1"/>
      <c r="AC851" s="1"/>
      <c r="AD851" s="1"/>
      <c r="AE851" s="30"/>
      <c r="AF851" s="633"/>
      <c r="AG851" s="94"/>
      <c r="AH851" s="94"/>
      <c r="AI851" s="94"/>
      <c r="AJ851" s="94"/>
      <c r="AK851" s="94"/>
      <c r="AL851" s="94"/>
    </row>
    <row r="852" spans="3:38">
      <c r="C852" s="30"/>
      <c r="F852" s="95"/>
      <c r="G852" s="1"/>
      <c r="H852" s="94"/>
      <c r="I852" s="90"/>
      <c r="J852" s="90"/>
      <c r="K852" s="1"/>
      <c r="L852" s="74"/>
      <c r="M852" s="633"/>
      <c r="N852" s="274"/>
      <c r="O852" s="94"/>
      <c r="P852" s="94"/>
      <c r="Q852" s="94"/>
      <c r="R852" s="94"/>
      <c r="S852" s="94"/>
      <c r="V852" s="30"/>
      <c r="W852" s="30"/>
      <c r="X852" s="1"/>
      <c r="Y852" s="95"/>
      <c r="Z852" s="1"/>
      <c r="AA852" s="94"/>
      <c r="AB852" s="1"/>
      <c r="AC852" s="1"/>
      <c r="AD852" s="1"/>
      <c r="AE852" s="30"/>
      <c r="AF852" s="633"/>
      <c r="AG852" s="94"/>
      <c r="AH852" s="94"/>
      <c r="AI852" s="94"/>
      <c r="AJ852" s="94"/>
      <c r="AK852" s="94"/>
      <c r="AL852" s="94"/>
    </row>
    <row r="853" spans="3:38">
      <c r="C853" s="30"/>
      <c r="F853" s="95"/>
      <c r="G853" s="1"/>
      <c r="H853" s="94"/>
      <c r="I853" s="90"/>
      <c r="J853" s="90"/>
      <c r="K853" s="1"/>
      <c r="L853" s="74"/>
      <c r="M853" s="633"/>
      <c r="N853" s="274"/>
      <c r="O853" s="94"/>
      <c r="P853" s="94"/>
      <c r="Q853" s="94"/>
      <c r="R853" s="94"/>
      <c r="S853" s="94"/>
      <c r="V853" s="30"/>
      <c r="W853" s="30"/>
      <c r="X853" s="1"/>
      <c r="Y853" s="95"/>
      <c r="Z853" s="1"/>
      <c r="AA853" s="94"/>
      <c r="AB853" s="1"/>
      <c r="AC853" s="1"/>
      <c r="AD853" s="1"/>
      <c r="AE853" s="30"/>
      <c r="AF853" s="633"/>
      <c r="AG853" s="94"/>
      <c r="AH853" s="94"/>
      <c r="AI853" s="94"/>
      <c r="AJ853" s="94"/>
      <c r="AK853" s="94"/>
      <c r="AL853" s="94"/>
    </row>
    <row r="854" spans="3:38">
      <c r="C854" s="30"/>
      <c r="F854" s="95"/>
      <c r="G854" s="1"/>
      <c r="H854" s="94"/>
      <c r="I854" s="90"/>
      <c r="J854" s="90"/>
      <c r="K854" s="1"/>
      <c r="L854" s="74"/>
      <c r="M854" s="633"/>
      <c r="N854" s="274"/>
      <c r="O854" s="94"/>
      <c r="P854" s="94"/>
      <c r="Q854" s="94"/>
      <c r="R854" s="94"/>
      <c r="S854" s="94"/>
      <c r="V854" s="30"/>
      <c r="W854" s="30"/>
      <c r="X854" s="1"/>
      <c r="Y854" s="95"/>
      <c r="Z854" s="1"/>
      <c r="AA854" s="94"/>
      <c r="AB854" s="1"/>
      <c r="AC854" s="1"/>
      <c r="AD854" s="1"/>
      <c r="AE854" s="30"/>
      <c r="AF854" s="633"/>
      <c r="AG854" s="94"/>
      <c r="AH854" s="94"/>
      <c r="AI854" s="94"/>
      <c r="AJ854" s="94"/>
      <c r="AK854" s="94"/>
      <c r="AL854" s="94"/>
    </row>
    <row r="855" spans="3:38">
      <c r="C855" s="30"/>
      <c r="F855" s="95"/>
      <c r="G855" s="1"/>
      <c r="H855" s="94"/>
      <c r="I855" s="90"/>
      <c r="J855" s="90"/>
      <c r="K855" s="1"/>
      <c r="L855" s="74"/>
      <c r="M855" s="633"/>
      <c r="N855" s="274"/>
      <c r="O855" s="94"/>
      <c r="P855" s="94"/>
      <c r="Q855" s="94"/>
      <c r="R855" s="94"/>
      <c r="S855" s="94"/>
      <c r="V855" s="30"/>
      <c r="W855" s="30"/>
      <c r="X855" s="1"/>
      <c r="Y855" s="95"/>
      <c r="Z855" s="1"/>
      <c r="AA855" s="94"/>
      <c r="AB855" s="1"/>
      <c r="AC855" s="1"/>
      <c r="AD855" s="1"/>
      <c r="AE855" s="30"/>
      <c r="AF855" s="633"/>
      <c r="AG855" s="94"/>
      <c r="AH855" s="94"/>
      <c r="AI855" s="94"/>
      <c r="AJ855" s="94"/>
      <c r="AK855" s="94"/>
      <c r="AL855" s="94"/>
    </row>
    <row r="856" spans="3:38">
      <c r="C856" s="30"/>
      <c r="F856" s="95"/>
      <c r="G856" s="1"/>
      <c r="H856" s="94"/>
      <c r="I856" s="90"/>
      <c r="J856" s="90"/>
      <c r="K856" s="1"/>
      <c r="L856" s="74"/>
      <c r="M856" s="633"/>
      <c r="N856" s="274"/>
      <c r="O856" s="94"/>
      <c r="P856" s="94"/>
      <c r="Q856" s="94"/>
      <c r="R856" s="94"/>
      <c r="S856" s="94"/>
      <c r="V856" s="30"/>
      <c r="W856" s="30"/>
      <c r="X856" s="1"/>
      <c r="Y856" s="95"/>
      <c r="Z856" s="1"/>
      <c r="AA856" s="94"/>
      <c r="AB856" s="1"/>
      <c r="AC856" s="1"/>
      <c r="AD856" s="1"/>
      <c r="AE856" s="30"/>
      <c r="AF856" s="633"/>
      <c r="AG856" s="94"/>
      <c r="AH856" s="94"/>
      <c r="AI856" s="94"/>
      <c r="AJ856" s="94"/>
      <c r="AK856" s="94"/>
      <c r="AL856" s="94"/>
    </row>
    <row r="857" spans="3:38">
      <c r="C857" s="30"/>
      <c r="F857" s="95"/>
      <c r="G857" s="1"/>
      <c r="H857" s="94"/>
      <c r="I857" s="90"/>
      <c r="J857" s="90"/>
      <c r="K857" s="1"/>
      <c r="L857" s="74"/>
      <c r="M857" s="633"/>
      <c r="N857" s="274"/>
      <c r="O857" s="94"/>
      <c r="P857" s="94"/>
      <c r="Q857" s="94"/>
      <c r="R857" s="94"/>
      <c r="S857" s="94"/>
      <c r="V857" s="30"/>
      <c r="W857" s="30"/>
      <c r="X857" s="1"/>
      <c r="Y857" s="95"/>
      <c r="Z857" s="1"/>
      <c r="AA857" s="94"/>
      <c r="AB857" s="1"/>
      <c r="AC857" s="1"/>
      <c r="AD857" s="1"/>
      <c r="AE857" s="30"/>
      <c r="AF857" s="633"/>
      <c r="AG857" s="94"/>
      <c r="AH857" s="94"/>
      <c r="AI857" s="94"/>
      <c r="AJ857" s="94"/>
      <c r="AK857" s="94"/>
      <c r="AL857" s="94"/>
    </row>
    <row r="858" spans="3:38">
      <c r="C858" s="30"/>
      <c r="F858" s="95"/>
      <c r="G858" s="1"/>
      <c r="H858" s="94"/>
      <c r="I858" s="90"/>
      <c r="J858" s="90"/>
      <c r="K858" s="1"/>
      <c r="L858" s="74"/>
      <c r="M858" s="633"/>
      <c r="N858" s="274"/>
      <c r="O858" s="94"/>
      <c r="P858" s="94"/>
      <c r="Q858" s="94"/>
      <c r="R858" s="94"/>
      <c r="S858" s="94"/>
      <c r="V858" s="30"/>
      <c r="W858" s="30"/>
      <c r="X858" s="1"/>
      <c r="Y858" s="95"/>
      <c r="Z858" s="1"/>
      <c r="AA858" s="94"/>
      <c r="AB858" s="1"/>
      <c r="AC858" s="1"/>
      <c r="AD858" s="1"/>
      <c r="AE858" s="30"/>
      <c r="AF858" s="633"/>
      <c r="AG858" s="94"/>
      <c r="AH858" s="94"/>
      <c r="AI858" s="94"/>
      <c r="AJ858" s="94"/>
      <c r="AK858" s="94"/>
      <c r="AL858" s="94"/>
    </row>
    <row r="859" spans="3:38">
      <c r="C859" s="30"/>
      <c r="F859" s="95"/>
      <c r="G859" s="1"/>
      <c r="H859" s="94"/>
      <c r="I859" s="90"/>
      <c r="J859" s="90"/>
      <c r="K859" s="1"/>
      <c r="L859" s="74"/>
      <c r="M859" s="633"/>
      <c r="N859" s="274"/>
      <c r="O859" s="94"/>
      <c r="P859" s="94"/>
      <c r="Q859" s="94"/>
      <c r="R859" s="94"/>
      <c r="S859" s="94"/>
      <c r="V859" s="30"/>
      <c r="W859" s="30"/>
      <c r="X859" s="1"/>
      <c r="Y859" s="95"/>
      <c r="Z859" s="1"/>
      <c r="AA859" s="94"/>
      <c r="AB859" s="1"/>
      <c r="AC859" s="1"/>
      <c r="AD859" s="1"/>
      <c r="AE859" s="30"/>
      <c r="AF859" s="633"/>
      <c r="AG859" s="94"/>
      <c r="AH859" s="94"/>
      <c r="AI859" s="94"/>
      <c r="AJ859" s="94"/>
      <c r="AK859" s="94"/>
      <c r="AL859" s="94"/>
    </row>
    <row r="860" spans="3:38">
      <c r="C860" s="30"/>
      <c r="F860" s="95"/>
      <c r="G860" s="1"/>
      <c r="H860" s="94"/>
      <c r="I860" s="90"/>
      <c r="J860" s="90"/>
      <c r="K860" s="1"/>
      <c r="L860" s="74"/>
      <c r="M860" s="633"/>
      <c r="N860" s="274"/>
      <c r="O860" s="94"/>
      <c r="P860" s="94"/>
      <c r="Q860" s="94"/>
      <c r="R860" s="94"/>
      <c r="S860" s="94"/>
      <c r="V860" s="30"/>
      <c r="W860" s="30"/>
      <c r="X860" s="1"/>
      <c r="Y860" s="95"/>
      <c r="Z860" s="1"/>
      <c r="AA860" s="94"/>
      <c r="AB860" s="1"/>
      <c r="AC860" s="1"/>
      <c r="AD860" s="1"/>
      <c r="AE860" s="30"/>
      <c r="AF860" s="633"/>
      <c r="AG860" s="94"/>
      <c r="AH860" s="94"/>
      <c r="AI860" s="94"/>
      <c r="AJ860" s="94"/>
      <c r="AK860" s="94"/>
      <c r="AL860" s="94"/>
    </row>
    <row r="861" spans="3:38">
      <c r="C861" s="30"/>
      <c r="F861" s="95"/>
      <c r="G861" s="1"/>
      <c r="H861" s="94"/>
      <c r="I861" s="90"/>
      <c r="J861" s="90"/>
      <c r="K861" s="1"/>
      <c r="L861" s="74"/>
      <c r="M861" s="633"/>
      <c r="N861" s="274"/>
      <c r="O861" s="94"/>
      <c r="P861" s="94"/>
      <c r="Q861" s="94"/>
      <c r="R861" s="94"/>
      <c r="S861" s="94"/>
      <c r="V861" s="30"/>
      <c r="W861" s="30"/>
      <c r="X861" s="1"/>
      <c r="Y861" s="95"/>
      <c r="Z861" s="1"/>
      <c r="AA861" s="94"/>
      <c r="AB861" s="1"/>
      <c r="AC861" s="1"/>
      <c r="AD861" s="1"/>
      <c r="AE861" s="30"/>
      <c r="AF861" s="633"/>
      <c r="AG861" s="94"/>
      <c r="AH861" s="94"/>
      <c r="AI861" s="94"/>
      <c r="AJ861" s="94"/>
      <c r="AK861" s="94"/>
      <c r="AL861" s="94"/>
    </row>
    <row r="862" spans="3:38">
      <c r="C862" s="30"/>
      <c r="F862" s="95"/>
      <c r="G862" s="1"/>
      <c r="H862" s="94"/>
      <c r="I862" s="90"/>
      <c r="J862" s="90"/>
      <c r="K862" s="1"/>
      <c r="L862" s="74"/>
      <c r="M862" s="633"/>
      <c r="N862" s="274"/>
      <c r="O862" s="94"/>
      <c r="P862" s="94"/>
      <c r="Q862" s="94"/>
      <c r="R862" s="94"/>
      <c r="S862" s="94"/>
      <c r="V862" s="30"/>
      <c r="W862" s="30"/>
      <c r="X862" s="1"/>
      <c r="Y862" s="95"/>
      <c r="Z862" s="1"/>
      <c r="AA862" s="94"/>
      <c r="AB862" s="1"/>
      <c r="AC862" s="1"/>
      <c r="AD862" s="1"/>
      <c r="AE862" s="30"/>
      <c r="AF862" s="633"/>
      <c r="AG862" s="94"/>
      <c r="AH862" s="94"/>
      <c r="AI862" s="94"/>
      <c r="AJ862" s="94"/>
      <c r="AK862" s="94"/>
      <c r="AL862" s="94"/>
    </row>
    <row r="863" spans="3:38">
      <c r="C863" s="30"/>
      <c r="F863" s="95"/>
      <c r="G863" s="1"/>
      <c r="H863" s="94"/>
      <c r="I863" s="90"/>
      <c r="J863" s="90"/>
      <c r="K863" s="1"/>
      <c r="L863" s="74"/>
      <c r="M863" s="633"/>
      <c r="N863" s="274"/>
      <c r="O863" s="94"/>
      <c r="P863" s="94"/>
      <c r="Q863" s="94"/>
      <c r="R863" s="94"/>
      <c r="S863" s="94"/>
      <c r="V863" s="30"/>
      <c r="W863" s="30"/>
      <c r="X863" s="1"/>
      <c r="Y863" s="95"/>
      <c r="Z863" s="1"/>
      <c r="AA863" s="94"/>
      <c r="AB863" s="1"/>
      <c r="AC863" s="1"/>
      <c r="AD863" s="1"/>
      <c r="AE863" s="30"/>
      <c r="AF863" s="633"/>
      <c r="AG863" s="94"/>
      <c r="AH863" s="94"/>
      <c r="AI863" s="94"/>
      <c r="AJ863" s="94"/>
      <c r="AK863" s="94"/>
      <c r="AL863" s="94"/>
    </row>
    <row r="864" spans="3:38">
      <c r="C864" s="30"/>
      <c r="F864" s="95"/>
      <c r="G864" s="1"/>
      <c r="H864" s="94"/>
      <c r="I864" s="90"/>
      <c r="J864" s="90"/>
      <c r="K864" s="1"/>
      <c r="L864" s="74"/>
      <c r="M864" s="633"/>
      <c r="N864" s="274"/>
      <c r="O864" s="94"/>
      <c r="P864" s="94"/>
      <c r="Q864" s="94"/>
      <c r="R864" s="94"/>
      <c r="S864" s="94"/>
      <c r="V864" s="30"/>
      <c r="W864" s="30"/>
      <c r="X864" s="1"/>
      <c r="Y864" s="95"/>
      <c r="Z864" s="1"/>
      <c r="AA864" s="94"/>
      <c r="AB864" s="1"/>
      <c r="AC864" s="1"/>
      <c r="AD864" s="1"/>
      <c r="AE864" s="30"/>
      <c r="AF864" s="633"/>
      <c r="AG864" s="94"/>
      <c r="AH864" s="94"/>
      <c r="AI864" s="94"/>
      <c r="AJ864" s="94"/>
      <c r="AK864" s="94"/>
      <c r="AL864" s="94"/>
    </row>
    <row r="865" spans="3:38">
      <c r="C865" s="30"/>
      <c r="F865" s="95"/>
      <c r="G865" s="1"/>
      <c r="H865" s="94"/>
      <c r="I865" s="90"/>
      <c r="J865" s="90"/>
      <c r="K865" s="1"/>
      <c r="L865" s="74"/>
      <c r="M865" s="633"/>
      <c r="N865" s="274"/>
      <c r="O865" s="94"/>
      <c r="P865" s="94"/>
      <c r="Q865" s="94"/>
      <c r="R865" s="94"/>
      <c r="S865" s="94"/>
      <c r="V865" s="30"/>
      <c r="W865" s="30"/>
      <c r="X865" s="1"/>
      <c r="Y865" s="95"/>
      <c r="Z865" s="1"/>
      <c r="AA865" s="94"/>
      <c r="AB865" s="1"/>
      <c r="AC865" s="1"/>
      <c r="AD865" s="1"/>
      <c r="AE865" s="30"/>
      <c r="AF865" s="633"/>
      <c r="AG865" s="94"/>
      <c r="AH865" s="94"/>
      <c r="AI865" s="94"/>
      <c r="AJ865" s="94"/>
      <c r="AK865" s="94"/>
      <c r="AL865" s="94"/>
    </row>
    <row r="866" spans="3:38">
      <c r="C866" s="30"/>
      <c r="F866" s="95"/>
      <c r="G866" s="1"/>
      <c r="H866" s="94"/>
      <c r="I866" s="90"/>
      <c r="J866" s="90"/>
      <c r="K866" s="1"/>
      <c r="L866" s="74"/>
      <c r="M866" s="633"/>
      <c r="N866" s="274"/>
      <c r="O866" s="94"/>
      <c r="P866" s="94"/>
      <c r="Q866" s="94"/>
      <c r="R866" s="94"/>
      <c r="S866" s="94"/>
      <c r="V866" s="30"/>
      <c r="W866" s="30"/>
      <c r="X866" s="1"/>
      <c r="Y866" s="95"/>
      <c r="Z866" s="1"/>
      <c r="AA866" s="94"/>
      <c r="AB866" s="1"/>
      <c r="AC866" s="1"/>
      <c r="AD866" s="1"/>
      <c r="AE866" s="30"/>
      <c r="AF866" s="633"/>
      <c r="AG866" s="94"/>
      <c r="AH866" s="94"/>
      <c r="AI866" s="94"/>
      <c r="AJ866" s="94"/>
      <c r="AK866" s="94"/>
      <c r="AL866" s="94"/>
    </row>
    <row r="867" spans="3:38">
      <c r="C867" s="30"/>
      <c r="F867" s="95"/>
      <c r="G867" s="1"/>
      <c r="H867" s="94"/>
      <c r="I867" s="90"/>
      <c r="J867" s="90"/>
      <c r="K867" s="1"/>
      <c r="L867" s="74"/>
      <c r="M867" s="633"/>
      <c r="N867" s="274"/>
      <c r="O867" s="94"/>
      <c r="P867" s="94"/>
      <c r="Q867" s="94"/>
      <c r="R867" s="94"/>
      <c r="S867" s="94"/>
      <c r="V867" s="30"/>
      <c r="W867" s="30"/>
      <c r="X867" s="1"/>
      <c r="Y867" s="95"/>
      <c r="Z867" s="1"/>
      <c r="AA867" s="94"/>
      <c r="AB867" s="1"/>
      <c r="AC867" s="1"/>
      <c r="AD867" s="1"/>
      <c r="AE867" s="30"/>
      <c r="AF867" s="633"/>
      <c r="AG867" s="94"/>
      <c r="AH867" s="94"/>
      <c r="AI867" s="94"/>
      <c r="AJ867" s="94"/>
      <c r="AK867" s="94"/>
      <c r="AL867" s="94"/>
    </row>
    <row r="868" spans="3:38">
      <c r="C868" s="30"/>
      <c r="F868" s="95"/>
      <c r="G868" s="1"/>
      <c r="H868" s="94"/>
      <c r="I868" s="90"/>
      <c r="J868" s="90"/>
      <c r="K868" s="1"/>
      <c r="L868" s="74"/>
      <c r="M868" s="633"/>
      <c r="N868" s="274"/>
      <c r="O868" s="94"/>
      <c r="P868" s="94"/>
      <c r="Q868" s="94"/>
      <c r="R868" s="94"/>
      <c r="S868" s="94"/>
      <c r="V868" s="30"/>
      <c r="W868" s="30"/>
      <c r="X868" s="1"/>
      <c r="Y868" s="95"/>
      <c r="Z868" s="1"/>
      <c r="AA868" s="94"/>
      <c r="AB868" s="1"/>
      <c r="AC868" s="1"/>
      <c r="AD868" s="1"/>
      <c r="AE868" s="30"/>
      <c r="AF868" s="633"/>
      <c r="AG868" s="94"/>
      <c r="AH868" s="94"/>
      <c r="AI868" s="94"/>
      <c r="AJ868" s="94"/>
      <c r="AK868" s="94"/>
      <c r="AL868" s="94"/>
    </row>
    <row r="869" spans="3:38">
      <c r="C869" s="30"/>
      <c r="F869" s="95"/>
      <c r="G869" s="1"/>
      <c r="H869" s="94"/>
      <c r="I869" s="90"/>
      <c r="J869" s="90"/>
      <c r="K869" s="1"/>
      <c r="L869" s="74"/>
      <c r="M869" s="633"/>
      <c r="N869" s="274"/>
      <c r="O869" s="94"/>
      <c r="P869" s="94"/>
      <c r="Q869" s="94"/>
      <c r="R869" s="94"/>
      <c r="S869" s="94"/>
      <c r="V869" s="30"/>
      <c r="W869" s="30"/>
      <c r="X869" s="1"/>
      <c r="Y869" s="95"/>
      <c r="Z869" s="1"/>
      <c r="AA869" s="94"/>
      <c r="AB869" s="1"/>
      <c r="AC869" s="1"/>
      <c r="AD869" s="1"/>
      <c r="AE869" s="30"/>
      <c r="AF869" s="633"/>
      <c r="AG869" s="94"/>
      <c r="AH869" s="94"/>
      <c r="AI869" s="94"/>
      <c r="AJ869" s="94"/>
      <c r="AK869" s="94"/>
      <c r="AL869" s="94"/>
    </row>
    <row r="870" spans="3:38">
      <c r="C870" s="30"/>
      <c r="F870" s="95"/>
      <c r="G870" s="1"/>
      <c r="H870" s="94"/>
      <c r="I870" s="90"/>
      <c r="J870" s="90"/>
      <c r="K870" s="1"/>
      <c r="L870" s="74"/>
      <c r="M870" s="633"/>
      <c r="N870" s="274"/>
      <c r="O870" s="94"/>
      <c r="P870" s="94"/>
      <c r="Q870" s="94"/>
      <c r="R870" s="94"/>
      <c r="S870" s="94"/>
      <c r="V870" s="30"/>
      <c r="W870" s="30"/>
      <c r="X870" s="1"/>
      <c r="Y870" s="95"/>
      <c r="Z870" s="1"/>
      <c r="AA870" s="94"/>
      <c r="AB870" s="1"/>
      <c r="AC870" s="1"/>
      <c r="AD870" s="1"/>
      <c r="AE870" s="30"/>
      <c r="AF870" s="633"/>
      <c r="AG870" s="94"/>
      <c r="AH870" s="94"/>
      <c r="AI870" s="94"/>
      <c r="AJ870" s="94"/>
      <c r="AK870" s="94"/>
      <c r="AL870" s="94"/>
    </row>
    <row r="871" spans="3:38">
      <c r="C871" s="30"/>
      <c r="F871" s="95"/>
      <c r="G871" s="1"/>
      <c r="H871" s="94"/>
      <c r="I871" s="90"/>
      <c r="J871" s="90"/>
      <c r="K871" s="1"/>
      <c r="L871" s="74"/>
      <c r="M871" s="633"/>
      <c r="N871" s="274"/>
      <c r="O871" s="94"/>
      <c r="P871" s="94"/>
      <c r="Q871" s="94"/>
      <c r="R871" s="94"/>
      <c r="S871" s="94"/>
      <c r="V871" s="30"/>
      <c r="W871" s="30"/>
      <c r="X871" s="1"/>
      <c r="Y871" s="95"/>
      <c r="Z871" s="1"/>
      <c r="AA871" s="94"/>
      <c r="AB871" s="1"/>
      <c r="AC871" s="1"/>
      <c r="AD871" s="1"/>
      <c r="AE871" s="30"/>
      <c r="AF871" s="633"/>
      <c r="AG871" s="94"/>
      <c r="AH871" s="94"/>
      <c r="AI871" s="94"/>
      <c r="AJ871" s="94"/>
      <c r="AK871" s="94"/>
      <c r="AL871" s="94"/>
    </row>
    <row r="872" spans="3:38">
      <c r="C872" s="30"/>
      <c r="F872" s="95"/>
      <c r="G872" s="1"/>
      <c r="H872" s="94"/>
      <c r="I872" s="90"/>
      <c r="J872" s="90"/>
      <c r="K872" s="1"/>
      <c r="L872" s="74"/>
      <c r="M872" s="633"/>
      <c r="N872" s="274"/>
      <c r="O872" s="94"/>
      <c r="P872" s="94"/>
      <c r="Q872" s="94"/>
      <c r="R872" s="94"/>
      <c r="S872" s="94"/>
      <c r="V872" s="30"/>
      <c r="W872" s="30"/>
      <c r="X872" s="1"/>
      <c r="Y872" s="95"/>
      <c r="Z872" s="1"/>
      <c r="AA872" s="94"/>
      <c r="AB872" s="1"/>
      <c r="AC872" s="1"/>
      <c r="AD872" s="1"/>
      <c r="AE872" s="30"/>
      <c r="AF872" s="633"/>
      <c r="AG872" s="94"/>
      <c r="AH872" s="94"/>
      <c r="AI872" s="94"/>
      <c r="AJ872" s="94"/>
      <c r="AK872" s="94"/>
      <c r="AL872" s="94"/>
    </row>
    <row r="873" spans="3:38">
      <c r="C873" s="30"/>
      <c r="F873" s="95"/>
      <c r="G873" s="1"/>
      <c r="H873" s="94"/>
      <c r="I873" s="90"/>
      <c r="J873" s="90"/>
      <c r="K873" s="1"/>
      <c r="L873" s="74"/>
      <c r="M873" s="633"/>
      <c r="N873" s="274"/>
      <c r="O873" s="94"/>
      <c r="P873" s="94"/>
      <c r="Q873" s="94"/>
      <c r="R873" s="94"/>
      <c r="S873" s="94"/>
      <c r="V873" s="30"/>
      <c r="W873" s="30"/>
      <c r="X873" s="1"/>
      <c r="Y873" s="95"/>
      <c r="Z873" s="1"/>
      <c r="AA873" s="94"/>
      <c r="AB873" s="1"/>
      <c r="AC873" s="1"/>
      <c r="AD873" s="1"/>
      <c r="AE873" s="30"/>
      <c r="AF873" s="633"/>
      <c r="AG873" s="94"/>
      <c r="AH873" s="94"/>
      <c r="AI873" s="94"/>
      <c r="AJ873" s="94"/>
      <c r="AK873" s="94"/>
      <c r="AL873" s="94"/>
    </row>
    <row r="874" spans="3:38">
      <c r="C874" s="30"/>
      <c r="F874" s="95"/>
      <c r="G874" s="1"/>
      <c r="H874" s="94"/>
      <c r="I874" s="90"/>
      <c r="J874" s="90"/>
      <c r="K874" s="1"/>
      <c r="L874" s="74"/>
      <c r="M874" s="633"/>
      <c r="N874" s="274"/>
      <c r="O874" s="94"/>
      <c r="P874" s="94"/>
      <c r="Q874" s="94"/>
      <c r="R874" s="94"/>
      <c r="S874" s="94"/>
      <c r="V874" s="30"/>
      <c r="W874" s="30"/>
      <c r="X874" s="1"/>
      <c r="Y874" s="95"/>
      <c r="Z874" s="1"/>
      <c r="AA874" s="94"/>
      <c r="AB874" s="1"/>
      <c r="AC874" s="1"/>
      <c r="AD874" s="1"/>
      <c r="AE874" s="30"/>
      <c r="AF874" s="633"/>
      <c r="AG874" s="94"/>
      <c r="AH874" s="94"/>
      <c r="AI874" s="94"/>
      <c r="AJ874" s="94"/>
      <c r="AK874" s="94"/>
      <c r="AL874" s="94"/>
    </row>
    <row r="875" spans="3:38">
      <c r="C875" s="30"/>
      <c r="F875" s="95"/>
      <c r="G875" s="1"/>
      <c r="H875" s="94"/>
      <c r="I875" s="90"/>
      <c r="J875" s="90"/>
      <c r="K875" s="1"/>
      <c r="L875" s="74"/>
      <c r="M875" s="633"/>
      <c r="N875" s="274"/>
      <c r="O875" s="94"/>
      <c r="P875" s="94"/>
      <c r="Q875" s="94"/>
      <c r="R875" s="94"/>
      <c r="S875" s="94"/>
      <c r="V875" s="30"/>
      <c r="W875" s="30"/>
      <c r="X875" s="1"/>
      <c r="Y875" s="95"/>
      <c r="Z875" s="1"/>
      <c r="AA875" s="94"/>
      <c r="AB875" s="1"/>
      <c r="AC875" s="1"/>
      <c r="AD875" s="1"/>
      <c r="AE875" s="30"/>
      <c r="AF875" s="633"/>
      <c r="AG875" s="94"/>
      <c r="AH875" s="94"/>
      <c r="AI875" s="94"/>
      <c r="AJ875" s="94"/>
      <c r="AK875" s="94"/>
      <c r="AL875" s="94"/>
    </row>
    <row r="876" spans="3:38">
      <c r="C876" s="30"/>
      <c r="F876" s="95"/>
      <c r="G876" s="1"/>
      <c r="H876" s="94"/>
      <c r="I876" s="90"/>
      <c r="J876" s="90"/>
      <c r="K876" s="1"/>
      <c r="L876" s="74"/>
      <c r="M876" s="633"/>
      <c r="N876" s="274"/>
      <c r="O876" s="94"/>
      <c r="P876" s="94"/>
      <c r="Q876" s="94"/>
      <c r="R876" s="94"/>
      <c r="S876" s="94"/>
      <c r="V876" s="30"/>
      <c r="W876" s="30"/>
      <c r="X876" s="1"/>
      <c r="Y876" s="95"/>
      <c r="Z876" s="1"/>
      <c r="AA876" s="94"/>
      <c r="AB876" s="1"/>
      <c r="AC876" s="1"/>
      <c r="AD876" s="1"/>
      <c r="AE876" s="30"/>
      <c r="AF876" s="633"/>
      <c r="AG876" s="94"/>
      <c r="AH876" s="94"/>
      <c r="AI876" s="94"/>
      <c r="AJ876" s="94"/>
      <c r="AK876" s="94"/>
      <c r="AL876" s="94"/>
    </row>
    <row r="877" spans="3:38">
      <c r="C877" s="30"/>
      <c r="F877" s="95"/>
      <c r="G877" s="1"/>
      <c r="H877" s="94"/>
      <c r="I877" s="90"/>
      <c r="J877" s="90"/>
      <c r="K877" s="1"/>
      <c r="L877" s="74"/>
      <c r="M877" s="633"/>
      <c r="N877" s="274"/>
      <c r="O877" s="94"/>
      <c r="P877" s="94"/>
      <c r="Q877" s="94"/>
      <c r="R877" s="94"/>
      <c r="S877" s="94"/>
      <c r="V877" s="30"/>
      <c r="W877" s="30"/>
      <c r="X877" s="1"/>
      <c r="Y877" s="95"/>
      <c r="Z877" s="1"/>
      <c r="AA877" s="94"/>
      <c r="AB877" s="1"/>
      <c r="AC877" s="1"/>
      <c r="AD877" s="1"/>
      <c r="AE877" s="30"/>
      <c r="AF877" s="633"/>
      <c r="AG877" s="94"/>
      <c r="AH877" s="94"/>
      <c r="AI877" s="94"/>
      <c r="AJ877" s="94"/>
      <c r="AK877" s="94"/>
      <c r="AL877" s="94"/>
    </row>
    <row r="878" spans="3:38">
      <c r="C878" s="30"/>
      <c r="F878" s="95"/>
      <c r="G878" s="1"/>
      <c r="H878" s="94"/>
      <c r="I878" s="90"/>
      <c r="J878" s="90"/>
      <c r="K878" s="1"/>
      <c r="L878" s="74"/>
      <c r="M878" s="633"/>
      <c r="N878" s="274"/>
      <c r="O878" s="94"/>
      <c r="P878" s="94"/>
      <c r="Q878" s="94"/>
      <c r="R878" s="94"/>
      <c r="S878" s="94"/>
      <c r="V878" s="30"/>
      <c r="W878" s="30"/>
      <c r="X878" s="1"/>
      <c r="Y878" s="95"/>
      <c r="Z878" s="1"/>
      <c r="AA878" s="94"/>
      <c r="AB878" s="1"/>
      <c r="AC878" s="1"/>
      <c r="AD878" s="1"/>
      <c r="AE878" s="30"/>
      <c r="AF878" s="633"/>
      <c r="AG878" s="94"/>
      <c r="AH878" s="94"/>
      <c r="AI878" s="94"/>
      <c r="AJ878" s="94"/>
      <c r="AK878" s="94"/>
      <c r="AL878" s="94"/>
    </row>
    <row r="879" spans="3:38">
      <c r="C879" s="30"/>
      <c r="F879" s="95"/>
      <c r="G879" s="1"/>
      <c r="H879" s="94"/>
      <c r="I879" s="90"/>
      <c r="J879" s="90"/>
      <c r="K879" s="1"/>
      <c r="L879" s="74"/>
      <c r="M879" s="633"/>
      <c r="N879" s="274"/>
      <c r="O879" s="94"/>
      <c r="P879" s="94"/>
      <c r="Q879" s="94"/>
      <c r="R879" s="94"/>
      <c r="S879" s="94"/>
      <c r="V879" s="30"/>
      <c r="W879" s="30"/>
      <c r="X879" s="1"/>
      <c r="Y879" s="95"/>
      <c r="Z879" s="1"/>
      <c r="AA879" s="94"/>
      <c r="AB879" s="1"/>
      <c r="AC879" s="1"/>
      <c r="AD879" s="1"/>
      <c r="AE879" s="30"/>
      <c r="AF879" s="633"/>
      <c r="AG879" s="94"/>
      <c r="AH879" s="94"/>
      <c r="AI879" s="94"/>
      <c r="AJ879" s="94"/>
      <c r="AK879" s="94"/>
      <c r="AL879" s="94"/>
    </row>
    <row r="880" spans="3:38">
      <c r="C880" s="30"/>
      <c r="F880" s="95"/>
      <c r="G880" s="1"/>
      <c r="H880" s="94"/>
      <c r="I880" s="90"/>
      <c r="J880" s="90"/>
      <c r="K880" s="1"/>
      <c r="L880" s="74"/>
      <c r="M880" s="633"/>
      <c r="N880" s="274"/>
      <c r="O880" s="94"/>
      <c r="P880" s="94"/>
      <c r="Q880" s="94"/>
      <c r="R880" s="94"/>
      <c r="S880" s="94"/>
      <c r="V880" s="30"/>
      <c r="W880" s="30"/>
      <c r="X880" s="1"/>
      <c r="Y880" s="95"/>
      <c r="Z880" s="1"/>
      <c r="AA880" s="94"/>
      <c r="AB880" s="1"/>
      <c r="AC880" s="1"/>
      <c r="AD880" s="1"/>
      <c r="AE880" s="30"/>
      <c r="AF880" s="633"/>
      <c r="AG880" s="94"/>
      <c r="AH880" s="94"/>
      <c r="AI880" s="94"/>
      <c r="AJ880" s="94"/>
      <c r="AK880" s="94"/>
      <c r="AL880" s="94"/>
    </row>
    <row r="881" spans="3:38">
      <c r="C881" s="30"/>
      <c r="F881" s="95"/>
      <c r="G881" s="1"/>
      <c r="H881" s="94"/>
      <c r="I881" s="90"/>
      <c r="J881" s="90"/>
      <c r="K881" s="1"/>
      <c r="L881" s="74"/>
      <c r="M881" s="633"/>
      <c r="N881" s="274"/>
      <c r="O881" s="94"/>
      <c r="P881" s="94"/>
      <c r="Q881" s="94"/>
      <c r="R881" s="94"/>
      <c r="S881" s="94"/>
      <c r="V881" s="30"/>
      <c r="W881" s="30"/>
      <c r="X881" s="1"/>
      <c r="Y881" s="95"/>
      <c r="Z881" s="1"/>
      <c r="AA881" s="94"/>
      <c r="AB881" s="1"/>
      <c r="AC881" s="1"/>
      <c r="AD881" s="1"/>
      <c r="AE881" s="30"/>
      <c r="AF881" s="633"/>
      <c r="AG881" s="94"/>
      <c r="AH881" s="94"/>
      <c r="AI881" s="94"/>
      <c r="AJ881" s="94"/>
      <c r="AK881" s="94"/>
      <c r="AL881" s="94"/>
    </row>
    <row r="882" spans="3:38">
      <c r="C882" s="30"/>
      <c r="F882" s="95"/>
      <c r="G882" s="1"/>
      <c r="H882" s="94"/>
      <c r="I882" s="90"/>
      <c r="J882" s="90"/>
      <c r="K882" s="1"/>
      <c r="L882" s="74"/>
      <c r="M882" s="633"/>
      <c r="N882" s="274"/>
      <c r="O882" s="94"/>
      <c r="P882" s="94"/>
      <c r="Q882" s="94"/>
      <c r="R882" s="94"/>
      <c r="S882" s="94"/>
      <c r="V882" s="30"/>
      <c r="W882" s="30"/>
      <c r="X882" s="1"/>
      <c r="Y882" s="95"/>
      <c r="Z882" s="1"/>
      <c r="AA882" s="94"/>
      <c r="AB882" s="1"/>
      <c r="AC882" s="1"/>
      <c r="AD882" s="1"/>
      <c r="AE882" s="30"/>
      <c r="AF882" s="633"/>
      <c r="AG882" s="94"/>
      <c r="AH882" s="94"/>
      <c r="AI882" s="94"/>
      <c r="AJ882" s="94"/>
      <c r="AK882" s="94"/>
      <c r="AL882" s="94"/>
    </row>
    <row r="883" spans="3:38">
      <c r="C883" s="30"/>
      <c r="F883" s="95"/>
      <c r="G883" s="1"/>
      <c r="H883" s="94"/>
      <c r="I883" s="90"/>
      <c r="J883" s="90"/>
      <c r="K883" s="1"/>
      <c r="L883" s="74"/>
      <c r="M883" s="633"/>
      <c r="N883" s="274"/>
      <c r="O883" s="94"/>
      <c r="P883" s="94"/>
      <c r="Q883" s="94"/>
      <c r="R883" s="94"/>
      <c r="S883" s="94"/>
      <c r="V883" s="30"/>
      <c r="W883" s="30"/>
      <c r="X883" s="1"/>
      <c r="Y883" s="95"/>
      <c r="Z883" s="1"/>
      <c r="AA883" s="94"/>
      <c r="AB883" s="1"/>
      <c r="AC883" s="1"/>
      <c r="AD883" s="1"/>
      <c r="AE883" s="30"/>
      <c r="AF883" s="633"/>
      <c r="AG883" s="94"/>
      <c r="AH883" s="94"/>
      <c r="AI883" s="94"/>
      <c r="AJ883" s="94"/>
      <c r="AK883" s="94"/>
      <c r="AL883" s="94"/>
    </row>
    <row r="884" spans="3:38">
      <c r="C884" s="30"/>
      <c r="F884" s="95"/>
      <c r="G884" s="1"/>
      <c r="H884" s="94"/>
      <c r="I884" s="90"/>
      <c r="J884" s="90"/>
      <c r="K884" s="1"/>
      <c r="L884" s="74"/>
      <c r="M884" s="633"/>
      <c r="N884" s="274"/>
      <c r="O884" s="94"/>
      <c r="P884" s="94"/>
      <c r="Q884" s="94"/>
      <c r="R884" s="94"/>
      <c r="S884" s="94"/>
      <c r="V884" s="30"/>
      <c r="W884" s="30"/>
      <c r="X884" s="1"/>
      <c r="Y884" s="95"/>
      <c r="Z884" s="1"/>
      <c r="AA884" s="94"/>
      <c r="AB884" s="1"/>
      <c r="AC884" s="1"/>
      <c r="AD884" s="1"/>
      <c r="AE884" s="30"/>
      <c r="AF884" s="633"/>
      <c r="AG884" s="94"/>
      <c r="AH884" s="94"/>
      <c r="AI884" s="94"/>
      <c r="AJ884" s="94"/>
      <c r="AK884" s="94"/>
      <c r="AL884" s="94"/>
    </row>
    <row r="885" spans="3:38">
      <c r="C885" s="30"/>
      <c r="F885" s="95"/>
      <c r="G885" s="1"/>
      <c r="H885" s="94"/>
      <c r="I885" s="90"/>
      <c r="J885" s="90"/>
      <c r="K885" s="1"/>
      <c r="L885" s="74"/>
      <c r="M885" s="633"/>
      <c r="N885" s="274"/>
      <c r="O885" s="94"/>
      <c r="P885" s="94"/>
      <c r="Q885" s="94"/>
      <c r="R885" s="94"/>
      <c r="S885" s="94"/>
      <c r="V885" s="30"/>
      <c r="W885" s="30"/>
      <c r="X885" s="1"/>
      <c r="Y885" s="95"/>
      <c r="Z885" s="1"/>
      <c r="AA885" s="94"/>
      <c r="AB885" s="1"/>
      <c r="AC885" s="1"/>
      <c r="AD885" s="1"/>
      <c r="AE885" s="30"/>
      <c r="AF885" s="633"/>
      <c r="AG885" s="94"/>
      <c r="AH885" s="94"/>
      <c r="AI885" s="94"/>
      <c r="AJ885" s="94"/>
      <c r="AK885" s="94"/>
      <c r="AL885" s="94"/>
    </row>
    <row r="886" spans="3:38">
      <c r="C886" s="30"/>
      <c r="F886" s="95"/>
      <c r="G886" s="1"/>
      <c r="H886" s="94"/>
      <c r="I886" s="90"/>
      <c r="J886" s="90"/>
      <c r="K886" s="1"/>
      <c r="L886" s="74"/>
      <c r="M886" s="633"/>
      <c r="N886" s="274"/>
      <c r="O886" s="94"/>
      <c r="P886" s="94"/>
      <c r="Q886" s="94"/>
      <c r="R886" s="94"/>
      <c r="S886" s="94"/>
      <c r="V886" s="30"/>
      <c r="W886" s="30"/>
      <c r="X886" s="1"/>
      <c r="Y886" s="95"/>
      <c r="Z886" s="1"/>
      <c r="AA886" s="94"/>
      <c r="AB886" s="1"/>
      <c r="AC886" s="1"/>
      <c r="AD886" s="1"/>
      <c r="AE886" s="30"/>
      <c r="AF886" s="633"/>
      <c r="AG886" s="94"/>
      <c r="AH886" s="94"/>
      <c r="AI886" s="94"/>
      <c r="AJ886" s="94"/>
      <c r="AK886" s="94"/>
      <c r="AL886" s="94"/>
    </row>
    <row r="887" spans="3:38">
      <c r="C887" s="30"/>
      <c r="F887" s="95"/>
      <c r="G887" s="1"/>
      <c r="H887" s="94"/>
      <c r="I887" s="90"/>
      <c r="J887" s="90"/>
      <c r="K887" s="1"/>
      <c r="L887" s="74"/>
      <c r="M887" s="633"/>
      <c r="N887" s="274"/>
      <c r="O887" s="94"/>
      <c r="P887" s="94"/>
      <c r="Q887" s="94"/>
      <c r="R887" s="94"/>
      <c r="S887" s="94"/>
      <c r="V887" s="30"/>
      <c r="W887" s="30"/>
      <c r="X887" s="1"/>
      <c r="Y887" s="95"/>
      <c r="Z887" s="1"/>
      <c r="AA887" s="94"/>
      <c r="AB887" s="1"/>
      <c r="AC887" s="1"/>
      <c r="AD887" s="1"/>
      <c r="AE887" s="30"/>
      <c r="AF887" s="633"/>
      <c r="AG887" s="94"/>
      <c r="AH887" s="94"/>
      <c r="AI887" s="94"/>
      <c r="AJ887" s="94"/>
      <c r="AK887" s="94"/>
      <c r="AL887" s="94"/>
    </row>
    <row r="888" spans="3:38">
      <c r="C888" s="30"/>
      <c r="F888" s="95"/>
      <c r="G888" s="1"/>
      <c r="H888" s="94"/>
      <c r="I888" s="90"/>
      <c r="J888" s="90"/>
      <c r="K888" s="1"/>
      <c r="L888" s="74"/>
      <c r="M888" s="633"/>
      <c r="N888" s="274"/>
      <c r="O888" s="94"/>
      <c r="P888" s="94"/>
      <c r="Q888" s="94"/>
      <c r="R888" s="94"/>
      <c r="S888" s="94"/>
      <c r="V888" s="30"/>
      <c r="W888" s="30"/>
      <c r="X888" s="1"/>
      <c r="Y888" s="95"/>
      <c r="Z888" s="1"/>
      <c r="AA888" s="94"/>
      <c r="AB888" s="1"/>
      <c r="AC888" s="1"/>
      <c r="AD888" s="1"/>
      <c r="AE888" s="30"/>
      <c r="AF888" s="633"/>
      <c r="AG888" s="94"/>
      <c r="AH888" s="94"/>
      <c r="AI888" s="94"/>
      <c r="AJ888" s="94"/>
      <c r="AK888" s="94"/>
      <c r="AL888" s="94"/>
    </row>
    <row r="889" spans="3:38">
      <c r="C889" s="30"/>
      <c r="F889" s="95"/>
      <c r="G889" s="1"/>
      <c r="H889" s="94"/>
      <c r="I889" s="90"/>
      <c r="J889" s="90"/>
      <c r="K889" s="1"/>
      <c r="L889" s="74"/>
      <c r="M889" s="633"/>
      <c r="N889" s="274"/>
      <c r="O889" s="94"/>
      <c r="P889" s="94"/>
      <c r="Q889" s="94"/>
      <c r="R889" s="94"/>
      <c r="S889" s="94"/>
      <c r="V889" s="30"/>
      <c r="W889" s="30"/>
      <c r="X889" s="1"/>
      <c r="Y889" s="95"/>
      <c r="Z889" s="1"/>
      <c r="AA889" s="94"/>
      <c r="AB889" s="1"/>
      <c r="AC889" s="1"/>
      <c r="AD889" s="1"/>
      <c r="AE889" s="30"/>
      <c r="AF889" s="633"/>
      <c r="AG889" s="94"/>
      <c r="AH889" s="94"/>
      <c r="AI889" s="94"/>
      <c r="AJ889" s="94"/>
      <c r="AK889" s="94"/>
      <c r="AL889" s="94"/>
    </row>
    <row r="890" spans="3:38">
      <c r="C890" s="30"/>
      <c r="F890" s="95"/>
      <c r="G890" s="1"/>
      <c r="H890" s="94"/>
      <c r="I890" s="90"/>
      <c r="J890" s="90"/>
      <c r="K890" s="1"/>
      <c r="L890" s="74"/>
      <c r="M890" s="633"/>
      <c r="N890" s="274"/>
      <c r="O890" s="94"/>
      <c r="P890" s="94"/>
      <c r="Q890" s="94"/>
      <c r="R890" s="94"/>
      <c r="S890" s="94"/>
      <c r="V890" s="30"/>
      <c r="W890" s="30"/>
      <c r="X890" s="1"/>
      <c r="Y890" s="95"/>
      <c r="Z890" s="1"/>
      <c r="AA890" s="94"/>
      <c r="AB890" s="1"/>
      <c r="AC890" s="1"/>
      <c r="AD890" s="1"/>
      <c r="AE890" s="30"/>
      <c r="AF890" s="633"/>
      <c r="AG890" s="94"/>
      <c r="AH890" s="94"/>
      <c r="AI890" s="94"/>
      <c r="AJ890" s="94"/>
      <c r="AK890" s="94"/>
      <c r="AL890" s="94"/>
    </row>
    <row r="891" spans="3:38">
      <c r="C891" s="30"/>
      <c r="F891" s="95"/>
      <c r="G891" s="1"/>
      <c r="H891" s="94"/>
      <c r="I891" s="90"/>
      <c r="J891" s="90"/>
      <c r="K891" s="1"/>
      <c r="L891" s="74"/>
      <c r="M891" s="633"/>
      <c r="N891" s="274"/>
      <c r="O891" s="94"/>
      <c r="P891" s="94"/>
      <c r="Q891" s="94"/>
      <c r="R891" s="94"/>
      <c r="S891" s="94"/>
      <c r="V891" s="30"/>
      <c r="W891" s="30"/>
      <c r="X891" s="1"/>
      <c r="Y891" s="95"/>
      <c r="Z891" s="1"/>
      <c r="AA891" s="94"/>
      <c r="AB891" s="1"/>
      <c r="AC891" s="1"/>
      <c r="AD891" s="1"/>
      <c r="AE891" s="30"/>
      <c r="AF891" s="633"/>
      <c r="AG891" s="94"/>
      <c r="AH891" s="94"/>
      <c r="AI891" s="94"/>
      <c r="AJ891" s="94"/>
      <c r="AK891" s="94"/>
      <c r="AL891" s="94"/>
    </row>
    <row r="892" spans="3:38">
      <c r="C892" s="30"/>
      <c r="F892" s="95"/>
      <c r="G892" s="1"/>
      <c r="H892" s="94"/>
      <c r="I892" s="90"/>
      <c r="J892" s="90"/>
      <c r="K892" s="1"/>
      <c r="L892" s="74"/>
      <c r="M892" s="633"/>
      <c r="N892" s="274"/>
      <c r="O892" s="94"/>
      <c r="P892" s="94"/>
      <c r="Q892" s="94"/>
      <c r="R892" s="94"/>
      <c r="S892" s="94"/>
      <c r="V892" s="30"/>
      <c r="W892" s="30"/>
      <c r="X892" s="1"/>
      <c r="Y892" s="95"/>
      <c r="Z892" s="1"/>
      <c r="AA892" s="94"/>
      <c r="AB892" s="1"/>
      <c r="AC892" s="1"/>
      <c r="AD892" s="1"/>
      <c r="AE892" s="30"/>
      <c r="AF892" s="633"/>
      <c r="AG892" s="94"/>
      <c r="AH892" s="94"/>
      <c r="AI892" s="94"/>
      <c r="AJ892" s="94"/>
      <c r="AK892" s="94"/>
      <c r="AL892" s="94"/>
    </row>
    <row r="893" spans="3:38">
      <c r="C893" s="30"/>
      <c r="F893" s="95"/>
      <c r="G893" s="1"/>
      <c r="H893" s="94"/>
      <c r="I893" s="90"/>
      <c r="J893" s="90"/>
      <c r="K893" s="1"/>
      <c r="L893" s="74"/>
      <c r="M893" s="633"/>
      <c r="N893" s="274"/>
      <c r="O893" s="94"/>
      <c r="P893" s="94"/>
      <c r="Q893" s="94"/>
      <c r="R893" s="94"/>
      <c r="S893" s="94"/>
      <c r="V893" s="30"/>
      <c r="W893" s="30"/>
      <c r="X893" s="1"/>
      <c r="Y893" s="95"/>
      <c r="Z893" s="1"/>
      <c r="AA893" s="94"/>
      <c r="AB893" s="1"/>
      <c r="AC893" s="1"/>
      <c r="AD893" s="1"/>
      <c r="AE893" s="30"/>
      <c r="AF893" s="633"/>
      <c r="AG893" s="94"/>
      <c r="AH893" s="94"/>
      <c r="AI893" s="94"/>
      <c r="AJ893" s="94"/>
      <c r="AK893" s="94"/>
      <c r="AL893" s="94"/>
    </row>
    <row r="894" spans="3:38">
      <c r="C894" s="30"/>
      <c r="F894" s="95"/>
      <c r="G894" s="1"/>
      <c r="H894" s="94"/>
      <c r="I894" s="90"/>
      <c r="J894" s="90"/>
      <c r="K894" s="1"/>
      <c r="L894" s="74"/>
      <c r="M894" s="633"/>
      <c r="N894" s="274"/>
      <c r="O894" s="94"/>
      <c r="P894" s="94"/>
      <c r="Q894" s="94"/>
      <c r="R894" s="94"/>
      <c r="S894" s="94"/>
      <c r="V894" s="30"/>
      <c r="W894" s="30"/>
      <c r="X894" s="1"/>
      <c r="Y894" s="95"/>
      <c r="Z894" s="1"/>
      <c r="AA894" s="94"/>
      <c r="AB894" s="1"/>
      <c r="AC894" s="1"/>
      <c r="AD894" s="1"/>
      <c r="AE894" s="30"/>
      <c r="AF894" s="633"/>
      <c r="AG894" s="94"/>
      <c r="AH894" s="94"/>
      <c r="AI894" s="94"/>
      <c r="AJ894" s="94"/>
      <c r="AK894" s="94"/>
      <c r="AL894" s="94"/>
    </row>
    <row r="895" spans="3:38">
      <c r="C895" s="30"/>
      <c r="F895" s="95"/>
      <c r="G895" s="1"/>
      <c r="H895" s="94"/>
      <c r="I895" s="90"/>
      <c r="J895" s="90"/>
      <c r="K895" s="1"/>
      <c r="L895" s="74"/>
      <c r="M895" s="633"/>
      <c r="N895" s="274"/>
      <c r="O895" s="94"/>
      <c r="P895" s="94"/>
      <c r="Q895" s="94"/>
      <c r="R895" s="94"/>
      <c r="S895" s="94"/>
      <c r="V895" s="30"/>
      <c r="W895" s="30"/>
      <c r="X895" s="1"/>
      <c r="Y895" s="95"/>
      <c r="Z895" s="1"/>
      <c r="AA895" s="94"/>
      <c r="AB895" s="1"/>
      <c r="AC895" s="1"/>
      <c r="AD895" s="1"/>
      <c r="AE895" s="30"/>
      <c r="AF895" s="633"/>
      <c r="AG895" s="94"/>
      <c r="AH895" s="94"/>
      <c r="AI895" s="94"/>
      <c r="AJ895" s="94"/>
      <c r="AK895" s="94"/>
      <c r="AL895" s="94"/>
    </row>
    <row r="896" spans="3:38">
      <c r="C896" s="30"/>
      <c r="F896" s="95"/>
      <c r="G896" s="1"/>
      <c r="H896" s="94"/>
      <c r="I896" s="90"/>
      <c r="J896" s="90"/>
      <c r="K896" s="1"/>
      <c r="L896" s="74"/>
      <c r="M896" s="633"/>
      <c r="N896" s="274"/>
      <c r="O896" s="94"/>
      <c r="P896" s="94"/>
      <c r="Q896" s="94"/>
      <c r="R896" s="94"/>
      <c r="S896" s="94"/>
      <c r="V896" s="30"/>
      <c r="W896" s="30"/>
      <c r="X896" s="1"/>
      <c r="Y896" s="95"/>
      <c r="Z896" s="1"/>
      <c r="AA896" s="94"/>
      <c r="AB896" s="1"/>
      <c r="AC896" s="1"/>
      <c r="AD896" s="1"/>
      <c r="AE896" s="30"/>
      <c r="AF896" s="633"/>
      <c r="AG896" s="94"/>
      <c r="AH896" s="94"/>
      <c r="AI896" s="94"/>
      <c r="AJ896" s="94"/>
      <c r="AK896" s="94"/>
      <c r="AL896" s="94"/>
    </row>
    <row r="897" spans="3:38">
      <c r="C897" s="30"/>
      <c r="F897" s="95"/>
      <c r="G897" s="1"/>
      <c r="H897" s="94"/>
      <c r="I897" s="90"/>
      <c r="J897" s="90"/>
      <c r="K897" s="1"/>
      <c r="L897" s="74"/>
      <c r="M897" s="633"/>
      <c r="N897" s="274"/>
      <c r="O897" s="94"/>
      <c r="P897" s="94"/>
      <c r="Q897" s="94"/>
      <c r="R897" s="94"/>
      <c r="S897" s="94"/>
      <c r="V897" s="30"/>
      <c r="W897" s="30"/>
      <c r="X897" s="1"/>
      <c r="Y897" s="95"/>
      <c r="Z897" s="1"/>
      <c r="AA897" s="94"/>
      <c r="AB897" s="1"/>
      <c r="AC897" s="1"/>
      <c r="AD897" s="1"/>
      <c r="AE897" s="30"/>
      <c r="AF897" s="633"/>
      <c r="AG897" s="94"/>
      <c r="AH897" s="94"/>
      <c r="AI897" s="94"/>
      <c r="AJ897" s="94"/>
      <c r="AK897" s="94"/>
      <c r="AL897" s="94"/>
    </row>
    <row r="898" spans="3:38">
      <c r="C898" s="30"/>
      <c r="F898" s="95"/>
      <c r="G898" s="1"/>
      <c r="H898" s="94"/>
      <c r="I898" s="90"/>
      <c r="J898" s="90"/>
      <c r="K898" s="1"/>
      <c r="L898" s="74"/>
      <c r="M898" s="633"/>
      <c r="N898" s="274"/>
      <c r="O898" s="94"/>
      <c r="P898" s="94"/>
      <c r="Q898" s="94"/>
      <c r="R898" s="94"/>
      <c r="S898" s="94"/>
      <c r="V898" s="30"/>
      <c r="W898" s="30"/>
      <c r="X898" s="1"/>
      <c r="Y898" s="95"/>
      <c r="Z898" s="1"/>
      <c r="AA898" s="94"/>
      <c r="AB898" s="1"/>
      <c r="AC898" s="1"/>
      <c r="AD898" s="1"/>
      <c r="AE898" s="30"/>
      <c r="AF898" s="633"/>
      <c r="AG898" s="94"/>
      <c r="AH898" s="94"/>
      <c r="AI898" s="94"/>
      <c r="AJ898" s="94"/>
      <c r="AK898" s="94"/>
      <c r="AL898" s="94"/>
    </row>
    <row r="899" spans="3:38">
      <c r="C899" s="30"/>
      <c r="F899" s="95"/>
      <c r="G899" s="1"/>
      <c r="H899" s="94"/>
      <c r="I899" s="90"/>
      <c r="J899" s="90"/>
      <c r="K899" s="1"/>
      <c r="L899" s="74"/>
      <c r="M899" s="633"/>
      <c r="N899" s="274"/>
      <c r="O899" s="94"/>
      <c r="P899" s="94"/>
      <c r="Q899" s="94"/>
      <c r="R899" s="94"/>
      <c r="S899" s="94"/>
      <c r="V899" s="30"/>
      <c r="W899" s="30"/>
      <c r="X899" s="1"/>
      <c r="Y899" s="95"/>
      <c r="Z899" s="1"/>
      <c r="AA899" s="94"/>
      <c r="AB899" s="1"/>
      <c r="AC899" s="1"/>
      <c r="AD899" s="1"/>
      <c r="AE899" s="30"/>
      <c r="AF899" s="633"/>
      <c r="AG899" s="94"/>
      <c r="AH899" s="94"/>
      <c r="AI899" s="94"/>
      <c r="AJ899" s="94"/>
      <c r="AK899" s="94"/>
      <c r="AL899" s="94"/>
    </row>
    <row r="900" spans="3:38">
      <c r="C900" s="30"/>
      <c r="F900" s="95"/>
      <c r="G900" s="1"/>
      <c r="H900" s="94"/>
      <c r="I900" s="90"/>
      <c r="J900" s="90"/>
      <c r="K900" s="1"/>
      <c r="L900" s="74"/>
      <c r="M900" s="633"/>
      <c r="N900" s="274"/>
      <c r="O900" s="94"/>
      <c r="P900" s="94"/>
      <c r="Q900" s="94"/>
      <c r="R900" s="94"/>
      <c r="S900" s="94"/>
      <c r="V900" s="30"/>
      <c r="W900" s="30"/>
      <c r="X900" s="1"/>
      <c r="Y900" s="95"/>
      <c r="Z900" s="1"/>
      <c r="AA900" s="94"/>
      <c r="AB900" s="1"/>
      <c r="AC900" s="1"/>
      <c r="AD900" s="1"/>
      <c r="AE900" s="30"/>
      <c r="AF900" s="633"/>
      <c r="AG900" s="94"/>
      <c r="AH900" s="94"/>
      <c r="AI900" s="94"/>
      <c r="AJ900" s="94"/>
      <c r="AK900" s="94"/>
      <c r="AL900" s="94"/>
    </row>
    <row r="901" spans="3:38">
      <c r="C901" s="30"/>
      <c r="F901" s="95"/>
      <c r="G901" s="1"/>
      <c r="H901" s="94"/>
      <c r="I901" s="90"/>
      <c r="J901" s="90"/>
      <c r="K901" s="1"/>
      <c r="L901" s="74"/>
      <c r="M901" s="633"/>
      <c r="N901" s="274"/>
      <c r="O901" s="94"/>
      <c r="P901" s="94"/>
      <c r="Q901" s="94"/>
      <c r="R901" s="94"/>
      <c r="S901" s="94"/>
      <c r="V901" s="30"/>
      <c r="W901" s="30"/>
      <c r="X901" s="1"/>
      <c r="Y901" s="95"/>
      <c r="Z901" s="1"/>
      <c r="AA901" s="94"/>
      <c r="AB901" s="1"/>
      <c r="AC901" s="1"/>
      <c r="AD901" s="1"/>
      <c r="AE901" s="30"/>
      <c r="AF901" s="633"/>
      <c r="AG901" s="94"/>
      <c r="AH901" s="94"/>
      <c r="AI901" s="94"/>
      <c r="AJ901" s="94"/>
      <c r="AK901" s="94"/>
      <c r="AL901" s="94"/>
    </row>
    <row r="902" spans="3:38">
      <c r="C902" s="30"/>
      <c r="F902" s="95"/>
      <c r="G902" s="1"/>
      <c r="H902" s="94"/>
      <c r="I902" s="90"/>
      <c r="J902" s="90"/>
      <c r="K902" s="1"/>
      <c r="L902" s="74"/>
      <c r="M902" s="633"/>
      <c r="N902" s="274"/>
      <c r="O902" s="94"/>
      <c r="P902" s="94"/>
      <c r="Q902" s="94"/>
      <c r="R902" s="94"/>
      <c r="S902" s="94"/>
      <c r="V902" s="30"/>
      <c r="W902" s="30"/>
      <c r="X902" s="1"/>
      <c r="Y902" s="95"/>
      <c r="Z902" s="1"/>
      <c r="AA902" s="94"/>
      <c r="AB902" s="1"/>
      <c r="AC902" s="1"/>
      <c r="AD902" s="1"/>
      <c r="AE902" s="30"/>
      <c r="AF902" s="633"/>
      <c r="AG902" s="94"/>
      <c r="AH902" s="94"/>
      <c r="AI902" s="94"/>
      <c r="AJ902" s="94"/>
      <c r="AK902" s="94"/>
      <c r="AL902" s="94"/>
    </row>
    <row r="903" spans="3:38">
      <c r="C903" s="30"/>
      <c r="F903" s="95"/>
      <c r="G903" s="1"/>
      <c r="H903" s="94"/>
      <c r="I903" s="90"/>
      <c r="J903" s="90"/>
      <c r="K903" s="1"/>
      <c r="L903" s="74"/>
      <c r="M903" s="633"/>
      <c r="N903" s="274"/>
      <c r="O903" s="94"/>
      <c r="P903" s="94"/>
      <c r="Q903" s="94"/>
      <c r="R903" s="94"/>
      <c r="S903" s="94"/>
      <c r="V903" s="30"/>
      <c r="W903" s="30"/>
      <c r="X903" s="1"/>
      <c r="Y903" s="95"/>
      <c r="Z903" s="1"/>
      <c r="AA903" s="94"/>
      <c r="AB903" s="1"/>
      <c r="AC903" s="1"/>
      <c r="AD903" s="1"/>
      <c r="AE903" s="30"/>
      <c r="AF903" s="633"/>
      <c r="AG903" s="94"/>
      <c r="AH903" s="94"/>
      <c r="AI903" s="94"/>
      <c r="AJ903" s="94"/>
      <c r="AK903" s="94"/>
      <c r="AL903" s="94"/>
    </row>
    <row r="904" spans="3:38">
      <c r="C904" s="30"/>
      <c r="F904" s="95"/>
      <c r="G904" s="1"/>
      <c r="H904" s="94"/>
      <c r="I904" s="90"/>
      <c r="J904" s="90"/>
      <c r="K904" s="1"/>
      <c r="L904" s="74"/>
      <c r="M904" s="633"/>
      <c r="N904" s="274"/>
      <c r="O904" s="94"/>
      <c r="P904" s="94"/>
      <c r="Q904" s="94"/>
      <c r="R904" s="94"/>
      <c r="S904" s="94"/>
      <c r="V904" s="30"/>
      <c r="W904" s="30"/>
      <c r="X904" s="1"/>
      <c r="Y904" s="95"/>
      <c r="Z904" s="1"/>
      <c r="AA904" s="94"/>
      <c r="AB904" s="1"/>
      <c r="AC904" s="1"/>
      <c r="AD904" s="1"/>
      <c r="AE904" s="30"/>
      <c r="AF904" s="633"/>
      <c r="AG904" s="94"/>
      <c r="AH904" s="94"/>
      <c r="AI904" s="94"/>
      <c r="AJ904" s="94"/>
      <c r="AK904" s="94"/>
      <c r="AL904" s="94"/>
    </row>
    <row r="905" spans="3:38">
      <c r="C905" s="30"/>
      <c r="F905" s="95"/>
      <c r="G905" s="1"/>
      <c r="H905" s="94"/>
      <c r="I905" s="90"/>
      <c r="J905" s="90"/>
      <c r="K905" s="1"/>
      <c r="L905" s="74"/>
      <c r="M905" s="633"/>
      <c r="N905" s="274"/>
      <c r="O905" s="94"/>
      <c r="P905" s="94"/>
      <c r="Q905" s="94"/>
      <c r="R905" s="94"/>
      <c r="S905" s="94"/>
      <c r="V905" s="30"/>
      <c r="W905" s="30"/>
      <c r="X905" s="1"/>
      <c r="Y905" s="95"/>
      <c r="Z905" s="1"/>
      <c r="AA905" s="94"/>
      <c r="AB905" s="1"/>
      <c r="AC905" s="1"/>
      <c r="AD905" s="1"/>
      <c r="AE905" s="30"/>
      <c r="AF905" s="633"/>
      <c r="AG905" s="94"/>
      <c r="AH905" s="94"/>
      <c r="AI905" s="94"/>
      <c r="AJ905" s="94"/>
      <c r="AK905" s="94"/>
      <c r="AL905" s="94"/>
    </row>
    <row r="906" spans="3:38">
      <c r="C906" s="30"/>
      <c r="F906" s="95"/>
      <c r="G906" s="1"/>
      <c r="H906" s="94"/>
      <c r="I906" s="90"/>
      <c r="J906" s="90"/>
      <c r="K906" s="1"/>
      <c r="L906" s="74"/>
      <c r="M906" s="633"/>
      <c r="N906" s="274"/>
      <c r="O906" s="94"/>
      <c r="P906" s="94"/>
      <c r="Q906" s="94"/>
      <c r="R906" s="94"/>
      <c r="S906" s="94"/>
      <c r="V906" s="30"/>
      <c r="W906" s="30"/>
      <c r="X906" s="1"/>
      <c r="Y906" s="95"/>
      <c r="Z906" s="1"/>
      <c r="AA906" s="94"/>
      <c r="AB906" s="1"/>
      <c r="AC906" s="1"/>
      <c r="AD906" s="1"/>
      <c r="AE906" s="30"/>
      <c r="AF906" s="633"/>
      <c r="AG906" s="94"/>
      <c r="AH906" s="94"/>
      <c r="AI906" s="94"/>
      <c r="AJ906" s="94"/>
      <c r="AK906" s="94"/>
      <c r="AL906" s="94"/>
    </row>
    <row r="907" spans="3:38">
      <c r="C907" s="30"/>
      <c r="F907" s="95"/>
      <c r="G907" s="1"/>
      <c r="H907" s="94"/>
      <c r="I907" s="90"/>
      <c r="J907" s="90"/>
      <c r="K907" s="1"/>
      <c r="L907" s="74"/>
      <c r="M907" s="633"/>
      <c r="N907" s="274"/>
      <c r="O907" s="94"/>
      <c r="P907" s="94"/>
      <c r="Q907" s="94"/>
      <c r="R907" s="94"/>
      <c r="S907" s="94"/>
      <c r="V907" s="30"/>
      <c r="W907" s="30"/>
      <c r="X907" s="1"/>
      <c r="Y907" s="95"/>
      <c r="Z907" s="1"/>
      <c r="AA907" s="94"/>
      <c r="AB907" s="1"/>
      <c r="AC907" s="1"/>
      <c r="AD907" s="1"/>
      <c r="AE907" s="30"/>
      <c r="AF907" s="633"/>
      <c r="AG907" s="94"/>
      <c r="AH907" s="94"/>
      <c r="AI907" s="94"/>
      <c r="AJ907" s="94"/>
      <c r="AK907" s="94"/>
      <c r="AL907" s="94"/>
    </row>
    <row r="908" spans="3:38">
      <c r="C908" s="30"/>
      <c r="F908" s="95"/>
      <c r="G908" s="1"/>
      <c r="H908" s="94"/>
      <c r="I908" s="90"/>
      <c r="J908" s="90"/>
      <c r="K908" s="1"/>
      <c r="L908" s="74"/>
      <c r="M908" s="633"/>
      <c r="N908" s="274"/>
      <c r="O908" s="94"/>
      <c r="P908" s="94"/>
      <c r="Q908" s="94"/>
      <c r="R908" s="94"/>
      <c r="S908" s="94"/>
      <c r="V908" s="30"/>
      <c r="W908" s="30"/>
      <c r="X908" s="1"/>
      <c r="Y908" s="95"/>
      <c r="Z908" s="1"/>
      <c r="AA908" s="94"/>
      <c r="AB908" s="1"/>
      <c r="AC908" s="1"/>
      <c r="AD908" s="1"/>
      <c r="AE908" s="30"/>
      <c r="AF908" s="633"/>
      <c r="AG908" s="94"/>
      <c r="AH908" s="94"/>
      <c r="AI908" s="94"/>
      <c r="AJ908" s="94"/>
      <c r="AK908" s="94"/>
      <c r="AL908" s="94"/>
    </row>
    <row r="909" spans="3:38">
      <c r="C909" s="30"/>
      <c r="F909" s="95"/>
      <c r="G909" s="1"/>
      <c r="H909" s="94"/>
      <c r="I909" s="90"/>
      <c r="J909" s="90"/>
      <c r="K909" s="1"/>
      <c r="L909" s="74"/>
      <c r="M909" s="633"/>
      <c r="N909" s="274"/>
      <c r="O909" s="94"/>
      <c r="P909" s="94"/>
      <c r="Q909" s="94"/>
      <c r="R909" s="94"/>
      <c r="S909" s="94"/>
      <c r="V909" s="30"/>
      <c r="W909" s="30"/>
      <c r="X909" s="1"/>
      <c r="Y909" s="95"/>
      <c r="Z909" s="1"/>
      <c r="AA909" s="94"/>
      <c r="AB909" s="1"/>
      <c r="AC909" s="1"/>
      <c r="AD909" s="1"/>
      <c r="AE909" s="30"/>
      <c r="AF909" s="633"/>
      <c r="AG909" s="94"/>
      <c r="AH909" s="94"/>
      <c r="AI909" s="94"/>
      <c r="AJ909" s="94"/>
      <c r="AK909" s="94"/>
      <c r="AL909" s="94"/>
    </row>
    <row r="910" spans="3:38">
      <c r="C910" s="30"/>
      <c r="F910" s="95"/>
      <c r="G910" s="1"/>
      <c r="H910" s="94"/>
      <c r="I910" s="90"/>
      <c r="J910" s="90"/>
      <c r="K910" s="1"/>
      <c r="L910" s="74"/>
      <c r="M910" s="633"/>
      <c r="N910" s="274"/>
      <c r="O910" s="94"/>
      <c r="P910" s="94"/>
      <c r="Q910" s="94"/>
      <c r="R910" s="94"/>
      <c r="S910" s="94"/>
      <c r="V910" s="30"/>
      <c r="W910" s="30"/>
      <c r="X910" s="1"/>
      <c r="Y910" s="95"/>
      <c r="Z910" s="1"/>
      <c r="AA910" s="94"/>
      <c r="AB910" s="1"/>
      <c r="AC910" s="1"/>
      <c r="AD910" s="1"/>
      <c r="AE910" s="30"/>
      <c r="AF910" s="633"/>
      <c r="AG910" s="94"/>
      <c r="AH910" s="94"/>
      <c r="AI910" s="94"/>
      <c r="AJ910" s="94"/>
      <c r="AK910" s="94"/>
      <c r="AL910" s="94"/>
    </row>
    <row r="911" spans="3:38">
      <c r="C911" s="30"/>
      <c r="F911" s="95"/>
      <c r="G911" s="1"/>
      <c r="H911" s="94"/>
      <c r="I911" s="90"/>
      <c r="J911" s="90"/>
      <c r="K911" s="1"/>
      <c r="L911" s="74"/>
      <c r="M911" s="633"/>
      <c r="N911" s="274"/>
      <c r="O911" s="94"/>
      <c r="P911" s="94"/>
      <c r="Q911" s="94"/>
      <c r="R911" s="94"/>
      <c r="S911" s="94"/>
      <c r="V911" s="30"/>
      <c r="W911" s="30"/>
      <c r="X911" s="1"/>
      <c r="Y911" s="95"/>
      <c r="Z911" s="1"/>
      <c r="AA911" s="94"/>
      <c r="AB911" s="1"/>
      <c r="AC911" s="1"/>
      <c r="AD911" s="1"/>
      <c r="AE911" s="30"/>
      <c r="AF911" s="633"/>
      <c r="AG911" s="94"/>
      <c r="AH911" s="94"/>
      <c r="AI911" s="94"/>
      <c r="AJ911" s="94"/>
      <c r="AK911" s="94"/>
      <c r="AL911" s="94"/>
    </row>
    <row r="912" spans="3:38">
      <c r="C912" s="30"/>
      <c r="F912" s="95"/>
      <c r="G912" s="1"/>
      <c r="H912" s="94"/>
      <c r="I912" s="90"/>
      <c r="J912" s="90"/>
      <c r="K912" s="1"/>
      <c r="L912" s="74"/>
      <c r="M912" s="633"/>
      <c r="N912" s="274"/>
      <c r="O912" s="94"/>
      <c r="P912" s="94"/>
      <c r="Q912" s="94"/>
      <c r="R912" s="94"/>
      <c r="S912" s="94"/>
      <c r="V912" s="30"/>
      <c r="W912" s="30"/>
      <c r="X912" s="1"/>
      <c r="Y912" s="95"/>
      <c r="Z912" s="1"/>
      <c r="AA912" s="94"/>
      <c r="AB912" s="1"/>
      <c r="AC912" s="1"/>
      <c r="AD912" s="1"/>
      <c r="AE912" s="30"/>
      <c r="AF912" s="633"/>
      <c r="AG912" s="94"/>
      <c r="AH912" s="94"/>
      <c r="AI912" s="94"/>
      <c r="AJ912" s="94"/>
      <c r="AK912" s="94"/>
      <c r="AL912" s="94"/>
    </row>
    <row r="913" spans="3:38">
      <c r="C913" s="30"/>
      <c r="F913" s="95"/>
      <c r="G913" s="1"/>
      <c r="H913" s="94"/>
      <c r="I913" s="90"/>
      <c r="J913" s="90"/>
      <c r="K913" s="1"/>
      <c r="L913" s="74"/>
      <c r="M913" s="633"/>
      <c r="N913" s="274"/>
      <c r="O913" s="94"/>
      <c r="P913" s="94"/>
      <c r="Q913" s="94"/>
      <c r="R913" s="94"/>
      <c r="S913" s="94"/>
      <c r="V913" s="30"/>
      <c r="W913" s="30"/>
      <c r="X913" s="1"/>
      <c r="Y913" s="95"/>
      <c r="Z913" s="1"/>
      <c r="AA913" s="94"/>
      <c r="AB913" s="1"/>
      <c r="AC913" s="1"/>
      <c r="AD913" s="1"/>
      <c r="AE913" s="30"/>
      <c r="AF913" s="633"/>
      <c r="AG913" s="94"/>
      <c r="AH913" s="94"/>
      <c r="AI913" s="94"/>
      <c r="AJ913" s="94"/>
      <c r="AK913" s="94"/>
      <c r="AL913" s="94"/>
    </row>
    <row r="914" spans="3:38">
      <c r="C914" s="30"/>
      <c r="F914" s="95"/>
      <c r="G914" s="1"/>
      <c r="H914" s="94"/>
      <c r="I914" s="90"/>
      <c r="J914" s="90"/>
      <c r="K914" s="1"/>
      <c r="L914" s="74"/>
      <c r="M914" s="633"/>
      <c r="N914" s="274"/>
      <c r="O914" s="94"/>
      <c r="P914" s="94"/>
      <c r="Q914" s="94"/>
      <c r="R914" s="94"/>
      <c r="S914" s="94"/>
      <c r="V914" s="30"/>
      <c r="W914" s="30"/>
      <c r="X914" s="1"/>
      <c r="Y914" s="95"/>
      <c r="Z914" s="1"/>
      <c r="AA914" s="94"/>
      <c r="AB914" s="1"/>
      <c r="AC914" s="1"/>
      <c r="AD914" s="1"/>
      <c r="AE914" s="30"/>
      <c r="AF914" s="633"/>
      <c r="AG914" s="94"/>
      <c r="AH914" s="94"/>
      <c r="AI914" s="94"/>
      <c r="AJ914" s="94"/>
      <c r="AK914" s="94"/>
      <c r="AL914" s="94"/>
    </row>
    <row r="915" spans="3:38">
      <c r="C915" s="30"/>
      <c r="F915" s="95"/>
      <c r="G915" s="1"/>
      <c r="H915" s="94"/>
      <c r="I915" s="90"/>
      <c r="J915" s="90"/>
      <c r="K915" s="1"/>
      <c r="L915" s="74"/>
      <c r="M915" s="633"/>
      <c r="N915" s="274"/>
      <c r="O915" s="94"/>
      <c r="P915" s="94"/>
      <c r="Q915" s="94"/>
      <c r="R915" s="94"/>
      <c r="S915" s="94"/>
      <c r="V915" s="30"/>
      <c r="W915" s="30"/>
      <c r="X915" s="1"/>
      <c r="Y915" s="95"/>
      <c r="Z915" s="1"/>
      <c r="AA915" s="94"/>
      <c r="AB915" s="1"/>
      <c r="AC915" s="1"/>
      <c r="AD915" s="1"/>
      <c r="AE915" s="30"/>
      <c r="AF915" s="633"/>
      <c r="AG915" s="94"/>
      <c r="AH915" s="94"/>
      <c r="AI915" s="94"/>
      <c r="AJ915" s="94"/>
      <c r="AK915" s="94"/>
      <c r="AL915" s="94"/>
    </row>
    <row r="916" spans="3:38">
      <c r="C916" s="30"/>
      <c r="F916" s="95"/>
      <c r="G916" s="1"/>
      <c r="H916" s="94"/>
      <c r="I916" s="90"/>
      <c r="J916" s="90"/>
      <c r="K916" s="1"/>
      <c r="L916" s="74"/>
      <c r="M916" s="633"/>
      <c r="N916" s="274"/>
      <c r="O916" s="94"/>
      <c r="P916" s="94"/>
      <c r="Q916" s="94"/>
      <c r="R916" s="94"/>
      <c r="S916" s="94"/>
      <c r="V916" s="30"/>
      <c r="W916" s="30"/>
      <c r="X916" s="1"/>
      <c r="Y916" s="95"/>
      <c r="Z916" s="1"/>
      <c r="AA916" s="94"/>
      <c r="AB916" s="1"/>
      <c r="AC916" s="1"/>
      <c r="AD916" s="1"/>
      <c r="AE916" s="30"/>
      <c r="AF916" s="633"/>
      <c r="AG916" s="94"/>
      <c r="AH916" s="94"/>
      <c r="AI916" s="94"/>
      <c r="AJ916" s="94"/>
      <c r="AK916" s="94"/>
      <c r="AL916" s="94"/>
    </row>
    <row r="917" spans="3:38">
      <c r="C917" s="30"/>
      <c r="F917" s="95"/>
      <c r="G917" s="1"/>
      <c r="H917" s="94"/>
      <c r="I917" s="90"/>
      <c r="J917" s="90"/>
      <c r="K917" s="1"/>
      <c r="L917" s="74"/>
      <c r="M917" s="633"/>
      <c r="N917" s="274"/>
      <c r="O917" s="94"/>
      <c r="P917" s="94"/>
      <c r="Q917" s="94"/>
      <c r="R917" s="94"/>
      <c r="S917" s="94"/>
      <c r="V917" s="30"/>
      <c r="W917" s="30"/>
      <c r="X917" s="1"/>
      <c r="Y917" s="95"/>
      <c r="Z917" s="1"/>
      <c r="AA917" s="94"/>
      <c r="AB917" s="1"/>
      <c r="AC917" s="1"/>
      <c r="AD917" s="1"/>
      <c r="AE917" s="30"/>
      <c r="AF917" s="633"/>
      <c r="AG917" s="94"/>
      <c r="AH917" s="94"/>
      <c r="AI917" s="94"/>
      <c r="AJ917" s="94"/>
      <c r="AK917" s="94"/>
      <c r="AL917" s="94"/>
    </row>
    <row r="918" spans="3:38">
      <c r="C918" s="30"/>
      <c r="F918" s="95"/>
      <c r="G918" s="1"/>
      <c r="H918" s="94"/>
      <c r="I918" s="90"/>
      <c r="J918" s="90"/>
      <c r="K918" s="1"/>
      <c r="L918" s="74"/>
      <c r="M918" s="633"/>
      <c r="N918" s="274"/>
      <c r="O918" s="94"/>
      <c r="P918" s="94"/>
      <c r="Q918" s="94"/>
      <c r="R918" s="94"/>
      <c r="S918" s="94"/>
      <c r="V918" s="30"/>
      <c r="W918" s="30"/>
      <c r="X918" s="1"/>
      <c r="Y918" s="95"/>
      <c r="Z918" s="1"/>
      <c r="AA918" s="94"/>
      <c r="AB918" s="1"/>
      <c r="AC918" s="1"/>
      <c r="AD918" s="1"/>
      <c r="AE918" s="30"/>
      <c r="AF918" s="633"/>
      <c r="AG918" s="94"/>
      <c r="AH918" s="94"/>
      <c r="AI918" s="94"/>
      <c r="AJ918" s="94"/>
      <c r="AK918" s="94"/>
      <c r="AL918" s="94"/>
    </row>
    <row r="919" spans="3:38">
      <c r="C919" s="30"/>
      <c r="F919" s="95"/>
      <c r="G919" s="1"/>
      <c r="H919" s="94"/>
      <c r="I919" s="90"/>
      <c r="J919" s="90"/>
      <c r="K919" s="1"/>
      <c r="L919" s="74"/>
      <c r="M919" s="633"/>
      <c r="N919" s="274"/>
      <c r="O919" s="94"/>
      <c r="P919" s="94"/>
      <c r="Q919" s="94"/>
      <c r="R919" s="94"/>
      <c r="S919" s="94"/>
      <c r="V919" s="30"/>
      <c r="W919" s="30"/>
      <c r="X919" s="1"/>
      <c r="Y919" s="95"/>
      <c r="Z919" s="1"/>
      <c r="AA919" s="94"/>
      <c r="AB919" s="1"/>
      <c r="AC919" s="1"/>
      <c r="AD919" s="1"/>
      <c r="AE919" s="30"/>
      <c r="AF919" s="633"/>
      <c r="AG919" s="94"/>
      <c r="AH919" s="94"/>
      <c r="AI919" s="94"/>
      <c r="AJ919" s="94"/>
      <c r="AK919" s="94"/>
      <c r="AL919" s="94"/>
    </row>
    <row r="920" spans="3:38">
      <c r="C920" s="30"/>
      <c r="F920" s="95"/>
      <c r="G920" s="1"/>
      <c r="H920" s="94"/>
      <c r="I920" s="90"/>
      <c r="J920" s="90"/>
      <c r="K920" s="1"/>
      <c r="L920" s="74"/>
      <c r="M920" s="633"/>
      <c r="N920" s="274"/>
      <c r="O920" s="94"/>
      <c r="P920" s="94"/>
      <c r="Q920" s="94"/>
      <c r="R920" s="94"/>
      <c r="S920" s="94"/>
      <c r="V920" s="30"/>
      <c r="W920" s="30"/>
      <c r="X920" s="1"/>
      <c r="Y920" s="95"/>
      <c r="Z920" s="1"/>
      <c r="AA920" s="94"/>
      <c r="AB920" s="1"/>
      <c r="AC920" s="1"/>
      <c r="AD920" s="1"/>
      <c r="AE920" s="30"/>
      <c r="AF920" s="633"/>
      <c r="AG920" s="94"/>
      <c r="AH920" s="94"/>
      <c r="AI920" s="94"/>
      <c r="AJ920" s="94"/>
      <c r="AK920" s="94"/>
      <c r="AL920" s="94"/>
    </row>
    <row r="921" spans="3:38">
      <c r="C921" s="30"/>
      <c r="F921" s="95"/>
      <c r="G921" s="1"/>
      <c r="H921" s="94"/>
      <c r="I921" s="90"/>
      <c r="J921" s="90"/>
      <c r="K921" s="1"/>
      <c r="L921" s="74"/>
      <c r="M921" s="633"/>
      <c r="N921" s="274"/>
      <c r="O921" s="94"/>
      <c r="P921" s="94"/>
      <c r="Q921" s="94"/>
      <c r="R921" s="94"/>
      <c r="S921" s="94"/>
      <c r="V921" s="30"/>
      <c r="W921" s="30"/>
      <c r="X921" s="1"/>
      <c r="Y921" s="95"/>
      <c r="Z921" s="1"/>
      <c r="AA921" s="94"/>
      <c r="AB921" s="1"/>
      <c r="AC921" s="1"/>
      <c r="AD921" s="1"/>
      <c r="AE921" s="30"/>
      <c r="AF921" s="633"/>
      <c r="AG921" s="94"/>
      <c r="AH921" s="94"/>
      <c r="AI921" s="94"/>
      <c r="AJ921" s="94"/>
      <c r="AK921" s="94"/>
      <c r="AL921" s="94"/>
    </row>
    <row r="922" spans="3:38">
      <c r="C922" s="30"/>
      <c r="F922" s="95"/>
      <c r="G922" s="1"/>
      <c r="H922" s="94"/>
      <c r="I922" s="90"/>
      <c r="J922" s="90"/>
      <c r="K922" s="1"/>
      <c r="L922" s="74"/>
      <c r="M922" s="633"/>
      <c r="N922" s="274"/>
      <c r="O922" s="94"/>
      <c r="P922" s="94"/>
      <c r="Q922" s="94"/>
      <c r="R922" s="94"/>
      <c r="S922" s="94"/>
      <c r="V922" s="30"/>
      <c r="W922" s="30"/>
      <c r="X922" s="1"/>
      <c r="Y922" s="95"/>
      <c r="Z922" s="1"/>
      <c r="AA922" s="94"/>
      <c r="AB922" s="1"/>
      <c r="AC922" s="1"/>
      <c r="AD922" s="1"/>
      <c r="AE922" s="30"/>
      <c r="AF922" s="633"/>
      <c r="AG922" s="94"/>
      <c r="AH922" s="94"/>
      <c r="AI922" s="94"/>
      <c r="AJ922" s="94"/>
      <c r="AK922" s="94"/>
      <c r="AL922" s="94"/>
    </row>
    <row r="923" spans="3:38">
      <c r="C923" s="30"/>
      <c r="F923" s="95"/>
      <c r="G923" s="1"/>
      <c r="H923" s="94"/>
      <c r="I923" s="90"/>
      <c r="J923" s="90"/>
      <c r="K923" s="1"/>
      <c r="L923" s="74"/>
      <c r="M923" s="633"/>
      <c r="N923" s="274"/>
      <c r="O923" s="94"/>
      <c r="P923" s="94"/>
      <c r="Q923" s="94"/>
      <c r="R923" s="94"/>
      <c r="S923" s="94"/>
      <c r="V923" s="30"/>
      <c r="W923" s="30"/>
      <c r="X923" s="1"/>
      <c r="Y923" s="95"/>
      <c r="Z923" s="1"/>
      <c r="AA923" s="94"/>
      <c r="AB923" s="1"/>
      <c r="AC923" s="1"/>
      <c r="AD923" s="1"/>
      <c r="AE923" s="30"/>
      <c r="AF923" s="633"/>
      <c r="AG923" s="94"/>
      <c r="AH923" s="94"/>
      <c r="AI923" s="94"/>
      <c r="AJ923" s="94"/>
      <c r="AK923" s="94"/>
      <c r="AL923" s="94"/>
    </row>
    <row r="924" spans="3:38">
      <c r="C924" s="30"/>
      <c r="F924" s="95"/>
      <c r="G924" s="1"/>
      <c r="H924" s="94"/>
      <c r="I924" s="90"/>
      <c r="J924" s="90"/>
      <c r="K924" s="1"/>
      <c r="L924" s="74"/>
      <c r="M924" s="633"/>
      <c r="N924" s="274"/>
      <c r="O924" s="94"/>
      <c r="P924" s="94"/>
      <c r="Q924" s="94"/>
      <c r="R924" s="94"/>
      <c r="S924" s="94"/>
      <c r="V924" s="30"/>
      <c r="W924" s="30"/>
      <c r="X924" s="1"/>
      <c r="Y924" s="95"/>
      <c r="Z924" s="1"/>
      <c r="AA924" s="94"/>
      <c r="AB924" s="1"/>
      <c r="AC924" s="1"/>
      <c r="AD924" s="1"/>
      <c r="AE924" s="30"/>
      <c r="AF924" s="633"/>
      <c r="AG924" s="94"/>
      <c r="AH924" s="94"/>
      <c r="AI924" s="94"/>
      <c r="AJ924" s="94"/>
      <c r="AK924" s="94"/>
      <c r="AL924" s="94"/>
    </row>
    <row r="925" spans="3:38">
      <c r="C925" s="30"/>
      <c r="F925" s="95"/>
      <c r="G925" s="1"/>
      <c r="H925" s="94"/>
      <c r="I925" s="90"/>
      <c r="J925" s="90"/>
      <c r="K925" s="1"/>
      <c r="L925" s="74"/>
      <c r="M925" s="633"/>
      <c r="N925" s="274"/>
      <c r="O925" s="94"/>
      <c r="P925" s="94"/>
      <c r="Q925" s="94"/>
      <c r="R925" s="94"/>
      <c r="S925" s="94"/>
      <c r="V925" s="30"/>
      <c r="W925" s="30"/>
      <c r="X925" s="1"/>
      <c r="Y925" s="95"/>
      <c r="Z925" s="1"/>
      <c r="AA925" s="94"/>
      <c r="AB925" s="1"/>
      <c r="AC925" s="1"/>
      <c r="AD925" s="1"/>
      <c r="AE925" s="30"/>
      <c r="AF925" s="633"/>
      <c r="AG925" s="94"/>
      <c r="AH925" s="94"/>
      <c r="AI925" s="94"/>
      <c r="AJ925" s="94"/>
      <c r="AK925" s="94"/>
      <c r="AL925" s="94"/>
    </row>
    <row r="926" spans="3:38">
      <c r="C926" s="30"/>
      <c r="F926" s="95"/>
      <c r="G926" s="1"/>
      <c r="H926" s="94"/>
      <c r="I926" s="90"/>
      <c r="J926" s="90"/>
      <c r="K926" s="1"/>
      <c r="L926" s="74"/>
      <c r="M926" s="633"/>
      <c r="N926" s="274"/>
      <c r="O926" s="94"/>
      <c r="P926" s="94"/>
      <c r="Q926" s="94"/>
      <c r="R926" s="94"/>
      <c r="S926" s="94"/>
      <c r="V926" s="30"/>
      <c r="W926" s="30"/>
      <c r="X926" s="1"/>
      <c r="Y926" s="95"/>
      <c r="Z926" s="1"/>
      <c r="AA926" s="94"/>
      <c r="AB926" s="1"/>
      <c r="AC926" s="1"/>
      <c r="AD926" s="1"/>
      <c r="AE926" s="30"/>
      <c r="AF926" s="633"/>
      <c r="AG926" s="94"/>
      <c r="AH926" s="94"/>
      <c r="AI926" s="94"/>
      <c r="AJ926" s="94"/>
      <c r="AK926" s="94"/>
      <c r="AL926" s="94"/>
    </row>
    <row r="927" spans="3:38">
      <c r="C927" s="30"/>
      <c r="F927" s="95"/>
      <c r="G927" s="1"/>
      <c r="H927" s="94"/>
      <c r="I927" s="90"/>
      <c r="J927" s="90"/>
      <c r="K927" s="1"/>
      <c r="L927" s="74"/>
      <c r="M927" s="633"/>
      <c r="N927" s="274"/>
      <c r="O927" s="94"/>
      <c r="P927" s="94"/>
      <c r="Q927" s="94"/>
      <c r="R927" s="94"/>
      <c r="S927" s="94"/>
      <c r="V927" s="30"/>
      <c r="W927" s="30"/>
      <c r="X927" s="1"/>
      <c r="Y927" s="95"/>
      <c r="Z927" s="1"/>
      <c r="AA927" s="94"/>
      <c r="AB927" s="1"/>
      <c r="AC927" s="1"/>
      <c r="AD927" s="1"/>
      <c r="AE927" s="30"/>
      <c r="AF927" s="633"/>
      <c r="AG927" s="94"/>
      <c r="AH927" s="94"/>
      <c r="AI927" s="94"/>
      <c r="AJ927" s="94"/>
      <c r="AK927" s="94"/>
      <c r="AL927" s="94"/>
    </row>
    <row r="928" spans="3:38">
      <c r="C928" s="30"/>
      <c r="F928" s="95"/>
      <c r="G928" s="1"/>
      <c r="H928" s="94"/>
      <c r="I928" s="90"/>
      <c r="J928" s="90"/>
      <c r="K928" s="1"/>
      <c r="L928" s="74"/>
      <c r="M928" s="633"/>
      <c r="N928" s="274"/>
      <c r="O928" s="94"/>
      <c r="P928" s="94"/>
      <c r="Q928" s="94"/>
      <c r="R928" s="94"/>
      <c r="S928" s="94"/>
      <c r="V928" s="30"/>
      <c r="W928" s="30"/>
      <c r="X928" s="1"/>
      <c r="Y928" s="95"/>
      <c r="Z928" s="1"/>
      <c r="AA928" s="94"/>
      <c r="AB928" s="1"/>
      <c r="AC928" s="1"/>
      <c r="AD928" s="1"/>
      <c r="AE928" s="30"/>
      <c r="AF928" s="633"/>
      <c r="AG928" s="94"/>
      <c r="AH928" s="94"/>
      <c r="AI928" s="94"/>
      <c r="AJ928" s="94"/>
      <c r="AK928" s="94"/>
      <c r="AL928" s="94"/>
    </row>
    <row r="929" spans="3:38">
      <c r="C929" s="30"/>
      <c r="F929" s="95"/>
      <c r="G929" s="1"/>
      <c r="H929" s="94"/>
      <c r="I929" s="90"/>
      <c r="J929" s="90"/>
      <c r="K929" s="1"/>
      <c r="L929" s="74"/>
      <c r="M929" s="633"/>
      <c r="N929" s="274"/>
      <c r="O929" s="94"/>
      <c r="P929" s="94"/>
      <c r="Q929" s="94"/>
      <c r="R929" s="94"/>
      <c r="S929" s="94"/>
      <c r="V929" s="30"/>
      <c r="W929" s="30"/>
      <c r="X929" s="1"/>
      <c r="Y929" s="95"/>
      <c r="Z929" s="1"/>
      <c r="AA929" s="94"/>
      <c r="AB929" s="1"/>
      <c r="AC929" s="1"/>
      <c r="AD929" s="1"/>
      <c r="AE929" s="30"/>
      <c r="AF929" s="633"/>
      <c r="AG929" s="94"/>
      <c r="AH929" s="94"/>
      <c r="AI929" s="94"/>
      <c r="AJ929" s="94"/>
      <c r="AK929" s="94"/>
      <c r="AL929" s="94"/>
    </row>
    <row r="930" spans="3:38">
      <c r="C930" s="30"/>
      <c r="F930" s="95"/>
      <c r="G930" s="1"/>
      <c r="H930" s="94"/>
      <c r="I930" s="90"/>
      <c r="J930" s="90"/>
      <c r="K930" s="1"/>
      <c r="L930" s="74"/>
      <c r="M930" s="633"/>
      <c r="N930" s="274"/>
      <c r="O930" s="94"/>
      <c r="P930" s="94"/>
      <c r="Q930" s="94"/>
      <c r="R930" s="94"/>
      <c r="S930" s="94"/>
      <c r="V930" s="30"/>
      <c r="W930" s="30"/>
      <c r="X930" s="1"/>
      <c r="Y930" s="95"/>
      <c r="Z930" s="1"/>
      <c r="AA930" s="94"/>
      <c r="AB930" s="1"/>
      <c r="AC930" s="1"/>
      <c r="AD930" s="1"/>
      <c r="AE930" s="30"/>
      <c r="AF930" s="633"/>
      <c r="AG930" s="94"/>
      <c r="AH930" s="94"/>
      <c r="AI930" s="94"/>
      <c r="AJ930" s="94"/>
      <c r="AK930" s="94"/>
      <c r="AL930" s="94"/>
    </row>
    <row r="931" spans="3:38">
      <c r="C931" s="30"/>
      <c r="F931" s="95"/>
      <c r="G931" s="1"/>
      <c r="H931" s="94"/>
      <c r="I931" s="90"/>
      <c r="J931" s="90"/>
      <c r="K931" s="1"/>
      <c r="L931" s="74"/>
      <c r="M931" s="633"/>
      <c r="N931" s="274"/>
      <c r="O931" s="94"/>
      <c r="P931" s="94"/>
      <c r="Q931" s="94"/>
      <c r="R931" s="94"/>
      <c r="S931" s="94"/>
      <c r="V931" s="30"/>
      <c r="W931" s="30"/>
      <c r="X931" s="1"/>
      <c r="Y931" s="95"/>
      <c r="Z931" s="1"/>
      <c r="AA931" s="94"/>
      <c r="AB931" s="1"/>
      <c r="AC931" s="1"/>
      <c r="AD931" s="1"/>
      <c r="AE931" s="30"/>
      <c r="AF931" s="633"/>
      <c r="AG931" s="94"/>
      <c r="AH931" s="94"/>
      <c r="AI931" s="94"/>
      <c r="AJ931" s="94"/>
      <c r="AK931" s="94"/>
      <c r="AL931" s="94"/>
    </row>
    <row r="932" spans="3:38">
      <c r="C932" s="30"/>
      <c r="F932" s="95"/>
      <c r="G932" s="1"/>
      <c r="H932" s="94"/>
      <c r="I932" s="90"/>
      <c r="J932" s="90"/>
      <c r="K932" s="1"/>
      <c r="L932" s="74"/>
      <c r="M932" s="633"/>
      <c r="N932" s="274"/>
      <c r="O932" s="94"/>
      <c r="P932" s="94"/>
      <c r="Q932" s="94"/>
      <c r="R932" s="94"/>
      <c r="S932" s="94"/>
      <c r="V932" s="30"/>
      <c r="W932" s="30"/>
      <c r="X932" s="1"/>
      <c r="Y932" s="95"/>
      <c r="Z932" s="1"/>
      <c r="AA932" s="94"/>
      <c r="AB932" s="1"/>
      <c r="AC932" s="1"/>
      <c r="AD932" s="1"/>
      <c r="AE932" s="30"/>
      <c r="AF932" s="633"/>
      <c r="AG932" s="94"/>
      <c r="AH932" s="94"/>
      <c r="AI932" s="94"/>
      <c r="AJ932" s="94"/>
      <c r="AK932" s="94"/>
      <c r="AL932" s="94"/>
    </row>
    <row r="933" spans="3:38">
      <c r="C933" s="30"/>
      <c r="F933" s="95"/>
      <c r="G933" s="1"/>
      <c r="H933" s="94"/>
      <c r="I933" s="90"/>
      <c r="J933" s="90"/>
      <c r="K933" s="1"/>
      <c r="L933" s="74"/>
      <c r="M933" s="633"/>
      <c r="N933" s="274"/>
      <c r="O933" s="94"/>
      <c r="P933" s="94"/>
      <c r="Q933" s="94"/>
      <c r="R933" s="94"/>
      <c r="S933" s="94"/>
      <c r="V933" s="30"/>
      <c r="W933" s="30"/>
      <c r="X933" s="1"/>
      <c r="Y933" s="95"/>
      <c r="Z933" s="1"/>
      <c r="AA933" s="94"/>
      <c r="AB933" s="1"/>
      <c r="AC933" s="1"/>
      <c r="AD933" s="1"/>
      <c r="AE933" s="30"/>
      <c r="AF933" s="633"/>
      <c r="AG933" s="94"/>
      <c r="AH933" s="94"/>
      <c r="AI933" s="94"/>
      <c r="AJ933" s="94"/>
      <c r="AK933" s="94"/>
      <c r="AL933" s="94"/>
    </row>
    <row r="934" spans="3:38">
      <c r="C934" s="30"/>
      <c r="F934" s="95"/>
      <c r="G934" s="1"/>
      <c r="H934" s="94"/>
      <c r="I934" s="90"/>
      <c r="J934" s="90"/>
      <c r="K934" s="1"/>
      <c r="L934" s="74"/>
      <c r="M934" s="633"/>
      <c r="N934" s="274"/>
      <c r="O934" s="94"/>
      <c r="P934" s="94"/>
      <c r="Q934" s="94"/>
      <c r="R934" s="94"/>
      <c r="S934" s="94"/>
      <c r="V934" s="30"/>
      <c r="W934" s="30"/>
      <c r="X934" s="1"/>
      <c r="Y934" s="95"/>
      <c r="Z934" s="1"/>
      <c r="AA934" s="94"/>
      <c r="AB934" s="1"/>
      <c r="AC934" s="1"/>
      <c r="AD934" s="1"/>
      <c r="AE934" s="30"/>
      <c r="AF934" s="633"/>
      <c r="AG934" s="94"/>
      <c r="AH934" s="94"/>
      <c r="AI934" s="94"/>
      <c r="AJ934" s="94"/>
      <c r="AK934" s="94"/>
      <c r="AL934" s="94"/>
    </row>
    <row r="935" spans="3:38">
      <c r="C935" s="30"/>
      <c r="F935" s="95"/>
      <c r="G935" s="1"/>
      <c r="H935" s="94"/>
      <c r="I935" s="90"/>
      <c r="J935" s="90"/>
      <c r="K935" s="1"/>
      <c r="L935" s="74"/>
      <c r="M935" s="633"/>
      <c r="N935" s="274"/>
      <c r="O935" s="94"/>
      <c r="P935" s="94"/>
      <c r="Q935" s="94"/>
      <c r="R935" s="94"/>
      <c r="S935" s="94"/>
      <c r="V935" s="30"/>
      <c r="W935" s="30"/>
      <c r="X935" s="1"/>
      <c r="Y935" s="95"/>
      <c r="Z935" s="1"/>
      <c r="AA935" s="94"/>
      <c r="AB935" s="1"/>
      <c r="AC935" s="1"/>
      <c r="AD935" s="1"/>
      <c r="AE935" s="30"/>
      <c r="AF935" s="633"/>
      <c r="AG935" s="94"/>
      <c r="AH935" s="94"/>
      <c r="AI935" s="94"/>
      <c r="AJ935" s="94"/>
      <c r="AK935" s="94"/>
      <c r="AL935" s="94"/>
    </row>
    <row r="936" spans="3:38">
      <c r="C936" s="30"/>
      <c r="F936" s="95"/>
      <c r="G936" s="1"/>
      <c r="H936" s="94"/>
      <c r="I936" s="90"/>
      <c r="J936" s="90"/>
      <c r="K936" s="1"/>
      <c r="L936" s="74"/>
      <c r="M936" s="633"/>
      <c r="N936" s="274"/>
      <c r="O936" s="94"/>
      <c r="P936" s="94"/>
      <c r="Q936" s="94"/>
      <c r="R936" s="94"/>
      <c r="S936" s="94"/>
      <c r="V936" s="30"/>
      <c r="W936" s="30"/>
      <c r="X936" s="1"/>
      <c r="Y936" s="95"/>
      <c r="Z936" s="1"/>
      <c r="AA936" s="94"/>
      <c r="AB936" s="1"/>
      <c r="AC936" s="1"/>
      <c r="AD936" s="1"/>
      <c r="AE936" s="30"/>
      <c r="AF936" s="633"/>
      <c r="AG936" s="94"/>
      <c r="AH936" s="94"/>
      <c r="AI936" s="94"/>
      <c r="AJ936" s="94"/>
      <c r="AK936" s="94"/>
      <c r="AL936" s="94"/>
    </row>
    <row r="937" spans="3:38">
      <c r="C937" s="30"/>
      <c r="F937" s="95"/>
      <c r="G937" s="1"/>
      <c r="H937" s="94"/>
      <c r="I937" s="90"/>
      <c r="J937" s="90"/>
      <c r="K937" s="1"/>
      <c r="L937" s="74"/>
      <c r="M937" s="633"/>
      <c r="N937" s="274"/>
      <c r="O937" s="94"/>
      <c r="P937" s="94"/>
      <c r="Q937" s="94"/>
      <c r="R937" s="94"/>
      <c r="S937" s="94"/>
      <c r="V937" s="30"/>
      <c r="W937" s="30"/>
      <c r="X937" s="1"/>
      <c r="Y937" s="95"/>
      <c r="Z937" s="1"/>
      <c r="AA937" s="94"/>
      <c r="AB937" s="1"/>
      <c r="AC937" s="1"/>
      <c r="AD937" s="1"/>
      <c r="AE937" s="30"/>
      <c r="AF937" s="633"/>
      <c r="AG937" s="94"/>
      <c r="AH937" s="94"/>
      <c r="AI937" s="94"/>
      <c r="AJ937" s="94"/>
      <c r="AK937" s="94"/>
      <c r="AL937" s="94"/>
    </row>
    <row r="938" spans="3:38">
      <c r="C938" s="30"/>
      <c r="F938" s="95"/>
      <c r="G938" s="1"/>
      <c r="H938" s="94"/>
      <c r="I938" s="90"/>
      <c r="J938" s="90"/>
      <c r="K938" s="1"/>
      <c r="L938" s="74"/>
      <c r="M938" s="633"/>
      <c r="N938" s="274"/>
      <c r="O938" s="94"/>
      <c r="P938" s="94"/>
      <c r="Q938" s="94"/>
      <c r="R938" s="94"/>
      <c r="S938" s="94"/>
      <c r="V938" s="30"/>
      <c r="W938" s="30"/>
      <c r="X938" s="1"/>
      <c r="Y938" s="95"/>
      <c r="Z938" s="1"/>
      <c r="AA938" s="94"/>
      <c r="AB938" s="1"/>
      <c r="AC938" s="1"/>
      <c r="AD938" s="1"/>
      <c r="AE938" s="30"/>
      <c r="AF938" s="633"/>
      <c r="AG938" s="94"/>
      <c r="AH938" s="94"/>
      <c r="AI938" s="94"/>
      <c r="AJ938" s="94"/>
      <c r="AK938" s="94"/>
      <c r="AL938" s="94"/>
    </row>
    <row r="939" spans="3:38">
      <c r="C939" s="30"/>
      <c r="F939" s="95"/>
      <c r="G939" s="1"/>
      <c r="H939" s="94"/>
      <c r="I939" s="90"/>
      <c r="J939" s="90"/>
      <c r="K939" s="1"/>
      <c r="L939" s="74"/>
      <c r="M939" s="633"/>
      <c r="N939" s="274"/>
      <c r="O939" s="94"/>
      <c r="P939" s="94"/>
      <c r="Q939" s="94"/>
      <c r="R939" s="94"/>
      <c r="S939" s="94"/>
      <c r="V939" s="30"/>
      <c r="W939" s="30"/>
      <c r="X939" s="1"/>
      <c r="Y939" s="95"/>
      <c r="Z939" s="1"/>
      <c r="AA939" s="94"/>
      <c r="AB939" s="1"/>
      <c r="AC939" s="1"/>
      <c r="AD939" s="1"/>
      <c r="AE939" s="30"/>
      <c r="AF939" s="633"/>
      <c r="AG939" s="94"/>
      <c r="AH939" s="94"/>
      <c r="AI939" s="94"/>
      <c r="AJ939" s="94"/>
      <c r="AK939" s="94"/>
      <c r="AL939" s="94"/>
    </row>
    <row r="940" spans="3:38">
      <c r="C940" s="30"/>
      <c r="F940" s="95"/>
      <c r="G940" s="1"/>
      <c r="H940" s="94"/>
      <c r="I940" s="90"/>
      <c r="J940" s="90"/>
      <c r="K940" s="1"/>
      <c r="L940" s="74"/>
      <c r="M940" s="633"/>
      <c r="N940" s="274"/>
      <c r="O940" s="94"/>
      <c r="P940" s="94"/>
      <c r="Q940" s="94"/>
      <c r="R940" s="94"/>
      <c r="S940" s="94"/>
      <c r="V940" s="30"/>
      <c r="W940" s="30"/>
      <c r="X940" s="1"/>
      <c r="Y940" s="95"/>
      <c r="Z940" s="1"/>
      <c r="AA940" s="94"/>
      <c r="AB940" s="1"/>
      <c r="AC940" s="1"/>
      <c r="AD940" s="1"/>
      <c r="AE940" s="30"/>
      <c r="AF940" s="633"/>
      <c r="AG940" s="94"/>
      <c r="AH940" s="94"/>
      <c r="AI940" s="94"/>
      <c r="AJ940" s="94"/>
      <c r="AK940" s="94"/>
      <c r="AL940" s="94"/>
    </row>
    <row r="941" spans="3:38">
      <c r="C941" s="30"/>
      <c r="F941" s="95"/>
      <c r="G941" s="1"/>
      <c r="H941" s="94"/>
      <c r="I941" s="90"/>
      <c r="J941" s="90"/>
      <c r="K941" s="1"/>
      <c r="L941" s="74"/>
      <c r="M941" s="633"/>
      <c r="N941" s="274"/>
      <c r="O941" s="94"/>
      <c r="P941" s="94"/>
      <c r="Q941" s="94"/>
      <c r="R941" s="94"/>
      <c r="S941" s="94"/>
      <c r="V941" s="30"/>
      <c r="W941" s="30"/>
      <c r="X941" s="1"/>
      <c r="Y941" s="95"/>
      <c r="Z941" s="1"/>
      <c r="AA941" s="94"/>
      <c r="AB941" s="1"/>
      <c r="AC941" s="1"/>
      <c r="AD941" s="1"/>
      <c r="AE941" s="30"/>
      <c r="AF941" s="633"/>
      <c r="AG941" s="94"/>
      <c r="AH941" s="94"/>
      <c r="AI941" s="94"/>
      <c r="AJ941" s="94"/>
      <c r="AK941" s="94"/>
      <c r="AL941" s="94"/>
    </row>
    <row r="942" spans="3:38">
      <c r="C942" s="30"/>
      <c r="F942" s="95"/>
      <c r="G942" s="1"/>
      <c r="H942" s="94"/>
      <c r="I942" s="90"/>
      <c r="J942" s="90"/>
      <c r="K942" s="1"/>
      <c r="L942" s="74"/>
      <c r="M942" s="633"/>
      <c r="N942" s="274"/>
      <c r="O942" s="94"/>
      <c r="P942" s="94"/>
      <c r="Q942" s="94"/>
      <c r="R942" s="94"/>
      <c r="S942" s="94"/>
      <c r="V942" s="30"/>
      <c r="W942" s="30"/>
      <c r="X942" s="1"/>
      <c r="Y942" s="95"/>
      <c r="Z942" s="1"/>
      <c r="AA942" s="94"/>
      <c r="AB942" s="1"/>
      <c r="AC942" s="1"/>
      <c r="AD942" s="1"/>
      <c r="AE942" s="30"/>
      <c r="AF942" s="633"/>
      <c r="AG942" s="94"/>
      <c r="AH942" s="94"/>
      <c r="AI942" s="94"/>
      <c r="AJ942" s="94"/>
      <c r="AK942" s="94"/>
      <c r="AL942" s="94"/>
    </row>
    <row r="943" spans="3:38">
      <c r="C943" s="30"/>
      <c r="F943" s="95"/>
      <c r="G943" s="1"/>
      <c r="H943" s="94"/>
      <c r="I943" s="90"/>
      <c r="J943" s="90"/>
      <c r="K943" s="1"/>
      <c r="L943" s="74"/>
      <c r="M943" s="633"/>
      <c r="N943" s="274"/>
      <c r="O943" s="94"/>
      <c r="P943" s="94"/>
      <c r="Q943" s="94"/>
      <c r="R943" s="94"/>
      <c r="S943" s="94"/>
      <c r="V943" s="30"/>
      <c r="W943" s="30"/>
      <c r="X943" s="1"/>
      <c r="Y943" s="95"/>
      <c r="Z943" s="1"/>
      <c r="AA943" s="94"/>
      <c r="AB943" s="1"/>
      <c r="AC943" s="1"/>
      <c r="AD943" s="1"/>
      <c r="AE943" s="30"/>
      <c r="AF943" s="633"/>
      <c r="AG943" s="94"/>
      <c r="AH943" s="94"/>
      <c r="AI943" s="94"/>
      <c r="AJ943" s="94"/>
      <c r="AK943" s="94"/>
      <c r="AL943" s="94"/>
    </row>
    <row r="944" spans="3:38">
      <c r="C944" s="30"/>
      <c r="F944" s="95"/>
      <c r="G944" s="1"/>
      <c r="H944" s="94"/>
      <c r="I944" s="90"/>
      <c r="J944" s="90"/>
      <c r="K944" s="1"/>
      <c r="L944" s="74"/>
      <c r="M944" s="633"/>
      <c r="N944" s="274"/>
      <c r="O944" s="94"/>
      <c r="P944" s="94"/>
      <c r="Q944" s="94"/>
      <c r="R944" s="94"/>
      <c r="S944" s="94"/>
      <c r="V944" s="30"/>
      <c r="W944" s="30"/>
      <c r="X944" s="1"/>
      <c r="Y944" s="95"/>
      <c r="Z944" s="1"/>
      <c r="AA944" s="94"/>
      <c r="AB944" s="1"/>
      <c r="AC944" s="1"/>
      <c r="AD944" s="1"/>
      <c r="AE944" s="30"/>
      <c r="AF944" s="633"/>
      <c r="AG944" s="94"/>
      <c r="AH944" s="94"/>
      <c r="AI944" s="94"/>
      <c r="AJ944" s="94"/>
      <c r="AK944" s="94"/>
      <c r="AL944" s="94"/>
    </row>
    <row r="945" spans="3:38">
      <c r="C945" s="30"/>
      <c r="F945" s="95"/>
      <c r="G945" s="1"/>
      <c r="H945" s="94"/>
      <c r="I945" s="90"/>
      <c r="J945" s="90"/>
      <c r="K945" s="1"/>
      <c r="L945" s="74"/>
      <c r="M945" s="633"/>
      <c r="N945" s="274"/>
      <c r="O945" s="94"/>
      <c r="P945" s="94"/>
      <c r="Q945" s="94"/>
      <c r="R945" s="94"/>
      <c r="S945" s="94"/>
      <c r="V945" s="30"/>
      <c r="W945" s="30"/>
      <c r="X945" s="1"/>
      <c r="Y945" s="95"/>
      <c r="Z945" s="1"/>
      <c r="AA945" s="94"/>
      <c r="AB945" s="1"/>
      <c r="AC945" s="1"/>
      <c r="AD945" s="1"/>
      <c r="AE945" s="30"/>
      <c r="AF945" s="633"/>
      <c r="AG945" s="94"/>
      <c r="AH945" s="94"/>
      <c r="AI945" s="94"/>
      <c r="AJ945" s="94"/>
      <c r="AK945" s="94"/>
      <c r="AL945" s="94"/>
    </row>
    <row r="946" spans="3:38">
      <c r="C946" s="30"/>
      <c r="F946" s="95"/>
      <c r="G946" s="1"/>
      <c r="H946" s="94"/>
      <c r="I946" s="90"/>
      <c r="J946" s="90"/>
      <c r="K946" s="1"/>
      <c r="L946" s="74"/>
      <c r="M946" s="633"/>
      <c r="N946" s="274"/>
      <c r="O946" s="94"/>
      <c r="P946" s="94"/>
      <c r="Q946" s="94"/>
      <c r="R946" s="94"/>
      <c r="S946" s="94"/>
      <c r="V946" s="30"/>
      <c r="W946" s="30"/>
      <c r="X946" s="1"/>
      <c r="Y946" s="95"/>
      <c r="Z946" s="1"/>
      <c r="AA946" s="94"/>
      <c r="AB946" s="1"/>
      <c r="AC946" s="1"/>
      <c r="AD946" s="1"/>
      <c r="AE946" s="30"/>
      <c r="AF946" s="633"/>
      <c r="AG946" s="94"/>
      <c r="AH946" s="94"/>
      <c r="AI946" s="94"/>
      <c r="AJ946" s="94"/>
      <c r="AK946" s="94"/>
      <c r="AL946" s="94"/>
    </row>
    <row r="947" spans="3:38">
      <c r="C947" s="30"/>
      <c r="F947" s="95"/>
      <c r="G947" s="1"/>
      <c r="H947" s="94"/>
      <c r="I947" s="90"/>
      <c r="J947" s="90"/>
      <c r="K947" s="1"/>
      <c r="L947" s="74"/>
      <c r="M947" s="633"/>
      <c r="N947" s="274"/>
      <c r="O947" s="94"/>
      <c r="P947" s="94"/>
      <c r="Q947" s="94"/>
      <c r="R947" s="94"/>
      <c r="S947" s="94"/>
      <c r="V947" s="30"/>
      <c r="W947" s="30"/>
      <c r="X947" s="1"/>
      <c r="Y947" s="95"/>
      <c r="Z947" s="1"/>
      <c r="AA947" s="94"/>
      <c r="AB947" s="1"/>
      <c r="AC947" s="1"/>
      <c r="AD947" s="1"/>
      <c r="AE947" s="30"/>
      <c r="AF947" s="633"/>
      <c r="AG947" s="94"/>
      <c r="AH947" s="94"/>
      <c r="AI947" s="94"/>
      <c r="AJ947" s="94"/>
      <c r="AK947" s="94"/>
      <c r="AL947" s="94"/>
    </row>
    <row r="948" spans="3:38">
      <c r="C948" s="30"/>
      <c r="F948" s="95"/>
      <c r="G948" s="1"/>
      <c r="H948" s="94"/>
      <c r="I948" s="90"/>
      <c r="J948" s="90"/>
      <c r="K948" s="1"/>
      <c r="L948" s="74"/>
      <c r="M948" s="633"/>
      <c r="N948" s="274"/>
      <c r="O948" s="94"/>
      <c r="P948" s="94"/>
      <c r="Q948" s="94"/>
      <c r="R948" s="94"/>
      <c r="S948" s="94"/>
      <c r="V948" s="30"/>
      <c r="W948" s="30"/>
      <c r="X948" s="1"/>
      <c r="Y948" s="95"/>
      <c r="Z948" s="1"/>
      <c r="AA948" s="94"/>
      <c r="AB948" s="1"/>
      <c r="AC948" s="1"/>
      <c r="AD948" s="1"/>
      <c r="AE948" s="30"/>
      <c r="AF948" s="633"/>
      <c r="AG948" s="94"/>
      <c r="AH948" s="94"/>
      <c r="AI948" s="94"/>
      <c r="AJ948" s="94"/>
      <c r="AK948" s="94"/>
      <c r="AL948" s="94"/>
    </row>
    <row r="949" spans="3:38">
      <c r="C949" s="30"/>
      <c r="F949" s="95"/>
      <c r="G949" s="1"/>
      <c r="H949" s="94"/>
      <c r="I949" s="90"/>
      <c r="J949" s="90"/>
      <c r="K949" s="1"/>
      <c r="L949" s="74"/>
      <c r="M949" s="633"/>
      <c r="N949" s="274"/>
      <c r="O949" s="94"/>
      <c r="P949" s="94"/>
      <c r="Q949" s="94"/>
      <c r="R949" s="94"/>
      <c r="S949" s="94"/>
      <c r="V949" s="30"/>
      <c r="W949" s="30"/>
      <c r="X949" s="1"/>
      <c r="Y949" s="95"/>
      <c r="Z949" s="1"/>
      <c r="AA949" s="94"/>
      <c r="AB949" s="1"/>
      <c r="AC949" s="1"/>
      <c r="AD949" s="1"/>
      <c r="AE949" s="30"/>
      <c r="AF949" s="633"/>
      <c r="AG949" s="94"/>
      <c r="AH949" s="94"/>
      <c r="AI949" s="94"/>
      <c r="AJ949" s="94"/>
      <c r="AK949" s="94"/>
      <c r="AL949" s="94"/>
    </row>
    <row r="950" spans="3:38">
      <c r="C950" s="30"/>
      <c r="F950" s="95"/>
      <c r="G950" s="1"/>
      <c r="H950" s="94"/>
      <c r="I950" s="90"/>
      <c r="J950" s="90"/>
      <c r="K950" s="1"/>
      <c r="L950" s="74"/>
      <c r="M950" s="633"/>
      <c r="N950" s="274"/>
      <c r="O950" s="94"/>
      <c r="P950" s="94"/>
      <c r="Q950" s="94"/>
      <c r="R950" s="94"/>
      <c r="S950" s="94"/>
      <c r="V950" s="30"/>
      <c r="W950" s="30"/>
      <c r="X950" s="1"/>
      <c r="Y950" s="95"/>
      <c r="Z950" s="1"/>
      <c r="AA950" s="94"/>
      <c r="AB950" s="1"/>
      <c r="AC950" s="1"/>
      <c r="AD950" s="1"/>
      <c r="AE950" s="30"/>
      <c r="AF950" s="633"/>
      <c r="AG950" s="94"/>
      <c r="AH950" s="94"/>
      <c r="AI950" s="94"/>
      <c r="AJ950" s="94"/>
      <c r="AK950" s="94"/>
      <c r="AL950" s="94"/>
    </row>
    <row r="951" spans="3:38">
      <c r="C951" s="30"/>
      <c r="F951" s="95"/>
      <c r="G951" s="1"/>
      <c r="H951" s="94"/>
      <c r="I951" s="90"/>
      <c r="J951" s="90"/>
      <c r="K951" s="1"/>
      <c r="L951" s="74"/>
      <c r="M951" s="633"/>
      <c r="N951" s="274"/>
      <c r="O951" s="94"/>
      <c r="P951" s="94"/>
      <c r="Q951" s="94"/>
      <c r="R951" s="94"/>
      <c r="S951" s="94"/>
      <c r="V951" s="30"/>
      <c r="W951" s="30"/>
      <c r="X951" s="1"/>
      <c r="Y951" s="95"/>
      <c r="Z951" s="1"/>
      <c r="AA951" s="94"/>
      <c r="AB951" s="1"/>
      <c r="AC951" s="1"/>
      <c r="AD951" s="1"/>
      <c r="AE951" s="30"/>
      <c r="AF951" s="633"/>
      <c r="AG951" s="94"/>
      <c r="AH951" s="94"/>
      <c r="AI951" s="94"/>
      <c r="AJ951" s="94"/>
      <c r="AK951" s="94"/>
      <c r="AL951" s="94"/>
    </row>
    <row r="952" spans="3:38">
      <c r="C952" s="30"/>
      <c r="F952" s="95"/>
      <c r="G952" s="1"/>
      <c r="H952" s="94"/>
      <c r="I952" s="90"/>
      <c r="J952" s="90"/>
      <c r="K952" s="1"/>
      <c r="L952" s="74"/>
      <c r="M952" s="633"/>
      <c r="N952" s="274"/>
      <c r="O952" s="94"/>
      <c r="P952" s="94"/>
      <c r="Q952" s="94"/>
      <c r="R952" s="94"/>
      <c r="S952" s="94"/>
      <c r="V952" s="30"/>
      <c r="W952" s="30"/>
      <c r="X952" s="1"/>
      <c r="Y952" s="95"/>
      <c r="Z952" s="1"/>
      <c r="AA952" s="94"/>
      <c r="AB952" s="1"/>
      <c r="AC952" s="1"/>
      <c r="AD952" s="1"/>
      <c r="AE952" s="30"/>
      <c r="AF952" s="633"/>
      <c r="AG952" s="94"/>
      <c r="AH952" s="94"/>
      <c r="AI952" s="94"/>
      <c r="AJ952" s="94"/>
      <c r="AK952" s="94"/>
      <c r="AL952" s="94"/>
    </row>
    <row r="953" spans="3:38">
      <c r="C953" s="30"/>
      <c r="F953" s="95"/>
      <c r="G953" s="1"/>
      <c r="H953" s="94"/>
      <c r="I953" s="90"/>
      <c r="J953" s="90"/>
      <c r="K953" s="1"/>
      <c r="L953" s="74"/>
      <c r="M953" s="633"/>
      <c r="N953" s="274"/>
      <c r="O953" s="94"/>
      <c r="P953" s="94"/>
      <c r="Q953" s="94"/>
      <c r="R953" s="94"/>
      <c r="S953" s="94"/>
      <c r="V953" s="30"/>
      <c r="W953" s="30"/>
      <c r="X953" s="1"/>
      <c r="Y953" s="95"/>
      <c r="Z953" s="1"/>
      <c r="AA953" s="94"/>
      <c r="AB953" s="1"/>
      <c r="AC953" s="1"/>
      <c r="AD953" s="1"/>
      <c r="AE953" s="30"/>
      <c r="AF953" s="633"/>
      <c r="AG953" s="94"/>
      <c r="AH953" s="94"/>
      <c r="AI953" s="94"/>
      <c r="AJ953" s="94"/>
      <c r="AK953" s="94"/>
      <c r="AL953" s="94"/>
    </row>
    <row r="954" spans="3:38">
      <c r="C954" s="30"/>
      <c r="F954" s="95"/>
      <c r="G954" s="1"/>
      <c r="H954" s="94"/>
      <c r="I954" s="90"/>
      <c r="J954" s="90"/>
      <c r="K954" s="1"/>
      <c r="L954" s="74"/>
      <c r="M954" s="633"/>
      <c r="N954" s="274"/>
      <c r="O954" s="94"/>
      <c r="P954" s="94"/>
      <c r="Q954" s="94"/>
      <c r="R954" s="94"/>
      <c r="S954" s="94"/>
      <c r="V954" s="30"/>
      <c r="W954" s="30"/>
      <c r="X954" s="1"/>
      <c r="Y954" s="95"/>
      <c r="Z954" s="1"/>
      <c r="AA954" s="94"/>
      <c r="AB954" s="1"/>
      <c r="AC954" s="1"/>
      <c r="AD954" s="1"/>
      <c r="AE954" s="30"/>
      <c r="AF954" s="633"/>
      <c r="AG954" s="94"/>
      <c r="AH954" s="94"/>
      <c r="AI954" s="94"/>
      <c r="AJ954" s="94"/>
      <c r="AK954" s="94"/>
      <c r="AL954" s="94"/>
    </row>
    <row r="955" spans="3:38">
      <c r="C955" s="30"/>
      <c r="F955" s="95"/>
      <c r="G955" s="1"/>
      <c r="H955" s="94"/>
      <c r="I955" s="90"/>
      <c r="J955" s="90"/>
      <c r="K955" s="1"/>
      <c r="L955" s="74"/>
      <c r="M955" s="633"/>
      <c r="N955" s="274"/>
      <c r="O955" s="94"/>
      <c r="P955" s="94"/>
      <c r="Q955" s="94"/>
      <c r="R955" s="94"/>
      <c r="S955" s="94"/>
      <c r="V955" s="30"/>
      <c r="W955" s="30"/>
      <c r="X955" s="1"/>
      <c r="Y955" s="95"/>
      <c r="Z955" s="1"/>
      <c r="AA955" s="94"/>
      <c r="AB955" s="1"/>
      <c r="AC955" s="1"/>
      <c r="AD955" s="1"/>
      <c r="AE955" s="30"/>
      <c r="AF955" s="633"/>
      <c r="AG955" s="94"/>
      <c r="AH955" s="94"/>
      <c r="AI955" s="94"/>
      <c r="AJ955" s="94"/>
      <c r="AK955" s="94"/>
      <c r="AL955" s="94"/>
    </row>
    <row r="956" spans="3:38">
      <c r="C956" s="30"/>
      <c r="F956" s="95"/>
      <c r="G956" s="1"/>
      <c r="H956" s="94"/>
      <c r="I956" s="90"/>
      <c r="J956" s="90"/>
      <c r="K956" s="1"/>
      <c r="L956" s="74"/>
      <c r="M956" s="633"/>
      <c r="N956" s="274"/>
      <c r="O956" s="94"/>
      <c r="P956" s="94"/>
      <c r="Q956" s="94"/>
      <c r="R956" s="94"/>
      <c r="S956" s="94"/>
      <c r="V956" s="30"/>
      <c r="W956" s="30"/>
      <c r="X956" s="1"/>
      <c r="Y956" s="95"/>
      <c r="Z956" s="1"/>
      <c r="AA956" s="94"/>
      <c r="AB956" s="1"/>
      <c r="AC956" s="1"/>
      <c r="AD956" s="1"/>
      <c r="AE956" s="30"/>
      <c r="AF956" s="633"/>
      <c r="AG956" s="94"/>
      <c r="AH956" s="94"/>
      <c r="AI956" s="94"/>
      <c r="AJ956" s="94"/>
      <c r="AK956" s="94"/>
      <c r="AL956" s="94"/>
    </row>
    <row r="957" spans="3:38">
      <c r="C957" s="30"/>
      <c r="F957" s="95"/>
      <c r="G957" s="1"/>
      <c r="H957" s="94"/>
      <c r="I957" s="90"/>
      <c r="J957" s="90"/>
      <c r="K957" s="1"/>
      <c r="L957" s="74"/>
      <c r="M957" s="633"/>
      <c r="N957" s="274"/>
      <c r="O957" s="94"/>
      <c r="P957" s="94"/>
      <c r="Q957" s="94"/>
      <c r="R957" s="94"/>
      <c r="S957" s="94"/>
      <c r="V957" s="30"/>
      <c r="W957" s="30"/>
      <c r="X957" s="1"/>
      <c r="Y957" s="95"/>
      <c r="Z957" s="1"/>
      <c r="AA957" s="94"/>
      <c r="AB957" s="1"/>
      <c r="AC957" s="1"/>
      <c r="AD957" s="1"/>
      <c r="AE957" s="30"/>
      <c r="AF957" s="633"/>
      <c r="AG957" s="94"/>
      <c r="AH957" s="94"/>
      <c r="AI957" s="94"/>
      <c r="AJ957" s="94"/>
      <c r="AK957" s="94"/>
      <c r="AL957" s="94"/>
    </row>
    <row r="958" spans="3:38">
      <c r="C958" s="30"/>
      <c r="F958" s="95"/>
      <c r="G958" s="1"/>
      <c r="H958" s="94"/>
      <c r="I958" s="90"/>
      <c r="J958" s="90"/>
      <c r="K958" s="1"/>
      <c r="L958" s="74"/>
      <c r="M958" s="633"/>
      <c r="N958" s="274"/>
      <c r="O958" s="94"/>
      <c r="P958" s="94"/>
      <c r="Q958" s="94"/>
      <c r="R958" s="94"/>
      <c r="S958" s="94"/>
      <c r="V958" s="30"/>
      <c r="W958" s="30"/>
      <c r="X958" s="1"/>
      <c r="Y958" s="95"/>
      <c r="Z958" s="1"/>
      <c r="AA958" s="94"/>
      <c r="AB958" s="1"/>
      <c r="AC958" s="1"/>
      <c r="AD958" s="1"/>
      <c r="AE958" s="30"/>
      <c r="AF958" s="633"/>
      <c r="AG958" s="94"/>
      <c r="AH958" s="94"/>
      <c r="AI958" s="94"/>
      <c r="AJ958" s="94"/>
      <c r="AK958" s="94"/>
      <c r="AL958" s="94"/>
    </row>
    <row r="959" spans="3:38">
      <c r="C959" s="30"/>
      <c r="F959" s="95"/>
      <c r="G959" s="1"/>
      <c r="H959" s="94"/>
      <c r="I959" s="90"/>
      <c r="J959" s="90"/>
      <c r="K959" s="1"/>
      <c r="L959" s="74"/>
      <c r="M959" s="633"/>
      <c r="N959" s="274"/>
      <c r="O959" s="94"/>
      <c r="P959" s="94"/>
      <c r="Q959" s="94"/>
      <c r="R959" s="94"/>
      <c r="S959" s="94"/>
      <c r="V959" s="30"/>
      <c r="W959" s="30"/>
      <c r="X959" s="1"/>
      <c r="Y959" s="95"/>
      <c r="Z959" s="1"/>
      <c r="AA959" s="94"/>
      <c r="AB959" s="1"/>
      <c r="AC959" s="1"/>
      <c r="AD959" s="1"/>
      <c r="AE959" s="30"/>
      <c r="AF959" s="633"/>
      <c r="AG959" s="94"/>
      <c r="AH959" s="94"/>
      <c r="AI959" s="94"/>
      <c r="AJ959" s="94"/>
      <c r="AK959" s="94"/>
      <c r="AL959" s="94"/>
    </row>
    <row r="960" spans="3:38">
      <c r="C960" s="30"/>
      <c r="F960" s="95"/>
      <c r="G960" s="1"/>
      <c r="H960" s="94"/>
      <c r="I960" s="90"/>
      <c r="J960" s="90"/>
      <c r="K960" s="1"/>
      <c r="L960" s="74"/>
      <c r="M960" s="633"/>
      <c r="N960" s="274"/>
      <c r="O960" s="94"/>
      <c r="P960" s="94"/>
      <c r="Q960" s="94"/>
      <c r="R960" s="94"/>
      <c r="S960" s="94"/>
      <c r="V960" s="30"/>
      <c r="W960" s="30"/>
      <c r="X960" s="1"/>
      <c r="Y960" s="95"/>
      <c r="Z960" s="1"/>
      <c r="AA960" s="94"/>
      <c r="AB960" s="1"/>
      <c r="AC960" s="1"/>
      <c r="AD960" s="1"/>
      <c r="AE960" s="30"/>
      <c r="AF960" s="633"/>
      <c r="AG960" s="94"/>
      <c r="AH960" s="94"/>
      <c r="AI960" s="94"/>
      <c r="AJ960" s="94"/>
      <c r="AK960" s="94"/>
      <c r="AL960" s="94"/>
    </row>
    <row r="961" spans="3:38">
      <c r="C961" s="30"/>
      <c r="F961" s="95"/>
      <c r="G961" s="1"/>
      <c r="H961" s="94"/>
      <c r="I961" s="90"/>
      <c r="J961" s="90"/>
      <c r="K961" s="1"/>
      <c r="L961" s="74"/>
      <c r="M961" s="633"/>
      <c r="N961" s="274"/>
      <c r="O961" s="94"/>
      <c r="P961" s="94"/>
      <c r="Q961" s="94"/>
      <c r="R961" s="94"/>
      <c r="S961" s="94"/>
      <c r="V961" s="30"/>
      <c r="W961" s="30"/>
      <c r="X961" s="1"/>
      <c r="Y961" s="95"/>
      <c r="Z961" s="1"/>
      <c r="AA961" s="94"/>
      <c r="AB961" s="1"/>
      <c r="AC961" s="1"/>
      <c r="AD961" s="1"/>
      <c r="AE961" s="30"/>
      <c r="AF961" s="633"/>
      <c r="AG961" s="94"/>
      <c r="AH961" s="94"/>
      <c r="AI961" s="94"/>
      <c r="AJ961" s="94"/>
      <c r="AK961" s="94"/>
      <c r="AL961" s="94"/>
    </row>
    <row r="962" spans="3:38">
      <c r="C962" s="30"/>
      <c r="F962" s="95"/>
      <c r="G962" s="1"/>
      <c r="H962" s="94"/>
      <c r="I962" s="90"/>
      <c r="J962" s="90"/>
      <c r="K962" s="1"/>
      <c r="L962" s="74"/>
      <c r="M962" s="633"/>
      <c r="N962" s="274"/>
      <c r="O962" s="94"/>
      <c r="P962" s="94"/>
      <c r="Q962" s="94"/>
      <c r="R962" s="94"/>
      <c r="S962" s="94"/>
      <c r="V962" s="30"/>
      <c r="W962" s="30"/>
      <c r="X962" s="1"/>
      <c r="Y962" s="95"/>
      <c r="Z962" s="1"/>
      <c r="AA962" s="94"/>
      <c r="AB962" s="1"/>
      <c r="AC962" s="1"/>
      <c r="AD962" s="1"/>
      <c r="AE962" s="30"/>
      <c r="AF962" s="633"/>
      <c r="AG962" s="94"/>
      <c r="AH962" s="94"/>
      <c r="AI962" s="94"/>
      <c r="AJ962" s="94"/>
      <c r="AK962" s="94"/>
      <c r="AL962" s="94"/>
    </row>
    <row r="963" spans="3:38">
      <c r="C963" s="30"/>
      <c r="F963" s="95"/>
      <c r="G963" s="1"/>
      <c r="H963" s="94"/>
      <c r="I963" s="90"/>
      <c r="J963" s="90"/>
      <c r="K963" s="1"/>
      <c r="L963" s="74"/>
      <c r="M963" s="633"/>
      <c r="N963" s="274"/>
      <c r="O963" s="94"/>
      <c r="P963" s="94"/>
      <c r="Q963" s="94"/>
      <c r="R963" s="94"/>
      <c r="S963" s="94"/>
      <c r="V963" s="30"/>
      <c r="W963" s="30"/>
      <c r="X963" s="1"/>
      <c r="Y963" s="95"/>
      <c r="Z963" s="1"/>
      <c r="AA963" s="94"/>
      <c r="AB963" s="1"/>
      <c r="AC963" s="1"/>
      <c r="AD963" s="1"/>
      <c r="AE963" s="30"/>
      <c r="AF963" s="633"/>
      <c r="AG963" s="94"/>
      <c r="AH963" s="94"/>
      <c r="AI963" s="94"/>
      <c r="AJ963" s="94"/>
      <c r="AK963" s="94"/>
      <c r="AL963" s="94"/>
    </row>
    <row r="964" spans="3:38">
      <c r="C964" s="30"/>
      <c r="F964" s="95"/>
      <c r="G964" s="1"/>
      <c r="H964" s="94"/>
      <c r="I964" s="90"/>
      <c r="J964" s="90"/>
      <c r="K964" s="1"/>
      <c r="L964" s="74"/>
      <c r="M964" s="633"/>
      <c r="N964" s="274"/>
      <c r="O964" s="94"/>
      <c r="P964" s="94"/>
      <c r="Q964" s="94"/>
      <c r="R964" s="94"/>
      <c r="S964" s="94"/>
      <c r="V964" s="30"/>
      <c r="W964" s="30"/>
      <c r="X964" s="1"/>
      <c r="Y964" s="95"/>
      <c r="Z964" s="1"/>
      <c r="AA964" s="94"/>
      <c r="AB964" s="1"/>
      <c r="AC964" s="1"/>
      <c r="AD964" s="1"/>
      <c r="AE964" s="30"/>
      <c r="AF964" s="633"/>
      <c r="AG964" s="94"/>
      <c r="AH964" s="94"/>
      <c r="AI964" s="94"/>
      <c r="AJ964" s="94"/>
      <c r="AK964" s="94"/>
      <c r="AL964" s="94"/>
    </row>
    <row r="965" spans="3:38">
      <c r="C965" s="30"/>
      <c r="F965" s="95"/>
      <c r="G965" s="1"/>
      <c r="H965" s="94"/>
      <c r="I965" s="90"/>
      <c r="J965" s="90"/>
      <c r="K965" s="1"/>
      <c r="L965" s="74"/>
      <c r="M965" s="633"/>
      <c r="N965" s="274"/>
      <c r="O965" s="94"/>
      <c r="P965" s="94"/>
      <c r="Q965" s="94"/>
      <c r="R965" s="94"/>
      <c r="S965" s="94"/>
      <c r="V965" s="30"/>
      <c r="W965" s="30"/>
      <c r="X965" s="1"/>
      <c r="Y965" s="95"/>
      <c r="Z965" s="1"/>
      <c r="AA965" s="94"/>
      <c r="AB965" s="1"/>
      <c r="AC965" s="1"/>
      <c r="AD965" s="1"/>
      <c r="AE965" s="30"/>
      <c r="AF965" s="633"/>
      <c r="AG965" s="94"/>
      <c r="AH965" s="94"/>
      <c r="AI965" s="94"/>
      <c r="AJ965" s="94"/>
      <c r="AK965" s="94"/>
      <c r="AL965" s="94"/>
    </row>
    <row r="966" spans="3:38">
      <c r="C966" s="30"/>
      <c r="F966" s="95"/>
      <c r="G966" s="1"/>
      <c r="H966" s="94"/>
      <c r="I966" s="90"/>
      <c r="J966" s="90"/>
      <c r="K966" s="1"/>
      <c r="L966" s="74"/>
      <c r="M966" s="633"/>
      <c r="N966" s="274"/>
      <c r="O966" s="94"/>
      <c r="P966" s="94"/>
      <c r="Q966" s="94"/>
      <c r="R966" s="94"/>
      <c r="S966" s="94"/>
      <c r="V966" s="30"/>
      <c r="W966" s="30"/>
      <c r="X966" s="1"/>
      <c r="Y966" s="95"/>
      <c r="Z966" s="1"/>
      <c r="AA966" s="94"/>
      <c r="AB966" s="1"/>
      <c r="AC966" s="1"/>
      <c r="AD966" s="1"/>
      <c r="AE966" s="30"/>
      <c r="AF966" s="633"/>
      <c r="AG966" s="94"/>
      <c r="AH966" s="94"/>
      <c r="AI966" s="94"/>
      <c r="AJ966" s="94"/>
      <c r="AK966" s="94"/>
      <c r="AL966" s="94"/>
    </row>
    <row r="967" spans="3:38">
      <c r="C967" s="30"/>
      <c r="F967" s="95"/>
      <c r="G967" s="1"/>
      <c r="H967" s="94"/>
      <c r="I967" s="90"/>
      <c r="J967" s="90"/>
      <c r="K967" s="1"/>
      <c r="L967" s="74"/>
      <c r="M967" s="633"/>
      <c r="N967" s="274"/>
      <c r="O967" s="94"/>
      <c r="P967" s="94"/>
      <c r="Q967" s="94"/>
      <c r="R967" s="94"/>
      <c r="S967" s="94"/>
      <c r="V967" s="30"/>
      <c r="W967" s="30"/>
      <c r="X967" s="1"/>
      <c r="Y967" s="95"/>
      <c r="Z967" s="1"/>
      <c r="AA967" s="94"/>
      <c r="AB967" s="1"/>
      <c r="AC967" s="1"/>
      <c r="AD967" s="1"/>
      <c r="AE967" s="30"/>
      <c r="AF967" s="633"/>
      <c r="AG967" s="94"/>
      <c r="AH967" s="94"/>
      <c r="AI967" s="94"/>
      <c r="AJ967" s="94"/>
      <c r="AK967" s="94"/>
      <c r="AL967" s="94"/>
    </row>
    <row r="968" spans="3:38">
      <c r="C968" s="30"/>
      <c r="F968" s="95"/>
      <c r="G968" s="1"/>
      <c r="H968" s="94"/>
      <c r="I968" s="90"/>
      <c r="J968" s="90"/>
      <c r="K968" s="1"/>
      <c r="L968" s="74"/>
      <c r="M968" s="633"/>
      <c r="N968" s="274"/>
      <c r="O968" s="94"/>
      <c r="P968" s="94"/>
      <c r="Q968" s="94"/>
      <c r="R968" s="94"/>
      <c r="S968" s="94"/>
      <c r="V968" s="30"/>
      <c r="W968" s="30"/>
      <c r="X968" s="1"/>
      <c r="Y968" s="95"/>
      <c r="Z968" s="1"/>
      <c r="AA968" s="94"/>
      <c r="AB968" s="1"/>
      <c r="AC968" s="1"/>
      <c r="AD968" s="1"/>
      <c r="AE968" s="30"/>
      <c r="AF968" s="633"/>
      <c r="AG968" s="94"/>
      <c r="AH968" s="94"/>
      <c r="AI968" s="94"/>
      <c r="AJ968" s="94"/>
      <c r="AK968" s="94"/>
      <c r="AL968" s="94"/>
    </row>
    <row r="969" spans="3:38">
      <c r="C969" s="30"/>
      <c r="F969" s="95"/>
      <c r="G969" s="1"/>
      <c r="H969" s="94"/>
      <c r="I969" s="90"/>
      <c r="J969" s="90"/>
      <c r="K969" s="1"/>
      <c r="L969" s="74"/>
      <c r="M969" s="633"/>
      <c r="N969" s="274"/>
      <c r="O969" s="94"/>
      <c r="P969" s="94"/>
      <c r="Q969" s="94"/>
      <c r="R969" s="94"/>
      <c r="S969" s="94"/>
      <c r="V969" s="30"/>
      <c r="W969" s="30"/>
      <c r="X969" s="1"/>
      <c r="Y969" s="95"/>
      <c r="Z969" s="1"/>
      <c r="AA969" s="94"/>
      <c r="AB969" s="1"/>
      <c r="AC969" s="1"/>
      <c r="AD969" s="1"/>
      <c r="AE969" s="30"/>
      <c r="AF969" s="633"/>
      <c r="AG969" s="94"/>
      <c r="AH969" s="94"/>
      <c r="AI969" s="94"/>
      <c r="AJ969" s="94"/>
      <c r="AK969" s="94"/>
      <c r="AL969" s="94"/>
    </row>
    <row r="970" spans="3:38">
      <c r="C970" s="30"/>
      <c r="F970" s="95"/>
      <c r="G970" s="1"/>
      <c r="H970" s="94"/>
      <c r="I970" s="90"/>
      <c r="J970" s="90"/>
      <c r="K970" s="1"/>
      <c r="L970" s="74"/>
      <c r="M970" s="633"/>
      <c r="N970" s="274"/>
      <c r="O970" s="94"/>
      <c r="P970" s="94"/>
      <c r="Q970" s="94"/>
      <c r="R970" s="94"/>
      <c r="S970" s="94"/>
      <c r="V970" s="30"/>
      <c r="W970" s="30"/>
      <c r="X970" s="1"/>
      <c r="Y970" s="95"/>
      <c r="Z970" s="1"/>
      <c r="AA970" s="94"/>
      <c r="AB970" s="1"/>
      <c r="AC970" s="1"/>
      <c r="AD970" s="1"/>
      <c r="AE970" s="30"/>
      <c r="AF970" s="633"/>
      <c r="AG970" s="94"/>
      <c r="AH970" s="94"/>
      <c r="AI970" s="94"/>
      <c r="AJ970" s="94"/>
      <c r="AK970" s="94"/>
      <c r="AL970" s="94"/>
    </row>
    <row r="971" spans="3:38">
      <c r="C971" s="30"/>
      <c r="F971" s="95"/>
      <c r="G971" s="1"/>
      <c r="H971" s="94"/>
      <c r="I971" s="90"/>
      <c r="J971" s="90"/>
      <c r="K971" s="1"/>
      <c r="L971" s="74"/>
      <c r="M971" s="633"/>
      <c r="N971" s="274"/>
      <c r="O971" s="94"/>
      <c r="P971" s="94"/>
      <c r="Q971" s="94"/>
      <c r="R971" s="94"/>
      <c r="S971" s="94"/>
      <c r="V971" s="30"/>
      <c r="W971" s="30"/>
      <c r="X971" s="1"/>
      <c r="Y971" s="95"/>
      <c r="Z971" s="1"/>
      <c r="AA971" s="94"/>
      <c r="AB971" s="1"/>
      <c r="AC971" s="1"/>
      <c r="AD971" s="1"/>
      <c r="AE971" s="30"/>
      <c r="AF971" s="633"/>
      <c r="AG971" s="94"/>
      <c r="AH971" s="94"/>
      <c r="AI971" s="94"/>
      <c r="AJ971" s="94"/>
      <c r="AK971" s="94"/>
      <c r="AL971" s="94"/>
    </row>
    <row r="972" spans="3:38">
      <c r="C972" s="30"/>
      <c r="F972" s="95"/>
      <c r="G972" s="1"/>
      <c r="H972" s="94"/>
      <c r="I972" s="90"/>
      <c r="J972" s="90"/>
      <c r="K972" s="1"/>
      <c r="L972" s="74"/>
      <c r="M972" s="633"/>
      <c r="N972" s="274"/>
      <c r="O972" s="94"/>
      <c r="P972" s="94"/>
      <c r="Q972" s="94"/>
      <c r="R972" s="94"/>
      <c r="S972" s="94"/>
      <c r="V972" s="30"/>
      <c r="W972" s="30"/>
      <c r="X972" s="1"/>
      <c r="Y972" s="95"/>
      <c r="Z972" s="1"/>
      <c r="AA972" s="94"/>
      <c r="AB972" s="1"/>
      <c r="AC972" s="1"/>
      <c r="AD972" s="1"/>
      <c r="AE972" s="30"/>
      <c r="AF972" s="633"/>
      <c r="AG972" s="94"/>
      <c r="AH972" s="94"/>
      <c r="AI972" s="94"/>
      <c r="AJ972" s="94"/>
      <c r="AK972" s="94"/>
      <c r="AL972" s="94"/>
    </row>
    <row r="973" spans="3:38">
      <c r="C973" s="30"/>
      <c r="F973" s="95"/>
      <c r="G973" s="1"/>
      <c r="H973" s="94"/>
      <c r="I973" s="90"/>
      <c r="J973" s="90"/>
      <c r="K973" s="1"/>
      <c r="L973" s="74"/>
      <c r="M973" s="633"/>
      <c r="N973" s="274"/>
      <c r="O973" s="94"/>
      <c r="P973" s="94"/>
      <c r="Q973" s="94"/>
      <c r="R973" s="94"/>
      <c r="S973" s="94"/>
      <c r="V973" s="30"/>
      <c r="W973" s="30"/>
      <c r="X973" s="1"/>
      <c r="Y973" s="95"/>
      <c r="Z973" s="1"/>
      <c r="AA973" s="94"/>
      <c r="AB973" s="1"/>
      <c r="AC973" s="1"/>
      <c r="AD973" s="1"/>
      <c r="AE973" s="30"/>
      <c r="AF973" s="633"/>
      <c r="AG973" s="94"/>
      <c r="AH973" s="94"/>
      <c r="AI973" s="94"/>
      <c r="AJ973" s="94"/>
      <c r="AK973" s="94"/>
      <c r="AL973" s="94"/>
    </row>
    <row r="974" spans="3:38">
      <c r="C974" s="30"/>
      <c r="F974" s="95"/>
      <c r="G974" s="1"/>
      <c r="H974" s="94"/>
      <c r="I974" s="90"/>
      <c r="J974" s="90"/>
      <c r="K974" s="1"/>
      <c r="L974" s="74"/>
      <c r="M974" s="633"/>
      <c r="N974" s="274"/>
      <c r="O974" s="94"/>
      <c r="P974" s="94"/>
      <c r="Q974" s="94"/>
      <c r="R974" s="94"/>
      <c r="S974" s="94"/>
      <c r="V974" s="30"/>
      <c r="W974" s="30"/>
      <c r="X974" s="1"/>
      <c r="Y974" s="95"/>
      <c r="Z974" s="1"/>
      <c r="AA974" s="94"/>
      <c r="AB974" s="1"/>
      <c r="AC974" s="1"/>
      <c r="AD974" s="1"/>
      <c r="AE974" s="30"/>
      <c r="AF974" s="633"/>
      <c r="AG974" s="94"/>
      <c r="AH974" s="94"/>
      <c r="AI974" s="94"/>
      <c r="AJ974" s="94"/>
      <c r="AK974" s="94"/>
      <c r="AL974" s="94"/>
    </row>
    <row r="975" spans="3:38">
      <c r="C975" s="30"/>
      <c r="F975" s="95"/>
      <c r="G975" s="1"/>
      <c r="H975" s="94"/>
      <c r="I975" s="90"/>
      <c r="J975" s="90"/>
      <c r="K975" s="1"/>
      <c r="L975" s="74"/>
      <c r="M975" s="633"/>
      <c r="N975" s="274"/>
      <c r="O975" s="94"/>
      <c r="P975" s="94"/>
      <c r="Q975" s="94"/>
      <c r="R975" s="94"/>
      <c r="S975" s="94"/>
      <c r="V975" s="30"/>
      <c r="W975" s="30"/>
      <c r="X975" s="1"/>
      <c r="Y975" s="95"/>
      <c r="Z975" s="1"/>
      <c r="AA975" s="94"/>
      <c r="AB975" s="1"/>
      <c r="AC975" s="1"/>
      <c r="AD975" s="1"/>
      <c r="AE975" s="30"/>
      <c r="AF975" s="633"/>
      <c r="AG975" s="94"/>
      <c r="AH975" s="94"/>
      <c r="AI975" s="94"/>
      <c r="AJ975" s="94"/>
      <c r="AK975" s="94"/>
      <c r="AL975" s="94"/>
    </row>
    <row r="976" spans="3:38">
      <c r="C976" s="30"/>
      <c r="F976" s="95"/>
      <c r="G976" s="1"/>
      <c r="H976" s="94"/>
      <c r="I976" s="90"/>
      <c r="J976" s="90"/>
      <c r="K976" s="1"/>
      <c r="L976" s="74"/>
      <c r="M976" s="633"/>
      <c r="N976" s="274"/>
      <c r="O976" s="94"/>
      <c r="P976" s="94"/>
      <c r="Q976" s="94"/>
      <c r="R976" s="94"/>
      <c r="S976" s="94"/>
      <c r="V976" s="30"/>
      <c r="W976" s="30"/>
      <c r="X976" s="1"/>
      <c r="Y976" s="95"/>
      <c r="Z976" s="1"/>
      <c r="AA976" s="94"/>
      <c r="AB976" s="1"/>
      <c r="AC976" s="1"/>
      <c r="AD976" s="1"/>
      <c r="AE976" s="30"/>
      <c r="AF976" s="633"/>
      <c r="AG976" s="94"/>
      <c r="AH976" s="94"/>
      <c r="AI976" s="94"/>
      <c r="AJ976" s="94"/>
      <c r="AK976" s="94"/>
      <c r="AL976" s="94"/>
    </row>
    <row r="977" spans="3:38">
      <c r="C977" s="30"/>
      <c r="F977" s="95"/>
      <c r="G977" s="1"/>
      <c r="H977" s="94"/>
      <c r="I977" s="90"/>
      <c r="J977" s="90"/>
      <c r="K977" s="1"/>
      <c r="L977" s="74"/>
      <c r="M977" s="633"/>
      <c r="N977" s="274"/>
      <c r="O977" s="94"/>
      <c r="P977" s="94"/>
      <c r="Q977" s="94"/>
      <c r="R977" s="94"/>
      <c r="S977" s="94"/>
      <c r="V977" s="30"/>
      <c r="W977" s="30"/>
      <c r="X977" s="1"/>
      <c r="Y977" s="95"/>
      <c r="Z977" s="1"/>
      <c r="AA977" s="94"/>
      <c r="AB977" s="1"/>
      <c r="AC977" s="1"/>
      <c r="AD977" s="1"/>
      <c r="AE977" s="30"/>
      <c r="AF977" s="633"/>
      <c r="AG977" s="94"/>
      <c r="AH977" s="94"/>
      <c r="AI977" s="94"/>
      <c r="AJ977" s="94"/>
      <c r="AK977" s="94"/>
      <c r="AL977" s="94"/>
    </row>
    <row r="978" spans="3:38">
      <c r="C978" s="30"/>
      <c r="F978" s="95"/>
      <c r="G978" s="1"/>
      <c r="H978" s="94"/>
      <c r="I978" s="90"/>
      <c r="J978" s="90"/>
      <c r="K978" s="1"/>
      <c r="L978" s="74"/>
      <c r="M978" s="633"/>
      <c r="N978" s="274"/>
      <c r="O978" s="94"/>
      <c r="P978" s="94"/>
      <c r="Q978" s="94"/>
      <c r="R978" s="94"/>
      <c r="S978" s="94"/>
      <c r="V978" s="30"/>
      <c r="W978" s="30"/>
      <c r="X978" s="1"/>
      <c r="Y978" s="95"/>
      <c r="Z978" s="1"/>
      <c r="AA978" s="94"/>
      <c r="AB978" s="1"/>
      <c r="AC978" s="1"/>
      <c r="AD978" s="1"/>
      <c r="AE978" s="30"/>
      <c r="AF978" s="633"/>
      <c r="AG978" s="94"/>
      <c r="AH978" s="94"/>
      <c r="AI978" s="94"/>
      <c r="AJ978" s="94"/>
      <c r="AK978" s="94"/>
      <c r="AL978" s="94"/>
    </row>
    <row r="979" spans="3:38">
      <c r="C979" s="30"/>
      <c r="F979" s="95"/>
      <c r="G979" s="1"/>
      <c r="H979" s="94"/>
      <c r="I979" s="90"/>
      <c r="J979" s="90"/>
      <c r="K979" s="1"/>
      <c r="L979" s="74"/>
      <c r="M979" s="633"/>
      <c r="N979" s="274"/>
      <c r="O979" s="94"/>
      <c r="P979" s="94"/>
      <c r="Q979" s="94"/>
      <c r="R979" s="94"/>
      <c r="S979" s="94"/>
      <c r="V979" s="30"/>
      <c r="W979" s="30"/>
      <c r="X979" s="1"/>
      <c r="Y979" s="95"/>
      <c r="Z979" s="1"/>
      <c r="AA979" s="94"/>
      <c r="AB979" s="1"/>
      <c r="AC979" s="1"/>
      <c r="AD979" s="1"/>
      <c r="AE979" s="30"/>
      <c r="AF979" s="633"/>
      <c r="AG979" s="94"/>
      <c r="AH979" s="94"/>
      <c r="AI979" s="94"/>
      <c r="AJ979" s="94"/>
      <c r="AK979" s="94"/>
      <c r="AL979" s="94"/>
    </row>
    <row r="980" spans="3:38">
      <c r="C980" s="30"/>
      <c r="F980" s="95"/>
      <c r="G980" s="1"/>
      <c r="H980" s="94"/>
      <c r="I980" s="90"/>
      <c r="J980" s="90"/>
      <c r="K980" s="1"/>
      <c r="L980" s="74"/>
      <c r="M980" s="633"/>
      <c r="N980" s="274"/>
      <c r="O980" s="94"/>
      <c r="P980" s="94"/>
      <c r="Q980" s="94"/>
      <c r="R980" s="94"/>
      <c r="S980" s="94"/>
      <c r="V980" s="30"/>
      <c r="W980" s="30"/>
      <c r="X980" s="1"/>
      <c r="Y980" s="95"/>
      <c r="Z980" s="1"/>
      <c r="AA980" s="94"/>
      <c r="AB980" s="1"/>
      <c r="AC980" s="1"/>
      <c r="AD980" s="1"/>
      <c r="AE980" s="30"/>
      <c r="AF980" s="633"/>
      <c r="AG980" s="94"/>
      <c r="AH980" s="94"/>
      <c r="AI980" s="94"/>
      <c r="AJ980" s="94"/>
      <c r="AK980" s="94"/>
      <c r="AL980" s="94"/>
    </row>
    <row r="981" spans="3:38">
      <c r="C981" s="30"/>
      <c r="F981" s="95"/>
      <c r="G981" s="1"/>
      <c r="H981" s="94"/>
      <c r="I981" s="90"/>
      <c r="J981" s="90"/>
      <c r="K981" s="1"/>
      <c r="L981" s="74"/>
      <c r="M981" s="633"/>
      <c r="N981" s="274"/>
      <c r="O981" s="94"/>
      <c r="P981" s="94"/>
      <c r="Q981" s="94"/>
      <c r="R981" s="94"/>
      <c r="S981" s="94"/>
      <c r="V981" s="30"/>
      <c r="W981" s="30"/>
      <c r="X981" s="1"/>
      <c r="Y981" s="95"/>
      <c r="Z981" s="1"/>
      <c r="AA981" s="94"/>
      <c r="AB981" s="1"/>
      <c r="AC981" s="1"/>
      <c r="AD981" s="1"/>
      <c r="AE981" s="30"/>
      <c r="AF981" s="633"/>
      <c r="AG981" s="94"/>
      <c r="AH981" s="94"/>
      <c r="AI981" s="94"/>
      <c r="AJ981" s="94"/>
      <c r="AK981" s="94"/>
      <c r="AL981" s="94"/>
    </row>
    <row r="982" spans="3:38">
      <c r="C982" s="30"/>
      <c r="F982" s="95"/>
      <c r="G982" s="1"/>
      <c r="H982" s="94"/>
      <c r="I982" s="90"/>
      <c r="J982" s="90"/>
      <c r="K982" s="1"/>
      <c r="L982" s="74"/>
      <c r="M982" s="633"/>
      <c r="N982" s="274"/>
      <c r="O982" s="94"/>
      <c r="P982" s="94"/>
      <c r="Q982" s="94"/>
      <c r="R982" s="94"/>
      <c r="S982" s="94"/>
      <c r="V982" s="30"/>
      <c r="W982" s="30"/>
      <c r="X982" s="1"/>
      <c r="Y982" s="95"/>
      <c r="Z982" s="1"/>
      <c r="AA982" s="94"/>
      <c r="AB982" s="1"/>
      <c r="AC982" s="1"/>
      <c r="AD982" s="1"/>
      <c r="AE982" s="30"/>
      <c r="AF982" s="633"/>
      <c r="AG982" s="94"/>
      <c r="AH982" s="94"/>
      <c r="AI982" s="94"/>
      <c r="AJ982" s="94"/>
      <c r="AK982" s="94"/>
      <c r="AL982" s="94"/>
    </row>
    <row r="983" spans="3:38">
      <c r="C983" s="30"/>
      <c r="F983" s="95"/>
      <c r="G983" s="1"/>
      <c r="H983" s="94"/>
      <c r="I983" s="90"/>
      <c r="J983" s="90"/>
      <c r="K983" s="1"/>
      <c r="L983" s="74"/>
      <c r="M983" s="633"/>
      <c r="N983" s="274"/>
      <c r="O983" s="94"/>
      <c r="P983" s="94"/>
      <c r="Q983" s="94"/>
      <c r="R983" s="94"/>
      <c r="S983" s="94"/>
      <c r="V983" s="30"/>
      <c r="W983" s="30"/>
      <c r="X983" s="1"/>
      <c r="Y983" s="95"/>
      <c r="Z983" s="1"/>
      <c r="AA983" s="94"/>
      <c r="AB983" s="1"/>
      <c r="AC983" s="1"/>
      <c r="AD983" s="1"/>
      <c r="AE983" s="30"/>
      <c r="AF983" s="633"/>
      <c r="AG983" s="94"/>
      <c r="AH983" s="94"/>
      <c r="AI983" s="94"/>
      <c r="AJ983" s="94"/>
      <c r="AK983" s="94"/>
      <c r="AL983" s="94"/>
    </row>
    <row r="984" spans="3:38">
      <c r="C984" s="30"/>
      <c r="F984" s="95"/>
      <c r="G984" s="1"/>
      <c r="H984" s="94"/>
      <c r="I984" s="90"/>
      <c r="J984" s="90"/>
      <c r="K984" s="1"/>
      <c r="L984" s="74"/>
      <c r="M984" s="633"/>
      <c r="N984" s="274"/>
      <c r="O984" s="94"/>
      <c r="P984" s="94"/>
      <c r="Q984" s="94"/>
      <c r="R984" s="94"/>
      <c r="S984" s="94"/>
      <c r="V984" s="30"/>
      <c r="W984" s="30"/>
      <c r="X984" s="1"/>
      <c r="Y984" s="95"/>
      <c r="Z984" s="1"/>
      <c r="AA984" s="94"/>
      <c r="AB984" s="1"/>
      <c r="AC984" s="1"/>
      <c r="AD984" s="1"/>
      <c r="AE984" s="30"/>
      <c r="AF984" s="633"/>
      <c r="AG984" s="94"/>
      <c r="AH984" s="94"/>
      <c r="AI984" s="94"/>
      <c r="AJ984" s="94"/>
      <c r="AK984" s="94"/>
      <c r="AL984" s="94"/>
    </row>
    <row r="985" spans="3:38">
      <c r="C985" s="30"/>
      <c r="F985" s="95"/>
      <c r="G985" s="1"/>
      <c r="H985" s="94"/>
      <c r="I985" s="90"/>
      <c r="J985" s="90"/>
      <c r="K985" s="1"/>
      <c r="L985" s="74"/>
      <c r="M985" s="633"/>
      <c r="N985" s="274"/>
      <c r="O985" s="94"/>
      <c r="P985" s="94"/>
      <c r="Q985" s="94"/>
      <c r="R985" s="94"/>
      <c r="S985" s="94"/>
      <c r="V985" s="30"/>
      <c r="W985" s="30"/>
      <c r="X985" s="1"/>
      <c r="Y985" s="95"/>
      <c r="Z985" s="1"/>
      <c r="AA985" s="94"/>
      <c r="AB985" s="1"/>
      <c r="AC985" s="1"/>
      <c r="AD985" s="1"/>
      <c r="AE985" s="30"/>
      <c r="AF985" s="633"/>
      <c r="AG985" s="94"/>
      <c r="AH985" s="94"/>
      <c r="AI985" s="94"/>
      <c r="AJ985" s="94"/>
      <c r="AK985" s="94"/>
      <c r="AL985" s="94"/>
    </row>
    <row r="986" spans="3:38">
      <c r="C986" s="30"/>
      <c r="F986" s="95"/>
      <c r="G986" s="1"/>
      <c r="H986" s="94"/>
      <c r="I986" s="90"/>
      <c r="J986" s="90"/>
      <c r="K986" s="1"/>
      <c r="L986" s="74"/>
      <c r="M986" s="633"/>
      <c r="N986" s="274"/>
      <c r="O986" s="94"/>
      <c r="P986" s="94"/>
      <c r="Q986" s="94"/>
      <c r="R986" s="94"/>
      <c r="S986" s="94"/>
      <c r="V986" s="30"/>
      <c r="W986" s="30"/>
      <c r="X986" s="1"/>
      <c r="Y986" s="95"/>
      <c r="Z986" s="1"/>
      <c r="AA986" s="94"/>
      <c r="AB986" s="1"/>
      <c r="AC986" s="1"/>
      <c r="AD986" s="1"/>
      <c r="AE986" s="30"/>
      <c r="AF986" s="633"/>
      <c r="AG986" s="94"/>
      <c r="AH986" s="94"/>
      <c r="AI986" s="94"/>
      <c r="AJ986" s="94"/>
      <c r="AK986" s="94"/>
      <c r="AL986" s="94"/>
    </row>
    <row r="987" spans="3:38">
      <c r="C987" s="30"/>
      <c r="F987" s="95"/>
      <c r="G987" s="1"/>
      <c r="H987" s="94"/>
      <c r="I987" s="90"/>
      <c r="J987" s="90"/>
      <c r="K987" s="1"/>
      <c r="L987" s="74"/>
      <c r="M987" s="633"/>
      <c r="N987" s="274"/>
      <c r="O987" s="94"/>
      <c r="P987" s="94"/>
      <c r="Q987" s="94"/>
      <c r="R987" s="94"/>
      <c r="S987" s="94"/>
      <c r="V987" s="30"/>
      <c r="W987" s="30"/>
      <c r="X987" s="1"/>
      <c r="Y987" s="95"/>
      <c r="Z987" s="1"/>
      <c r="AA987" s="94"/>
      <c r="AB987" s="1"/>
      <c r="AC987" s="1"/>
      <c r="AD987" s="1"/>
      <c r="AE987" s="30"/>
      <c r="AF987" s="633"/>
      <c r="AG987" s="94"/>
      <c r="AH987" s="94"/>
      <c r="AI987" s="94"/>
      <c r="AJ987" s="94"/>
      <c r="AK987" s="94"/>
      <c r="AL987" s="94"/>
    </row>
    <row r="988" spans="3:38">
      <c r="C988" s="30"/>
      <c r="F988" s="95"/>
      <c r="G988" s="1"/>
      <c r="H988" s="94"/>
      <c r="I988" s="90"/>
      <c r="J988" s="90"/>
      <c r="K988" s="1"/>
      <c r="L988" s="74"/>
      <c r="M988" s="633"/>
      <c r="N988" s="274"/>
      <c r="O988" s="94"/>
      <c r="P988" s="94"/>
      <c r="Q988" s="94"/>
      <c r="R988" s="94"/>
      <c r="S988" s="94"/>
      <c r="V988" s="30"/>
      <c r="W988" s="30"/>
      <c r="X988" s="1"/>
      <c r="Y988" s="95"/>
      <c r="Z988" s="1"/>
      <c r="AA988" s="94"/>
      <c r="AB988" s="1"/>
      <c r="AC988" s="1"/>
      <c r="AD988" s="1"/>
      <c r="AE988" s="30"/>
      <c r="AF988" s="633"/>
      <c r="AG988" s="94"/>
      <c r="AH988" s="94"/>
      <c r="AI988" s="94"/>
      <c r="AJ988" s="94"/>
      <c r="AK988" s="94"/>
      <c r="AL988" s="94"/>
    </row>
    <row r="989" spans="3:38">
      <c r="C989" s="30"/>
      <c r="F989" s="95"/>
      <c r="G989" s="1"/>
      <c r="H989" s="94"/>
      <c r="I989" s="90"/>
      <c r="J989" s="90"/>
      <c r="K989" s="1"/>
      <c r="L989" s="74"/>
      <c r="M989" s="633"/>
      <c r="N989" s="274"/>
      <c r="O989" s="94"/>
      <c r="P989" s="94"/>
      <c r="Q989" s="94"/>
      <c r="R989" s="94"/>
      <c r="S989" s="94"/>
      <c r="V989" s="30"/>
      <c r="W989" s="30"/>
      <c r="X989" s="1"/>
      <c r="Y989" s="95"/>
      <c r="Z989" s="1"/>
      <c r="AA989" s="94"/>
      <c r="AB989" s="1"/>
      <c r="AC989" s="1"/>
      <c r="AD989" s="1"/>
      <c r="AE989" s="30"/>
      <c r="AF989" s="633"/>
      <c r="AG989" s="94"/>
      <c r="AH989" s="94"/>
      <c r="AI989" s="94"/>
      <c r="AJ989" s="94"/>
      <c r="AK989" s="94"/>
      <c r="AL989" s="94"/>
    </row>
    <row r="990" spans="3:38">
      <c r="C990" s="30"/>
      <c r="F990" s="95"/>
      <c r="G990" s="1"/>
      <c r="H990" s="94"/>
      <c r="I990" s="90"/>
      <c r="J990" s="90"/>
      <c r="K990" s="1"/>
      <c r="L990" s="74"/>
      <c r="M990" s="633"/>
      <c r="N990" s="274"/>
      <c r="O990" s="94"/>
      <c r="P990" s="94"/>
      <c r="Q990" s="94"/>
      <c r="R990" s="94"/>
      <c r="S990" s="94"/>
      <c r="V990" s="30"/>
      <c r="W990" s="30"/>
      <c r="X990" s="1"/>
      <c r="Y990" s="95"/>
      <c r="Z990" s="1"/>
      <c r="AA990" s="94"/>
      <c r="AB990" s="1"/>
      <c r="AC990" s="1"/>
      <c r="AD990" s="1"/>
      <c r="AE990" s="30"/>
      <c r="AF990" s="633"/>
      <c r="AG990" s="94"/>
      <c r="AH990" s="94"/>
      <c r="AI990" s="94"/>
      <c r="AJ990" s="94"/>
      <c r="AK990" s="94"/>
      <c r="AL990" s="94"/>
    </row>
    <row r="991" spans="3:38">
      <c r="C991" s="30"/>
      <c r="F991" s="95"/>
      <c r="G991" s="1"/>
      <c r="H991" s="94"/>
      <c r="I991" s="90"/>
      <c r="J991" s="90"/>
      <c r="K991" s="1"/>
      <c r="L991" s="74"/>
      <c r="M991" s="633"/>
      <c r="N991" s="274"/>
      <c r="O991" s="94"/>
      <c r="P991" s="94"/>
      <c r="Q991" s="94"/>
      <c r="R991" s="94"/>
      <c r="S991" s="94"/>
      <c r="V991" s="30"/>
      <c r="W991" s="30"/>
      <c r="X991" s="1"/>
      <c r="Y991" s="95"/>
      <c r="Z991" s="1"/>
      <c r="AA991" s="94"/>
      <c r="AB991" s="1"/>
      <c r="AC991" s="1"/>
      <c r="AD991" s="1"/>
      <c r="AE991" s="30"/>
      <c r="AF991" s="633"/>
      <c r="AG991" s="94"/>
      <c r="AH991" s="94"/>
      <c r="AI991" s="94"/>
      <c r="AJ991" s="94"/>
      <c r="AK991" s="94"/>
      <c r="AL991" s="94"/>
    </row>
    <row r="992" spans="3:38">
      <c r="C992" s="30"/>
      <c r="F992" s="95"/>
      <c r="G992" s="1"/>
      <c r="H992" s="94"/>
      <c r="I992" s="90"/>
      <c r="J992" s="90"/>
      <c r="K992" s="1"/>
      <c r="L992" s="74"/>
      <c r="M992" s="633"/>
      <c r="N992" s="274"/>
      <c r="O992" s="94"/>
      <c r="P992" s="94"/>
      <c r="Q992" s="94"/>
      <c r="R992" s="94"/>
      <c r="S992" s="94"/>
      <c r="V992" s="30"/>
      <c r="W992" s="30"/>
      <c r="X992" s="1"/>
      <c r="Y992" s="95"/>
      <c r="Z992" s="1"/>
      <c r="AA992" s="94"/>
      <c r="AB992" s="1"/>
      <c r="AC992" s="1"/>
      <c r="AD992" s="1"/>
      <c r="AE992" s="30"/>
      <c r="AF992" s="633"/>
      <c r="AG992" s="94"/>
      <c r="AH992" s="94"/>
      <c r="AI992" s="94"/>
      <c r="AJ992" s="94"/>
      <c r="AK992" s="94"/>
      <c r="AL992" s="94"/>
    </row>
    <row r="993" spans="3:38">
      <c r="C993" s="30"/>
      <c r="F993" s="95"/>
      <c r="G993" s="1"/>
      <c r="H993" s="94"/>
      <c r="I993" s="90"/>
      <c r="J993" s="90"/>
      <c r="K993" s="1"/>
      <c r="L993" s="74"/>
      <c r="M993" s="633"/>
      <c r="N993" s="274"/>
      <c r="O993" s="94"/>
      <c r="P993" s="94"/>
      <c r="Q993" s="94"/>
      <c r="R993" s="94"/>
      <c r="S993" s="94"/>
      <c r="V993" s="30"/>
      <c r="W993" s="30"/>
      <c r="X993" s="1"/>
      <c r="Y993" s="95"/>
      <c r="Z993" s="1"/>
      <c r="AA993" s="94"/>
      <c r="AB993" s="1"/>
      <c r="AC993" s="1"/>
      <c r="AD993" s="1"/>
      <c r="AE993" s="30"/>
      <c r="AF993" s="633"/>
      <c r="AG993" s="94"/>
      <c r="AH993" s="94"/>
      <c r="AI993" s="94"/>
      <c r="AJ993" s="94"/>
      <c r="AK993" s="94"/>
      <c r="AL993" s="94"/>
    </row>
    <row r="994" spans="3:38">
      <c r="C994" s="30"/>
      <c r="F994" s="95"/>
      <c r="G994" s="1"/>
      <c r="H994" s="94"/>
      <c r="I994" s="90"/>
      <c r="J994" s="90"/>
      <c r="K994" s="1"/>
      <c r="L994" s="74"/>
      <c r="M994" s="633"/>
      <c r="N994" s="274"/>
      <c r="O994" s="94"/>
      <c r="P994" s="94"/>
      <c r="Q994" s="94"/>
      <c r="R994" s="94"/>
      <c r="S994" s="94"/>
      <c r="V994" s="30"/>
      <c r="W994" s="30"/>
      <c r="X994" s="1"/>
      <c r="Y994" s="95"/>
      <c r="Z994" s="1"/>
      <c r="AA994" s="94"/>
      <c r="AB994" s="1"/>
      <c r="AC994" s="1"/>
      <c r="AD994" s="1"/>
      <c r="AE994" s="30"/>
      <c r="AF994" s="633"/>
      <c r="AG994" s="94"/>
      <c r="AH994" s="94"/>
      <c r="AI994" s="94"/>
      <c r="AJ994" s="94"/>
      <c r="AK994" s="94"/>
      <c r="AL994" s="94"/>
    </row>
    <row r="995" spans="3:38">
      <c r="C995" s="30"/>
      <c r="F995" s="95"/>
      <c r="G995" s="1"/>
      <c r="H995" s="94"/>
      <c r="I995" s="90"/>
      <c r="J995" s="90"/>
      <c r="K995" s="1"/>
      <c r="L995" s="74"/>
      <c r="M995" s="633"/>
      <c r="N995" s="274"/>
      <c r="O995" s="94"/>
      <c r="P995" s="94"/>
      <c r="Q995" s="94"/>
      <c r="R995" s="94"/>
      <c r="S995" s="94"/>
      <c r="V995" s="30"/>
      <c r="W995" s="30"/>
      <c r="X995" s="1"/>
      <c r="Y995" s="95"/>
      <c r="Z995" s="1"/>
      <c r="AA995" s="94"/>
      <c r="AB995" s="1"/>
      <c r="AC995" s="1"/>
      <c r="AD995" s="1"/>
      <c r="AE995" s="30"/>
      <c r="AF995" s="633"/>
      <c r="AG995" s="94"/>
      <c r="AH995" s="94"/>
      <c r="AI995" s="94"/>
      <c r="AJ995" s="94"/>
      <c r="AK995" s="94"/>
      <c r="AL995" s="94"/>
    </row>
    <row r="996" spans="3:38">
      <c r="C996" s="30"/>
      <c r="F996" s="95"/>
      <c r="G996" s="1"/>
      <c r="H996" s="94"/>
      <c r="I996" s="90"/>
      <c r="J996" s="90"/>
      <c r="K996" s="1"/>
      <c r="L996" s="74"/>
      <c r="M996" s="633"/>
      <c r="N996" s="274"/>
      <c r="O996" s="94"/>
      <c r="P996" s="94"/>
      <c r="Q996" s="94"/>
      <c r="R996" s="94"/>
      <c r="S996" s="94"/>
      <c r="V996" s="30"/>
      <c r="W996" s="30"/>
      <c r="X996" s="1"/>
      <c r="Y996" s="95"/>
      <c r="Z996" s="1"/>
      <c r="AA996" s="94"/>
      <c r="AB996" s="1"/>
      <c r="AC996" s="1"/>
      <c r="AD996" s="1"/>
      <c r="AE996" s="30"/>
      <c r="AF996" s="633"/>
      <c r="AG996" s="94"/>
      <c r="AH996" s="94"/>
      <c r="AI996" s="94"/>
      <c r="AJ996" s="94"/>
      <c r="AK996" s="94"/>
      <c r="AL996" s="94"/>
    </row>
    <row r="997" spans="3:38">
      <c r="C997" s="30"/>
      <c r="F997" s="95"/>
      <c r="G997" s="1"/>
      <c r="H997" s="94"/>
      <c r="I997" s="90"/>
      <c r="J997" s="90"/>
      <c r="K997" s="1"/>
      <c r="L997" s="74"/>
      <c r="M997" s="633"/>
      <c r="N997" s="274"/>
      <c r="O997" s="94"/>
      <c r="P997" s="94"/>
      <c r="Q997" s="94"/>
      <c r="R997" s="94"/>
      <c r="S997" s="94"/>
      <c r="V997" s="30"/>
      <c r="W997" s="30"/>
      <c r="X997" s="1"/>
      <c r="Y997" s="95"/>
      <c r="Z997" s="1"/>
      <c r="AA997" s="94"/>
      <c r="AB997" s="1"/>
      <c r="AC997" s="1"/>
      <c r="AD997" s="1"/>
      <c r="AE997" s="30"/>
      <c r="AF997" s="633"/>
      <c r="AG997" s="94"/>
      <c r="AH997" s="94"/>
      <c r="AI997" s="94"/>
      <c r="AJ997" s="94"/>
      <c r="AK997" s="94"/>
      <c r="AL997" s="94"/>
    </row>
    <row r="998" spans="3:38">
      <c r="C998" s="30"/>
      <c r="F998" s="95"/>
      <c r="G998" s="1"/>
      <c r="H998" s="94"/>
      <c r="I998" s="90"/>
      <c r="J998" s="90"/>
      <c r="K998" s="1"/>
      <c r="L998" s="74"/>
      <c r="M998" s="633"/>
      <c r="N998" s="274"/>
      <c r="O998" s="94"/>
      <c r="P998" s="94"/>
      <c r="Q998" s="94"/>
      <c r="R998" s="94"/>
      <c r="S998" s="94"/>
      <c r="V998" s="30"/>
      <c r="W998" s="30"/>
      <c r="X998" s="1"/>
      <c r="Y998" s="95"/>
      <c r="Z998" s="1"/>
      <c r="AA998" s="94"/>
      <c r="AB998" s="1"/>
      <c r="AC998" s="1"/>
      <c r="AD998" s="1"/>
      <c r="AE998" s="30"/>
      <c r="AF998" s="633"/>
      <c r="AG998" s="94"/>
      <c r="AH998" s="94"/>
      <c r="AI998" s="94"/>
      <c r="AJ998" s="94"/>
      <c r="AK998" s="94"/>
      <c r="AL998" s="94"/>
    </row>
    <row r="999" spans="3:38">
      <c r="C999" s="30"/>
      <c r="F999" s="95"/>
      <c r="G999" s="1"/>
      <c r="H999" s="94"/>
      <c r="I999" s="90"/>
      <c r="J999" s="90"/>
      <c r="K999" s="1"/>
      <c r="L999" s="74"/>
      <c r="M999" s="633"/>
      <c r="N999" s="274"/>
      <c r="O999" s="94"/>
      <c r="P999" s="94"/>
      <c r="Q999" s="94"/>
      <c r="R999" s="94"/>
      <c r="S999" s="94"/>
      <c r="V999" s="30"/>
      <c r="W999" s="30"/>
      <c r="X999" s="1"/>
      <c r="Y999" s="95"/>
      <c r="Z999" s="1"/>
      <c r="AA999" s="94"/>
      <c r="AB999" s="1"/>
      <c r="AC999" s="1"/>
      <c r="AD999" s="1"/>
      <c r="AE999" s="30"/>
      <c r="AF999" s="633"/>
      <c r="AG999" s="94"/>
      <c r="AH999" s="94"/>
      <c r="AI999" s="94"/>
      <c r="AJ999" s="94"/>
      <c r="AK999" s="94"/>
      <c r="AL999" s="94"/>
    </row>
    <row r="1000" spans="3:38">
      <c r="C1000" s="30"/>
      <c r="F1000" s="95"/>
      <c r="G1000" s="1"/>
      <c r="H1000" s="94"/>
      <c r="I1000" s="90"/>
      <c r="J1000" s="90"/>
      <c r="K1000" s="1"/>
      <c r="L1000" s="74"/>
      <c r="M1000" s="633"/>
      <c r="N1000" s="274"/>
      <c r="O1000" s="94"/>
      <c r="P1000" s="94"/>
      <c r="Q1000" s="94"/>
      <c r="R1000" s="94"/>
      <c r="S1000" s="94"/>
      <c r="V1000" s="30"/>
      <c r="W1000" s="30"/>
      <c r="X1000" s="1"/>
      <c r="Y1000" s="95"/>
      <c r="Z1000" s="1"/>
      <c r="AA1000" s="94"/>
      <c r="AB1000" s="1"/>
      <c r="AC1000" s="1"/>
      <c r="AD1000" s="1"/>
      <c r="AE1000" s="30"/>
      <c r="AF1000" s="633"/>
      <c r="AG1000" s="94"/>
      <c r="AH1000" s="94"/>
      <c r="AI1000" s="94"/>
      <c r="AJ1000" s="94"/>
      <c r="AK1000" s="94"/>
      <c r="AL1000" s="94"/>
    </row>
    <row r="1001" spans="3:38">
      <c r="C1001" s="30"/>
      <c r="F1001" s="95"/>
      <c r="G1001" s="1"/>
      <c r="H1001" s="94"/>
      <c r="I1001" s="90"/>
      <c r="J1001" s="90"/>
      <c r="K1001" s="1"/>
      <c r="L1001" s="74"/>
      <c r="M1001" s="633"/>
      <c r="N1001" s="274"/>
      <c r="O1001" s="94"/>
      <c r="P1001" s="94"/>
      <c r="Q1001" s="94"/>
      <c r="R1001" s="94"/>
      <c r="S1001" s="94"/>
      <c r="V1001" s="30"/>
      <c r="W1001" s="30"/>
      <c r="X1001" s="1"/>
      <c r="Y1001" s="95"/>
      <c r="Z1001" s="1"/>
      <c r="AA1001" s="94"/>
      <c r="AB1001" s="1"/>
      <c r="AC1001" s="1"/>
      <c r="AD1001" s="1"/>
      <c r="AE1001" s="30"/>
      <c r="AF1001" s="633"/>
      <c r="AG1001" s="94"/>
      <c r="AH1001" s="94"/>
      <c r="AI1001" s="94"/>
      <c r="AJ1001" s="94"/>
      <c r="AK1001" s="94"/>
      <c r="AL1001" s="94"/>
    </row>
    <row r="1002" spans="3:38">
      <c r="C1002" s="30"/>
      <c r="F1002" s="95"/>
      <c r="G1002" s="1"/>
      <c r="H1002" s="94"/>
      <c r="I1002" s="90"/>
      <c r="J1002" s="90"/>
      <c r="K1002" s="1"/>
      <c r="L1002" s="74"/>
      <c r="M1002" s="633"/>
      <c r="N1002" s="274"/>
      <c r="O1002" s="94"/>
      <c r="P1002" s="94"/>
      <c r="Q1002" s="94"/>
      <c r="R1002" s="94"/>
      <c r="S1002" s="94"/>
      <c r="V1002" s="30"/>
      <c r="W1002" s="30"/>
      <c r="X1002" s="1"/>
      <c r="Y1002" s="95"/>
      <c r="Z1002" s="1"/>
      <c r="AA1002" s="94"/>
      <c r="AB1002" s="1"/>
      <c r="AC1002" s="1"/>
      <c r="AD1002" s="1"/>
      <c r="AE1002" s="30"/>
      <c r="AF1002" s="633"/>
      <c r="AG1002" s="94"/>
      <c r="AH1002" s="94"/>
      <c r="AI1002" s="94"/>
      <c r="AJ1002" s="94"/>
      <c r="AK1002" s="94"/>
      <c r="AL1002" s="94"/>
    </row>
    <row r="1003" spans="3:38">
      <c r="C1003" s="30"/>
      <c r="F1003" s="95"/>
      <c r="G1003" s="1"/>
      <c r="H1003" s="94"/>
      <c r="I1003" s="90"/>
      <c r="J1003" s="90"/>
      <c r="K1003" s="1"/>
      <c r="L1003" s="74"/>
      <c r="M1003" s="633"/>
      <c r="N1003" s="274"/>
      <c r="O1003" s="94"/>
      <c r="P1003" s="94"/>
      <c r="Q1003" s="94"/>
      <c r="R1003" s="94"/>
      <c r="S1003" s="94"/>
      <c r="V1003" s="30"/>
      <c r="W1003" s="30"/>
      <c r="X1003" s="1"/>
      <c r="Y1003" s="95"/>
      <c r="Z1003" s="1"/>
      <c r="AA1003" s="94"/>
      <c r="AB1003" s="1"/>
      <c r="AC1003" s="1"/>
      <c r="AD1003" s="1"/>
      <c r="AE1003" s="30"/>
      <c r="AF1003" s="633"/>
      <c r="AG1003" s="94"/>
      <c r="AH1003" s="94"/>
      <c r="AI1003" s="94"/>
      <c r="AJ1003" s="94"/>
      <c r="AK1003" s="94"/>
      <c r="AL1003" s="94"/>
    </row>
    <row r="1004" spans="3:38">
      <c r="C1004" s="30"/>
      <c r="F1004" s="95"/>
      <c r="G1004" s="1"/>
      <c r="H1004" s="94"/>
      <c r="I1004" s="90"/>
      <c r="J1004" s="90"/>
      <c r="K1004" s="1"/>
      <c r="L1004" s="74"/>
      <c r="M1004" s="633"/>
      <c r="N1004" s="274"/>
      <c r="O1004" s="94"/>
      <c r="P1004" s="94"/>
      <c r="Q1004" s="94"/>
      <c r="R1004" s="94"/>
      <c r="S1004" s="94"/>
      <c r="V1004" s="30"/>
      <c r="W1004" s="30"/>
      <c r="X1004" s="1"/>
      <c r="Y1004" s="95"/>
      <c r="Z1004" s="1"/>
      <c r="AA1004" s="94"/>
      <c r="AB1004" s="1"/>
      <c r="AC1004" s="1"/>
      <c r="AD1004" s="1"/>
      <c r="AE1004" s="30"/>
      <c r="AF1004" s="633"/>
      <c r="AG1004" s="94"/>
      <c r="AH1004" s="94"/>
      <c r="AI1004" s="94"/>
      <c r="AJ1004" s="94"/>
      <c r="AK1004" s="94"/>
      <c r="AL1004" s="94"/>
    </row>
    <row r="1005" spans="3:38">
      <c r="C1005" s="30"/>
      <c r="F1005" s="95"/>
      <c r="G1005" s="1"/>
      <c r="H1005" s="94"/>
      <c r="I1005" s="90"/>
      <c r="J1005" s="90"/>
      <c r="K1005" s="1"/>
      <c r="L1005" s="74"/>
      <c r="M1005" s="633"/>
      <c r="N1005" s="274"/>
      <c r="O1005" s="94"/>
      <c r="P1005" s="94"/>
      <c r="Q1005" s="94"/>
      <c r="R1005" s="94"/>
      <c r="S1005" s="94"/>
      <c r="V1005" s="30"/>
      <c r="W1005" s="30"/>
      <c r="X1005" s="1"/>
      <c r="Y1005" s="95"/>
      <c r="Z1005" s="1"/>
      <c r="AA1005" s="94"/>
      <c r="AB1005" s="1"/>
      <c r="AC1005" s="1"/>
      <c r="AD1005" s="1"/>
      <c r="AE1005" s="30"/>
      <c r="AF1005" s="633"/>
      <c r="AG1005" s="94"/>
      <c r="AH1005" s="94"/>
      <c r="AI1005" s="94"/>
      <c r="AJ1005" s="94"/>
      <c r="AK1005" s="94"/>
      <c r="AL1005" s="94"/>
    </row>
    <row r="1006" spans="3:38">
      <c r="C1006" s="30"/>
      <c r="F1006" s="95"/>
      <c r="G1006" s="1"/>
      <c r="H1006" s="94"/>
      <c r="I1006" s="90"/>
      <c r="J1006" s="90"/>
      <c r="K1006" s="1"/>
      <c r="L1006" s="74"/>
      <c r="M1006" s="633"/>
      <c r="N1006" s="274"/>
      <c r="O1006" s="94"/>
      <c r="P1006" s="94"/>
      <c r="Q1006" s="94"/>
      <c r="R1006" s="94"/>
      <c r="S1006" s="94"/>
      <c r="V1006" s="30"/>
      <c r="W1006" s="30"/>
      <c r="X1006" s="1"/>
      <c r="Y1006" s="95"/>
      <c r="Z1006" s="1"/>
      <c r="AA1006" s="94"/>
      <c r="AB1006" s="1"/>
      <c r="AC1006" s="1"/>
      <c r="AD1006" s="1"/>
      <c r="AE1006" s="30"/>
      <c r="AF1006" s="633"/>
      <c r="AG1006" s="94"/>
      <c r="AH1006" s="94"/>
      <c r="AI1006" s="94"/>
      <c r="AJ1006" s="94"/>
      <c r="AK1006" s="94"/>
      <c r="AL1006" s="94"/>
    </row>
    <row r="1007" spans="3:38">
      <c r="C1007" s="30"/>
      <c r="F1007" s="95"/>
      <c r="G1007" s="1"/>
      <c r="H1007" s="94"/>
      <c r="I1007" s="90"/>
      <c r="J1007" s="90"/>
      <c r="K1007" s="1"/>
      <c r="L1007" s="74"/>
      <c r="M1007" s="633"/>
      <c r="N1007" s="274"/>
      <c r="O1007" s="94"/>
      <c r="P1007" s="94"/>
      <c r="Q1007" s="94"/>
      <c r="R1007" s="94"/>
      <c r="S1007" s="94"/>
      <c r="V1007" s="30"/>
      <c r="W1007" s="30"/>
      <c r="X1007" s="1"/>
      <c r="Y1007" s="95"/>
      <c r="Z1007" s="1"/>
      <c r="AA1007" s="94"/>
      <c r="AB1007" s="1"/>
      <c r="AC1007" s="1"/>
      <c r="AD1007" s="1"/>
      <c r="AE1007" s="30"/>
      <c r="AF1007" s="633"/>
      <c r="AG1007" s="94"/>
      <c r="AH1007" s="94"/>
      <c r="AI1007" s="94"/>
      <c r="AJ1007" s="94"/>
      <c r="AK1007" s="94"/>
      <c r="AL1007" s="94"/>
    </row>
    <row r="1008" spans="3:38">
      <c r="C1008" s="30"/>
      <c r="F1008" s="95"/>
      <c r="G1008" s="1"/>
      <c r="H1008" s="94"/>
      <c r="I1008" s="90"/>
      <c r="J1008" s="90"/>
      <c r="K1008" s="1"/>
      <c r="L1008" s="74"/>
      <c r="M1008" s="633"/>
      <c r="N1008" s="274"/>
      <c r="O1008" s="94"/>
      <c r="P1008" s="94"/>
      <c r="Q1008" s="94"/>
      <c r="R1008" s="94"/>
      <c r="S1008" s="94"/>
      <c r="V1008" s="30"/>
      <c r="W1008" s="30"/>
      <c r="X1008" s="1"/>
      <c r="Y1008" s="95"/>
      <c r="Z1008" s="1"/>
      <c r="AA1008" s="94"/>
      <c r="AB1008" s="1"/>
      <c r="AC1008" s="1"/>
      <c r="AD1008" s="1"/>
      <c r="AE1008" s="30"/>
      <c r="AF1008" s="633"/>
      <c r="AG1008" s="94"/>
      <c r="AH1008" s="94"/>
      <c r="AI1008" s="94"/>
      <c r="AJ1008" s="94"/>
      <c r="AK1008" s="94"/>
      <c r="AL1008" s="94"/>
    </row>
    <row r="1009" spans="3:38">
      <c r="C1009" s="30"/>
      <c r="F1009" s="95"/>
      <c r="G1009" s="1"/>
      <c r="H1009" s="94"/>
      <c r="I1009" s="90"/>
      <c r="J1009" s="90"/>
      <c r="K1009" s="1"/>
      <c r="L1009" s="74"/>
      <c r="M1009" s="633"/>
      <c r="N1009" s="274"/>
      <c r="O1009" s="94"/>
      <c r="P1009" s="94"/>
      <c r="Q1009" s="94"/>
      <c r="R1009" s="94"/>
      <c r="S1009" s="94"/>
      <c r="V1009" s="30"/>
      <c r="W1009" s="30"/>
      <c r="X1009" s="1"/>
      <c r="Y1009" s="95"/>
      <c r="Z1009" s="1"/>
      <c r="AA1009" s="94"/>
      <c r="AB1009" s="1"/>
      <c r="AC1009" s="1"/>
      <c r="AD1009" s="1"/>
      <c r="AE1009" s="30"/>
      <c r="AF1009" s="633"/>
      <c r="AG1009" s="94"/>
      <c r="AH1009" s="94"/>
      <c r="AI1009" s="94"/>
      <c r="AJ1009" s="94"/>
      <c r="AK1009" s="94"/>
      <c r="AL1009" s="94"/>
    </row>
    <row r="1010" spans="3:38">
      <c r="C1010" s="30"/>
      <c r="F1010" s="95"/>
      <c r="G1010" s="1"/>
      <c r="H1010" s="94"/>
      <c r="I1010" s="90"/>
      <c r="J1010" s="90"/>
      <c r="K1010" s="1"/>
      <c r="L1010" s="74"/>
      <c r="M1010" s="633"/>
      <c r="N1010" s="274"/>
      <c r="O1010" s="94"/>
      <c r="P1010" s="94"/>
      <c r="Q1010" s="94"/>
      <c r="R1010" s="94"/>
      <c r="S1010" s="94"/>
      <c r="V1010" s="30"/>
      <c r="W1010" s="30"/>
      <c r="X1010" s="1"/>
      <c r="Y1010" s="95"/>
      <c r="Z1010" s="1"/>
      <c r="AA1010" s="94"/>
      <c r="AB1010" s="1"/>
      <c r="AC1010" s="1"/>
      <c r="AD1010" s="1"/>
      <c r="AE1010" s="30"/>
      <c r="AF1010" s="633"/>
      <c r="AG1010" s="94"/>
      <c r="AH1010" s="94"/>
      <c r="AI1010" s="94"/>
      <c r="AJ1010" s="94"/>
      <c r="AK1010" s="94"/>
      <c r="AL1010" s="94"/>
    </row>
    <row r="1011" spans="3:38">
      <c r="C1011" s="30"/>
      <c r="F1011" s="95"/>
      <c r="G1011" s="1"/>
      <c r="H1011" s="94"/>
      <c r="I1011" s="90"/>
      <c r="J1011" s="90"/>
      <c r="K1011" s="1"/>
      <c r="L1011" s="74"/>
      <c r="M1011" s="633"/>
      <c r="N1011" s="274"/>
      <c r="O1011" s="94"/>
      <c r="P1011" s="94"/>
      <c r="Q1011" s="94"/>
      <c r="R1011" s="94"/>
      <c r="S1011" s="94"/>
      <c r="V1011" s="30"/>
      <c r="W1011" s="30"/>
      <c r="X1011" s="1"/>
      <c r="Y1011" s="95"/>
      <c r="Z1011" s="1"/>
      <c r="AA1011" s="94"/>
      <c r="AB1011" s="1"/>
      <c r="AC1011" s="1"/>
      <c r="AD1011" s="1"/>
      <c r="AE1011" s="30"/>
      <c r="AF1011" s="633"/>
      <c r="AG1011" s="94"/>
      <c r="AH1011" s="94"/>
      <c r="AI1011" s="94"/>
      <c r="AJ1011" s="94"/>
      <c r="AK1011" s="94"/>
      <c r="AL1011" s="94"/>
    </row>
    <row r="1012" spans="3:38">
      <c r="C1012" s="30"/>
      <c r="F1012" s="95"/>
      <c r="G1012" s="1"/>
      <c r="H1012" s="94"/>
      <c r="I1012" s="90"/>
      <c r="J1012" s="90"/>
      <c r="K1012" s="1"/>
      <c r="L1012" s="74"/>
      <c r="M1012" s="633"/>
      <c r="N1012" s="274"/>
      <c r="O1012" s="94"/>
      <c r="P1012" s="94"/>
      <c r="Q1012" s="94"/>
      <c r="R1012" s="94"/>
      <c r="S1012" s="94"/>
      <c r="V1012" s="30"/>
      <c r="W1012" s="30"/>
      <c r="X1012" s="1"/>
      <c r="Y1012" s="95"/>
      <c r="Z1012" s="1"/>
      <c r="AA1012" s="94"/>
      <c r="AB1012" s="1"/>
      <c r="AC1012" s="1"/>
      <c r="AD1012" s="1"/>
      <c r="AE1012" s="30"/>
      <c r="AF1012" s="633"/>
      <c r="AG1012" s="94"/>
      <c r="AH1012" s="94"/>
      <c r="AI1012" s="94"/>
      <c r="AJ1012" s="94"/>
      <c r="AK1012" s="94"/>
      <c r="AL1012" s="94"/>
    </row>
    <row r="1013" spans="3:38">
      <c r="C1013" s="30"/>
      <c r="F1013" s="95"/>
      <c r="G1013" s="1"/>
      <c r="H1013" s="94"/>
      <c r="I1013" s="90"/>
      <c r="J1013" s="90"/>
      <c r="K1013" s="1"/>
      <c r="L1013" s="74"/>
      <c r="M1013" s="633"/>
      <c r="N1013" s="274"/>
      <c r="O1013" s="94"/>
      <c r="P1013" s="94"/>
      <c r="Q1013" s="94"/>
      <c r="R1013" s="94"/>
      <c r="S1013" s="94"/>
      <c r="V1013" s="30"/>
      <c r="W1013" s="30"/>
      <c r="X1013" s="1"/>
      <c r="Y1013" s="95"/>
      <c r="Z1013" s="1"/>
      <c r="AA1013" s="94"/>
      <c r="AB1013" s="1"/>
      <c r="AC1013" s="1"/>
      <c r="AD1013" s="1"/>
      <c r="AE1013" s="30"/>
      <c r="AF1013" s="633"/>
      <c r="AG1013" s="94"/>
      <c r="AH1013" s="94"/>
      <c r="AI1013" s="94"/>
      <c r="AJ1013" s="94"/>
      <c r="AK1013" s="94"/>
      <c r="AL1013" s="94"/>
    </row>
    <row r="1014" spans="3:38">
      <c r="C1014" s="30"/>
      <c r="F1014" s="95"/>
      <c r="G1014" s="1"/>
      <c r="H1014" s="94"/>
      <c r="I1014" s="90"/>
      <c r="J1014" s="90"/>
      <c r="K1014" s="1"/>
      <c r="L1014" s="74"/>
      <c r="M1014" s="633"/>
      <c r="N1014" s="274"/>
      <c r="O1014" s="94"/>
      <c r="P1014" s="94"/>
      <c r="Q1014" s="94"/>
      <c r="R1014" s="94"/>
      <c r="S1014" s="94"/>
      <c r="V1014" s="30"/>
      <c r="W1014" s="30"/>
      <c r="X1014" s="1"/>
      <c r="Y1014" s="95"/>
      <c r="Z1014" s="1"/>
      <c r="AA1014" s="94"/>
      <c r="AB1014" s="1"/>
      <c r="AC1014" s="1"/>
      <c r="AD1014" s="1"/>
      <c r="AE1014" s="30"/>
      <c r="AF1014" s="633"/>
      <c r="AG1014" s="94"/>
      <c r="AH1014" s="94"/>
      <c r="AI1014" s="94"/>
      <c r="AJ1014" s="94"/>
      <c r="AK1014" s="94"/>
      <c r="AL1014" s="94"/>
    </row>
    <row r="1015" spans="3:38">
      <c r="C1015" s="30"/>
      <c r="F1015" s="95"/>
      <c r="G1015" s="1"/>
      <c r="H1015" s="94"/>
      <c r="I1015" s="90"/>
      <c r="J1015" s="90"/>
      <c r="K1015" s="1"/>
      <c r="L1015" s="74"/>
      <c r="M1015" s="633"/>
      <c r="N1015" s="274"/>
      <c r="O1015" s="94"/>
      <c r="P1015" s="94"/>
      <c r="Q1015" s="94"/>
      <c r="R1015" s="94"/>
      <c r="S1015" s="94"/>
      <c r="V1015" s="30"/>
      <c r="W1015" s="30"/>
      <c r="X1015" s="1"/>
      <c r="Y1015" s="95"/>
      <c r="Z1015" s="1"/>
      <c r="AA1015" s="94"/>
      <c r="AB1015" s="1"/>
      <c r="AC1015" s="1"/>
      <c r="AD1015" s="1"/>
      <c r="AE1015" s="30"/>
      <c r="AF1015" s="633"/>
      <c r="AG1015" s="94"/>
      <c r="AH1015" s="94"/>
      <c r="AI1015" s="94"/>
      <c r="AJ1015" s="94"/>
      <c r="AK1015" s="94"/>
      <c r="AL1015" s="94"/>
    </row>
    <row r="1016" spans="3:38">
      <c r="C1016" s="30"/>
      <c r="F1016" s="95"/>
      <c r="G1016" s="1"/>
      <c r="H1016" s="94"/>
      <c r="I1016" s="90"/>
      <c r="J1016" s="90"/>
      <c r="K1016" s="1"/>
      <c r="L1016" s="74"/>
      <c r="M1016" s="633"/>
      <c r="N1016" s="274"/>
      <c r="O1016" s="94"/>
      <c r="P1016" s="94"/>
      <c r="Q1016" s="94"/>
      <c r="R1016" s="94"/>
      <c r="S1016" s="94"/>
      <c r="V1016" s="30"/>
      <c r="W1016" s="30"/>
      <c r="X1016" s="1"/>
      <c r="Y1016" s="95"/>
      <c r="Z1016" s="1"/>
      <c r="AA1016" s="94"/>
      <c r="AB1016" s="1"/>
      <c r="AC1016" s="1"/>
      <c r="AD1016" s="1"/>
      <c r="AE1016" s="30"/>
      <c r="AF1016" s="633"/>
      <c r="AG1016" s="94"/>
      <c r="AH1016" s="94"/>
      <c r="AI1016" s="94"/>
      <c r="AJ1016" s="94"/>
      <c r="AK1016" s="94"/>
      <c r="AL1016" s="94"/>
    </row>
    <row r="1017" spans="3:38">
      <c r="C1017" s="30"/>
      <c r="F1017" s="95"/>
      <c r="G1017" s="1"/>
      <c r="H1017" s="94"/>
      <c r="I1017" s="90"/>
      <c r="J1017" s="90"/>
      <c r="K1017" s="1"/>
      <c r="L1017" s="74"/>
      <c r="M1017" s="633"/>
      <c r="N1017" s="274"/>
      <c r="O1017" s="94"/>
      <c r="P1017" s="94"/>
      <c r="Q1017" s="94"/>
      <c r="R1017" s="94"/>
      <c r="S1017" s="94"/>
      <c r="V1017" s="30"/>
      <c r="W1017" s="30"/>
      <c r="X1017" s="1"/>
      <c r="Y1017" s="95"/>
      <c r="Z1017" s="1"/>
      <c r="AA1017" s="94"/>
      <c r="AB1017" s="1"/>
      <c r="AC1017" s="1"/>
      <c r="AD1017" s="1"/>
      <c r="AE1017" s="30"/>
      <c r="AF1017" s="633"/>
      <c r="AG1017" s="94"/>
      <c r="AH1017" s="94"/>
      <c r="AI1017" s="94"/>
      <c r="AJ1017" s="94"/>
      <c r="AK1017" s="94"/>
      <c r="AL1017" s="94"/>
    </row>
    <row r="1018" spans="3:38">
      <c r="C1018" s="30"/>
      <c r="F1018" s="95"/>
      <c r="G1018" s="1"/>
      <c r="H1018" s="94"/>
      <c r="I1018" s="90"/>
      <c r="J1018" s="90"/>
      <c r="K1018" s="1"/>
      <c r="L1018" s="74"/>
      <c r="M1018" s="633"/>
      <c r="N1018" s="274"/>
      <c r="O1018" s="94"/>
      <c r="P1018" s="94"/>
      <c r="Q1018" s="94"/>
      <c r="R1018" s="94"/>
      <c r="S1018" s="94"/>
      <c r="V1018" s="30"/>
      <c r="W1018" s="30"/>
      <c r="X1018" s="1"/>
      <c r="Y1018" s="95"/>
      <c r="Z1018" s="1"/>
      <c r="AA1018" s="94"/>
      <c r="AB1018" s="1"/>
      <c r="AC1018" s="1"/>
      <c r="AD1018" s="1"/>
      <c r="AE1018" s="30"/>
      <c r="AF1018" s="633"/>
      <c r="AG1018" s="94"/>
      <c r="AH1018" s="94"/>
      <c r="AI1018" s="94"/>
      <c r="AJ1018" s="94"/>
      <c r="AK1018" s="94"/>
      <c r="AL1018" s="94"/>
    </row>
    <row r="1019" spans="3:38">
      <c r="C1019" s="30"/>
      <c r="F1019" s="95"/>
      <c r="G1019" s="1"/>
      <c r="H1019" s="94"/>
      <c r="I1019" s="90"/>
      <c r="J1019" s="90"/>
      <c r="K1019" s="1"/>
      <c r="L1019" s="74"/>
      <c r="M1019" s="633"/>
      <c r="N1019" s="274"/>
      <c r="O1019" s="94"/>
      <c r="P1019" s="94"/>
      <c r="Q1019" s="94"/>
      <c r="R1019" s="94"/>
      <c r="S1019" s="94"/>
      <c r="V1019" s="30"/>
      <c r="W1019" s="30"/>
      <c r="X1019" s="1"/>
      <c r="Y1019" s="95"/>
      <c r="Z1019" s="1"/>
      <c r="AA1019" s="94"/>
      <c r="AB1019" s="1"/>
      <c r="AC1019" s="1"/>
      <c r="AD1019" s="1"/>
      <c r="AE1019" s="30"/>
      <c r="AF1019" s="633"/>
      <c r="AG1019" s="94"/>
      <c r="AH1019" s="94"/>
      <c r="AI1019" s="94"/>
      <c r="AJ1019" s="94"/>
      <c r="AK1019" s="94"/>
      <c r="AL1019" s="94"/>
    </row>
    <row r="1020" spans="3:38">
      <c r="C1020" s="30"/>
      <c r="F1020" s="95"/>
      <c r="G1020" s="1"/>
      <c r="H1020" s="94"/>
      <c r="I1020" s="90"/>
      <c r="J1020" s="90"/>
      <c r="K1020" s="1"/>
      <c r="L1020" s="74"/>
      <c r="M1020" s="633"/>
      <c r="N1020" s="274"/>
      <c r="O1020" s="94"/>
      <c r="P1020" s="94"/>
      <c r="Q1020" s="94"/>
      <c r="R1020" s="94"/>
      <c r="S1020" s="94"/>
      <c r="V1020" s="30"/>
      <c r="W1020" s="30"/>
      <c r="X1020" s="1"/>
      <c r="Y1020" s="95"/>
      <c r="Z1020" s="1"/>
      <c r="AA1020" s="94"/>
      <c r="AB1020" s="1"/>
      <c r="AC1020" s="1"/>
      <c r="AD1020" s="1"/>
      <c r="AE1020" s="30"/>
      <c r="AF1020" s="633"/>
      <c r="AG1020" s="94"/>
      <c r="AH1020" s="94"/>
      <c r="AI1020" s="94"/>
      <c r="AJ1020" s="94"/>
      <c r="AK1020" s="94"/>
      <c r="AL1020" s="94"/>
    </row>
    <row r="1021" spans="3:38">
      <c r="C1021" s="30"/>
      <c r="F1021" s="95"/>
      <c r="G1021" s="1"/>
      <c r="H1021" s="94"/>
      <c r="I1021" s="90"/>
      <c r="J1021" s="90"/>
      <c r="K1021" s="1"/>
      <c r="L1021" s="74"/>
      <c r="M1021" s="633"/>
      <c r="N1021" s="274"/>
      <c r="O1021" s="94"/>
      <c r="P1021" s="94"/>
      <c r="Q1021" s="94"/>
      <c r="R1021" s="94"/>
      <c r="S1021" s="94"/>
      <c r="V1021" s="30"/>
      <c r="W1021" s="30"/>
      <c r="X1021" s="1"/>
      <c r="Y1021" s="95"/>
      <c r="Z1021" s="1"/>
      <c r="AA1021" s="94"/>
      <c r="AB1021" s="1"/>
      <c r="AC1021" s="1"/>
      <c r="AD1021" s="1"/>
      <c r="AE1021" s="30"/>
      <c r="AF1021" s="633"/>
      <c r="AG1021" s="94"/>
      <c r="AH1021" s="94"/>
      <c r="AI1021" s="94"/>
      <c r="AJ1021" s="94"/>
      <c r="AK1021" s="94"/>
      <c r="AL1021" s="94"/>
    </row>
    <row r="1022" spans="3:38">
      <c r="C1022" s="30"/>
      <c r="F1022" s="95"/>
      <c r="G1022" s="1"/>
      <c r="H1022" s="94"/>
      <c r="I1022" s="90"/>
      <c r="J1022" s="90"/>
      <c r="K1022" s="1"/>
      <c r="L1022" s="74"/>
      <c r="M1022" s="633"/>
      <c r="N1022" s="274"/>
      <c r="O1022" s="94"/>
      <c r="P1022" s="94"/>
      <c r="Q1022" s="94"/>
      <c r="R1022" s="94"/>
      <c r="S1022" s="94"/>
      <c r="V1022" s="30"/>
      <c r="W1022" s="30"/>
      <c r="X1022" s="1"/>
      <c r="Y1022" s="95"/>
      <c r="Z1022" s="1"/>
      <c r="AA1022" s="94"/>
      <c r="AB1022" s="1"/>
      <c r="AC1022" s="1"/>
      <c r="AD1022" s="1"/>
      <c r="AE1022" s="30"/>
      <c r="AF1022" s="633"/>
      <c r="AG1022" s="94"/>
      <c r="AH1022" s="94"/>
      <c r="AI1022" s="94"/>
      <c r="AJ1022" s="94"/>
      <c r="AK1022" s="94"/>
      <c r="AL1022" s="94"/>
    </row>
    <row r="1023" spans="3:38">
      <c r="C1023" s="30"/>
      <c r="F1023" s="95"/>
      <c r="G1023" s="1"/>
      <c r="H1023" s="94"/>
      <c r="I1023" s="90"/>
      <c r="J1023" s="90"/>
      <c r="K1023" s="1"/>
      <c r="L1023" s="74"/>
      <c r="M1023" s="633"/>
      <c r="N1023" s="274"/>
      <c r="O1023" s="94"/>
      <c r="P1023" s="94"/>
      <c r="Q1023" s="94"/>
      <c r="R1023" s="94"/>
      <c r="S1023" s="94"/>
      <c r="V1023" s="30"/>
      <c r="W1023" s="30"/>
      <c r="X1023" s="1"/>
      <c r="Y1023" s="95"/>
      <c r="Z1023" s="1"/>
      <c r="AA1023" s="94"/>
      <c r="AB1023" s="1"/>
      <c r="AC1023" s="1"/>
      <c r="AD1023" s="1"/>
      <c r="AE1023" s="30"/>
      <c r="AF1023" s="633"/>
      <c r="AG1023" s="94"/>
      <c r="AH1023" s="94"/>
      <c r="AI1023" s="94"/>
      <c r="AJ1023" s="94"/>
      <c r="AK1023" s="94"/>
      <c r="AL1023" s="94"/>
    </row>
    <row r="1024" spans="3:38">
      <c r="C1024" s="30"/>
      <c r="F1024" s="95"/>
      <c r="G1024" s="1"/>
      <c r="H1024" s="94"/>
      <c r="I1024" s="90"/>
      <c r="J1024" s="90"/>
      <c r="K1024" s="1"/>
      <c r="L1024" s="74"/>
      <c r="M1024" s="633"/>
      <c r="N1024" s="274"/>
      <c r="O1024" s="94"/>
      <c r="P1024" s="94"/>
      <c r="Q1024" s="94"/>
      <c r="R1024" s="94"/>
      <c r="S1024" s="94"/>
      <c r="V1024" s="30"/>
      <c r="W1024" s="30"/>
      <c r="X1024" s="1"/>
      <c r="Y1024" s="95"/>
      <c r="Z1024" s="1"/>
      <c r="AA1024" s="94"/>
      <c r="AB1024" s="1"/>
      <c r="AC1024" s="1"/>
      <c r="AD1024" s="1"/>
      <c r="AE1024" s="30"/>
      <c r="AF1024" s="633"/>
      <c r="AG1024" s="94"/>
      <c r="AH1024" s="94"/>
      <c r="AI1024" s="94"/>
      <c r="AJ1024" s="94"/>
      <c r="AK1024" s="94"/>
      <c r="AL1024" s="94"/>
    </row>
    <row r="1025" spans="3:38">
      <c r="C1025" s="30"/>
      <c r="F1025" s="95"/>
      <c r="G1025" s="1"/>
      <c r="H1025" s="94"/>
      <c r="I1025" s="90"/>
      <c r="J1025" s="90"/>
      <c r="K1025" s="1"/>
      <c r="L1025" s="74"/>
      <c r="M1025" s="633"/>
      <c r="N1025" s="274"/>
      <c r="O1025" s="94"/>
      <c r="P1025" s="94"/>
      <c r="Q1025" s="94"/>
      <c r="R1025" s="94"/>
      <c r="S1025" s="94"/>
      <c r="V1025" s="30"/>
      <c r="W1025" s="30"/>
      <c r="X1025" s="1"/>
      <c r="Y1025" s="95"/>
      <c r="Z1025" s="1"/>
      <c r="AA1025" s="94"/>
      <c r="AB1025" s="1"/>
      <c r="AC1025" s="1"/>
      <c r="AD1025" s="1"/>
      <c r="AE1025" s="30"/>
      <c r="AF1025" s="633"/>
      <c r="AG1025" s="94"/>
      <c r="AH1025" s="94"/>
      <c r="AI1025" s="94"/>
      <c r="AJ1025" s="94"/>
      <c r="AK1025" s="94"/>
      <c r="AL1025" s="94"/>
    </row>
    <row r="1026" spans="3:38">
      <c r="C1026" s="30"/>
      <c r="F1026" s="95"/>
      <c r="G1026" s="1"/>
      <c r="H1026" s="94"/>
      <c r="I1026" s="90"/>
      <c r="J1026" s="90"/>
      <c r="K1026" s="1"/>
      <c r="L1026" s="74"/>
      <c r="M1026" s="633"/>
      <c r="N1026" s="274"/>
      <c r="O1026" s="94"/>
      <c r="P1026" s="94"/>
      <c r="Q1026" s="94"/>
      <c r="R1026" s="94"/>
      <c r="S1026" s="94"/>
      <c r="V1026" s="30"/>
      <c r="W1026" s="30"/>
      <c r="X1026" s="1"/>
      <c r="Y1026" s="95"/>
      <c r="Z1026" s="1"/>
      <c r="AA1026" s="94"/>
      <c r="AB1026" s="1"/>
      <c r="AC1026" s="1"/>
      <c r="AD1026" s="1"/>
      <c r="AE1026" s="30"/>
      <c r="AF1026" s="633"/>
      <c r="AG1026" s="94"/>
      <c r="AH1026" s="94"/>
      <c r="AI1026" s="94"/>
      <c r="AJ1026" s="94"/>
      <c r="AK1026" s="94"/>
      <c r="AL1026" s="94"/>
    </row>
    <row r="1027" spans="3:38">
      <c r="C1027" s="30"/>
      <c r="F1027" s="95"/>
      <c r="G1027" s="1"/>
      <c r="H1027" s="94"/>
      <c r="I1027" s="90"/>
      <c r="J1027" s="90"/>
      <c r="K1027" s="1"/>
      <c r="L1027" s="74"/>
      <c r="M1027" s="633"/>
      <c r="N1027" s="274"/>
      <c r="O1027" s="94"/>
      <c r="P1027" s="94"/>
      <c r="Q1027" s="94"/>
      <c r="R1027" s="94"/>
      <c r="S1027" s="94"/>
      <c r="V1027" s="30"/>
      <c r="W1027" s="30"/>
      <c r="X1027" s="1"/>
      <c r="Y1027" s="95"/>
      <c r="Z1027" s="1"/>
      <c r="AA1027" s="94"/>
      <c r="AB1027" s="1"/>
      <c r="AC1027" s="1"/>
      <c r="AD1027" s="1"/>
      <c r="AE1027" s="30"/>
      <c r="AF1027" s="633"/>
      <c r="AG1027" s="94"/>
      <c r="AH1027" s="94"/>
      <c r="AI1027" s="94"/>
      <c r="AJ1027" s="94"/>
      <c r="AK1027" s="94"/>
      <c r="AL1027" s="94"/>
    </row>
    <row r="1028" spans="3:38">
      <c r="C1028" s="30"/>
      <c r="F1028" s="95"/>
      <c r="G1028" s="1"/>
      <c r="H1028" s="94"/>
      <c r="I1028" s="90"/>
      <c r="J1028" s="90"/>
      <c r="K1028" s="1"/>
      <c r="L1028" s="74"/>
      <c r="M1028" s="633"/>
      <c r="N1028" s="274"/>
      <c r="O1028" s="94"/>
      <c r="P1028" s="94"/>
      <c r="Q1028" s="94"/>
      <c r="R1028" s="94"/>
      <c r="S1028" s="94"/>
      <c r="V1028" s="30"/>
      <c r="W1028" s="30"/>
      <c r="X1028" s="1"/>
      <c r="Y1028" s="95"/>
      <c r="Z1028" s="1"/>
      <c r="AA1028" s="94"/>
      <c r="AB1028" s="1"/>
      <c r="AC1028" s="1"/>
      <c r="AD1028" s="1"/>
      <c r="AE1028" s="30"/>
      <c r="AF1028" s="633"/>
      <c r="AG1028" s="94"/>
      <c r="AH1028" s="94"/>
      <c r="AI1028" s="94"/>
      <c r="AJ1028" s="94"/>
      <c r="AK1028" s="94"/>
      <c r="AL1028" s="94"/>
    </row>
    <row r="1029" spans="3:38">
      <c r="C1029" s="30"/>
      <c r="F1029" s="95"/>
      <c r="G1029" s="1"/>
      <c r="H1029" s="94"/>
      <c r="I1029" s="90"/>
      <c r="J1029" s="90"/>
      <c r="K1029" s="1"/>
      <c r="L1029" s="74"/>
      <c r="M1029" s="633"/>
      <c r="N1029" s="274"/>
      <c r="O1029" s="94"/>
      <c r="P1029" s="94"/>
      <c r="Q1029" s="94"/>
      <c r="R1029" s="94"/>
      <c r="S1029" s="94"/>
      <c r="V1029" s="30"/>
      <c r="W1029" s="30"/>
      <c r="X1029" s="1"/>
      <c r="Y1029" s="95"/>
      <c r="Z1029" s="1"/>
      <c r="AA1029" s="94"/>
      <c r="AB1029" s="1"/>
      <c r="AC1029" s="1"/>
      <c r="AD1029" s="1"/>
      <c r="AE1029" s="30"/>
      <c r="AF1029" s="633"/>
      <c r="AG1029" s="94"/>
      <c r="AH1029" s="94"/>
      <c r="AI1029" s="94"/>
      <c r="AJ1029" s="94"/>
      <c r="AK1029" s="94"/>
      <c r="AL1029" s="94"/>
    </row>
    <row r="1030" spans="3:38">
      <c r="C1030" s="30"/>
      <c r="F1030" s="95"/>
      <c r="G1030" s="1"/>
      <c r="H1030" s="94"/>
      <c r="I1030" s="90"/>
      <c r="J1030" s="90"/>
      <c r="K1030" s="1"/>
      <c r="L1030" s="74"/>
      <c r="M1030" s="633"/>
      <c r="N1030" s="274"/>
      <c r="O1030" s="94"/>
      <c r="P1030" s="94"/>
      <c r="Q1030" s="94"/>
      <c r="R1030" s="94"/>
      <c r="S1030" s="94"/>
      <c r="V1030" s="30"/>
      <c r="W1030" s="30"/>
      <c r="X1030" s="1"/>
      <c r="Y1030" s="95"/>
      <c r="Z1030" s="1"/>
      <c r="AA1030" s="94"/>
      <c r="AB1030" s="1"/>
      <c r="AC1030" s="1"/>
      <c r="AD1030" s="1"/>
      <c r="AE1030" s="30"/>
      <c r="AF1030" s="633"/>
      <c r="AG1030" s="94"/>
      <c r="AH1030" s="94"/>
      <c r="AI1030" s="94"/>
      <c r="AJ1030" s="94"/>
      <c r="AK1030" s="94"/>
      <c r="AL1030" s="94"/>
    </row>
    <row r="1031" spans="3:38">
      <c r="C1031" s="30"/>
      <c r="F1031" s="95"/>
      <c r="G1031" s="1"/>
      <c r="H1031" s="94"/>
      <c r="I1031" s="90"/>
      <c r="J1031" s="90"/>
      <c r="K1031" s="1"/>
      <c r="L1031" s="74"/>
      <c r="M1031" s="633"/>
      <c r="N1031" s="274"/>
      <c r="O1031" s="94"/>
      <c r="P1031" s="94"/>
      <c r="Q1031" s="94"/>
      <c r="R1031" s="94"/>
      <c r="S1031" s="94"/>
      <c r="V1031" s="30"/>
      <c r="W1031" s="30"/>
      <c r="X1031" s="1"/>
      <c r="Y1031" s="95"/>
      <c r="Z1031" s="1"/>
      <c r="AA1031" s="94"/>
      <c r="AB1031" s="1"/>
      <c r="AC1031" s="1"/>
      <c r="AD1031" s="1"/>
      <c r="AE1031" s="30"/>
      <c r="AF1031" s="633"/>
      <c r="AG1031" s="94"/>
      <c r="AH1031" s="94"/>
      <c r="AI1031" s="94"/>
      <c r="AJ1031" s="94"/>
      <c r="AK1031" s="94"/>
      <c r="AL1031" s="94"/>
    </row>
    <row r="1032" spans="3:38">
      <c r="C1032" s="30"/>
      <c r="F1032" s="95"/>
      <c r="G1032" s="1"/>
      <c r="H1032" s="94"/>
      <c r="I1032" s="90"/>
      <c r="J1032" s="90"/>
      <c r="K1032" s="1"/>
      <c r="L1032" s="74"/>
      <c r="M1032" s="633"/>
      <c r="N1032" s="274"/>
      <c r="O1032" s="94"/>
      <c r="P1032" s="94"/>
      <c r="Q1032" s="94"/>
      <c r="R1032" s="94"/>
      <c r="S1032" s="94"/>
      <c r="V1032" s="30"/>
      <c r="W1032" s="30"/>
      <c r="X1032" s="1"/>
      <c r="Y1032" s="95"/>
      <c r="Z1032" s="1"/>
      <c r="AA1032" s="94"/>
      <c r="AB1032" s="1"/>
      <c r="AC1032" s="1"/>
      <c r="AD1032" s="1"/>
      <c r="AE1032" s="30"/>
      <c r="AF1032" s="633"/>
      <c r="AG1032" s="94"/>
      <c r="AH1032" s="94"/>
      <c r="AI1032" s="94"/>
      <c r="AJ1032" s="94"/>
      <c r="AK1032" s="94"/>
      <c r="AL1032" s="94"/>
    </row>
    <row r="1033" spans="3:38">
      <c r="C1033" s="30"/>
      <c r="F1033" s="95"/>
      <c r="G1033" s="1"/>
      <c r="H1033" s="94"/>
      <c r="I1033" s="90"/>
      <c r="J1033" s="90"/>
      <c r="K1033" s="1"/>
      <c r="L1033" s="74"/>
      <c r="M1033" s="633"/>
      <c r="N1033" s="274"/>
      <c r="O1033" s="94"/>
      <c r="P1033" s="94"/>
      <c r="Q1033" s="94"/>
      <c r="R1033" s="94"/>
      <c r="S1033" s="94"/>
      <c r="V1033" s="30"/>
      <c r="W1033" s="30"/>
      <c r="X1033" s="1"/>
      <c r="Y1033" s="95"/>
      <c r="Z1033" s="1"/>
      <c r="AA1033" s="94"/>
      <c r="AB1033" s="1"/>
      <c r="AC1033" s="1"/>
      <c r="AD1033" s="1"/>
      <c r="AE1033" s="30"/>
      <c r="AF1033" s="633"/>
      <c r="AG1033" s="94"/>
      <c r="AH1033" s="94"/>
      <c r="AI1033" s="94"/>
      <c r="AJ1033" s="94"/>
      <c r="AK1033" s="94"/>
      <c r="AL1033" s="94"/>
    </row>
    <row r="1034" spans="3:38">
      <c r="C1034" s="30"/>
      <c r="F1034" s="95"/>
      <c r="G1034" s="1"/>
      <c r="H1034" s="94"/>
      <c r="I1034" s="90"/>
      <c r="J1034" s="90"/>
      <c r="K1034" s="1"/>
      <c r="L1034" s="74"/>
      <c r="M1034" s="633"/>
      <c r="N1034" s="274"/>
      <c r="O1034" s="94"/>
      <c r="P1034" s="94"/>
      <c r="Q1034" s="94"/>
      <c r="R1034" s="94"/>
      <c r="S1034" s="94"/>
      <c r="V1034" s="30"/>
      <c r="W1034" s="30"/>
      <c r="X1034" s="1"/>
      <c r="Y1034" s="95"/>
      <c r="Z1034" s="1"/>
      <c r="AA1034" s="94"/>
      <c r="AB1034" s="1"/>
      <c r="AC1034" s="1"/>
      <c r="AD1034" s="1"/>
      <c r="AE1034" s="30"/>
      <c r="AF1034" s="633"/>
      <c r="AG1034" s="94"/>
      <c r="AH1034" s="94"/>
      <c r="AI1034" s="94"/>
      <c r="AJ1034" s="94"/>
      <c r="AK1034" s="94"/>
      <c r="AL1034" s="94"/>
    </row>
    <row r="1035" spans="3:38">
      <c r="C1035" s="30"/>
      <c r="F1035" s="95"/>
      <c r="G1035" s="1"/>
      <c r="H1035" s="94"/>
      <c r="I1035" s="90"/>
      <c r="J1035" s="90"/>
      <c r="K1035" s="1"/>
      <c r="L1035" s="74"/>
      <c r="M1035" s="633"/>
      <c r="N1035" s="274"/>
      <c r="O1035" s="94"/>
      <c r="P1035" s="94"/>
      <c r="Q1035" s="94"/>
      <c r="R1035" s="94"/>
      <c r="S1035" s="94"/>
      <c r="V1035" s="30"/>
      <c r="W1035" s="30"/>
      <c r="X1035" s="1"/>
      <c r="Y1035" s="95"/>
      <c r="Z1035" s="1"/>
      <c r="AA1035" s="94"/>
      <c r="AB1035" s="1"/>
      <c r="AC1035" s="1"/>
      <c r="AD1035" s="1"/>
      <c r="AE1035" s="30"/>
      <c r="AF1035" s="633"/>
      <c r="AG1035" s="94"/>
      <c r="AH1035" s="94"/>
      <c r="AI1035" s="94"/>
      <c r="AJ1035" s="94"/>
      <c r="AK1035" s="94"/>
      <c r="AL1035" s="94"/>
    </row>
    <row r="1036" spans="3:38">
      <c r="C1036" s="30"/>
      <c r="F1036" s="95"/>
      <c r="G1036" s="1"/>
      <c r="H1036" s="94"/>
      <c r="I1036" s="90"/>
      <c r="J1036" s="90"/>
      <c r="K1036" s="1"/>
      <c r="L1036" s="74"/>
      <c r="M1036" s="633"/>
      <c r="N1036" s="274"/>
      <c r="O1036" s="94"/>
      <c r="P1036" s="94"/>
      <c r="Q1036" s="94"/>
      <c r="R1036" s="94"/>
      <c r="S1036" s="94"/>
      <c r="V1036" s="30"/>
      <c r="W1036" s="30"/>
      <c r="X1036" s="1"/>
      <c r="Y1036" s="95"/>
      <c r="Z1036" s="1"/>
      <c r="AA1036" s="94"/>
      <c r="AB1036" s="1"/>
      <c r="AC1036" s="1"/>
      <c r="AD1036" s="1"/>
      <c r="AE1036" s="30"/>
      <c r="AF1036" s="633"/>
      <c r="AG1036" s="94"/>
      <c r="AH1036" s="94"/>
      <c r="AI1036" s="94"/>
      <c r="AJ1036" s="94"/>
      <c r="AK1036" s="94"/>
      <c r="AL1036" s="94"/>
    </row>
    <row r="1037" spans="3:38">
      <c r="C1037" s="30"/>
      <c r="F1037" s="95"/>
      <c r="G1037" s="1"/>
      <c r="H1037" s="94"/>
      <c r="I1037" s="90"/>
      <c r="J1037" s="90"/>
      <c r="K1037" s="1"/>
      <c r="L1037" s="74"/>
      <c r="M1037" s="633"/>
      <c r="N1037" s="274"/>
      <c r="O1037" s="94"/>
      <c r="P1037" s="94"/>
      <c r="Q1037" s="94"/>
      <c r="R1037" s="94"/>
      <c r="S1037" s="94"/>
      <c r="V1037" s="30"/>
      <c r="W1037" s="30"/>
      <c r="X1037" s="1"/>
      <c r="Y1037" s="95"/>
      <c r="Z1037" s="1"/>
      <c r="AA1037" s="94"/>
      <c r="AB1037" s="1"/>
      <c r="AC1037" s="1"/>
      <c r="AD1037" s="1"/>
      <c r="AE1037" s="30"/>
      <c r="AF1037" s="633"/>
      <c r="AG1037" s="94"/>
      <c r="AH1037" s="94"/>
      <c r="AI1037" s="94"/>
      <c r="AJ1037" s="94"/>
      <c r="AK1037" s="94"/>
      <c r="AL1037" s="94"/>
    </row>
    <row r="1038" spans="3:38">
      <c r="C1038" s="30"/>
      <c r="F1038" s="95"/>
      <c r="G1038" s="1"/>
      <c r="H1038" s="94"/>
      <c r="I1038" s="90"/>
      <c r="J1038" s="90"/>
      <c r="K1038" s="1"/>
      <c r="L1038" s="74"/>
      <c r="M1038" s="633"/>
      <c r="N1038" s="274"/>
      <c r="O1038" s="94"/>
      <c r="P1038" s="94"/>
      <c r="Q1038" s="94"/>
      <c r="R1038" s="94"/>
      <c r="S1038" s="94"/>
      <c r="V1038" s="30"/>
      <c r="W1038" s="30"/>
      <c r="X1038" s="1"/>
      <c r="Y1038" s="95"/>
      <c r="Z1038" s="1"/>
      <c r="AA1038" s="94"/>
      <c r="AB1038" s="1"/>
      <c r="AC1038" s="1"/>
      <c r="AD1038" s="1"/>
      <c r="AE1038" s="30"/>
      <c r="AF1038" s="633"/>
      <c r="AG1038" s="94"/>
      <c r="AH1038" s="94"/>
      <c r="AI1038" s="94"/>
      <c r="AJ1038" s="94"/>
      <c r="AK1038" s="94"/>
      <c r="AL1038" s="94"/>
    </row>
    <row r="1039" spans="3:38">
      <c r="C1039" s="30"/>
      <c r="F1039" s="95"/>
      <c r="G1039" s="1"/>
      <c r="H1039" s="94"/>
      <c r="I1039" s="90"/>
      <c r="J1039" s="90"/>
      <c r="K1039" s="1"/>
      <c r="L1039" s="74"/>
      <c r="M1039" s="633"/>
      <c r="N1039" s="274"/>
      <c r="O1039" s="94"/>
      <c r="P1039" s="94"/>
      <c r="Q1039" s="94"/>
      <c r="R1039" s="94"/>
      <c r="S1039" s="94"/>
      <c r="V1039" s="30"/>
      <c r="W1039" s="30"/>
      <c r="X1039" s="1"/>
      <c r="Y1039" s="95"/>
      <c r="Z1039" s="1"/>
      <c r="AA1039" s="94"/>
      <c r="AB1039" s="1"/>
      <c r="AC1039" s="1"/>
      <c r="AD1039" s="1"/>
      <c r="AE1039" s="30"/>
      <c r="AF1039" s="633"/>
      <c r="AG1039" s="94"/>
      <c r="AH1039" s="94"/>
      <c r="AI1039" s="94"/>
      <c r="AJ1039" s="94"/>
      <c r="AK1039" s="94"/>
      <c r="AL1039" s="94"/>
    </row>
    <row r="1040" spans="3:38">
      <c r="C1040" s="30"/>
      <c r="F1040" s="95"/>
      <c r="G1040" s="1"/>
      <c r="H1040" s="94"/>
      <c r="I1040" s="90"/>
      <c r="J1040" s="90"/>
      <c r="K1040" s="1"/>
      <c r="L1040" s="74"/>
      <c r="M1040" s="633"/>
      <c r="N1040" s="274"/>
      <c r="O1040" s="94"/>
      <c r="P1040" s="94"/>
      <c r="Q1040" s="94"/>
      <c r="R1040" s="94"/>
      <c r="S1040" s="94"/>
      <c r="V1040" s="30"/>
      <c r="W1040" s="30"/>
      <c r="X1040" s="1"/>
      <c r="Y1040" s="95"/>
      <c r="Z1040" s="1"/>
      <c r="AA1040" s="94"/>
      <c r="AB1040" s="1"/>
      <c r="AC1040" s="1"/>
      <c r="AD1040" s="1"/>
      <c r="AE1040" s="30"/>
      <c r="AF1040" s="633"/>
      <c r="AG1040" s="94"/>
      <c r="AH1040" s="94"/>
      <c r="AI1040" s="94"/>
      <c r="AJ1040" s="94"/>
      <c r="AK1040" s="94"/>
      <c r="AL1040" s="94"/>
    </row>
    <row r="1041" spans="3:38">
      <c r="C1041" s="30"/>
      <c r="F1041" s="95"/>
      <c r="G1041" s="1"/>
      <c r="H1041" s="94"/>
      <c r="I1041" s="90"/>
      <c r="J1041" s="90"/>
      <c r="K1041" s="1"/>
      <c r="L1041" s="74"/>
      <c r="M1041" s="633"/>
      <c r="N1041" s="274"/>
      <c r="O1041" s="94"/>
      <c r="P1041" s="94"/>
      <c r="Q1041" s="94"/>
      <c r="R1041" s="94"/>
      <c r="S1041" s="94"/>
      <c r="V1041" s="30"/>
      <c r="W1041" s="30"/>
      <c r="X1041" s="1"/>
      <c r="Y1041" s="95"/>
      <c r="Z1041" s="1"/>
      <c r="AA1041" s="94"/>
      <c r="AB1041" s="1"/>
      <c r="AC1041" s="1"/>
      <c r="AD1041" s="1"/>
      <c r="AE1041" s="30"/>
      <c r="AF1041" s="633"/>
      <c r="AG1041" s="94"/>
      <c r="AH1041" s="94"/>
      <c r="AI1041" s="94"/>
      <c r="AJ1041" s="94"/>
      <c r="AK1041" s="94"/>
      <c r="AL1041" s="94"/>
    </row>
    <row r="1042" spans="3:38">
      <c r="C1042" s="30"/>
      <c r="F1042" s="95"/>
      <c r="G1042" s="1"/>
      <c r="H1042" s="94"/>
      <c r="I1042" s="90"/>
      <c r="J1042" s="90"/>
      <c r="K1042" s="1"/>
      <c r="L1042" s="74"/>
      <c r="M1042" s="633"/>
      <c r="N1042" s="274"/>
      <c r="O1042" s="94"/>
      <c r="P1042" s="94"/>
      <c r="Q1042" s="94"/>
      <c r="R1042" s="94"/>
      <c r="S1042" s="94"/>
      <c r="V1042" s="30"/>
      <c r="W1042" s="30"/>
      <c r="X1042" s="1"/>
      <c r="Y1042" s="95"/>
      <c r="Z1042" s="1"/>
      <c r="AA1042" s="94"/>
      <c r="AB1042" s="1"/>
      <c r="AC1042" s="1"/>
      <c r="AD1042" s="1"/>
      <c r="AE1042" s="30"/>
      <c r="AF1042" s="633"/>
      <c r="AG1042" s="94"/>
      <c r="AH1042" s="94"/>
      <c r="AI1042" s="94"/>
      <c r="AJ1042" s="94"/>
      <c r="AK1042" s="94"/>
      <c r="AL1042" s="94"/>
    </row>
    <row r="1043" spans="3:38">
      <c r="C1043" s="30"/>
      <c r="F1043" s="95"/>
      <c r="G1043" s="1"/>
      <c r="H1043" s="94"/>
      <c r="I1043" s="90"/>
      <c r="J1043" s="90"/>
      <c r="K1043" s="1"/>
      <c r="L1043" s="74"/>
      <c r="M1043" s="633"/>
      <c r="N1043" s="274"/>
      <c r="O1043" s="94"/>
      <c r="P1043" s="94"/>
      <c r="Q1043" s="94"/>
      <c r="R1043" s="94"/>
      <c r="S1043" s="94"/>
      <c r="V1043" s="30"/>
      <c r="W1043" s="30"/>
      <c r="X1043" s="1"/>
      <c r="Y1043" s="95"/>
      <c r="Z1043" s="1"/>
      <c r="AA1043" s="94"/>
      <c r="AB1043" s="1"/>
      <c r="AC1043" s="1"/>
      <c r="AD1043" s="1"/>
      <c r="AE1043" s="30"/>
      <c r="AF1043" s="633"/>
      <c r="AG1043" s="94"/>
      <c r="AH1043" s="94"/>
      <c r="AI1043" s="94"/>
      <c r="AJ1043" s="94"/>
      <c r="AK1043" s="94"/>
      <c r="AL1043" s="94"/>
    </row>
    <row r="1044" spans="3:38">
      <c r="C1044" s="30"/>
      <c r="F1044" s="95"/>
      <c r="G1044" s="1"/>
      <c r="H1044" s="94"/>
      <c r="I1044" s="90"/>
      <c r="J1044" s="90"/>
      <c r="K1044" s="1"/>
      <c r="L1044" s="74"/>
      <c r="M1044" s="633"/>
      <c r="N1044" s="274"/>
      <c r="O1044" s="94"/>
      <c r="P1044" s="94"/>
      <c r="Q1044" s="94"/>
      <c r="R1044" s="94"/>
      <c r="S1044" s="94"/>
      <c r="V1044" s="30"/>
      <c r="W1044" s="30"/>
      <c r="X1044" s="1"/>
      <c r="Y1044" s="95"/>
      <c r="Z1044" s="1"/>
      <c r="AA1044" s="94"/>
      <c r="AB1044" s="1"/>
      <c r="AC1044" s="1"/>
      <c r="AD1044" s="1"/>
      <c r="AE1044" s="30"/>
      <c r="AF1044" s="633"/>
      <c r="AG1044" s="94"/>
      <c r="AH1044" s="94"/>
      <c r="AI1044" s="94"/>
      <c r="AJ1044" s="94"/>
      <c r="AK1044" s="94"/>
      <c r="AL1044" s="94"/>
    </row>
    <row r="1045" spans="3:38">
      <c r="C1045" s="30"/>
      <c r="F1045" s="95"/>
      <c r="G1045" s="1"/>
      <c r="H1045" s="94"/>
      <c r="I1045" s="90"/>
      <c r="J1045" s="90"/>
      <c r="K1045" s="1"/>
      <c r="L1045" s="74"/>
      <c r="M1045" s="633"/>
      <c r="N1045" s="274"/>
      <c r="O1045" s="94"/>
      <c r="P1045" s="94"/>
      <c r="Q1045" s="94"/>
      <c r="R1045" s="94"/>
      <c r="S1045" s="94"/>
      <c r="V1045" s="30"/>
      <c r="W1045" s="30"/>
      <c r="X1045" s="1"/>
      <c r="Y1045" s="95"/>
      <c r="Z1045" s="1"/>
      <c r="AA1045" s="94"/>
      <c r="AB1045" s="1"/>
      <c r="AC1045" s="1"/>
      <c r="AD1045" s="1"/>
      <c r="AE1045" s="30"/>
      <c r="AF1045" s="633"/>
      <c r="AG1045" s="94"/>
      <c r="AH1045" s="94"/>
      <c r="AI1045" s="94"/>
      <c r="AJ1045" s="94"/>
      <c r="AK1045" s="94"/>
      <c r="AL1045" s="94"/>
    </row>
    <row r="1046" spans="3:38">
      <c r="C1046" s="30"/>
      <c r="F1046" s="95"/>
      <c r="G1046" s="1"/>
      <c r="H1046" s="94"/>
      <c r="I1046" s="90"/>
      <c r="J1046" s="90"/>
      <c r="K1046" s="1"/>
      <c r="L1046" s="74"/>
      <c r="M1046" s="633"/>
      <c r="N1046" s="274"/>
      <c r="O1046" s="94"/>
      <c r="P1046" s="94"/>
      <c r="Q1046" s="94"/>
      <c r="R1046" s="94"/>
      <c r="S1046" s="94"/>
      <c r="V1046" s="30"/>
      <c r="W1046" s="30"/>
      <c r="X1046" s="1"/>
      <c r="Y1046" s="95"/>
      <c r="Z1046" s="1"/>
      <c r="AA1046" s="94"/>
      <c r="AB1046" s="1"/>
      <c r="AC1046" s="1"/>
      <c r="AD1046" s="1"/>
      <c r="AE1046" s="30"/>
      <c r="AF1046" s="633"/>
      <c r="AG1046" s="94"/>
      <c r="AH1046" s="94"/>
      <c r="AI1046" s="94"/>
      <c r="AJ1046" s="94"/>
      <c r="AK1046" s="94"/>
      <c r="AL1046" s="94"/>
    </row>
    <row r="1047" spans="3:38">
      <c r="C1047" s="30"/>
      <c r="F1047" s="95"/>
      <c r="G1047" s="1"/>
      <c r="H1047" s="94"/>
      <c r="I1047" s="90"/>
      <c r="J1047" s="90"/>
      <c r="K1047" s="1"/>
      <c r="L1047" s="74"/>
      <c r="M1047" s="633"/>
      <c r="N1047" s="274"/>
      <c r="O1047" s="94"/>
      <c r="P1047" s="94"/>
      <c r="Q1047" s="94"/>
      <c r="R1047" s="94"/>
      <c r="S1047" s="94"/>
      <c r="V1047" s="30"/>
      <c r="W1047" s="30"/>
      <c r="X1047" s="1"/>
      <c r="Y1047" s="95"/>
      <c r="Z1047" s="1"/>
      <c r="AA1047" s="94"/>
      <c r="AB1047" s="1"/>
      <c r="AC1047" s="1"/>
      <c r="AD1047" s="1"/>
      <c r="AE1047" s="30"/>
      <c r="AF1047" s="633"/>
      <c r="AG1047" s="94"/>
      <c r="AH1047" s="94"/>
      <c r="AI1047" s="94"/>
      <c r="AJ1047" s="94"/>
      <c r="AK1047" s="94"/>
      <c r="AL1047" s="94"/>
    </row>
    <row r="1048" spans="3:38">
      <c r="C1048" s="30"/>
      <c r="F1048" s="95"/>
      <c r="G1048" s="1"/>
      <c r="H1048" s="94"/>
      <c r="I1048" s="90"/>
      <c r="J1048" s="90"/>
      <c r="K1048" s="1"/>
      <c r="L1048" s="74"/>
      <c r="M1048" s="633"/>
      <c r="N1048" s="274"/>
      <c r="O1048" s="94"/>
      <c r="P1048" s="94"/>
      <c r="Q1048" s="94"/>
      <c r="R1048" s="94"/>
      <c r="S1048" s="94"/>
      <c r="V1048" s="30"/>
      <c r="W1048" s="30"/>
      <c r="X1048" s="1"/>
      <c r="Y1048" s="95"/>
      <c r="Z1048" s="1"/>
      <c r="AA1048" s="94"/>
      <c r="AB1048" s="1"/>
      <c r="AC1048" s="1"/>
      <c r="AD1048" s="1"/>
      <c r="AE1048" s="30"/>
      <c r="AF1048" s="633"/>
      <c r="AG1048" s="94"/>
      <c r="AH1048" s="94"/>
      <c r="AI1048" s="94"/>
      <c r="AJ1048" s="94"/>
      <c r="AK1048" s="94"/>
      <c r="AL1048" s="94"/>
    </row>
    <row r="1049" spans="3:38">
      <c r="C1049" s="30"/>
      <c r="F1049" s="95"/>
      <c r="G1049" s="1"/>
      <c r="H1049" s="94"/>
      <c r="I1049" s="90"/>
      <c r="J1049" s="90"/>
      <c r="K1049" s="1"/>
      <c r="L1049" s="74"/>
      <c r="M1049" s="633"/>
      <c r="N1049" s="274"/>
      <c r="O1049" s="94"/>
      <c r="P1049" s="94"/>
      <c r="Q1049" s="94"/>
      <c r="R1049" s="94"/>
      <c r="S1049" s="94"/>
      <c r="V1049" s="30"/>
      <c r="W1049" s="30"/>
      <c r="X1049" s="1"/>
      <c r="Y1049" s="95"/>
      <c r="Z1049" s="1"/>
      <c r="AA1049" s="94"/>
      <c r="AB1049" s="1"/>
      <c r="AC1049" s="1"/>
      <c r="AD1049" s="1"/>
      <c r="AE1049" s="30"/>
      <c r="AF1049" s="633"/>
      <c r="AG1049" s="94"/>
      <c r="AH1049" s="94"/>
      <c r="AI1049" s="94"/>
      <c r="AJ1049" s="94"/>
      <c r="AK1049" s="94"/>
      <c r="AL1049" s="94"/>
    </row>
    <row r="1050" spans="3:38">
      <c r="C1050" s="30"/>
      <c r="F1050" s="95"/>
      <c r="G1050" s="1"/>
      <c r="H1050" s="94"/>
      <c r="I1050" s="90"/>
      <c r="J1050" s="90"/>
      <c r="K1050" s="1"/>
      <c r="L1050" s="74"/>
      <c r="M1050" s="633"/>
      <c r="N1050" s="274"/>
      <c r="O1050" s="94"/>
      <c r="P1050" s="94"/>
      <c r="Q1050" s="94"/>
      <c r="R1050" s="94"/>
      <c r="S1050" s="94"/>
      <c r="V1050" s="30"/>
      <c r="W1050" s="30"/>
      <c r="X1050" s="1"/>
      <c r="Y1050" s="95"/>
      <c r="Z1050" s="1"/>
      <c r="AA1050" s="94"/>
      <c r="AB1050" s="1"/>
      <c r="AC1050" s="1"/>
      <c r="AD1050" s="1"/>
      <c r="AE1050" s="30"/>
      <c r="AF1050" s="633"/>
      <c r="AG1050" s="94"/>
      <c r="AH1050" s="94"/>
      <c r="AI1050" s="94"/>
      <c r="AJ1050" s="94"/>
      <c r="AK1050" s="94"/>
      <c r="AL1050" s="94"/>
    </row>
    <row r="1051" spans="3:38">
      <c r="C1051" s="30"/>
      <c r="F1051" s="95"/>
      <c r="G1051" s="1"/>
      <c r="H1051" s="94"/>
      <c r="I1051" s="90"/>
      <c r="J1051" s="90"/>
      <c r="K1051" s="1"/>
      <c r="L1051" s="74"/>
      <c r="M1051" s="633"/>
      <c r="N1051" s="274"/>
      <c r="O1051" s="94"/>
      <c r="P1051" s="94"/>
      <c r="Q1051" s="94"/>
      <c r="R1051" s="94"/>
      <c r="S1051" s="94"/>
      <c r="V1051" s="30"/>
      <c r="W1051" s="30"/>
      <c r="X1051" s="1"/>
      <c r="Y1051" s="95"/>
      <c r="Z1051" s="1"/>
      <c r="AA1051" s="94"/>
      <c r="AB1051" s="1"/>
      <c r="AC1051" s="1"/>
      <c r="AD1051" s="1"/>
      <c r="AE1051" s="30"/>
      <c r="AF1051" s="633"/>
      <c r="AG1051" s="94"/>
      <c r="AH1051" s="94"/>
      <c r="AI1051" s="94"/>
      <c r="AJ1051" s="94"/>
      <c r="AK1051" s="94"/>
      <c r="AL1051" s="94"/>
    </row>
    <row r="1052" spans="3:38">
      <c r="C1052" s="30"/>
      <c r="F1052" s="95"/>
      <c r="G1052" s="1"/>
      <c r="H1052" s="94"/>
      <c r="I1052" s="90"/>
      <c r="J1052" s="90"/>
      <c r="K1052" s="1"/>
      <c r="L1052" s="74"/>
      <c r="M1052" s="633"/>
      <c r="N1052" s="274"/>
      <c r="O1052" s="94"/>
      <c r="P1052" s="94"/>
      <c r="Q1052" s="94"/>
      <c r="R1052" s="94"/>
      <c r="S1052" s="94"/>
      <c r="V1052" s="30"/>
      <c r="W1052" s="30"/>
      <c r="X1052" s="1"/>
      <c r="Y1052" s="95"/>
      <c r="Z1052" s="1"/>
      <c r="AA1052" s="94"/>
      <c r="AB1052" s="1"/>
      <c r="AC1052" s="1"/>
      <c r="AD1052" s="1"/>
      <c r="AE1052" s="30"/>
      <c r="AF1052" s="633"/>
      <c r="AG1052" s="94"/>
      <c r="AH1052" s="94"/>
      <c r="AI1052" s="94"/>
      <c r="AJ1052" s="94"/>
      <c r="AK1052" s="94"/>
      <c r="AL1052" s="94"/>
    </row>
    <row r="1053" spans="3:38">
      <c r="C1053" s="30"/>
      <c r="F1053" s="95"/>
      <c r="G1053" s="1"/>
      <c r="H1053" s="94"/>
      <c r="I1053" s="90"/>
      <c r="J1053" s="90"/>
      <c r="K1053" s="1"/>
      <c r="L1053" s="74"/>
      <c r="M1053" s="633"/>
      <c r="N1053" s="274"/>
      <c r="O1053" s="94"/>
      <c r="P1053" s="94"/>
      <c r="Q1053" s="94"/>
      <c r="R1053" s="94"/>
      <c r="S1053" s="94"/>
      <c r="V1053" s="30"/>
      <c r="W1053" s="30"/>
      <c r="X1053" s="1"/>
      <c r="Y1053" s="95"/>
      <c r="Z1053" s="1"/>
      <c r="AA1053" s="94"/>
      <c r="AB1053" s="1"/>
      <c r="AC1053" s="1"/>
      <c r="AD1053" s="1"/>
      <c r="AE1053" s="30"/>
      <c r="AF1053" s="633"/>
      <c r="AG1053" s="94"/>
      <c r="AH1053" s="94"/>
      <c r="AI1053" s="94"/>
      <c r="AJ1053" s="94"/>
      <c r="AK1053" s="94"/>
      <c r="AL1053" s="94"/>
    </row>
    <row r="1054" spans="3:38">
      <c r="C1054" s="30"/>
      <c r="F1054" s="95"/>
      <c r="G1054" s="1"/>
      <c r="H1054" s="94"/>
      <c r="I1054" s="90"/>
      <c r="J1054" s="90"/>
      <c r="K1054" s="1"/>
      <c r="L1054" s="74"/>
      <c r="M1054" s="633"/>
      <c r="N1054" s="274"/>
      <c r="O1054" s="94"/>
      <c r="P1054" s="94"/>
      <c r="Q1054" s="94"/>
      <c r="R1054" s="94"/>
      <c r="S1054" s="94"/>
      <c r="V1054" s="30"/>
      <c r="W1054" s="30"/>
      <c r="X1054" s="1"/>
      <c r="Y1054" s="95"/>
      <c r="Z1054" s="1"/>
      <c r="AA1054" s="94"/>
      <c r="AB1054" s="1"/>
      <c r="AC1054" s="1"/>
      <c r="AD1054" s="1"/>
      <c r="AE1054" s="30"/>
      <c r="AF1054" s="633"/>
      <c r="AG1054" s="94"/>
      <c r="AH1054" s="94"/>
      <c r="AI1054" s="94"/>
      <c r="AJ1054" s="94"/>
      <c r="AK1054" s="94"/>
      <c r="AL1054" s="94"/>
    </row>
    <row r="1055" spans="3:38">
      <c r="C1055" s="30"/>
      <c r="F1055" s="95"/>
      <c r="G1055" s="1"/>
      <c r="H1055" s="94"/>
      <c r="I1055" s="90"/>
      <c r="J1055" s="90"/>
      <c r="K1055" s="1"/>
      <c r="L1055" s="74"/>
      <c r="M1055" s="633"/>
      <c r="N1055" s="274"/>
      <c r="O1055" s="94"/>
      <c r="P1055" s="94"/>
      <c r="Q1055" s="94"/>
      <c r="R1055" s="94"/>
      <c r="S1055" s="94"/>
      <c r="V1055" s="30"/>
      <c r="W1055" s="30"/>
      <c r="X1055" s="1"/>
      <c r="Y1055" s="95"/>
      <c r="Z1055" s="1"/>
      <c r="AA1055" s="94"/>
      <c r="AB1055" s="1"/>
      <c r="AC1055" s="1"/>
      <c r="AD1055" s="1"/>
      <c r="AE1055" s="30"/>
      <c r="AF1055" s="633"/>
      <c r="AG1055" s="94"/>
      <c r="AH1055" s="94"/>
      <c r="AI1055" s="94"/>
      <c r="AJ1055" s="94"/>
      <c r="AK1055" s="94"/>
      <c r="AL1055" s="94"/>
    </row>
    <row r="1056" spans="3:38">
      <c r="C1056" s="30"/>
      <c r="F1056" s="95"/>
      <c r="G1056" s="1"/>
      <c r="H1056" s="94"/>
      <c r="I1056" s="90"/>
      <c r="J1056" s="90"/>
      <c r="K1056" s="1"/>
      <c r="L1056" s="74"/>
      <c r="M1056" s="633"/>
      <c r="N1056" s="274"/>
      <c r="O1056" s="94"/>
      <c r="P1056" s="94"/>
      <c r="Q1056" s="94"/>
      <c r="R1056" s="94"/>
      <c r="S1056" s="94"/>
      <c r="V1056" s="30"/>
      <c r="W1056" s="30"/>
      <c r="X1056" s="1"/>
      <c r="Y1056" s="95"/>
      <c r="Z1056" s="1"/>
      <c r="AA1056" s="94"/>
      <c r="AB1056" s="1"/>
      <c r="AC1056" s="1"/>
      <c r="AD1056" s="1"/>
      <c r="AE1056" s="30"/>
      <c r="AF1056" s="633"/>
      <c r="AG1056" s="94"/>
      <c r="AH1056" s="94"/>
      <c r="AI1056" s="94"/>
      <c r="AJ1056" s="94"/>
      <c r="AK1056" s="94"/>
      <c r="AL1056" s="94"/>
    </row>
    <row r="1057" spans="3:38">
      <c r="C1057" s="30"/>
      <c r="F1057" s="95"/>
      <c r="G1057" s="1"/>
      <c r="H1057" s="94"/>
      <c r="I1057" s="90"/>
      <c r="J1057" s="90"/>
      <c r="K1057" s="1"/>
      <c r="L1057" s="74"/>
      <c r="M1057" s="633"/>
      <c r="N1057" s="274"/>
      <c r="O1057" s="94"/>
      <c r="P1057" s="94"/>
      <c r="Q1057" s="94"/>
      <c r="R1057" s="94"/>
      <c r="S1057" s="94"/>
      <c r="V1057" s="30"/>
      <c r="W1057" s="30"/>
      <c r="X1057" s="1"/>
      <c r="Y1057" s="95"/>
      <c r="Z1057" s="1"/>
      <c r="AA1057" s="94"/>
      <c r="AB1057" s="1"/>
      <c r="AC1057" s="1"/>
      <c r="AD1057" s="1"/>
      <c r="AE1057" s="30"/>
      <c r="AF1057" s="633"/>
      <c r="AG1057" s="94"/>
      <c r="AH1057" s="94"/>
      <c r="AI1057" s="94"/>
      <c r="AJ1057" s="94"/>
      <c r="AK1057" s="94"/>
      <c r="AL1057" s="94"/>
    </row>
    <row r="1058" spans="3:38">
      <c r="C1058" s="30"/>
      <c r="F1058" s="95"/>
      <c r="G1058" s="1"/>
      <c r="H1058" s="94"/>
      <c r="I1058" s="90"/>
      <c r="J1058" s="90"/>
      <c r="K1058" s="1"/>
      <c r="L1058" s="74"/>
      <c r="M1058" s="633"/>
      <c r="N1058" s="274"/>
      <c r="O1058" s="94"/>
      <c r="P1058" s="94"/>
      <c r="Q1058" s="94"/>
      <c r="R1058" s="94"/>
      <c r="S1058" s="94"/>
      <c r="V1058" s="30"/>
      <c r="W1058" s="30"/>
      <c r="X1058" s="1"/>
      <c r="Y1058" s="95"/>
      <c r="Z1058" s="1"/>
      <c r="AA1058" s="94"/>
      <c r="AB1058" s="1"/>
      <c r="AC1058" s="1"/>
      <c r="AD1058" s="1"/>
      <c r="AE1058" s="30"/>
      <c r="AF1058" s="633"/>
      <c r="AG1058" s="94"/>
      <c r="AH1058" s="94"/>
      <c r="AI1058" s="94"/>
      <c r="AJ1058" s="94"/>
      <c r="AK1058" s="94"/>
      <c r="AL1058" s="94"/>
    </row>
    <row r="1059" spans="3:38">
      <c r="C1059" s="30"/>
      <c r="F1059" s="95"/>
      <c r="G1059" s="1"/>
      <c r="H1059" s="94"/>
      <c r="I1059" s="90"/>
      <c r="J1059" s="90"/>
      <c r="K1059" s="1"/>
      <c r="L1059" s="74"/>
      <c r="M1059" s="633"/>
      <c r="N1059" s="274"/>
      <c r="O1059" s="94"/>
      <c r="P1059" s="94"/>
      <c r="Q1059" s="94"/>
      <c r="R1059" s="94"/>
      <c r="S1059" s="94"/>
      <c r="V1059" s="30"/>
      <c r="W1059" s="30"/>
      <c r="X1059" s="1"/>
      <c r="Y1059" s="95"/>
      <c r="Z1059" s="1"/>
      <c r="AA1059" s="94"/>
      <c r="AB1059" s="1"/>
      <c r="AC1059" s="1"/>
      <c r="AD1059" s="1"/>
      <c r="AE1059" s="30"/>
      <c r="AF1059" s="633"/>
      <c r="AG1059" s="94"/>
      <c r="AH1059" s="94"/>
      <c r="AI1059" s="94"/>
      <c r="AJ1059" s="94"/>
      <c r="AK1059" s="94"/>
      <c r="AL1059" s="94"/>
    </row>
    <row r="1060" spans="3:38">
      <c r="C1060" s="30"/>
      <c r="F1060" s="95"/>
      <c r="G1060" s="1"/>
      <c r="H1060" s="94"/>
      <c r="I1060" s="90"/>
      <c r="J1060" s="90"/>
      <c r="K1060" s="1"/>
      <c r="L1060" s="74"/>
      <c r="M1060" s="633"/>
      <c r="N1060" s="274"/>
      <c r="O1060" s="94"/>
      <c r="P1060" s="94"/>
      <c r="Q1060" s="94"/>
      <c r="R1060" s="94"/>
      <c r="S1060" s="94"/>
      <c r="V1060" s="30"/>
      <c r="W1060" s="30"/>
      <c r="X1060" s="1"/>
      <c r="Y1060" s="95"/>
      <c r="Z1060" s="1"/>
      <c r="AA1060" s="94"/>
      <c r="AB1060" s="1"/>
      <c r="AC1060" s="1"/>
      <c r="AD1060" s="1"/>
      <c r="AE1060" s="30"/>
      <c r="AF1060" s="633"/>
      <c r="AG1060" s="94"/>
      <c r="AH1060" s="94"/>
      <c r="AI1060" s="94"/>
      <c r="AJ1060" s="94"/>
      <c r="AK1060" s="94"/>
      <c r="AL1060" s="94"/>
    </row>
    <row r="1061" spans="3:38">
      <c r="C1061" s="30"/>
      <c r="F1061" s="95"/>
      <c r="G1061" s="1"/>
      <c r="H1061" s="94"/>
      <c r="I1061" s="90"/>
      <c r="J1061" s="90"/>
      <c r="K1061" s="1"/>
      <c r="L1061" s="74"/>
      <c r="M1061" s="633"/>
      <c r="N1061" s="274"/>
      <c r="O1061" s="94"/>
      <c r="P1061" s="94"/>
      <c r="Q1061" s="94"/>
      <c r="R1061" s="94"/>
      <c r="S1061" s="94"/>
      <c r="V1061" s="30"/>
      <c r="W1061" s="30"/>
      <c r="X1061" s="1"/>
      <c r="Y1061" s="95"/>
      <c r="Z1061" s="1"/>
      <c r="AA1061" s="94"/>
      <c r="AB1061" s="1"/>
      <c r="AC1061" s="1"/>
      <c r="AD1061" s="1"/>
      <c r="AE1061" s="30"/>
      <c r="AF1061" s="633"/>
      <c r="AG1061" s="94"/>
      <c r="AH1061" s="94"/>
      <c r="AI1061" s="94"/>
      <c r="AJ1061" s="94"/>
      <c r="AK1061" s="94"/>
      <c r="AL1061" s="94"/>
    </row>
    <row r="1062" spans="3:38">
      <c r="C1062" s="30"/>
      <c r="F1062" s="95"/>
      <c r="G1062" s="1"/>
      <c r="H1062" s="94"/>
      <c r="I1062" s="90"/>
      <c r="J1062" s="90"/>
      <c r="K1062" s="1"/>
      <c r="L1062" s="74"/>
      <c r="M1062" s="633"/>
      <c r="N1062" s="274"/>
      <c r="O1062" s="94"/>
      <c r="P1062" s="94"/>
      <c r="Q1062" s="94"/>
      <c r="R1062" s="94"/>
      <c r="S1062" s="94"/>
      <c r="V1062" s="30"/>
      <c r="W1062" s="30"/>
      <c r="X1062" s="1"/>
      <c r="Y1062" s="95"/>
      <c r="Z1062" s="1"/>
      <c r="AA1062" s="94"/>
      <c r="AB1062" s="1"/>
      <c r="AC1062" s="1"/>
      <c r="AD1062" s="1"/>
      <c r="AE1062" s="30"/>
      <c r="AF1062" s="633"/>
      <c r="AG1062" s="94"/>
      <c r="AH1062" s="94"/>
      <c r="AI1062" s="94"/>
      <c r="AJ1062" s="94"/>
      <c r="AK1062" s="94"/>
      <c r="AL1062" s="94"/>
    </row>
    <row r="1063" spans="3:38">
      <c r="C1063" s="30"/>
      <c r="F1063" s="95"/>
      <c r="G1063" s="1"/>
      <c r="H1063" s="94"/>
      <c r="I1063" s="90"/>
      <c r="J1063" s="90"/>
      <c r="K1063" s="1"/>
      <c r="L1063" s="74"/>
      <c r="M1063" s="633"/>
      <c r="N1063" s="274"/>
      <c r="O1063" s="94"/>
      <c r="P1063" s="94"/>
      <c r="Q1063" s="94"/>
      <c r="R1063" s="94"/>
      <c r="S1063" s="94"/>
      <c r="V1063" s="30"/>
      <c r="W1063" s="30"/>
      <c r="X1063" s="1"/>
      <c r="Y1063" s="95"/>
      <c r="Z1063" s="1"/>
      <c r="AA1063" s="94"/>
      <c r="AB1063" s="1"/>
      <c r="AC1063" s="1"/>
      <c r="AD1063" s="1"/>
      <c r="AE1063" s="30"/>
      <c r="AF1063" s="633"/>
      <c r="AG1063" s="94"/>
      <c r="AH1063" s="94"/>
      <c r="AI1063" s="94"/>
      <c r="AJ1063" s="94"/>
      <c r="AK1063" s="94"/>
      <c r="AL1063" s="94"/>
    </row>
    <row r="1064" spans="3:38">
      <c r="C1064" s="30"/>
      <c r="F1064" s="95"/>
      <c r="G1064" s="1"/>
      <c r="H1064" s="94"/>
      <c r="I1064" s="90"/>
      <c r="J1064" s="90"/>
      <c r="K1064" s="1"/>
      <c r="L1064" s="74"/>
      <c r="M1064" s="633"/>
      <c r="N1064" s="274"/>
      <c r="O1064" s="94"/>
      <c r="P1064" s="94"/>
      <c r="Q1064" s="94"/>
      <c r="R1064" s="94"/>
      <c r="S1064" s="94"/>
      <c r="V1064" s="30"/>
      <c r="W1064" s="30"/>
      <c r="X1064" s="1"/>
      <c r="Y1064" s="95"/>
      <c r="Z1064" s="1"/>
      <c r="AA1064" s="94"/>
      <c r="AB1064" s="1"/>
      <c r="AC1064" s="1"/>
      <c r="AD1064" s="1"/>
      <c r="AE1064" s="30"/>
      <c r="AF1064" s="633"/>
      <c r="AG1064" s="94"/>
      <c r="AH1064" s="94"/>
      <c r="AI1064" s="94"/>
      <c r="AJ1064" s="94"/>
      <c r="AK1064" s="94"/>
      <c r="AL1064" s="94"/>
    </row>
    <row r="1065" spans="3:38">
      <c r="C1065" s="30"/>
      <c r="F1065" s="95"/>
      <c r="G1065" s="1"/>
      <c r="H1065" s="94"/>
      <c r="I1065" s="90"/>
      <c r="J1065" s="90"/>
      <c r="K1065" s="1"/>
      <c r="L1065" s="74"/>
      <c r="M1065" s="633"/>
      <c r="N1065" s="274"/>
      <c r="O1065" s="94"/>
      <c r="P1065" s="94"/>
      <c r="Q1065" s="94"/>
      <c r="R1065" s="94"/>
      <c r="S1065" s="94"/>
      <c r="V1065" s="30"/>
      <c r="W1065" s="30"/>
      <c r="X1065" s="1"/>
      <c r="Y1065" s="95"/>
      <c r="Z1065" s="1"/>
      <c r="AA1065" s="94"/>
      <c r="AB1065" s="1"/>
      <c r="AC1065" s="1"/>
      <c r="AD1065" s="1"/>
      <c r="AE1065" s="30"/>
      <c r="AF1065" s="633"/>
      <c r="AG1065" s="94"/>
      <c r="AH1065" s="94"/>
      <c r="AI1065" s="94"/>
      <c r="AJ1065" s="94"/>
      <c r="AK1065" s="94"/>
      <c r="AL1065" s="94"/>
    </row>
    <row r="1066" spans="3:38">
      <c r="C1066" s="30"/>
      <c r="F1066" s="95"/>
      <c r="G1066" s="1"/>
      <c r="H1066" s="94"/>
      <c r="I1066" s="90"/>
      <c r="J1066" s="90"/>
      <c r="K1066" s="1"/>
      <c r="L1066" s="74"/>
      <c r="M1066" s="633"/>
      <c r="N1066" s="274"/>
      <c r="O1066" s="94"/>
      <c r="P1066" s="94"/>
      <c r="Q1066" s="94"/>
      <c r="R1066" s="94"/>
      <c r="S1066" s="94"/>
      <c r="V1066" s="30"/>
      <c r="W1066" s="30"/>
      <c r="X1066" s="1"/>
      <c r="Y1066" s="95"/>
      <c r="Z1066" s="1"/>
      <c r="AA1066" s="94"/>
      <c r="AB1066" s="1"/>
      <c r="AC1066" s="1"/>
      <c r="AD1066" s="1"/>
      <c r="AE1066" s="30"/>
      <c r="AF1066" s="633"/>
      <c r="AG1066" s="94"/>
      <c r="AH1066" s="94"/>
      <c r="AI1066" s="94"/>
      <c r="AJ1066" s="94"/>
      <c r="AK1066" s="94"/>
      <c r="AL1066" s="94"/>
    </row>
    <row r="1067" spans="3:38">
      <c r="C1067" s="30"/>
      <c r="F1067" s="95"/>
      <c r="G1067" s="1"/>
      <c r="H1067" s="94"/>
      <c r="I1067" s="90"/>
      <c r="J1067" s="90"/>
      <c r="K1067" s="1"/>
      <c r="L1067" s="74"/>
      <c r="M1067" s="633"/>
      <c r="N1067" s="274"/>
      <c r="O1067" s="94"/>
      <c r="P1067" s="94"/>
      <c r="Q1067" s="94"/>
      <c r="R1067" s="94"/>
      <c r="S1067" s="94"/>
      <c r="V1067" s="30"/>
      <c r="W1067" s="30"/>
      <c r="X1067" s="1"/>
      <c r="Y1067" s="95"/>
      <c r="Z1067" s="1"/>
      <c r="AA1067" s="94"/>
      <c r="AB1067" s="1"/>
      <c r="AC1067" s="1"/>
      <c r="AD1067" s="1"/>
      <c r="AE1067" s="30"/>
      <c r="AF1067" s="633"/>
      <c r="AG1067" s="94"/>
      <c r="AH1067" s="94"/>
      <c r="AI1067" s="94"/>
      <c r="AJ1067" s="94"/>
      <c r="AK1067" s="94"/>
      <c r="AL1067" s="94"/>
    </row>
    <row r="1068" spans="3:38">
      <c r="C1068" s="30"/>
      <c r="F1068" s="95"/>
      <c r="G1068" s="1"/>
      <c r="H1068" s="94"/>
      <c r="I1068" s="90"/>
      <c r="J1068" s="90"/>
      <c r="K1068" s="1"/>
      <c r="L1068" s="74"/>
      <c r="M1068" s="633"/>
      <c r="N1068" s="274"/>
      <c r="O1068" s="94"/>
      <c r="P1068" s="94"/>
      <c r="Q1068" s="94"/>
      <c r="R1068" s="94"/>
      <c r="S1068" s="94"/>
      <c r="V1068" s="30"/>
      <c r="W1068" s="30"/>
      <c r="X1068" s="1"/>
      <c r="Y1068" s="95"/>
      <c r="Z1068" s="1"/>
      <c r="AA1068" s="94"/>
      <c r="AB1068" s="1"/>
      <c r="AC1068" s="1"/>
      <c r="AD1068" s="1"/>
      <c r="AE1068" s="30"/>
      <c r="AF1068" s="633"/>
      <c r="AG1068" s="94"/>
      <c r="AH1068" s="94"/>
      <c r="AI1068" s="94"/>
      <c r="AJ1068" s="94"/>
      <c r="AK1068" s="94"/>
      <c r="AL1068" s="94"/>
    </row>
    <row r="1069" spans="3:38">
      <c r="C1069" s="30"/>
      <c r="F1069" s="95"/>
      <c r="G1069" s="1"/>
      <c r="H1069" s="94"/>
      <c r="I1069" s="90"/>
      <c r="J1069" s="90"/>
      <c r="K1069" s="1"/>
      <c r="L1069" s="74"/>
      <c r="M1069" s="633"/>
      <c r="N1069" s="274"/>
      <c r="O1069" s="94"/>
      <c r="P1069" s="94"/>
      <c r="Q1069" s="94"/>
      <c r="R1069" s="94"/>
      <c r="S1069" s="94"/>
      <c r="V1069" s="30"/>
      <c r="W1069" s="30"/>
      <c r="X1069" s="1"/>
      <c r="Y1069" s="95"/>
      <c r="Z1069" s="1"/>
      <c r="AA1069" s="94"/>
      <c r="AB1069" s="1"/>
      <c r="AC1069" s="1"/>
      <c r="AD1069" s="1"/>
      <c r="AE1069" s="30"/>
      <c r="AF1069" s="633"/>
      <c r="AG1069" s="94"/>
      <c r="AH1069" s="94"/>
      <c r="AI1069" s="94"/>
      <c r="AJ1069" s="94"/>
      <c r="AK1069" s="94"/>
      <c r="AL1069" s="94"/>
    </row>
    <row r="1070" spans="3:38">
      <c r="C1070" s="30"/>
      <c r="F1070" s="95"/>
      <c r="G1070" s="1"/>
      <c r="H1070" s="94"/>
      <c r="I1070" s="90"/>
      <c r="J1070" s="90"/>
      <c r="K1070" s="1"/>
      <c r="L1070" s="74"/>
      <c r="M1070" s="633"/>
      <c r="N1070" s="274"/>
      <c r="O1070" s="94"/>
      <c r="P1070" s="94"/>
      <c r="Q1070" s="94"/>
      <c r="R1070" s="94"/>
      <c r="S1070" s="94"/>
      <c r="V1070" s="30"/>
      <c r="W1070" s="30"/>
      <c r="X1070" s="1"/>
      <c r="Y1070" s="95"/>
      <c r="Z1070" s="1"/>
      <c r="AA1070" s="94"/>
      <c r="AB1070" s="1"/>
      <c r="AC1070" s="1"/>
      <c r="AD1070" s="1"/>
      <c r="AE1070" s="30"/>
      <c r="AF1070" s="633"/>
      <c r="AG1070" s="94"/>
      <c r="AH1070" s="94"/>
      <c r="AI1070" s="94"/>
      <c r="AJ1070" s="94"/>
      <c r="AK1070" s="94"/>
      <c r="AL1070" s="94"/>
    </row>
    <row r="1071" spans="3:38">
      <c r="C1071" s="30"/>
      <c r="F1071" s="95"/>
      <c r="G1071" s="1"/>
      <c r="H1071" s="94"/>
      <c r="I1071" s="90"/>
      <c r="J1071" s="90"/>
      <c r="K1071" s="1"/>
      <c r="L1071" s="74"/>
      <c r="M1071" s="633"/>
      <c r="N1071" s="274"/>
      <c r="O1071" s="94"/>
      <c r="P1071" s="94"/>
      <c r="Q1071" s="94"/>
      <c r="R1071" s="94"/>
      <c r="S1071" s="94"/>
      <c r="V1071" s="30"/>
      <c r="W1071" s="30"/>
      <c r="X1071" s="1"/>
      <c r="Y1071" s="95"/>
      <c r="Z1071" s="1"/>
      <c r="AA1071" s="94"/>
      <c r="AB1071" s="1"/>
      <c r="AC1071" s="1"/>
      <c r="AD1071" s="1"/>
      <c r="AE1071" s="30"/>
      <c r="AF1071" s="633"/>
      <c r="AG1071" s="94"/>
      <c r="AH1071" s="94"/>
      <c r="AI1071" s="94"/>
      <c r="AJ1071" s="94"/>
      <c r="AK1071" s="94"/>
      <c r="AL1071" s="94"/>
    </row>
    <row r="1072" spans="3:38">
      <c r="C1072" s="30"/>
      <c r="F1072" s="95"/>
      <c r="G1072" s="1"/>
      <c r="H1072" s="94"/>
      <c r="I1072" s="90"/>
      <c r="J1072" s="90"/>
      <c r="K1072" s="1"/>
      <c r="L1072" s="74"/>
      <c r="M1072" s="633"/>
      <c r="N1072" s="274"/>
      <c r="O1072" s="94"/>
      <c r="P1072" s="94"/>
      <c r="Q1072" s="94"/>
      <c r="R1072" s="94"/>
      <c r="S1072" s="94"/>
      <c r="V1072" s="30"/>
      <c r="W1072" s="30"/>
      <c r="X1072" s="1"/>
      <c r="Y1072" s="95"/>
      <c r="Z1072" s="1"/>
      <c r="AA1072" s="94"/>
      <c r="AB1072" s="1"/>
      <c r="AC1072" s="1"/>
      <c r="AD1072" s="1"/>
      <c r="AE1072" s="30"/>
      <c r="AF1072" s="633"/>
      <c r="AG1072" s="94"/>
      <c r="AH1072" s="94"/>
      <c r="AI1072" s="94"/>
      <c r="AJ1072" s="94"/>
      <c r="AK1072" s="94"/>
      <c r="AL1072" s="94"/>
    </row>
    <row r="1073" spans="3:38">
      <c r="C1073" s="30"/>
      <c r="F1073" s="95"/>
      <c r="G1073" s="1"/>
      <c r="H1073" s="94"/>
      <c r="I1073" s="90"/>
      <c r="J1073" s="90"/>
      <c r="K1073" s="1"/>
      <c r="L1073" s="74"/>
      <c r="M1073" s="633"/>
      <c r="N1073" s="274"/>
      <c r="O1073" s="94"/>
      <c r="P1073" s="94"/>
      <c r="Q1073" s="94"/>
      <c r="R1073" s="94"/>
      <c r="S1073" s="94"/>
      <c r="V1073" s="30"/>
      <c r="W1073" s="30"/>
      <c r="X1073" s="1"/>
      <c r="Y1073" s="95"/>
      <c r="Z1073" s="1"/>
      <c r="AA1073" s="94"/>
      <c r="AB1073" s="1"/>
      <c r="AC1073" s="1"/>
      <c r="AD1073" s="1"/>
      <c r="AE1073" s="30"/>
      <c r="AF1073" s="633"/>
      <c r="AG1073" s="94"/>
      <c r="AH1073" s="94"/>
      <c r="AI1073" s="94"/>
      <c r="AJ1073" s="94"/>
      <c r="AK1073" s="94"/>
      <c r="AL1073" s="94"/>
    </row>
    <row r="1074" spans="3:38">
      <c r="C1074" s="30"/>
      <c r="F1074" s="95"/>
      <c r="G1074" s="1"/>
      <c r="H1074" s="94"/>
      <c r="I1074" s="90"/>
      <c r="J1074" s="90"/>
      <c r="K1074" s="1"/>
      <c r="L1074" s="74"/>
      <c r="M1074" s="633"/>
      <c r="N1074" s="274"/>
      <c r="O1074" s="94"/>
      <c r="P1074" s="94"/>
      <c r="Q1074" s="94"/>
      <c r="R1074" s="94"/>
      <c r="S1074" s="94"/>
      <c r="V1074" s="30"/>
      <c r="W1074" s="30"/>
      <c r="X1074" s="1"/>
      <c r="Y1074" s="95"/>
      <c r="Z1074" s="1"/>
      <c r="AA1074" s="94"/>
      <c r="AB1074" s="1"/>
      <c r="AC1074" s="1"/>
      <c r="AD1074" s="1"/>
      <c r="AE1074" s="30"/>
      <c r="AF1074" s="633"/>
      <c r="AG1074" s="94"/>
      <c r="AH1074" s="94"/>
      <c r="AI1074" s="94"/>
      <c r="AJ1074" s="94"/>
      <c r="AK1074" s="94"/>
      <c r="AL1074" s="94"/>
    </row>
    <row r="1075" spans="3:38">
      <c r="C1075" s="30"/>
      <c r="F1075" s="95"/>
      <c r="G1075" s="1"/>
      <c r="H1075" s="94"/>
      <c r="I1075" s="90"/>
      <c r="J1075" s="90"/>
      <c r="K1075" s="1"/>
      <c r="L1075" s="74"/>
      <c r="M1075" s="633"/>
      <c r="N1075" s="274"/>
      <c r="O1075" s="94"/>
      <c r="P1075" s="94"/>
      <c r="Q1075" s="94"/>
      <c r="R1075" s="94"/>
      <c r="S1075" s="94"/>
      <c r="V1075" s="30"/>
      <c r="W1075" s="30"/>
      <c r="X1075" s="1"/>
      <c r="Y1075" s="95"/>
      <c r="Z1075" s="1"/>
      <c r="AA1075" s="94"/>
      <c r="AB1075" s="1"/>
      <c r="AC1075" s="1"/>
      <c r="AD1075" s="1"/>
      <c r="AE1075" s="30"/>
      <c r="AF1075" s="633"/>
      <c r="AG1075" s="94"/>
      <c r="AH1075" s="94"/>
      <c r="AI1075" s="94"/>
      <c r="AJ1075" s="94"/>
      <c r="AK1075" s="94"/>
      <c r="AL1075" s="94"/>
    </row>
    <row r="1076" spans="3:38">
      <c r="C1076" s="30"/>
      <c r="F1076" s="95"/>
      <c r="G1076" s="1"/>
      <c r="H1076" s="94"/>
      <c r="I1076" s="90"/>
      <c r="J1076" s="90"/>
      <c r="K1076" s="1"/>
      <c r="L1076" s="74"/>
      <c r="M1076" s="633"/>
      <c r="N1076" s="274"/>
      <c r="O1076" s="94"/>
      <c r="P1076" s="94"/>
      <c r="Q1076" s="94"/>
      <c r="R1076" s="94"/>
      <c r="S1076" s="94"/>
      <c r="V1076" s="30"/>
      <c r="W1076" s="30"/>
      <c r="X1076" s="1"/>
      <c r="Y1076" s="95"/>
      <c r="Z1076" s="1"/>
      <c r="AA1076" s="94"/>
      <c r="AB1076" s="1"/>
      <c r="AC1076" s="1"/>
      <c r="AD1076" s="1"/>
      <c r="AE1076" s="30"/>
      <c r="AF1076" s="633"/>
      <c r="AG1076" s="94"/>
      <c r="AH1076" s="94"/>
      <c r="AI1076" s="94"/>
      <c r="AJ1076" s="94"/>
      <c r="AK1076" s="94"/>
      <c r="AL1076" s="94"/>
    </row>
    <row r="1077" spans="3:38">
      <c r="C1077" s="30"/>
      <c r="F1077" s="95"/>
      <c r="G1077" s="1"/>
      <c r="H1077" s="94"/>
      <c r="I1077" s="90"/>
      <c r="J1077" s="90"/>
      <c r="K1077" s="1"/>
      <c r="L1077" s="74"/>
      <c r="M1077" s="633"/>
      <c r="N1077" s="274"/>
      <c r="O1077" s="94"/>
      <c r="P1077" s="94"/>
      <c r="Q1077" s="94"/>
      <c r="R1077" s="94"/>
      <c r="S1077" s="94"/>
      <c r="V1077" s="30"/>
      <c r="W1077" s="30"/>
      <c r="X1077" s="1"/>
      <c r="Y1077" s="95"/>
      <c r="Z1077" s="1"/>
      <c r="AA1077" s="94"/>
      <c r="AB1077" s="1"/>
      <c r="AC1077" s="1"/>
      <c r="AD1077" s="1"/>
      <c r="AE1077" s="30"/>
      <c r="AF1077" s="633"/>
      <c r="AG1077" s="94"/>
      <c r="AH1077" s="94"/>
      <c r="AI1077" s="94"/>
      <c r="AJ1077" s="94"/>
      <c r="AK1077" s="94"/>
      <c r="AL1077" s="94"/>
    </row>
    <row r="1078" spans="3:38">
      <c r="C1078" s="30"/>
      <c r="F1078" s="95"/>
      <c r="G1078" s="1"/>
      <c r="H1078" s="94"/>
      <c r="I1078" s="90"/>
      <c r="J1078" s="90"/>
      <c r="K1078" s="1"/>
      <c r="L1078" s="74"/>
      <c r="M1078" s="633"/>
      <c r="N1078" s="274"/>
      <c r="O1078" s="94"/>
      <c r="P1078" s="94"/>
      <c r="Q1078" s="94"/>
      <c r="R1078" s="94"/>
      <c r="S1078" s="94"/>
      <c r="V1078" s="30"/>
      <c r="W1078" s="30"/>
      <c r="X1078" s="1"/>
      <c r="Y1078" s="95"/>
      <c r="Z1078" s="1"/>
      <c r="AA1078" s="94"/>
      <c r="AB1078" s="1"/>
      <c r="AC1078" s="1"/>
      <c r="AD1078" s="1"/>
      <c r="AE1078" s="30"/>
      <c r="AF1078" s="633"/>
      <c r="AG1078" s="94"/>
      <c r="AH1078" s="94"/>
      <c r="AI1078" s="94"/>
      <c r="AJ1078" s="94"/>
      <c r="AK1078" s="94"/>
      <c r="AL1078" s="94"/>
    </row>
    <row r="1079" spans="3:38">
      <c r="C1079" s="30"/>
      <c r="F1079" s="95"/>
      <c r="G1079" s="1"/>
      <c r="H1079" s="94"/>
      <c r="I1079" s="90"/>
      <c r="J1079" s="90"/>
      <c r="K1079" s="1"/>
      <c r="L1079" s="74"/>
      <c r="M1079" s="633"/>
      <c r="N1079" s="274"/>
      <c r="O1079" s="94"/>
      <c r="P1079" s="94"/>
      <c r="Q1079" s="94"/>
      <c r="R1079" s="94"/>
      <c r="S1079" s="94"/>
      <c r="V1079" s="30"/>
      <c r="W1079" s="30"/>
      <c r="X1079" s="1"/>
      <c r="Y1079" s="95"/>
      <c r="Z1079" s="1"/>
      <c r="AA1079" s="94"/>
      <c r="AB1079" s="1"/>
      <c r="AC1079" s="1"/>
      <c r="AD1079" s="1"/>
      <c r="AE1079" s="30"/>
      <c r="AF1079" s="633"/>
      <c r="AG1079" s="94"/>
      <c r="AH1079" s="94"/>
      <c r="AI1079" s="94"/>
      <c r="AJ1079" s="94"/>
      <c r="AK1079" s="94"/>
      <c r="AL1079" s="94"/>
    </row>
    <row r="1080" spans="3:38">
      <c r="C1080" s="30"/>
      <c r="F1080" s="95"/>
      <c r="G1080" s="1"/>
      <c r="H1080" s="94"/>
      <c r="I1080" s="90"/>
      <c r="J1080" s="90"/>
      <c r="K1080" s="1"/>
      <c r="L1080" s="74"/>
      <c r="M1080" s="633"/>
      <c r="N1080" s="274"/>
      <c r="O1080" s="94"/>
      <c r="P1080" s="94"/>
      <c r="Q1080" s="94"/>
      <c r="R1080" s="94"/>
      <c r="S1080" s="94"/>
      <c r="V1080" s="30"/>
      <c r="W1080" s="30"/>
      <c r="X1080" s="1"/>
      <c r="Y1080" s="95"/>
      <c r="Z1080" s="1"/>
      <c r="AA1080" s="94"/>
      <c r="AB1080" s="1"/>
      <c r="AC1080" s="1"/>
      <c r="AD1080" s="1"/>
      <c r="AE1080" s="30"/>
      <c r="AF1080" s="633"/>
      <c r="AG1080" s="94"/>
      <c r="AH1080" s="94"/>
      <c r="AI1080" s="94"/>
      <c r="AJ1080" s="94"/>
      <c r="AK1080" s="94"/>
      <c r="AL1080" s="94"/>
    </row>
    <row r="1081" spans="3:38">
      <c r="C1081" s="30"/>
      <c r="F1081" s="95"/>
      <c r="G1081" s="1"/>
      <c r="H1081" s="94"/>
      <c r="I1081" s="90"/>
      <c r="J1081" s="90"/>
      <c r="K1081" s="1"/>
      <c r="L1081" s="74"/>
      <c r="M1081" s="633"/>
      <c r="N1081" s="274"/>
      <c r="O1081" s="94"/>
      <c r="P1081" s="94"/>
      <c r="Q1081" s="94"/>
      <c r="R1081" s="94"/>
      <c r="S1081" s="94"/>
      <c r="V1081" s="30"/>
      <c r="W1081" s="30"/>
      <c r="X1081" s="1"/>
      <c r="Y1081" s="95"/>
      <c r="Z1081" s="1"/>
      <c r="AA1081" s="94"/>
      <c r="AB1081" s="1"/>
      <c r="AC1081" s="1"/>
      <c r="AD1081" s="1"/>
      <c r="AE1081" s="30"/>
      <c r="AF1081" s="633"/>
      <c r="AG1081" s="94"/>
      <c r="AH1081" s="94"/>
      <c r="AI1081" s="94"/>
      <c r="AJ1081" s="94"/>
      <c r="AK1081" s="94"/>
      <c r="AL1081" s="94"/>
    </row>
    <row r="1082" spans="3:38">
      <c r="C1082" s="30"/>
      <c r="F1082" s="95"/>
      <c r="G1082" s="1"/>
      <c r="H1082" s="94"/>
      <c r="I1082" s="90"/>
      <c r="J1082" s="90"/>
      <c r="K1082" s="1"/>
      <c r="L1082" s="74"/>
      <c r="M1082" s="633"/>
      <c r="N1082" s="274"/>
      <c r="O1082" s="94"/>
      <c r="P1082" s="94"/>
      <c r="Q1082" s="94"/>
      <c r="R1082" s="94"/>
      <c r="S1082" s="94"/>
      <c r="V1082" s="30"/>
      <c r="W1082" s="30"/>
      <c r="X1082" s="1"/>
      <c r="Y1082" s="95"/>
      <c r="Z1082" s="1"/>
      <c r="AA1082" s="94"/>
      <c r="AB1082" s="1"/>
      <c r="AC1082" s="1"/>
      <c r="AD1082" s="1"/>
      <c r="AE1082" s="30"/>
      <c r="AF1082" s="633"/>
      <c r="AG1082" s="94"/>
      <c r="AH1082" s="94"/>
      <c r="AI1082" s="94"/>
      <c r="AJ1082" s="94"/>
      <c r="AK1082" s="94"/>
      <c r="AL1082" s="94"/>
    </row>
    <row r="1083" spans="3:38">
      <c r="C1083" s="30"/>
      <c r="F1083" s="95"/>
      <c r="G1083" s="1"/>
      <c r="H1083" s="94"/>
      <c r="I1083" s="90"/>
      <c r="J1083" s="90"/>
      <c r="K1083" s="1"/>
      <c r="L1083" s="74"/>
      <c r="M1083" s="633"/>
      <c r="N1083" s="274"/>
      <c r="O1083" s="94"/>
      <c r="P1083" s="94"/>
      <c r="Q1083" s="94"/>
      <c r="R1083" s="94"/>
      <c r="S1083" s="94"/>
      <c r="V1083" s="30"/>
      <c r="W1083" s="30"/>
      <c r="X1083" s="1"/>
      <c r="Y1083" s="95"/>
      <c r="Z1083" s="1"/>
      <c r="AA1083" s="94"/>
      <c r="AB1083" s="1"/>
      <c r="AC1083" s="1"/>
      <c r="AD1083" s="1"/>
      <c r="AE1083" s="30"/>
      <c r="AF1083" s="633"/>
      <c r="AG1083" s="94"/>
      <c r="AH1083" s="94"/>
      <c r="AI1083" s="94"/>
      <c r="AJ1083" s="94"/>
      <c r="AK1083" s="94"/>
      <c r="AL1083" s="94"/>
    </row>
    <row r="1084" spans="3:38">
      <c r="C1084" s="30"/>
      <c r="F1084" s="95"/>
      <c r="G1084" s="1"/>
      <c r="H1084" s="94"/>
      <c r="I1084" s="90"/>
      <c r="J1084" s="90"/>
      <c r="K1084" s="1"/>
      <c r="L1084" s="74"/>
      <c r="M1084" s="633"/>
      <c r="N1084" s="274"/>
      <c r="O1084" s="94"/>
      <c r="P1084" s="94"/>
      <c r="Q1084" s="94"/>
      <c r="R1084" s="94"/>
      <c r="S1084" s="94"/>
      <c r="V1084" s="30"/>
      <c r="W1084" s="30"/>
      <c r="X1084" s="1"/>
      <c r="Y1084" s="95"/>
      <c r="Z1084" s="1"/>
      <c r="AA1084" s="94"/>
      <c r="AB1084" s="1"/>
      <c r="AC1084" s="1"/>
      <c r="AD1084" s="1"/>
      <c r="AE1084" s="30"/>
      <c r="AF1084" s="633"/>
      <c r="AG1084" s="94"/>
      <c r="AH1084" s="94"/>
      <c r="AI1084" s="94"/>
      <c r="AJ1084" s="94"/>
      <c r="AK1084" s="94"/>
      <c r="AL1084" s="94"/>
    </row>
    <row r="1085" spans="3:38">
      <c r="C1085" s="30"/>
      <c r="F1085" s="95"/>
      <c r="G1085" s="1"/>
      <c r="H1085" s="94"/>
      <c r="I1085" s="90"/>
      <c r="J1085" s="90"/>
      <c r="K1085" s="1"/>
      <c r="L1085" s="74"/>
      <c r="M1085" s="633"/>
      <c r="N1085" s="274"/>
      <c r="O1085" s="94"/>
      <c r="P1085" s="94"/>
      <c r="Q1085" s="94"/>
      <c r="R1085" s="94"/>
      <c r="S1085" s="94"/>
      <c r="V1085" s="30"/>
      <c r="W1085" s="30"/>
      <c r="X1085" s="1"/>
      <c r="Y1085" s="95"/>
      <c r="Z1085" s="1"/>
      <c r="AA1085" s="94"/>
      <c r="AB1085" s="1"/>
      <c r="AC1085" s="1"/>
      <c r="AD1085" s="1"/>
      <c r="AE1085" s="30"/>
      <c r="AF1085" s="633"/>
      <c r="AG1085" s="94"/>
      <c r="AH1085" s="94"/>
      <c r="AI1085" s="94"/>
      <c r="AJ1085" s="94"/>
      <c r="AK1085" s="94"/>
      <c r="AL1085" s="94"/>
    </row>
    <row r="1086" spans="3:38">
      <c r="C1086" s="30"/>
      <c r="F1086" s="95"/>
      <c r="G1086" s="1"/>
      <c r="H1086" s="94"/>
      <c r="I1086" s="90"/>
      <c r="J1086" s="90"/>
      <c r="K1086" s="1"/>
      <c r="L1086" s="74"/>
      <c r="M1086" s="633"/>
      <c r="N1086" s="274"/>
      <c r="O1086" s="94"/>
      <c r="P1086" s="94"/>
      <c r="Q1086" s="94"/>
      <c r="R1086" s="94"/>
      <c r="S1086" s="94"/>
      <c r="V1086" s="30"/>
      <c r="W1086" s="30"/>
      <c r="X1086" s="1"/>
      <c r="Y1086" s="95"/>
      <c r="Z1086" s="1"/>
      <c r="AA1086" s="94"/>
      <c r="AB1086" s="1"/>
      <c r="AC1086" s="1"/>
      <c r="AD1086" s="1"/>
      <c r="AE1086" s="30"/>
      <c r="AF1086" s="633"/>
      <c r="AG1086" s="94"/>
      <c r="AH1086" s="94"/>
      <c r="AI1086" s="94"/>
      <c r="AJ1086" s="94"/>
      <c r="AK1086" s="94"/>
      <c r="AL1086" s="94"/>
    </row>
    <row r="1087" spans="3:38">
      <c r="C1087" s="30"/>
      <c r="F1087" s="95"/>
      <c r="G1087" s="1"/>
      <c r="H1087" s="94"/>
      <c r="I1087" s="90"/>
      <c r="J1087" s="90"/>
      <c r="K1087" s="1"/>
      <c r="L1087" s="74"/>
      <c r="M1087" s="633"/>
      <c r="N1087" s="274"/>
      <c r="O1087" s="94"/>
      <c r="P1087" s="94"/>
      <c r="Q1087" s="94"/>
      <c r="R1087" s="94"/>
      <c r="S1087" s="94"/>
      <c r="V1087" s="30"/>
      <c r="W1087" s="30"/>
      <c r="X1087" s="1"/>
      <c r="Y1087" s="95"/>
      <c r="Z1087" s="1"/>
      <c r="AA1087" s="94"/>
      <c r="AB1087" s="1"/>
      <c r="AC1087" s="1"/>
      <c r="AD1087" s="1"/>
      <c r="AE1087" s="30"/>
      <c r="AF1087" s="633"/>
      <c r="AG1087" s="94"/>
      <c r="AH1087" s="94"/>
      <c r="AI1087" s="94"/>
      <c r="AJ1087" s="94"/>
      <c r="AK1087" s="94"/>
      <c r="AL1087" s="94"/>
    </row>
    <row r="1088" spans="3:38">
      <c r="C1088" s="30"/>
      <c r="F1088" s="95"/>
      <c r="G1088" s="1"/>
      <c r="H1088" s="94"/>
      <c r="I1088" s="90"/>
      <c r="J1088" s="90"/>
      <c r="K1088" s="1"/>
      <c r="L1088" s="74"/>
      <c r="M1088" s="633"/>
      <c r="N1088" s="274"/>
      <c r="O1088" s="94"/>
      <c r="P1088" s="94"/>
      <c r="Q1088" s="94"/>
      <c r="R1088" s="94"/>
      <c r="S1088" s="94"/>
      <c r="V1088" s="30"/>
      <c r="W1088" s="30"/>
      <c r="X1088" s="1"/>
      <c r="Y1088" s="95"/>
      <c r="Z1088" s="1"/>
      <c r="AA1088" s="94"/>
      <c r="AB1088" s="1"/>
      <c r="AC1088" s="1"/>
      <c r="AD1088" s="1"/>
      <c r="AE1088" s="30"/>
      <c r="AF1088" s="633"/>
      <c r="AG1088" s="94"/>
      <c r="AH1088" s="94"/>
      <c r="AI1088" s="94"/>
      <c r="AJ1088" s="94"/>
      <c r="AK1088" s="94"/>
      <c r="AL1088" s="94"/>
    </row>
    <row r="1089" spans="3:38">
      <c r="C1089" s="30"/>
      <c r="F1089" s="95"/>
      <c r="G1089" s="1"/>
      <c r="H1089" s="94"/>
      <c r="I1089" s="90"/>
      <c r="J1089" s="90"/>
      <c r="K1089" s="1"/>
      <c r="L1089" s="74"/>
      <c r="M1089" s="633"/>
      <c r="N1089" s="274"/>
      <c r="O1089" s="94"/>
      <c r="P1089" s="94"/>
      <c r="Q1089" s="94"/>
      <c r="R1089" s="94"/>
      <c r="S1089" s="94"/>
      <c r="V1089" s="30"/>
      <c r="W1089" s="30"/>
      <c r="X1089" s="1"/>
      <c r="Y1089" s="95"/>
      <c r="Z1089" s="1"/>
      <c r="AA1089" s="94"/>
      <c r="AB1089" s="1"/>
      <c r="AC1089" s="1"/>
      <c r="AD1089" s="1"/>
      <c r="AE1089" s="30"/>
      <c r="AF1089" s="633"/>
      <c r="AG1089" s="94"/>
      <c r="AH1089" s="94"/>
      <c r="AI1089" s="94"/>
      <c r="AJ1089" s="94"/>
      <c r="AK1089" s="94"/>
      <c r="AL1089" s="94"/>
    </row>
    <row r="1090" spans="3:38">
      <c r="C1090" s="30"/>
      <c r="F1090" s="95"/>
      <c r="G1090" s="1"/>
      <c r="H1090" s="94"/>
      <c r="I1090" s="90"/>
      <c r="J1090" s="90"/>
      <c r="K1090" s="1"/>
      <c r="L1090" s="74"/>
      <c r="M1090" s="633"/>
      <c r="N1090" s="274"/>
      <c r="O1090" s="94"/>
      <c r="P1090" s="94"/>
      <c r="Q1090" s="94"/>
      <c r="R1090" s="94"/>
      <c r="S1090" s="94"/>
      <c r="V1090" s="30"/>
      <c r="W1090" s="30"/>
      <c r="X1090" s="1"/>
      <c r="Y1090" s="95"/>
      <c r="Z1090" s="1"/>
      <c r="AA1090" s="94"/>
      <c r="AB1090" s="1"/>
      <c r="AC1090" s="1"/>
      <c r="AD1090" s="1"/>
      <c r="AE1090" s="30"/>
      <c r="AF1090" s="633"/>
      <c r="AG1090" s="94"/>
      <c r="AH1090" s="94"/>
      <c r="AI1090" s="94"/>
      <c r="AJ1090" s="94"/>
      <c r="AK1090" s="94"/>
      <c r="AL1090" s="94"/>
    </row>
    <row r="1091" spans="3:38">
      <c r="C1091" s="30"/>
      <c r="F1091" s="95"/>
      <c r="G1091" s="1"/>
      <c r="H1091" s="94"/>
      <c r="I1091" s="90"/>
      <c r="J1091" s="90"/>
      <c r="K1091" s="1"/>
      <c r="L1091" s="74"/>
      <c r="M1091" s="633"/>
      <c r="N1091" s="274"/>
      <c r="O1091" s="94"/>
      <c r="P1091" s="94"/>
      <c r="Q1091" s="94"/>
      <c r="R1091" s="94"/>
      <c r="S1091" s="94"/>
      <c r="V1091" s="30"/>
      <c r="W1091" s="30"/>
      <c r="X1091" s="1"/>
      <c r="Y1091" s="95"/>
      <c r="Z1091" s="1"/>
      <c r="AA1091" s="94"/>
      <c r="AB1091" s="1"/>
      <c r="AC1091" s="1"/>
      <c r="AD1091" s="1"/>
      <c r="AE1091" s="30"/>
      <c r="AF1091" s="633"/>
      <c r="AG1091" s="94"/>
      <c r="AH1091" s="94"/>
      <c r="AI1091" s="94"/>
      <c r="AJ1091" s="94"/>
      <c r="AK1091" s="94"/>
      <c r="AL1091" s="94"/>
    </row>
    <row r="1092" spans="3:38">
      <c r="C1092" s="30"/>
      <c r="F1092" s="95"/>
      <c r="G1092" s="1"/>
      <c r="H1092" s="94"/>
      <c r="I1092" s="90"/>
      <c r="J1092" s="90"/>
      <c r="K1092" s="1"/>
      <c r="L1092" s="74"/>
      <c r="M1092" s="633"/>
      <c r="N1092" s="274"/>
      <c r="O1092" s="94"/>
      <c r="P1092" s="94"/>
      <c r="Q1092" s="94"/>
      <c r="R1092" s="94"/>
      <c r="S1092" s="94"/>
      <c r="V1092" s="30"/>
      <c r="W1092" s="30"/>
      <c r="X1092" s="1"/>
      <c r="Y1092" s="95"/>
      <c r="Z1092" s="1"/>
      <c r="AA1092" s="94"/>
      <c r="AB1092" s="1"/>
      <c r="AC1092" s="1"/>
      <c r="AD1092" s="1"/>
      <c r="AE1092" s="30"/>
      <c r="AF1092" s="633"/>
      <c r="AG1092" s="94"/>
      <c r="AH1092" s="94"/>
      <c r="AI1092" s="94"/>
      <c r="AJ1092" s="94"/>
      <c r="AK1092" s="94"/>
      <c r="AL1092" s="94"/>
    </row>
    <row r="1093" spans="3:38">
      <c r="C1093" s="30"/>
      <c r="F1093" s="95"/>
      <c r="G1093" s="1"/>
      <c r="H1093" s="94"/>
      <c r="I1093" s="90"/>
      <c r="J1093" s="90"/>
      <c r="K1093" s="1"/>
      <c r="L1093" s="74"/>
      <c r="M1093" s="633"/>
      <c r="N1093" s="274"/>
      <c r="O1093" s="94"/>
      <c r="P1093" s="94"/>
      <c r="Q1093" s="94"/>
      <c r="R1093" s="94"/>
      <c r="S1093" s="94"/>
      <c r="V1093" s="30"/>
      <c r="W1093" s="30"/>
      <c r="X1093" s="1"/>
      <c r="Y1093" s="95"/>
      <c r="Z1093" s="1"/>
      <c r="AA1093" s="94"/>
      <c r="AB1093" s="1"/>
      <c r="AC1093" s="1"/>
      <c r="AD1093" s="1"/>
      <c r="AE1093" s="30"/>
      <c r="AF1093" s="633"/>
      <c r="AG1093" s="94"/>
      <c r="AH1093" s="94"/>
      <c r="AI1093" s="94"/>
      <c r="AJ1093" s="94"/>
      <c r="AK1093" s="94"/>
      <c r="AL1093" s="94"/>
    </row>
    <row r="1094" spans="3:38">
      <c r="C1094" s="30"/>
      <c r="F1094" s="95"/>
      <c r="G1094" s="1"/>
      <c r="H1094" s="94"/>
      <c r="I1094" s="90"/>
      <c r="J1094" s="90"/>
      <c r="K1094" s="1"/>
      <c r="L1094" s="74"/>
      <c r="M1094" s="633"/>
      <c r="N1094" s="274"/>
      <c r="O1094" s="94"/>
      <c r="P1094" s="94"/>
      <c r="Q1094" s="94"/>
      <c r="R1094" s="94"/>
      <c r="S1094" s="94"/>
      <c r="V1094" s="30"/>
      <c r="W1094" s="30"/>
      <c r="X1094" s="1"/>
      <c r="Y1094" s="95"/>
      <c r="Z1094" s="1"/>
      <c r="AA1094" s="94"/>
      <c r="AB1094" s="1"/>
      <c r="AC1094" s="1"/>
      <c r="AD1094" s="1"/>
      <c r="AE1094" s="30"/>
      <c r="AF1094" s="633"/>
      <c r="AG1094" s="94"/>
      <c r="AH1094" s="94"/>
      <c r="AI1094" s="94"/>
      <c r="AJ1094" s="94"/>
      <c r="AK1094" s="94"/>
      <c r="AL1094" s="94"/>
    </row>
    <row r="1095" spans="3:38">
      <c r="C1095" s="30"/>
      <c r="F1095" s="95"/>
      <c r="G1095" s="1"/>
      <c r="H1095" s="94"/>
      <c r="I1095" s="90"/>
      <c r="J1095" s="90"/>
      <c r="K1095" s="1"/>
      <c r="L1095" s="74"/>
      <c r="M1095" s="633"/>
      <c r="N1095" s="274"/>
      <c r="O1095" s="94"/>
      <c r="P1095" s="94"/>
      <c r="Q1095" s="94"/>
      <c r="R1095" s="94"/>
      <c r="S1095" s="94"/>
      <c r="V1095" s="30"/>
      <c r="W1095" s="30"/>
      <c r="X1095" s="1"/>
      <c r="Y1095" s="95"/>
      <c r="Z1095" s="1"/>
      <c r="AA1095" s="94"/>
      <c r="AB1095" s="1"/>
      <c r="AC1095" s="1"/>
      <c r="AD1095" s="1"/>
      <c r="AE1095" s="30"/>
      <c r="AF1095" s="633"/>
      <c r="AG1095" s="94"/>
      <c r="AH1095" s="94"/>
      <c r="AI1095" s="94"/>
      <c r="AJ1095" s="94"/>
      <c r="AK1095" s="94"/>
      <c r="AL1095" s="94"/>
    </row>
    <row r="1096" spans="3:38">
      <c r="C1096" s="30"/>
      <c r="F1096" s="95"/>
      <c r="G1096" s="1"/>
      <c r="H1096" s="94"/>
      <c r="I1096" s="90"/>
      <c r="J1096" s="90"/>
      <c r="K1096" s="1"/>
      <c r="L1096" s="74"/>
      <c r="M1096" s="633"/>
      <c r="N1096" s="274"/>
      <c r="O1096" s="94"/>
      <c r="P1096" s="94"/>
      <c r="Q1096" s="94"/>
      <c r="R1096" s="94"/>
      <c r="S1096" s="94"/>
      <c r="V1096" s="30"/>
      <c r="W1096" s="30"/>
      <c r="X1096" s="1"/>
      <c r="Y1096" s="95"/>
      <c r="Z1096" s="1"/>
      <c r="AA1096" s="94"/>
      <c r="AB1096" s="1"/>
      <c r="AC1096" s="1"/>
      <c r="AD1096" s="1"/>
      <c r="AE1096" s="30"/>
      <c r="AF1096" s="633"/>
      <c r="AG1096" s="94"/>
      <c r="AH1096" s="94"/>
      <c r="AI1096" s="94"/>
      <c r="AJ1096" s="94"/>
      <c r="AK1096" s="94"/>
      <c r="AL1096" s="94"/>
    </row>
    <row r="1097" spans="3:38">
      <c r="C1097" s="30"/>
      <c r="F1097" s="95"/>
      <c r="G1097" s="1"/>
      <c r="H1097" s="94"/>
      <c r="I1097" s="90"/>
      <c r="J1097" s="90"/>
      <c r="K1097" s="1"/>
      <c r="L1097" s="74"/>
      <c r="M1097" s="633"/>
      <c r="N1097" s="274"/>
      <c r="O1097" s="94"/>
      <c r="P1097" s="94"/>
      <c r="Q1097" s="94"/>
      <c r="R1097" s="94"/>
      <c r="S1097" s="94"/>
      <c r="V1097" s="30"/>
      <c r="W1097" s="30"/>
      <c r="X1097" s="1"/>
      <c r="Y1097" s="95"/>
      <c r="Z1097" s="1"/>
      <c r="AA1097" s="94"/>
      <c r="AB1097" s="1"/>
      <c r="AC1097" s="1"/>
      <c r="AD1097" s="1"/>
      <c r="AE1097" s="30"/>
      <c r="AF1097" s="633"/>
      <c r="AG1097" s="94"/>
      <c r="AH1097" s="94"/>
      <c r="AI1097" s="94"/>
      <c r="AJ1097" s="94"/>
      <c r="AK1097" s="94"/>
      <c r="AL1097" s="94"/>
    </row>
    <row r="1098" spans="3:38">
      <c r="C1098" s="30"/>
      <c r="F1098" s="95"/>
      <c r="G1098" s="1"/>
      <c r="H1098" s="94"/>
      <c r="I1098" s="90"/>
      <c r="J1098" s="90"/>
      <c r="K1098" s="1"/>
      <c r="L1098" s="74"/>
      <c r="M1098" s="633"/>
      <c r="N1098" s="274"/>
      <c r="O1098" s="94"/>
      <c r="P1098" s="94"/>
      <c r="Q1098" s="94"/>
      <c r="R1098" s="94"/>
      <c r="S1098" s="94"/>
      <c r="V1098" s="30"/>
      <c r="W1098" s="30"/>
      <c r="X1098" s="1"/>
      <c r="Y1098" s="95"/>
      <c r="Z1098" s="1"/>
      <c r="AA1098" s="94"/>
      <c r="AB1098" s="1"/>
      <c r="AC1098" s="1"/>
      <c r="AD1098" s="1"/>
      <c r="AE1098" s="30"/>
      <c r="AF1098" s="633"/>
      <c r="AG1098" s="94"/>
      <c r="AH1098" s="94"/>
      <c r="AI1098" s="94"/>
      <c r="AJ1098" s="94"/>
      <c r="AK1098" s="94"/>
      <c r="AL1098" s="94"/>
    </row>
    <row r="1099" spans="3:38">
      <c r="C1099" s="30"/>
      <c r="F1099" s="95"/>
      <c r="G1099" s="1"/>
      <c r="H1099" s="94"/>
      <c r="I1099" s="90"/>
      <c r="J1099" s="90"/>
      <c r="K1099" s="1"/>
      <c r="L1099" s="74"/>
      <c r="M1099" s="633"/>
      <c r="N1099" s="274"/>
      <c r="O1099" s="94"/>
      <c r="P1099" s="94"/>
      <c r="Q1099" s="94"/>
      <c r="R1099" s="94"/>
      <c r="S1099" s="94"/>
      <c r="V1099" s="30"/>
      <c r="W1099" s="30"/>
      <c r="X1099" s="1"/>
      <c r="Y1099" s="95"/>
      <c r="Z1099" s="1"/>
      <c r="AA1099" s="94"/>
      <c r="AB1099" s="1"/>
      <c r="AC1099" s="1"/>
      <c r="AD1099" s="1"/>
      <c r="AE1099" s="30"/>
      <c r="AF1099" s="633"/>
      <c r="AG1099" s="94"/>
      <c r="AH1099" s="94"/>
      <c r="AI1099" s="94"/>
      <c r="AJ1099" s="94"/>
      <c r="AK1099" s="94"/>
      <c r="AL1099" s="94"/>
    </row>
    <row r="1100" spans="3:38">
      <c r="C1100" s="30"/>
      <c r="F1100" s="95"/>
      <c r="G1100" s="1"/>
      <c r="H1100" s="94"/>
      <c r="I1100" s="90"/>
      <c r="J1100" s="90"/>
      <c r="K1100" s="1"/>
      <c r="L1100" s="74"/>
      <c r="M1100" s="633"/>
      <c r="N1100" s="274"/>
      <c r="O1100" s="94"/>
      <c r="P1100" s="94"/>
      <c r="Q1100" s="94"/>
      <c r="R1100" s="94"/>
      <c r="S1100" s="94"/>
      <c r="V1100" s="30"/>
      <c r="W1100" s="30"/>
      <c r="X1100" s="1"/>
      <c r="Y1100" s="95"/>
      <c r="Z1100" s="1"/>
      <c r="AA1100" s="94"/>
      <c r="AB1100" s="1"/>
      <c r="AC1100" s="1"/>
      <c r="AD1100" s="1"/>
      <c r="AE1100" s="30"/>
      <c r="AF1100" s="633"/>
      <c r="AG1100" s="94"/>
      <c r="AH1100" s="94"/>
      <c r="AI1100" s="94"/>
      <c r="AJ1100" s="94"/>
      <c r="AK1100" s="94"/>
      <c r="AL1100" s="94"/>
    </row>
    <row r="1101" spans="3:38">
      <c r="C1101" s="30"/>
      <c r="F1101" s="95"/>
      <c r="G1101" s="1"/>
      <c r="H1101" s="94"/>
      <c r="I1101" s="90"/>
      <c r="J1101" s="90"/>
      <c r="K1101" s="1"/>
      <c r="L1101" s="74"/>
      <c r="M1101" s="633"/>
      <c r="N1101" s="274"/>
      <c r="O1101" s="94"/>
      <c r="P1101" s="94"/>
      <c r="Q1101" s="94"/>
      <c r="R1101" s="94"/>
      <c r="S1101" s="94"/>
      <c r="V1101" s="30"/>
      <c r="W1101" s="30"/>
      <c r="X1101" s="1"/>
      <c r="Y1101" s="95"/>
      <c r="Z1101" s="1"/>
      <c r="AA1101" s="94"/>
      <c r="AB1101" s="1"/>
      <c r="AC1101" s="1"/>
      <c r="AD1101" s="1"/>
      <c r="AE1101" s="30"/>
      <c r="AF1101" s="633"/>
      <c r="AG1101" s="94"/>
      <c r="AH1101" s="94"/>
      <c r="AI1101" s="94"/>
      <c r="AJ1101" s="94"/>
      <c r="AK1101" s="94"/>
      <c r="AL1101" s="94"/>
    </row>
    <row r="1102" spans="3:38">
      <c r="C1102" s="30"/>
      <c r="F1102" s="95"/>
      <c r="G1102" s="1"/>
      <c r="H1102" s="94"/>
      <c r="I1102" s="90"/>
      <c r="J1102" s="90"/>
      <c r="K1102" s="1"/>
      <c r="L1102" s="74"/>
      <c r="M1102" s="633"/>
      <c r="N1102" s="274"/>
      <c r="O1102" s="94"/>
      <c r="P1102" s="94"/>
      <c r="Q1102" s="94"/>
      <c r="R1102" s="94"/>
      <c r="S1102" s="94"/>
      <c r="V1102" s="30"/>
      <c r="W1102" s="30"/>
      <c r="X1102" s="1"/>
      <c r="Y1102" s="95"/>
      <c r="Z1102" s="1"/>
      <c r="AA1102" s="94"/>
      <c r="AB1102" s="1"/>
      <c r="AC1102" s="1"/>
      <c r="AD1102" s="1"/>
      <c r="AE1102" s="30"/>
      <c r="AF1102" s="633"/>
      <c r="AG1102" s="94"/>
      <c r="AH1102" s="94"/>
      <c r="AI1102" s="94"/>
      <c r="AJ1102" s="94"/>
      <c r="AK1102" s="94"/>
      <c r="AL1102" s="94"/>
    </row>
    <row r="1103" spans="3:38">
      <c r="C1103" s="30"/>
      <c r="F1103" s="95"/>
      <c r="G1103" s="1"/>
      <c r="H1103" s="94"/>
      <c r="I1103" s="90"/>
      <c r="J1103" s="90"/>
      <c r="K1103" s="1"/>
      <c r="L1103" s="74"/>
      <c r="M1103" s="633"/>
      <c r="N1103" s="274"/>
      <c r="O1103" s="94"/>
      <c r="P1103" s="94"/>
      <c r="Q1103" s="94"/>
      <c r="R1103" s="94"/>
      <c r="S1103" s="94"/>
      <c r="V1103" s="30"/>
      <c r="W1103" s="30"/>
      <c r="X1103" s="1"/>
      <c r="Y1103" s="95"/>
      <c r="Z1103" s="1"/>
      <c r="AA1103" s="94"/>
      <c r="AB1103" s="1"/>
      <c r="AC1103" s="1"/>
      <c r="AD1103" s="1"/>
      <c r="AE1103" s="30"/>
      <c r="AF1103" s="633"/>
      <c r="AG1103" s="94"/>
      <c r="AH1103" s="94"/>
      <c r="AI1103" s="94"/>
      <c r="AJ1103" s="94"/>
      <c r="AK1103" s="94"/>
      <c r="AL1103" s="94"/>
    </row>
    <row r="1104" spans="3:38">
      <c r="C1104" s="30"/>
      <c r="F1104" s="95"/>
      <c r="G1104" s="1"/>
      <c r="H1104" s="94"/>
      <c r="I1104" s="90"/>
      <c r="J1104" s="90"/>
      <c r="K1104" s="1"/>
      <c r="L1104" s="74"/>
      <c r="M1104" s="633"/>
      <c r="N1104" s="274"/>
      <c r="O1104" s="94"/>
      <c r="P1104" s="94"/>
      <c r="Q1104" s="94"/>
      <c r="R1104" s="94"/>
      <c r="S1104" s="94"/>
      <c r="V1104" s="30"/>
      <c r="W1104" s="30"/>
      <c r="X1104" s="1"/>
      <c r="Y1104" s="95"/>
      <c r="Z1104" s="1"/>
      <c r="AA1104" s="94"/>
      <c r="AB1104" s="1"/>
      <c r="AC1104" s="1"/>
      <c r="AD1104" s="1"/>
      <c r="AE1104" s="30"/>
      <c r="AF1104" s="633"/>
      <c r="AG1104" s="94"/>
      <c r="AH1104" s="94"/>
      <c r="AI1104" s="94"/>
      <c r="AJ1104" s="94"/>
      <c r="AK1104" s="94"/>
      <c r="AL1104" s="94"/>
    </row>
    <row r="1105" spans="3:38">
      <c r="C1105" s="30"/>
      <c r="F1105" s="95"/>
      <c r="G1105" s="1"/>
      <c r="H1105" s="94"/>
      <c r="I1105" s="90"/>
      <c r="J1105" s="90"/>
      <c r="K1105" s="1"/>
      <c r="L1105" s="74"/>
      <c r="M1105" s="633"/>
      <c r="N1105" s="274"/>
      <c r="O1105" s="94"/>
      <c r="P1105" s="94"/>
      <c r="Q1105" s="94"/>
      <c r="R1105" s="94"/>
      <c r="S1105" s="94"/>
      <c r="V1105" s="30"/>
      <c r="W1105" s="30"/>
      <c r="X1105" s="1"/>
      <c r="Y1105" s="95"/>
      <c r="Z1105" s="1"/>
      <c r="AA1105" s="94"/>
      <c r="AB1105" s="1"/>
      <c r="AC1105" s="1"/>
      <c r="AD1105" s="1"/>
      <c r="AE1105" s="30"/>
      <c r="AF1105" s="633"/>
      <c r="AG1105" s="94"/>
      <c r="AH1105" s="94"/>
      <c r="AI1105" s="94"/>
      <c r="AJ1105" s="94"/>
      <c r="AK1105" s="94"/>
      <c r="AL1105" s="94"/>
    </row>
    <row r="1106" spans="3:38">
      <c r="C1106" s="30"/>
      <c r="F1106" s="95"/>
      <c r="G1106" s="1"/>
      <c r="H1106" s="94"/>
      <c r="I1106" s="90"/>
      <c r="J1106" s="90"/>
      <c r="K1106" s="1"/>
      <c r="L1106" s="74"/>
      <c r="M1106" s="633"/>
      <c r="N1106" s="274"/>
      <c r="O1106" s="94"/>
      <c r="P1106" s="94"/>
      <c r="Q1106" s="94"/>
      <c r="R1106" s="94"/>
      <c r="S1106" s="94"/>
      <c r="V1106" s="30"/>
      <c r="W1106" s="30"/>
      <c r="X1106" s="1"/>
      <c r="Y1106" s="95"/>
      <c r="Z1106" s="1"/>
      <c r="AA1106" s="94"/>
      <c r="AB1106" s="1"/>
      <c r="AC1106" s="1"/>
      <c r="AD1106" s="1"/>
      <c r="AE1106" s="30"/>
      <c r="AF1106" s="633"/>
      <c r="AG1106" s="94"/>
      <c r="AH1106" s="94"/>
      <c r="AI1106" s="94"/>
      <c r="AJ1106" s="94"/>
      <c r="AK1106" s="94"/>
      <c r="AL1106" s="94"/>
    </row>
    <row r="1107" spans="3:38">
      <c r="C1107" s="30"/>
      <c r="F1107" s="95"/>
      <c r="G1107" s="1"/>
      <c r="H1107" s="94"/>
      <c r="I1107" s="90"/>
      <c r="J1107" s="90"/>
      <c r="K1107" s="1"/>
      <c r="L1107" s="74"/>
      <c r="M1107" s="633"/>
      <c r="N1107" s="274"/>
      <c r="O1107" s="94"/>
      <c r="P1107" s="94"/>
      <c r="Q1107" s="94"/>
      <c r="R1107" s="94"/>
      <c r="S1107" s="94"/>
      <c r="V1107" s="30"/>
      <c r="W1107" s="30"/>
      <c r="X1107" s="1"/>
      <c r="Y1107" s="95"/>
      <c r="Z1107" s="1"/>
      <c r="AA1107" s="94"/>
      <c r="AB1107" s="1"/>
      <c r="AC1107" s="1"/>
      <c r="AD1107" s="1"/>
      <c r="AE1107" s="30"/>
      <c r="AF1107" s="633"/>
      <c r="AG1107" s="94"/>
      <c r="AH1107" s="94"/>
      <c r="AI1107" s="94"/>
      <c r="AJ1107" s="94"/>
      <c r="AK1107" s="94"/>
      <c r="AL1107" s="94"/>
    </row>
    <row r="1108" spans="3:38">
      <c r="C1108" s="30"/>
      <c r="F1108" s="95"/>
      <c r="G1108" s="1"/>
      <c r="H1108" s="94"/>
      <c r="I1108" s="90"/>
      <c r="J1108" s="90"/>
      <c r="K1108" s="1"/>
      <c r="L1108" s="74"/>
      <c r="M1108" s="633"/>
      <c r="N1108" s="274"/>
      <c r="O1108" s="94"/>
      <c r="P1108" s="94"/>
      <c r="Q1108" s="94"/>
      <c r="R1108" s="94"/>
      <c r="S1108" s="94"/>
      <c r="V1108" s="30"/>
      <c r="W1108" s="30"/>
      <c r="X1108" s="1"/>
      <c r="Y1108" s="95"/>
      <c r="Z1108" s="1"/>
      <c r="AA1108" s="94"/>
      <c r="AB1108" s="1"/>
      <c r="AC1108" s="1"/>
      <c r="AD1108" s="1"/>
      <c r="AE1108" s="30"/>
      <c r="AF1108" s="633"/>
      <c r="AG1108" s="94"/>
      <c r="AH1108" s="94"/>
      <c r="AI1108" s="94"/>
      <c r="AJ1108" s="94"/>
      <c r="AK1108" s="94"/>
      <c r="AL1108" s="94"/>
    </row>
    <row r="1109" spans="3:38">
      <c r="C1109" s="30"/>
      <c r="F1109" s="95"/>
      <c r="G1109" s="1"/>
      <c r="H1109" s="94"/>
      <c r="I1109" s="90"/>
      <c r="J1109" s="90"/>
      <c r="K1109" s="1"/>
      <c r="L1109" s="74"/>
      <c r="M1109" s="633"/>
      <c r="N1109" s="274"/>
      <c r="O1109" s="94"/>
      <c r="P1109" s="94"/>
      <c r="Q1109" s="94"/>
      <c r="R1109" s="94"/>
      <c r="S1109" s="94"/>
      <c r="V1109" s="30"/>
      <c r="W1109" s="30"/>
      <c r="X1109" s="1"/>
      <c r="Y1109" s="95"/>
      <c r="Z1109" s="1"/>
      <c r="AA1109" s="94"/>
      <c r="AB1109" s="1"/>
      <c r="AC1109" s="1"/>
      <c r="AD1109" s="1"/>
      <c r="AE1109" s="30"/>
      <c r="AF1109" s="633"/>
      <c r="AG1109" s="94"/>
      <c r="AH1109" s="94"/>
      <c r="AI1109" s="94"/>
      <c r="AJ1109" s="94"/>
      <c r="AK1109" s="94"/>
      <c r="AL1109" s="94"/>
    </row>
    <row r="1110" spans="3:38">
      <c r="C1110" s="30"/>
      <c r="F1110" s="95"/>
      <c r="G1110" s="1"/>
      <c r="H1110" s="94"/>
      <c r="I1110" s="90"/>
      <c r="J1110" s="90"/>
      <c r="K1110" s="1"/>
      <c r="L1110" s="74"/>
      <c r="M1110" s="633"/>
      <c r="N1110" s="274"/>
      <c r="O1110" s="94"/>
      <c r="P1110" s="94"/>
      <c r="Q1110" s="94"/>
      <c r="R1110" s="94"/>
      <c r="S1110" s="94"/>
      <c r="V1110" s="30"/>
      <c r="W1110" s="30"/>
      <c r="X1110" s="1"/>
      <c r="Y1110" s="95"/>
      <c r="Z1110" s="1"/>
      <c r="AA1110" s="94"/>
      <c r="AB1110" s="1"/>
      <c r="AC1110" s="1"/>
      <c r="AD1110" s="1"/>
      <c r="AE1110" s="30"/>
      <c r="AF1110" s="633"/>
      <c r="AG1110" s="94"/>
      <c r="AH1110" s="94"/>
      <c r="AI1110" s="94"/>
      <c r="AJ1110" s="94"/>
      <c r="AK1110" s="94"/>
      <c r="AL1110" s="94"/>
    </row>
    <row r="1111" spans="3:38">
      <c r="C1111" s="30"/>
      <c r="F1111" s="95"/>
      <c r="G1111" s="1"/>
      <c r="H1111" s="94"/>
      <c r="I1111" s="90"/>
      <c r="J1111" s="90"/>
      <c r="K1111" s="1"/>
      <c r="L1111" s="74"/>
      <c r="M1111" s="633"/>
      <c r="N1111" s="274"/>
      <c r="O1111" s="94"/>
      <c r="P1111" s="94"/>
      <c r="Q1111" s="94"/>
      <c r="R1111" s="94"/>
      <c r="S1111" s="94"/>
      <c r="V1111" s="30"/>
      <c r="W1111" s="30"/>
      <c r="X1111" s="1"/>
      <c r="Y1111" s="95"/>
      <c r="Z1111" s="1"/>
      <c r="AA1111" s="94"/>
      <c r="AB1111" s="1"/>
      <c r="AC1111" s="1"/>
      <c r="AD1111" s="1"/>
      <c r="AE1111" s="30"/>
      <c r="AF1111" s="633"/>
      <c r="AG1111" s="94"/>
      <c r="AH1111" s="94"/>
      <c r="AI1111" s="94"/>
      <c r="AJ1111" s="94"/>
      <c r="AK1111" s="94"/>
      <c r="AL1111" s="94"/>
    </row>
    <row r="1112" spans="3:38">
      <c r="C1112" s="30"/>
      <c r="F1112" s="95"/>
      <c r="G1112" s="1"/>
      <c r="H1112" s="94"/>
      <c r="I1112" s="90"/>
      <c r="J1112" s="90"/>
      <c r="K1112" s="1"/>
      <c r="L1112" s="74"/>
      <c r="M1112" s="633"/>
      <c r="N1112" s="274"/>
      <c r="O1112" s="94"/>
      <c r="P1112" s="94"/>
      <c r="Q1112" s="94"/>
      <c r="R1112" s="94"/>
      <c r="S1112" s="94"/>
      <c r="V1112" s="30"/>
      <c r="W1112" s="30"/>
      <c r="X1112" s="1"/>
      <c r="Y1112" s="95"/>
      <c r="Z1112" s="1"/>
      <c r="AA1112" s="94"/>
      <c r="AB1112" s="1"/>
      <c r="AC1112" s="1"/>
      <c r="AD1112" s="1"/>
      <c r="AE1112" s="30"/>
      <c r="AF1112" s="633"/>
      <c r="AG1112" s="94"/>
      <c r="AH1112" s="94"/>
      <c r="AI1112" s="94"/>
      <c r="AJ1112" s="94"/>
      <c r="AK1112" s="94"/>
      <c r="AL1112" s="94"/>
    </row>
    <row r="1113" spans="3:38">
      <c r="C1113" s="30"/>
      <c r="F1113" s="95"/>
      <c r="G1113" s="1"/>
      <c r="H1113" s="94"/>
      <c r="I1113" s="90"/>
      <c r="J1113" s="90"/>
      <c r="K1113" s="1"/>
      <c r="L1113" s="74"/>
      <c r="M1113" s="633"/>
      <c r="N1113" s="274"/>
      <c r="O1113" s="94"/>
      <c r="P1113" s="94"/>
      <c r="Q1113" s="94"/>
      <c r="R1113" s="94"/>
      <c r="S1113" s="94"/>
      <c r="V1113" s="30"/>
      <c r="W1113" s="30"/>
      <c r="X1113" s="1"/>
      <c r="Y1113" s="95"/>
      <c r="Z1113" s="1"/>
      <c r="AA1113" s="94"/>
      <c r="AB1113" s="1"/>
      <c r="AC1113" s="1"/>
      <c r="AD1113" s="1"/>
      <c r="AE1113" s="30"/>
      <c r="AF1113" s="633"/>
      <c r="AG1113" s="94"/>
      <c r="AH1113" s="94"/>
      <c r="AI1113" s="94"/>
      <c r="AJ1113" s="94"/>
      <c r="AK1113" s="94"/>
      <c r="AL1113" s="94"/>
    </row>
    <row r="1114" spans="3:38">
      <c r="C1114" s="30"/>
      <c r="F1114" s="95"/>
      <c r="G1114" s="1"/>
      <c r="H1114" s="94"/>
      <c r="I1114" s="90"/>
      <c r="J1114" s="90"/>
      <c r="K1114" s="1"/>
      <c r="L1114" s="74"/>
      <c r="M1114" s="633"/>
      <c r="N1114" s="274"/>
      <c r="O1114" s="94"/>
      <c r="P1114" s="94"/>
      <c r="Q1114" s="94"/>
      <c r="R1114" s="94"/>
      <c r="S1114" s="94"/>
      <c r="V1114" s="30"/>
      <c r="W1114" s="30"/>
      <c r="X1114" s="1"/>
      <c r="Y1114" s="95"/>
      <c r="Z1114" s="1"/>
      <c r="AA1114" s="94"/>
      <c r="AB1114" s="1"/>
      <c r="AC1114" s="1"/>
      <c r="AD1114" s="1"/>
      <c r="AE1114" s="30"/>
      <c r="AF1114" s="633"/>
      <c r="AG1114" s="94"/>
      <c r="AH1114" s="94"/>
      <c r="AI1114" s="94"/>
      <c r="AJ1114" s="94"/>
      <c r="AK1114" s="94"/>
      <c r="AL1114" s="94"/>
    </row>
    <row r="1115" spans="3:38">
      <c r="C1115" s="30"/>
      <c r="F1115" s="95"/>
      <c r="G1115" s="1"/>
      <c r="H1115" s="94"/>
      <c r="I1115" s="90"/>
      <c r="J1115" s="90"/>
      <c r="K1115" s="1"/>
      <c r="L1115" s="74"/>
      <c r="M1115" s="633"/>
      <c r="N1115" s="274"/>
      <c r="O1115" s="94"/>
      <c r="P1115" s="94"/>
      <c r="Q1115" s="94"/>
      <c r="R1115" s="94"/>
      <c r="S1115" s="94"/>
      <c r="V1115" s="30"/>
      <c r="W1115" s="30"/>
      <c r="X1115" s="1"/>
      <c r="Y1115" s="95"/>
      <c r="Z1115" s="1"/>
      <c r="AA1115" s="94"/>
      <c r="AB1115" s="1"/>
      <c r="AC1115" s="1"/>
      <c r="AD1115" s="1"/>
      <c r="AE1115" s="30"/>
      <c r="AF1115" s="633"/>
      <c r="AG1115" s="94"/>
      <c r="AH1115" s="94"/>
      <c r="AI1115" s="94"/>
      <c r="AJ1115" s="94"/>
      <c r="AK1115" s="94"/>
      <c r="AL1115" s="94"/>
    </row>
    <row r="1116" spans="3:38">
      <c r="C1116" s="30"/>
      <c r="F1116" s="95"/>
      <c r="G1116" s="1"/>
      <c r="H1116" s="94"/>
      <c r="I1116" s="90"/>
      <c r="J1116" s="90"/>
      <c r="K1116" s="1"/>
      <c r="L1116" s="74"/>
      <c r="M1116" s="633"/>
      <c r="N1116" s="274"/>
      <c r="O1116" s="94"/>
      <c r="P1116" s="94"/>
      <c r="Q1116" s="94"/>
      <c r="R1116" s="94"/>
      <c r="S1116" s="94"/>
      <c r="V1116" s="30"/>
      <c r="W1116" s="30"/>
      <c r="X1116" s="1"/>
      <c r="Y1116" s="95"/>
      <c r="Z1116" s="1"/>
      <c r="AA1116" s="94"/>
      <c r="AB1116" s="1"/>
      <c r="AC1116" s="1"/>
      <c r="AD1116" s="1"/>
      <c r="AE1116" s="30"/>
      <c r="AF1116" s="633"/>
      <c r="AG1116" s="94"/>
      <c r="AH1116" s="94"/>
      <c r="AI1116" s="94"/>
      <c r="AJ1116" s="94"/>
      <c r="AK1116" s="94"/>
      <c r="AL1116" s="94"/>
    </row>
    <row r="1117" spans="3:38">
      <c r="C1117" s="30"/>
      <c r="F1117" s="95"/>
      <c r="G1117" s="1"/>
      <c r="H1117" s="94"/>
      <c r="I1117" s="90"/>
      <c r="J1117" s="90"/>
      <c r="K1117" s="1"/>
      <c r="L1117" s="74"/>
      <c r="M1117" s="633"/>
      <c r="N1117" s="274"/>
      <c r="O1117" s="94"/>
      <c r="P1117" s="94"/>
      <c r="Q1117" s="94"/>
      <c r="R1117" s="94"/>
      <c r="S1117" s="94"/>
      <c r="V1117" s="30"/>
      <c r="W1117" s="30"/>
      <c r="X1117" s="1"/>
      <c r="Y1117" s="95"/>
      <c r="Z1117" s="1"/>
      <c r="AA1117" s="94"/>
      <c r="AB1117" s="1"/>
      <c r="AC1117" s="1"/>
      <c r="AD1117" s="1"/>
      <c r="AE1117" s="30"/>
      <c r="AF1117" s="633"/>
      <c r="AG1117" s="94"/>
      <c r="AH1117" s="94"/>
      <c r="AI1117" s="94"/>
      <c r="AJ1117" s="94"/>
      <c r="AK1117" s="94"/>
      <c r="AL1117" s="94"/>
    </row>
    <row r="1118" spans="3:38">
      <c r="C1118" s="30"/>
      <c r="F1118" s="95"/>
      <c r="G1118" s="1"/>
      <c r="H1118" s="94"/>
      <c r="I1118" s="90"/>
      <c r="J1118" s="90"/>
      <c r="K1118" s="1"/>
      <c r="L1118" s="74"/>
      <c r="M1118" s="633"/>
      <c r="N1118" s="274"/>
      <c r="O1118" s="94"/>
      <c r="P1118" s="94"/>
      <c r="Q1118" s="94"/>
      <c r="R1118" s="94"/>
      <c r="S1118" s="94"/>
      <c r="V1118" s="30"/>
      <c r="W1118" s="30"/>
      <c r="X1118" s="1"/>
      <c r="Y1118" s="95"/>
      <c r="Z1118" s="1"/>
      <c r="AA1118" s="94"/>
      <c r="AB1118" s="1"/>
      <c r="AC1118" s="1"/>
      <c r="AD1118" s="1"/>
      <c r="AE1118" s="30"/>
      <c r="AF1118" s="633"/>
      <c r="AG1118" s="94"/>
      <c r="AH1118" s="94"/>
      <c r="AI1118" s="94"/>
      <c r="AJ1118" s="94"/>
      <c r="AK1118" s="94"/>
      <c r="AL1118" s="94"/>
    </row>
    <row r="1119" spans="3:38">
      <c r="C1119" s="30"/>
      <c r="F1119" s="95"/>
      <c r="G1119" s="1"/>
      <c r="H1119" s="94"/>
      <c r="I1119" s="90"/>
      <c r="J1119" s="90"/>
      <c r="K1119" s="1"/>
      <c r="L1119" s="74"/>
      <c r="M1119" s="633"/>
      <c r="N1119" s="274"/>
      <c r="O1119" s="94"/>
      <c r="P1119" s="94"/>
      <c r="Q1119" s="94"/>
      <c r="R1119" s="94"/>
      <c r="S1119" s="94"/>
      <c r="V1119" s="30"/>
      <c r="W1119" s="30"/>
      <c r="X1119" s="1"/>
      <c r="Y1119" s="95"/>
      <c r="Z1119" s="1"/>
      <c r="AA1119" s="94"/>
      <c r="AB1119" s="1"/>
      <c r="AC1119" s="1"/>
      <c r="AD1119" s="1"/>
      <c r="AE1119" s="30"/>
      <c r="AF1119" s="633"/>
      <c r="AG1119" s="94"/>
      <c r="AH1119" s="94"/>
      <c r="AI1119" s="94"/>
      <c r="AJ1119" s="94"/>
      <c r="AK1119" s="94"/>
      <c r="AL1119" s="94"/>
    </row>
    <row r="1120" spans="3:38">
      <c r="C1120" s="30"/>
      <c r="F1120" s="95"/>
      <c r="G1120" s="1"/>
      <c r="H1120" s="94"/>
      <c r="I1120" s="90"/>
      <c r="J1120" s="90"/>
      <c r="K1120" s="1"/>
      <c r="L1120" s="74"/>
      <c r="M1120" s="633"/>
      <c r="N1120" s="274"/>
      <c r="O1120" s="94"/>
      <c r="P1120" s="94"/>
      <c r="Q1120" s="94"/>
      <c r="R1120" s="94"/>
      <c r="S1120" s="94"/>
      <c r="V1120" s="30"/>
      <c r="W1120" s="30"/>
      <c r="X1120" s="1"/>
      <c r="Y1120" s="95"/>
      <c r="Z1120" s="1"/>
      <c r="AA1120" s="94"/>
      <c r="AB1120" s="1"/>
      <c r="AC1120" s="1"/>
      <c r="AD1120" s="1"/>
      <c r="AE1120" s="30"/>
      <c r="AF1120" s="633"/>
      <c r="AG1120" s="94"/>
      <c r="AH1120" s="94"/>
      <c r="AI1120" s="94"/>
      <c r="AJ1120" s="94"/>
      <c r="AK1120" s="94"/>
      <c r="AL1120" s="94"/>
    </row>
    <row r="1121" spans="3:38">
      <c r="C1121" s="30"/>
      <c r="F1121" s="95"/>
      <c r="G1121" s="1"/>
      <c r="H1121" s="94"/>
      <c r="I1121" s="90"/>
      <c r="J1121" s="90"/>
      <c r="K1121" s="1"/>
      <c r="L1121" s="74"/>
      <c r="M1121" s="633"/>
      <c r="N1121" s="274"/>
      <c r="O1121" s="94"/>
      <c r="P1121" s="94"/>
      <c r="Q1121" s="94"/>
      <c r="R1121" s="94"/>
      <c r="S1121" s="94"/>
      <c r="V1121" s="30"/>
      <c r="W1121" s="30"/>
      <c r="X1121" s="1"/>
      <c r="Y1121" s="95"/>
      <c r="Z1121" s="1"/>
      <c r="AA1121" s="94"/>
      <c r="AB1121" s="1"/>
      <c r="AC1121" s="1"/>
      <c r="AD1121" s="1"/>
      <c r="AE1121" s="30"/>
      <c r="AF1121" s="633"/>
      <c r="AG1121" s="94"/>
      <c r="AH1121" s="94"/>
      <c r="AI1121" s="94"/>
      <c r="AJ1121" s="94"/>
      <c r="AK1121" s="94"/>
      <c r="AL1121" s="94"/>
    </row>
    <row r="1122" spans="3:38">
      <c r="C1122" s="30"/>
      <c r="F1122" s="95"/>
      <c r="G1122" s="1"/>
      <c r="H1122" s="94"/>
      <c r="I1122" s="90"/>
      <c r="J1122" s="90"/>
      <c r="K1122" s="1"/>
      <c r="L1122" s="74"/>
      <c r="M1122" s="633"/>
      <c r="N1122" s="274"/>
      <c r="O1122" s="94"/>
      <c r="P1122" s="94"/>
      <c r="Q1122" s="94"/>
      <c r="R1122" s="94"/>
      <c r="S1122" s="94"/>
      <c r="V1122" s="30"/>
      <c r="W1122" s="30"/>
      <c r="X1122" s="1"/>
      <c r="Y1122" s="95"/>
      <c r="Z1122" s="1"/>
      <c r="AA1122" s="94"/>
      <c r="AB1122" s="1"/>
      <c r="AC1122" s="1"/>
      <c r="AD1122" s="1"/>
      <c r="AE1122" s="30"/>
      <c r="AF1122" s="633"/>
      <c r="AG1122" s="94"/>
      <c r="AH1122" s="94"/>
      <c r="AI1122" s="94"/>
      <c r="AJ1122" s="94"/>
      <c r="AK1122" s="94"/>
      <c r="AL1122" s="94"/>
    </row>
    <row r="1123" spans="3:38">
      <c r="C1123" s="30"/>
      <c r="F1123" s="95"/>
      <c r="G1123" s="1"/>
      <c r="H1123" s="94"/>
      <c r="I1123" s="90"/>
      <c r="J1123" s="90"/>
      <c r="K1123" s="1"/>
      <c r="L1123" s="74"/>
      <c r="M1123" s="633"/>
      <c r="N1123" s="274"/>
      <c r="O1123" s="94"/>
      <c r="P1123" s="94"/>
      <c r="Q1123" s="94"/>
      <c r="R1123" s="94"/>
      <c r="S1123" s="94"/>
      <c r="V1123" s="30"/>
      <c r="W1123" s="30"/>
      <c r="X1123" s="1"/>
      <c r="Y1123" s="95"/>
      <c r="Z1123" s="1"/>
      <c r="AA1123" s="94"/>
      <c r="AB1123" s="1"/>
      <c r="AC1123" s="1"/>
      <c r="AD1123" s="1"/>
      <c r="AE1123" s="30"/>
      <c r="AF1123" s="633"/>
      <c r="AG1123" s="94"/>
      <c r="AH1123" s="94"/>
      <c r="AI1123" s="94"/>
      <c r="AJ1123" s="94"/>
      <c r="AK1123" s="94"/>
      <c r="AL1123" s="94"/>
    </row>
    <row r="1124" spans="3:38">
      <c r="C1124" s="30"/>
      <c r="F1124" s="95"/>
      <c r="G1124" s="1"/>
      <c r="H1124" s="94"/>
      <c r="I1124" s="90"/>
      <c r="J1124" s="90"/>
      <c r="K1124" s="1"/>
      <c r="L1124" s="74"/>
      <c r="M1124" s="633"/>
      <c r="N1124" s="274"/>
      <c r="O1124" s="94"/>
      <c r="P1124" s="94"/>
      <c r="Q1124" s="94"/>
      <c r="R1124" s="94"/>
      <c r="S1124" s="94"/>
      <c r="V1124" s="30"/>
      <c r="W1124" s="30"/>
      <c r="X1124" s="1"/>
      <c r="Y1124" s="95"/>
      <c r="Z1124" s="1"/>
      <c r="AA1124" s="94"/>
      <c r="AB1124" s="1"/>
      <c r="AC1124" s="1"/>
      <c r="AD1124" s="1"/>
      <c r="AE1124" s="30"/>
      <c r="AF1124" s="633"/>
      <c r="AG1124" s="94"/>
      <c r="AH1124" s="94"/>
      <c r="AI1124" s="94"/>
      <c r="AJ1124" s="94"/>
      <c r="AK1124" s="94"/>
      <c r="AL1124" s="94"/>
    </row>
    <row r="1125" spans="3:38">
      <c r="C1125" s="30"/>
      <c r="F1125" s="95"/>
      <c r="G1125" s="1"/>
      <c r="H1125" s="94"/>
      <c r="I1125" s="90"/>
      <c r="J1125" s="90"/>
      <c r="K1125" s="1"/>
      <c r="L1125" s="74"/>
      <c r="M1125" s="633"/>
      <c r="N1125" s="274"/>
      <c r="O1125" s="94"/>
      <c r="P1125" s="94"/>
      <c r="Q1125" s="94"/>
      <c r="R1125" s="94"/>
      <c r="S1125" s="94"/>
      <c r="V1125" s="30"/>
      <c r="W1125" s="30"/>
      <c r="X1125" s="1"/>
      <c r="Y1125" s="95"/>
      <c r="Z1125" s="1"/>
      <c r="AA1125" s="94"/>
      <c r="AB1125" s="1"/>
      <c r="AC1125" s="1"/>
      <c r="AD1125" s="1"/>
      <c r="AE1125" s="30"/>
      <c r="AF1125" s="633"/>
      <c r="AG1125" s="94"/>
      <c r="AH1125" s="94"/>
      <c r="AI1125" s="94"/>
      <c r="AJ1125" s="94"/>
      <c r="AK1125" s="94"/>
      <c r="AL1125" s="94"/>
    </row>
    <row r="1126" spans="3:38">
      <c r="C1126" s="30"/>
      <c r="F1126" s="95"/>
      <c r="G1126" s="1"/>
      <c r="H1126" s="94"/>
      <c r="I1126" s="90"/>
      <c r="J1126" s="90"/>
      <c r="K1126" s="1"/>
      <c r="L1126" s="74"/>
      <c r="M1126" s="633"/>
      <c r="N1126" s="274"/>
      <c r="O1126" s="94"/>
      <c r="P1126" s="94"/>
      <c r="Q1126" s="94"/>
      <c r="R1126" s="94"/>
      <c r="S1126" s="94"/>
      <c r="V1126" s="30"/>
      <c r="W1126" s="30"/>
      <c r="X1126" s="1"/>
      <c r="Y1126" s="95"/>
      <c r="Z1126" s="1"/>
      <c r="AA1126" s="94"/>
      <c r="AB1126" s="1"/>
      <c r="AC1126" s="1"/>
      <c r="AD1126" s="1"/>
      <c r="AE1126" s="30"/>
      <c r="AF1126" s="633"/>
      <c r="AG1126" s="94"/>
      <c r="AH1126" s="94"/>
      <c r="AI1126" s="94"/>
      <c r="AJ1126" s="94"/>
      <c r="AK1126" s="94"/>
      <c r="AL1126" s="94"/>
    </row>
    <row r="1127" spans="3:38">
      <c r="C1127" s="30"/>
      <c r="F1127" s="95"/>
      <c r="G1127" s="1"/>
      <c r="H1127" s="94"/>
      <c r="I1127" s="90"/>
      <c r="J1127" s="90"/>
      <c r="K1127" s="1"/>
      <c r="L1127" s="74"/>
      <c r="M1127" s="633"/>
      <c r="N1127" s="274"/>
      <c r="O1127" s="94"/>
      <c r="P1127" s="94"/>
      <c r="Q1127" s="94"/>
      <c r="R1127" s="94"/>
      <c r="S1127" s="94"/>
      <c r="V1127" s="30"/>
      <c r="W1127" s="30"/>
      <c r="X1127" s="1"/>
      <c r="Y1127" s="95"/>
      <c r="Z1127" s="1"/>
      <c r="AA1127" s="94"/>
      <c r="AB1127" s="1"/>
      <c r="AC1127" s="1"/>
      <c r="AD1127" s="1"/>
      <c r="AE1127" s="30"/>
      <c r="AF1127" s="633"/>
      <c r="AG1127" s="94"/>
      <c r="AH1127" s="94"/>
      <c r="AI1127" s="94"/>
      <c r="AJ1127" s="94"/>
      <c r="AK1127" s="94"/>
      <c r="AL1127" s="94"/>
    </row>
    <row r="1128" spans="3:38">
      <c r="C1128" s="30"/>
      <c r="F1128" s="95"/>
      <c r="G1128" s="1"/>
      <c r="H1128" s="94"/>
      <c r="I1128" s="90"/>
      <c r="J1128" s="90"/>
      <c r="K1128" s="1"/>
      <c r="L1128" s="74"/>
      <c r="M1128" s="633"/>
      <c r="N1128" s="274"/>
      <c r="O1128" s="94"/>
      <c r="P1128" s="94"/>
      <c r="Q1128" s="94"/>
      <c r="R1128" s="94"/>
      <c r="S1128" s="94"/>
      <c r="V1128" s="30"/>
      <c r="W1128" s="30"/>
      <c r="X1128" s="1"/>
      <c r="Y1128" s="95"/>
      <c r="Z1128" s="1"/>
      <c r="AA1128" s="94"/>
      <c r="AB1128" s="1"/>
      <c r="AC1128" s="1"/>
      <c r="AD1128" s="1"/>
      <c r="AE1128" s="30"/>
      <c r="AF1128" s="633"/>
      <c r="AG1128" s="94"/>
      <c r="AH1128" s="94"/>
      <c r="AI1128" s="94"/>
      <c r="AJ1128" s="94"/>
      <c r="AK1128" s="94"/>
      <c r="AL1128" s="94"/>
    </row>
    <row r="1129" spans="3:38">
      <c r="C1129" s="30"/>
      <c r="F1129" s="95"/>
      <c r="G1129" s="1"/>
      <c r="H1129" s="94"/>
      <c r="I1129" s="90"/>
      <c r="J1129" s="90"/>
      <c r="K1129" s="1"/>
      <c r="L1129" s="74"/>
      <c r="M1129" s="633"/>
      <c r="N1129" s="274"/>
      <c r="O1129" s="94"/>
      <c r="P1129" s="94"/>
      <c r="Q1129" s="94"/>
      <c r="R1129" s="94"/>
      <c r="S1129" s="94"/>
      <c r="V1129" s="30"/>
      <c r="W1129" s="30"/>
      <c r="X1129" s="1"/>
      <c r="Y1129" s="95"/>
      <c r="Z1129" s="1"/>
      <c r="AA1129" s="94"/>
      <c r="AB1129" s="1"/>
      <c r="AC1129" s="1"/>
      <c r="AD1129" s="1"/>
      <c r="AE1129" s="30"/>
      <c r="AF1129" s="633"/>
      <c r="AG1129" s="94"/>
      <c r="AH1129" s="94"/>
      <c r="AI1129" s="94"/>
      <c r="AJ1129" s="94"/>
      <c r="AK1129" s="94"/>
      <c r="AL1129" s="94"/>
    </row>
    <row r="1130" spans="3:38">
      <c r="C1130" s="30"/>
      <c r="F1130" s="95"/>
      <c r="G1130" s="1"/>
      <c r="H1130" s="94"/>
      <c r="I1130" s="90"/>
      <c r="J1130" s="90"/>
      <c r="K1130" s="1"/>
      <c r="L1130" s="74"/>
      <c r="M1130" s="633"/>
      <c r="N1130" s="274"/>
      <c r="O1130" s="94"/>
      <c r="P1130" s="94"/>
      <c r="Q1130" s="94"/>
      <c r="R1130" s="94"/>
      <c r="S1130" s="94"/>
      <c r="V1130" s="30"/>
      <c r="W1130" s="30"/>
      <c r="X1130" s="1"/>
      <c r="Y1130" s="95"/>
      <c r="Z1130" s="1"/>
      <c r="AA1130" s="94"/>
      <c r="AB1130" s="1"/>
      <c r="AC1130" s="1"/>
      <c r="AD1130" s="1"/>
      <c r="AE1130" s="30"/>
      <c r="AF1130" s="633"/>
      <c r="AG1130" s="94"/>
      <c r="AH1130" s="94"/>
      <c r="AI1130" s="94"/>
      <c r="AJ1130" s="94"/>
      <c r="AK1130" s="94"/>
      <c r="AL1130" s="94"/>
    </row>
    <row r="1131" spans="3:38">
      <c r="C1131" s="30"/>
      <c r="F1131" s="95"/>
      <c r="G1131" s="1"/>
      <c r="H1131" s="94"/>
      <c r="I1131" s="90"/>
      <c r="J1131" s="90"/>
      <c r="K1131" s="1"/>
      <c r="L1131" s="74"/>
      <c r="M1131" s="633"/>
      <c r="N1131" s="274"/>
      <c r="O1131" s="94"/>
      <c r="P1131" s="94"/>
      <c r="Q1131" s="94"/>
      <c r="R1131" s="94"/>
      <c r="S1131" s="94"/>
      <c r="V1131" s="30"/>
      <c r="W1131" s="30"/>
      <c r="X1131" s="1"/>
      <c r="Y1131" s="95"/>
      <c r="Z1131" s="1"/>
      <c r="AA1131" s="94"/>
      <c r="AB1131" s="1"/>
      <c r="AC1131" s="1"/>
      <c r="AD1131" s="1"/>
      <c r="AE1131" s="30"/>
      <c r="AF1131" s="633"/>
      <c r="AG1131" s="94"/>
      <c r="AH1131" s="94"/>
      <c r="AI1131" s="94"/>
      <c r="AJ1131" s="94"/>
      <c r="AK1131" s="94"/>
      <c r="AL1131" s="94"/>
    </row>
    <row r="1132" spans="3:38">
      <c r="C1132" s="30"/>
      <c r="F1132" s="95"/>
      <c r="G1132" s="1"/>
      <c r="H1132" s="94"/>
      <c r="I1132" s="90"/>
      <c r="J1132" s="90"/>
      <c r="K1132" s="1"/>
      <c r="L1132" s="74"/>
      <c r="M1132" s="633"/>
      <c r="N1132" s="274"/>
      <c r="O1132" s="94"/>
      <c r="P1132" s="94"/>
      <c r="Q1132" s="94"/>
      <c r="R1132" s="94"/>
      <c r="S1132" s="94"/>
      <c r="V1132" s="30"/>
      <c r="W1132" s="30"/>
      <c r="X1132" s="1"/>
      <c r="Y1132" s="95"/>
      <c r="Z1132" s="1"/>
      <c r="AA1132" s="94"/>
      <c r="AB1132" s="1"/>
      <c r="AC1132" s="1"/>
      <c r="AD1132" s="1"/>
      <c r="AE1132" s="30"/>
      <c r="AF1132" s="633"/>
      <c r="AG1132" s="94"/>
      <c r="AH1132" s="94"/>
      <c r="AI1132" s="94"/>
      <c r="AJ1132" s="94"/>
      <c r="AK1132" s="94"/>
      <c r="AL1132" s="94"/>
    </row>
    <row r="1133" spans="3:38">
      <c r="C1133" s="30"/>
      <c r="F1133" s="95"/>
      <c r="G1133" s="1"/>
      <c r="H1133" s="94"/>
      <c r="I1133" s="90"/>
      <c r="J1133" s="90"/>
      <c r="K1133" s="1"/>
      <c r="L1133" s="74"/>
      <c r="M1133" s="633"/>
      <c r="N1133" s="274"/>
      <c r="O1133" s="94"/>
      <c r="P1133" s="94"/>
      <c r="Q1133" s="94"/>
      <c r="R1133" s="94"/>
      <c r="S1133" s="94"/>
      <c r="V1133" s="30"/>
      <c r="W1133" s="30"/>
      <c r="X1133" s="1"/>
      <c r="Y1133" s="95"/>
      <c r="Z1133" s="1"/>
      <c r="AA1133" s="94"/>
      <c r="AB1133" s="1"/>
      <c r="AC1133" s="1"/>
      <c r="AD1133" s="1"/>
      <c r="AE1133" s="30"/>
      <c r="AF1133" s="633"/>
      <c r="AG1133" s="94"/>
      <c r="AH1133" s="94"/>
      <c r="AI1133" s="94"/>
      <c r="AJ1133" s="94"/>
      <c r="AK1133" s="94"/>
      <c r="AL1133" s="94"/>
    </row>
    <row r="1134" spans="3:38">
      <c r="C1134" s="30"/>
      <c r="F1134" s="95"/>
      <c r="G1134" s="1"/>
      <c r="H1134" s="94"/>
      <c r="I1134" s="90"/>
      <c r="J1134" s="90"/>
      <c r="K1134" s="1"/>
      <c r="L1134" s="74"/>
      <c r="M1134" s="633"/>
      <c r="N1134" s="274"/>
      <c r="O1134" s="94"/>
      <c r="P1134" s="94"/>
      <c r="Q1134" s="94"/>
      <c r="R1134" s="94"/>
      <c r="S1134" s="94"/>
      <c r="V1134" s="30"/>
      <c r="W1134" s="30"/>
      <c r="X1134" s="1"/>
      <c r="Y1134" s="95"/>
      <c r="Z1134" s="1"/>
      <c r="AA1134" s="94"/>
      <c r="AB1134" s="1"/>
      <c r="AC1134" s="1"/>
      <c r="AD1134" s="1"/>
      <c r="AE1134" s="30"/>
      <c r="AF1134" s="633"/>
      <c r="AG1134" s="94"/>
      <c r="AH1134" s="94"/>
      <c r="AI1134" s="94"/>
      <c r="AJ1134" s="94"/>
      <c r="AK1134" s="94"/>
      <c r="AL1134" s="94"/>
    </row>
    <row r="1135" spans="3:38">
      <c r="C1135" s="30"/>
      <c r="F1135" s="95"/>
      <c r="G1135" s="1"/>
      <c r="H1135" s="94"/>
      <c r="I1135" s="90"/>
      <c r="J1135" s="90"/>
      <c r="K1135" s="1"/>
      <c r="L1135" s="74"/>
      <c r="M1135" s="633"/>
      <c r="N1135" s="274"/>
      <c r="O1135" s="94"/>
      <c r="P1135" s="94"/>
      <c r="Q1135" s="94"/>
      <c r="R1135" s="94"/>
      <c r="S1135" s="94"/>
      <c r="V1135" s="30"/>
      <c r="W1135" s="30"/>
      <c r="X1135" s="1"/>
      <c r="Y1135" s="95"/>
      <c r="Z1135" s="1"/>
      <c r="AA1135" s="94"/>
      <c r="AB1135" s="1"/>
      <c r="AC1135" s="1"/>
      <c r="AD1135" s="1"/>
      <c r="AE1135" s="30"/>
      <c r="AF1135" s="633"/>
      <c r="AG1135" s="94"/>
      <c r="AH1135" s="94"/>
      <c r="AI1135" s="94"/>
      <c r="AJ1135" s="94"/>
      <c r="AK1135" s="94"/>
      <c r="AL1135" s="94"/>
    </row>
    <row r="1136" spans="3:38">
      <c r="C1136" s="30"/>
      <c r="F1136" s="95"/>
      <c r="G1136" s="1"/>
      <c r="H1136" s="94"/>
      <c r="I1136" s="90"/>
      <c r="J1136" s="90"/>
      <c r="K1136" s="1"/>
      <c r="L1136" s="74"/>
      <c r="M1136" s="633"/>
      <c r="N1136" s="274"/>
      <c r="O1136" s="94"/>
      <c r="P1136" s="94"/>
      <c r="Q1136" s="94"/>
      <c r="R1136" s="94"/>
      <c r="S1136" s="94"/>
      <c r="V1136" s="30"/>
      <c r="W1136" s="30"/>
      <c r="X1136" s="1"/>
      <c r="Y1136" s="95"/>
      <c r="Z1136" s="1"/>
      <c r="AA1136" s="94"/>
      <c r="AB1136" s="1"/>
      <c r="AC1136" s="1"/>
      <c r="AD1136" s="1"/>
      <c r="AE1136" s="30"/>
      <c r="AF1136" s="633"/>
      <c r="AG1136" s="94"/>
      <c r="AH1136" s="94"/>
      <c r="AI1136" s="94"/>
      <c r="AJ1136" s="94"/>
      <c r="AK1136" s="94"/>
      <c r="AL1136" s="94"/>
    </row>
    <row r="1137" spans="3:38">
      <c r="C1137" s="30"/>
      <c r="F1137" s="95"/>
      <c r="G1137" s="1"/>
      <c r="H1137" s="94"/>
      <c r="I1137" s="90"/>
      <c r="J1137" s="90"/>
      <c r="K1137" s="1"/>
      <c r="L1137" s="74"/>
      <c r="M1137" s="633"/>
      <c r="N1137" s="274"/>
      <c r="O1137" s="94"/>
      <c r="P1137" s="94"/>
      <c r="Q1137" s="94"/>
      <c r="R1137" s="94"/>
      <c r="S1137" s="94"/>
      <c r="V1137" s="30"/>
      <c r="W1137" s="30"/>
      <c r="X1137" s="1"/>
      <c r="Y1137" s="95"/>
      <c r="Z1137" s="1"/>
      <c r="AA1137" s="94"/>
      <c r="AB1137" s="1"/>
      <c r="AC1137" s="1"/>
      <c r="AD1137" s="1"/>
      <c r="AE1137" s="30"/>
      <c r="AF1137" s="633"/>
      <c r="AG1137" s="94"/>
      <c r="AH1137" s="94"/>
      <c r="AI1137" s="94"/>
      <c r="AJ1137" s="94"/>
      <c r="AK1137" s="94"/>
      <c r="AL1137" s="94"/>
    </row>
    <row r="1138" spans="3:38">
      <c r="C1138" s="30"/>
      <c r="F1138" s="95"/>
      <c r="G1138" s="1"/>
      <c r="H1138" s="94"/>
      <c r="I1138" s="90"/>
      <c r="J1138" s="90"/>
      <c r="K1138" s="1"/>
      <c r="L1138" s="74"/>
      <c r="M1138" s="633"/>
      <c r="N1138" s="274"/>
      <c r="O1138" s="94"/>
      <c r="P1138" s="94"/>
      <c r="Q1138" s="94"/>
      <c r="R1138" s="94"/>
      <c r="S1138" s="94"/>
      <c r="V1138" s="30"/>
      <c r="W1138" s="30"/>
      <c r="X1138" s="1"/>
      <c r="Y1138" s="95"/>
      <c r="Z1138" s="1"/>
      <c r="AA1138" s="94"/>
      <c r="AB1138" s="1"/>
      <c r="AC1138" s="1"/>
      <c r="AD1138" s="1"/>
      <c r="AE1138" s="30"/>
      <c r="AF1138" s="633"/>
      <c r="AG1138" s="94"/>
      <c r="AH1138" s="94"/>
      <c r="AI1138" s="94"/>
      <c r="AJ1138" s="94"/>
      <c r="AK1138" s="94"/>
      <c r="AL1138" s="94"/>
    </row>
    <row r="1139" spans="3:38">
      <c r="C1139" s="30"/>
      <c r="F1139" s="95"/>
      <c r="G1139" s="1"/>
      <c r="H1139" s="94"/>
      <c r="I1139" s="90"/>
      <c r="J1139" s="90"/>
      <c r="K1139" s="1"/>
      <c r="L1139" s="74"/>
      <c r="M1139" s="633"/>
      <c r="N1139" s="274"/>
      <c r="O1139" s="94"/>
      <c r="P1139" s="94"/>
      <c r="Q1139" s="94"/>
      <c r="R1139" s="94"/>
      <c r="S1139" s="94"/>
      <c r="V1139" s="30"/>
      <c r="W1139" s="30"/>
      <c r="X1139" s="1"/>
      <c r="Y1139" s="95"/>
      <c r="Z1139" s="1"/>
      <c r="AA1139" s="94"/>
      <c r="AB1139" s="1"/>
      <c r="AC1139" s="1"/>
      <c r="AD1139" s="1"/>
      <c r="AE1139" s="30"/>
      <c r="AF1139" s="633"/>
      <c r="AG1139" s="94"/>
      <c r="AH1139" s="94"/>
      <c r="AI1139" s="94"/>
      <c r="AJ1139" s="94"/>
      <c r="AK1139" s="94"/>
      <c r="AL1139" s="94"/>
    </row>
    <row r="1140" spans="3:38">
      <c r="C1140" s="30"/>
      <c r="F1140" s="95"/>
      <c r="G1140" s="1"/>
      <c r="H1140" s="94"/>
      <c r="I1140" s="90"/>
      <c r="J1140" s="90"/>
      <c r="K1140" s="1"/>
      <c r="L1140" s="74"/>
      <c r="M1140" s="633"/>
      <c r="N1140" s="274"/>
      <c r="O1140" s="94"/>
      <c r="P1140" s="94"/>
      <c r="Q1140" s="94"/>
      <c r="R1140" s="94"/>
      <c r="S1140" s="94"/>
      <c r="V1140" s="30"/>
      <c r="W1140" s="30"/>
      <c r="X1140" s="1"/>
      <c r="Y1140" s="95"/>
      <c r="Z1140" s="1"/>
      <c r="AA1140" s="94"/>
      <c r="AB1140" s="1"/>
      <c r="AC1140" s="1"/>
      <c r="AD1140" s="1"/>
      <c r="AE1140" s="30"/>
      <c r="AF1140" s="633"/>
      <c r="AG1140" s="94"/>
      <c r="AH1140" s="94"/>
      <c r="AI1140" s="94"/>
      <c r="AJ1140" s="94"/>
      <c r="AK1140" s="94"/>
      <c r="AL1140" s="94"/>
    </row>
    <row r="1141" spans="3:38">
      <c r="C1141" s="30"/>
      <c r="F1141" s="95"/>
      <c r="G1141" s="1"/>
      <c r="H1141" s="94"/>
      <c r="I1141" s="90"/>
      <c r="J1141" s="90"/>
      <c r="K1141" s="1"/>
      <c r="L1141" s="74"/>
      <c r="M1141" s="633"/>
      <c r="N1141" s="274"/>
      <c r="O1141" s="94"/>
      <c r="P1141" s="94"/>
      <c r="Q1141" s="94"/>
      <c r="R1141" s="94"/>
      <c r="S1141" s="94"/>
      <c r="V1141" s="30"/>
      <c r="W1141" s="30"/>
      <c r="X1141" s="1"/>
      <c r="Y1141" s="95"/>
      <c r="Z1141" s="1"/>
      <c r="AA1141" s="94"/>
      <c r="AB1141" s="1"/>
      <c r="AC1141" s="1"/>
      <c r="AD1141" s="1"/>
      <c r="AE1141" s="30"/>
      <c r="AF1141" s="633"/>
      <c r="AG1141" s="94"/>
      <c r="AH1141" s="94"/>
      <c r="AI1141" s="94"/>
      <c r="AJ1141" s="94"/>
      <c r="AK1141" s="94"/>
      <c r="AL1141" s="94"/>
    </row>
    <row r="1142" spans="3:38">
      <c r="C1142" s="30"/>
      <c r="F1142" s="95"/>
      <c r="G1142" s="1"/>
      <c r="H1142" s="94"/>
      <c r="I1142" s="90"/>
      <c r="J1142" s="90"/>
      <c r="K1142" s="1"/>
      <c r="L1142" s="74"/>
      <c r="M1142" s="633"/>
      <c r="N1142" s="274"/>
      <c r="O1142" s="94"/>
      <c r="P1142" s="94"/>
      <c r="Q1142" s="94"/>
      <c r="R1142" s="94"/>
      <c r="S1142" s="94"/>
      <c r="V1142" s="30"/>
      <c r="W1142" s="30"/>
      <c r="X1142" s="1"/>
      <c r="Y1142" s="95"/>
      <c r="Z1142" s="1"/>
      <c r="AA1142" s="94"/>
      <c r="AB1142" s="1"/>
      <c r="AC1142" s="1"/>
      <c r="AD1142" s="1"/>
      <c r="AE1142" s="30"/>
      <c r="AF1142" s="633"/>
      <c r="AG1142" s="94"/>
      <c r="AH1142" s="94"/>
      <c r="AI1142" s="94"/>
      <c r="AJ1142" s="94"/>
      <c r="AK1142" s="94"/>
      <c r="AL1142" s="94"/>
    </row>
    <row r="1143" spans="3:38">
      <c r="C1143" s="30"/>
      <c r="F1143" s="95"/>
      <c r="G1143" s="1"/>
      <c r="H1143" s="94"/>
      <c r="I1143" s="90"/>
      <c r="J1143" s="90"/>
      <c r="K1143" s="1"/>
      <c r="L1143" s="74"/>
      <c r="M1143" s="633"/>
      <c r="N1143" s="274"/>
      <c r="O1143" s="94"/>
      <c r="P1143" s="94"/>
      <c r="Q1143" s="94"/>
      <c r="R1143" s="94"/>
      <c r="S1143" s="94"/>
      <c r="V1143" s="30"/>
      <c r="W1143" s="30"/>
      <c r="X1143" s="1"/>
      <c r="Y1143" s="95"/>
      <c r="Z1143" s="1"/>
      <c r="AA1143" s="94"/>
      <c r="AB1143" s="1"/>
      <c r="AC1143" s="1"/>
      <c r="AD1143" s="1"/>
      <c r="AE1143" s="30"/>
      <c r="AF1143" s="633"/>
      <c r="AG1143" s="94"/>
      <c r="AH1143" s="94"/>
      <c r="AI1143" s="94"/>
      <c r="AJ1143" s="94"/>
      <c r="AK1143" s="94"/>
      <c r="AL1143" s="94"/>
    </row>
    <row r="1144" spans="3:38">
      <c r="C1144" s="30"/>
      <c r="F1144" s="95"/>
      <c r="G1144" s="1"/>
      <c r="H1144" s="94"/>
      <c r="I1144" s="90"/>
      <c r="J1144" s="90"/>
      <c r="K1144" s="1"/>
      <c r="L1144" s="74"/>
      <c r="M1144" s="633"/>
      <c r="N1144" s="274"/>
      <c r="O1144" s="94"/>
      <c r="P1144" s="94"/>
      <c r="Q1144" s="94"/>
      <c r="R1144" s="94"/>
      <c r="S1144" s="94"/>
      <c r="V1144" s="30"/>
      <c r="W1144" s="30"/>
      <c r="X1144" s="1"/>
      <c r="Y1144" s="95"/>
      <c r="Z1144" s="1"/>
      <c r="AA1144" s="94"/>
      <c r="AB1144" s="1"/>
      <c r="AC1144" s="1"/>
      <c r="AD1144" s="1"/>
      <c r="AE1144" s="30"/>
      <c r="AF1144" s="633"/>
      <c r="AG1144" s="94"/>
      <c r="AH1144" s="94"/>
      <c r="AI1144" s="94"/>
      <c r="AJ1144" s="94"/>
      <c r="AK1144" s="94"/>
      <c r="AL1144" s="94"/>
    </row>
    <row r="1145" spans="3:38">
      <c r="C1145" s="30"/>
      <c r="F1145" s="95"/>
      <c r="G1145" s="1"/>
      <c r="H1145" s="94"/>
      <c r="I1145" s="90"/>
      <c r="J1145" s="90"/>
      <c r="K1145" s="1"/>
      <c r="L1145" s="74"/>
      <c r="M1145" s="633"/>
      <c r="N1145" s="274"/>
      <c r="O1145" s="94"/>
      <c r="P1145" s="94"/>
      <c r="Q1145" s="94"/>
      <c r="R1145" s="94"/>
      <c r="S1145" s="94"/>
      <c r="V1145" s="30"/>
      <c r="W1145" s="30"/>
      <c r="X1145" s="1"/>
      <c r="Y1145" s="95"/>
      <c r="Z1145" s="1"/>
      <c r="AA1145" s="94"/>
      <c r="AB1145" s="1"/>
      <c r="AC1145" s="1"/>
      <c r="AD1145" s="1"/>
      <c r="AE1145" s="30"/>
      <c r="AF1145" s="633"/>
      <c r="AG1145" s="94"/>
      <c r="AH1145" s="94"/>
      <c r="AI1145" s="94"/>
      <c r="AJ1145" s="94"/>
      <c r="AK1145" s="94"/>
      <c r="AL1145" s="94"/>
    </row>
    <row r="1146" spans="3:38">
      <c r="C1146" s="30"/>
      <c r="F1146" s="95"/>
      <c r="G1146" s="1"/>
      <c r="H1146" s="94"/>
      <c r="I1146" s="90"/>
      <c r="J1146" s="90"/>
      <c r="K1146" s="1"/>
      <c r="L1146" s="74"/>
      <c r="M1146" s="633"/>
      <c r="N1146" s="274"/>
      <c r="O1146" s="94"/>
      <c r="P1146" s="94"/>
      <c r="Q1146" s="94"/>
      <c r="R1146" s="94"/>
      <c r="S1146" s="94"/>
      <c r="V1146" s="30"/>
      <c r="W1146" s="30"/>
      <c r="X1146" s="1"/>
      <c r="Y1146" s="95"/>
      <c r="Z1146" s="1"/>
      <c r="AA1146" s="94"/>
      <c r="AB1146" s="1"/>
      <c r="AC1146" s="1"/>
      <c r="AD1146" s="1"/>
      <c r="AE1146" s="30"/>
      <c r="AF1146" s="633"/>
      <c r="AG1146" s="94"/>
      <c r="AH1146" s="94"/>
      <c r="AI1146" s="94"/>
      <c r="AJ1146" s="94"/>
      <c r="AK1146" s="94"/>
      <c r="AL1146" s="94"/>
    </row>
    <row r="1147" spans="3:38">
      <c r="C1147" s="30"/>
      <c r="F1147" s="95"/>
      <c r="G1147" s="1"/>
      <c r="H1147" s="94"/>
      <c r="I1147" s="90"/>
      <c r="J1147" s="90"/>
      <c r="K1147" s="1"/>
      <c r="L1147" s="74"/>
      <c r="M1147" s="633"/>
      <c r="N1147" s="274"/>
      <c r="O1147" s="94"/>
      <c r="P1147" s="94"/>
      <c r="Q1147" s="94"/>
      <c r="R1147" s="94"/>
      <c r="S1147" s="94"/>
      <c r="V1147" s="30"/>
      <c r="W1147" s="30"/>
      <c r="X1147" s="1"/>
      <c r="Y1147" s="95"/>
      <c r="Z1147" s="1"/>
      <c r="AA1147" s="94"/>
      <c r="AB1147" s="1"/>
      <c r="AC1147" s="1"/>
      <c r="AD1147" s="1"/>
      <c r="AE1147" s="30"/>
      <c r="AF1147" s="633"/>
      <c r="AG1147" s="94"/>
      <c r="AH1147" s="94"/>
      <c r="AI1147" s="94"/>
      <c r="AJ1147" s="94"/>
      <c r="AK1147" s="94"/>
      <c r="AL1147" s="94"/>
    </row>
    <row r="1148" spans="3:38">
      <c r="C1148" s="30"/>
      <c r="F1148" s="95"/>
      <c r="G1148" s="1"/>
      <c r="H1148" s="94"/>
      <c r="I1148" s="90"/>
      <c r="J1148" s="90"/>
      <c r="K1148" s="1"/>
      <c r="L1148" s="74"/>
      <c r="M1148" s="633"/>
      <c r="N1148" s="274"/>
      <c r="O1148" s="94"/>
      <c r="P1148" s="94"/>
      <c r="Q1148" s="94"/>
      <c r="R1148" s="94"/>
      <c r="S1148" s="94"/>
      <c r="V1148" s="30"/>
      <c r="W1148" s="30"/>
      <c r="X1148" s="1"/>
      <c r="Y1148" s="95"/>
      <c r="Z1148" s="1"/>
      <c r="AA1148" s="94"/>
      <c r="AB1148" s="1"/>
      <c r="AC1148" s="1"/>
      <c r="AD1148" s="1"/>
      <c r="AE1148" s="30"/>
      <c r="AF1148" s="633"/>
      <c r="AG1148" s="94"/>
      <c r="AH1148" s="94"/>
      <c r="AI1148" s="94"/>
      <c r="AJ1148" s="94"/>
      <c r="AK1148" s="94"/>
      <c r="AL1148" s="94"/>
    </row>
    <row r="1149" spans="3:38">
      <c r="C1149" s="30"/>
      <c r="F1149" s="95"/>
      <c r="G1149" s="1"/>
      <c r="H1149" s="94"/>
      <c r="I1149" s="90"/>
      <c r="J1149" s="90"/>
      <c r="K1149" s="1"/>
      <c r="L1149" s="74"/>
      <c r="M1149" s="633"/>
      <c r="N1149" s="274"/>
      <c r="O1149" s="94"/>
      <c r="P1149" s="94"/>
      <c r="Q1149" s="94"/>
      <c r="R1149" s="94"/>
      <c r="S1149" s="94"/>
      <c r="V1149" s="30"/>
      <c r="W1149" s="30"/>
      <c r="X1149" s="1"/>
      <c r="Y1149" s="95"/>
      <c r="Z1149" s="1"/>
      <c r="AA1149" s="94"/>
      <c r="AB1149" s="1"/>
      <c r="AC1149" s="1"/>
      <c r="AD1149" s="1"/>
      <c r="AE1149" s="30"/>
      <c r="AF1149" s="633"/>
      <c r="AG1149" s="94"/>
      <c r="AH1149" s="94"/>
      <c r="AI1149" s="94"/>
      <c r="AJ1149" s="94"/>
      <c r="AK1149" s="94"/>
      <c r="AL1149" s="94"/>
    </row>
    <row r="1150" spans="3:38">
      <c r="C1150" s="30"/>
      <c r="F1150" s="95"/>
      <c r="G1150" s="1"/>
      <c r="H1150" s="94"/>
      <c r="I1150" s="90"/>
      <c r="J1150" s="90"/>
      <c r="K1150" s="1"/>
      <c r="L1150" s="74"/>
      <c r="M1150" s="633"/>
      <c r="N1150" s="274"/>
      <c r="O1150" s="94"/>
      <c r="P1150" s="94"/>
      <c r="Q1150" s="94"/>
      <c r="R1150" s="94"/>
      <c r="S1150" s="94"/>
      <c r="V1150" s="30"/>
      <c r="W1150" s="30"/>
      <c r="X1150" s="1"/>
      <c r="Y1150" s="95"/>
      <c r="Z1150" s="1"/>
      <c r="AA1150" s="94"/>
      <c r="AB1150" s="1"/>
      <c r="AC1150" s="1"/>
      <c r="AD1150" s="1"/>
      <c r="AE1150" s="30"/>
      <c r="AF1150" s="633"/>
      <c r="AG1150" s="94"/>
      <c r="AH1150" s="94"/>
      <c r="AI1150" s="94"/>
      <c r="AJ1150" s="94"/>
      <c r="AK1150" s="94"/>
      <c r="AL1150" s="94"/>
    </row>
    <row r="1151" spans="3:38">
      <c r="C1151" s="30"/>
      <c r="F1151" s="95"/>
      <c r="G1151" s="1"/>
      <c r="H1151" s="94"/>
      <c r="I1151" s="90"/>
      <c r="J1151" s="90"/>
      <c r="K1151" s="1"/>
      <c r="L1151" s="74"/>
      <c r="M1151" s="633"/>
      <c r="N1151" s="274"/>
      <c r="O1151" s="94"/>
      <c r="P1151" s="94"/>
      <c r="Q1151" s="94"/>
      <c r="R1151" s="94"/>
      <c r="S1151" s="94"/>
      <c r="V1151" s="30"/>
      <c r="W1151" s="30"/>
      <c r="X1151" s="1"/>
      <c r="Y1151" s="95"/>
      <c r="Z1151" s="1"/>
      <c r="AA1151" s="94"/>
      <c r="AB1151" s="1"/>
      <c r="AC1151" s="1"/>
      <c r="AD1151" s="1"/>
      <c r="AE1151" s="30"/>
      <c r="AF1151" s="633"/>
      <c r="AG1151" s="94"/>
      <c r="AH1151" s="94"/>
      <c r="AI1151" s="94"/>
      <c r="AJ1151" s="94"/>
      <c r="AK1151" s="94"/>
      <c r="AL1151" s="94"/>
    </row>
    <row r="1152" spans="3:38">
      <c r="C1152" s="30"/>
      <c r="F1152" s="95"/>
      <c r="G1152" s="1"/>
      <c r="H1152" s="94"/>
      <c r="I1152" s="90"/>
      <c r="J1152" s="90"/>
      <c r="K1152" s="1"/>
      <c r="L1152" s="74"/>
      <c r="M1152" s="633"/>
      <c r="N1152" s="274"/>
      <c r="O1152" s="94"/>
      <c r="P1152" s="94"/>
      <c r="Q1152" s="94"/>
      <c r="R1152" s="94"/>
      <c r="S1152" s="94"/>
      <c r="V1152" s="30"/>
      <c r="W1152" s="30"/>
      <c r="X1152" s="1"/>
      <c r="Y1152" s="95"/>
      <c r="Z1152" s="1"/>
      <c r="AA1152" s="94"/>
      <c r="AB1152" s="1"/>
      <c r="AC1152" s="1"/>
      <c r="AD1152" s="1"/>
      <c r="AE1152" s="30"/>
      <c r="AF1152" s="633"/>
      <c r="AG1152" s="94"/>
      <c r="AH1152" s="94"/>
      <c r="AI1152" s="94"/>
      <c r="AJ1152" s="94"/>
      <c r="AK1152" s="94"/>
      <c r="AL1152" s="94"/>
    </row>
    <row r="1153" spans="3:38">
      <c r="C1153" s="30"/>
      <c r="F1153" s="95"/>
      <c r="G1153" s="1"/>
      <c r="H1153" s="94"/>
      <c r="I1153" s="90"/>
      <c r="J1153" s="90"/>
      <c r="K1153" s="1"/>
      <c r="L1153" s="74"/>
      <c r="M1153" s="633"/>
      <c r="N1153" s="274"/>
      <c r="O1153" s="94"/>
      <c r="P1153" s="94"/>
      <c r="Q1153" s="94"/>
      <c r="R1153" s="94"/>
      <c r="S1153" s="94"/>
      <c r="V1153" s="30"/>
      <c r="W1153" s="30"/>
      <c r="X1153" s="1"/>
      <c r="Y1153" s="95"/>
      <c r="Z1153" s="1"/>
      <c r="AA1153" s="94"/>
      <c r="AB1153" s="1"/>
      <c r="AC1153" s="1"/>
      <c r="AD1153" s="1"/>
      <c r="AE1153" s="30"/>
      <c r="AF1153" s="633"/>
      <c r="AG1153" s="94"/>
      <c r="AH1153" s="94"/>
      <c r="AI1153" s="94"/>
      <c r="AJ1153" s="94"/>
      <c r="AK1153" s="94"/>
      <c r="AL1153" s="94"/>
    </row>
    <row r="1154" spans="3:38">
      <c r="C1154" s="30"/>
      <c r="F1154" s="95"/>
      <c r="G1154" s="1"/>
      <c r="H1154" s="94"/>
      <c r="I1154" s="90"/>
      <c r="J1154" s="90"/>
      <c r="K1154" s="1"/>
      <c r="L1154" s="74"/>
      <c r="M1154" s="633"/>
      <c r="N1154" s="274"/>
      <c r="O1154" s="94"/>
      <c r="P1154" s="94"/>
      <c r="Q1154" s="94"/>
      <c r="R1154" s="94"/>
      <c r="S1154" s="94"/>
      <c r="V1154" s="30"/>
      <c r="W1154" s="30"/>
      <c r="X1154" s="1"/>
      <c r="Y1154" s="95"/>
      <c r="Z1154" s="1"/>
      <c r="AA1154" s="94"/>
      <c r="AB1154" s="1"/>
      <c r="AC1154" s="1"/>
      <c r="AD1154" s="1"/>
      <c r="AE1154" s="30"/>
      <c r="AF1154" s="633"/>
      <c r="AG1154" s="94"/>
      <c r="AH1154" s="94"/>
      <c r="AI1154" s="94"/>
      <c r="AJ1154" s="94"/>
      <c r="AK1154" s="94"/>
      <c r="AL1154" s="94"/>
    </row>
    <row r="1155" spans="3:38">
      <c r="C1155" s="30"/>
      <c r="F1155" s="95"/>
      <c r="G1155" s="1"/>
      <c r="H1155" s="94"/>
      <c r="I1155" s="90"/>
      <c r="J1155" s="90"/>
      <c r="K1155" s="1"/>
      <c r="L1155" s="74"/>
      <c r="M1155" s="633"/>
      <c r="N1155" s="274"/>
      <c r="O1155" s="94"/>
      <c r="P1155" s="94"/>
      <c r="Q1155" s="94"/>
      <c r="R1155" s="94"/>
      <c r="S1155" s="94"/>
      <c r="V1155" s="30"/>
      <c r="W1155" s="30"/>
      <c r="X1155" s="1"/>
      <c r="Y1155" s="95"/>
      <c r="Z1155" s="1"/>
      <c r="AA1155" s="94"/>
      <c r="AB1155" s="1"/>
      <c r="AC1155" s="1"/>
      <c r="AD1155" s="1"/>
      <c r="AE1155" s="30"/>
      <c r="AF1155" s="633"/>
      <c r="AG1155" s="94"/>
      <c r="AH1155" s="94"/>
      <c r="AI1155" s="94"/>
      <c r="AJ1155" s="94"/>
      <c r="AK1155" s="94"/>
      <c r="AL1155" s="94"/>
    </row>
    <row r="1156" spans="3:38">
      <c r="C1156" s="30"/>
      <c r="F1156" s="95"/>
      <c r="G1156" s="1"/>
      <c r="H1156" s="94"/>
      <c r="I1156" s="90"/>
      <c r="J1156" s="90"/>
      <c r="K1156" s="1"/>
      <c r="L1156" s="74"/>
      <c r="M1156" s="633"/>
      <c r="N1156" s="274"/>
      <c r="O1156" s="94"/>
      <c r="P1156" s="94"/>
      <c r="Q1156" s="94"/>
      <c r="R1156" s="94"/>
      <c r="S1156" s="94"/>
      <c r="V1156" s="30"/>
      <c r="W1156" s="30"/>
      <c r="X1156" s="1"/>
      <c r="Y1156" s="95"/>
      <c r="Z1156" s="1"/>
      <c r="AA1156" s="94"/>
      <c r="AB1156" s="1"/>
      <c r="AC1156" s="1"/>
      <c r="AD1156" s="1"/>
      <c r="AE1156" s="30"/>
      <c r="AF1156" s="633"/>
      <c r="AG1156" s="94"/>
      <c r="AH1156" s="94"/>
      <c r="AI1156" s="94"/>
      <c r="AJ1156" s="94"/>
      <c r="AK1156" s="94"/>
      <c r="AL1156" s="94"/>
    </row>
    <row r="1157" spans="3:38">
      <c r="C1157" s="30"/>
      <c r="F1157" s="95"/>
      <c r="G1157" s="1"/>
      <c r="H1157" s="94"/>
      <c r="I1157" s="90"/>
      <c r="J1157" s="90"/>
      <c r="K1157" s="1"/>
      <c r="L1157" s="74"/>
      <c r="M1157" s="633"/>
      <c r="N1157" s="274"/>
      <c r="O1157" s="94"/>
      <c r="P1157" s="94"/>
      <c r="Q1157" s="94"/>
      <c r="R1157" s="94"/>
      <c r="S1157" s="94"/>
      <c r="V1157" s="30"/>
      <c r="W1157" s="30"/>
      <c r="X1157" s="1"/>
      <c r="Y1157" s="95"/>
      <c r="Z1157" s="1"/>
      <c r="AA1157" s="94"/>
      <c r="AB1157" s="1"/>
      <c r="AC1157" s="1"/>
      <c r="AD1157" s="1"/>
      <c r="AE1157" s="30"/>
      <c r="AF1157" s="633"/>
      <c r="AG1157" s="94"/>
      <c r="AH1157" s="94"/>
      <c r="AI1157" s="94"/>
      <c r="AJ1157" s="94"/>
      <c r="AK1157" s="94"/>
      <c r="AL1157" s="94"/>
    </row>
    <row r="1158" spans="3:38">
      <c r="C1158" s="30"/>
      <c r="F1158" s="95"/>
      <c r="G1158" s="1"/>
      <c r="H1158" s="94"/>
      <c r="I1158" s="90"/>
      <c r="J1158" s="90"/>
      <c r="K1158" s="1"/>
      <c r="L1158" s="74"/>
      <c r="M1158" s="633"/>
      <c r="N1158" s="274"/>
      <c r="O1158" s="94"/>
      <c r="P1158" s="94"/>
      <c r="Q1158" s="94"/>
      <c r="R1158" s="94"/>
      <c r="S1158" s="94"/>
      <c r="V1158" s="30"/>
      <c r="W1158" s="30"/>
      <c r="X1158" s="1"/>
      <c r="Y1158" s="95"/>
      <c r="Z1158" s="1"/>
      <c r="AA1158" s="94"/>
      <c r="AB1158" s="1"/>
      <c r="AC1158" s="1"/>
      <c r="AD1158" s="1"/>
      <c r="AE1158" s="30"/>
      <c r="AF1158" s="633"/>
      <c r="AG1158" s="94"/>
      <c r="AH1158" s="94"/>
      <c r="AI1158" s="94"/>
      <c r="AJ1158" s="94"/>
      <c r="AK1158" s="94"/>
      <c r="AL1158" s="94"/>
    </row>
    <row r="1159" spans="3:38">
      <c r="C1159" s="30"/>
      <c r="F1159" s="95"/>
      <c r="G1159" s="1"/>
      <c r="H1159" s="94"/>
      <c r="I1159" s="90"/>
      <c r="J1159" s="90"/>
      <c r="K1159" s="1"/>
      <c r="L1159" s="74"/>
      <c r="M1159" s="633"/>
      <c r="N1159" s="274"/>
      <c r="O1159" s="94"/>
      <c r="P1159" s="94"/>
      <c r="Q1159" s="94"/>
      <c r="R1159" s="94"/>
      <c r="S1159" s="94"/>
      <c r="V1159" s="30"/>
      <c r="W1159" s="30"/>
      <c r="X1159" s="1"/>
      <c r="Y1159" s="95"/>
      <c r="Z1159" s="1"/>
      <c r="AA1159" s="94"/>
      <c r="AB1159" s="1"/>
      <c r="AC1159" s="1"/>
      <c r="AD1159" s="1"/>
      <c r="AE1159" s="30"/>
      <c r="AF1159" s="633"/>
      <c r="AG1159" s="94"/>
      <c r="AH1159" s="94"/>
      <c r="AI1159" s="94"/>
      <c r="AJ1159" s="94"/>
      <c r="AK1159" s="94"/>
      <c r="AL1159" s="94"/>
    </row>
    <row r="1160" spans="3:38">
      <c r="C1160" s="30"/>
      <c r="F1160" s="95"/>
      <c r="G1160" s="1"/>
      <c r="H1160" s="94"/>
      <c r="I1160" s="90"/>
      <c r="J1160" s="90"/>
      <c r="K1160" s="1"/>
      <c r="L1160" s="74"/>
      <c r="M1160" s="633"/>
      <c r="N1160" s="274"/>
      <c r="O1160" s="94"/>
      <c r="P1160" s="94"/>
      <c r="Q1160" s="94"/>
      <c r="R1160" s="94"/>
      <c r="S1160" s="94"/>
      <c r="V1160" s="30"/>
      <c r="W1160" s="30"/>
      <c r="X1160" s="1"/>
      <c r="Y1160" s="95"/>
      <c r="Z1160" s="1"/>
      <c r="AA1160" s="94"/>
      <c r="AB1160" s="1"/>
      <c r="AC1160" s="1"/>
      <c r="AD1160" s="1"/>
      <c r="AE1160" s="30"/>
      <c r="AF1160" s="633"/>
      <c r="AG1160" s="94"/>
      <c r="AH1160" s="94"/>
      <c r="AI1160" s="94"/>
      <c r="AJ1160" s="94"/>
      <c r="AK1160" s="94"/>
      <c r="AL1160" s="94"/>
    </row>
    <row r="1161" spans="3:38">
      <c r="C1161" s="30"/>
      <c r="F1161" s="95"/>
      <c r="G1161" s="1"/>
      <c r="H1161" s="94"/>
      <c r="I1161" s="90"/>
      <c r="J1161" s="90"/>
      <c r="K1161" s="1"/>
      <c r="L1161" s="74"/>
      <c r="M1161" s="633"/>
      <c r="N1161" s="274"/>
      <c r="O1161" s="94"/>
      <c r="P1161" s="94"/>
      <c r="Q1161" s="94"/>
      <c r="R1161" s="94"/>
      <c r="S1161" s="94"/>
      <c r="V1161" s="30"/>
      <c r="W1161" s="30"/>
      <c r="X1161" s="1"/>
      <c r="Y1161" s="95"/>
      <c r="Z1161" s="1"/>
      <c r="AA1161" s="94"/>
      <c r="AB1161" s="1"/>
      <c r="AC1161" s="1"/>
      <c r="AD1161" s="1"/>
      <c r="AE1161" s="30"/>
      <c r="AF1161" s="633"/>
      <c r="AG1161" s="94"/>
      <c r="AH1161" s="94"/>
      <c r="AI1161" s="94"/>
      <c r="AJ1161" s="94"/>
      <c r="AK1161" s="94"/>
      <c r="AL1161" s="94"/>
    </row>
    <row r="1162" spans="3:38">
      <c r="C1162" s="30"/>
      <c r="F1162" s="95"/>
      <c r="G1162" s="1"/>
      <c r="H1162" s="94"/>
      <c r="I1162" s="90"/>
      <c r="J1162" s="90"/>
      <c r="K1162" s="1"/>
      <c r="L1162" s="74"/>
      <c r="M1162" s="633"/>
      <c r="N1162" s="274"/>
      <c r="O1162" s="94"/>
      <c r="P1162" s="94"/>
      <c r="Q1162" s="94"/>
      <c r="R1162" s="94"/>
      <c r="S1162" s="94"/>
      <c r="V1162" s="30"/>
      <c r="W1162" s="30"/>
      <c r="X1162" s="1"/>
      <c r="Y1162" s="95"/>
      <c r="Z1162" s="1"/>
      <c r="AA1162" s="94"/>
      <c r="AB1162" s="1"/>
      <c r="AC1162" s="1"/>
      <c r="AD1162" s="1"/>
      <c r="AE1162" s="30"/>
      <c r="AF1162" s="633"/>
      <c r="AG1162" s="94"/>
      <c r="AH1162" s="94"/>
      <c r="AI1162" s="94"/>
      <c r="AJ1162" s="94"/>
      <c r="AK1162" s="94"/>
      <c r="AL1162" s="94"/>
    </row>
    <row r="1163" spans="3:38">
      <c r="C1163" s="30"/>
      <c r="F1163" s="95"/>
      <c r="G1163" s="1"/>
      <c r="H1163" s="94"/>
      <c r="I1163" s="90"/>
      <c r="J1163" s="90"/>
      <c r="K1163" s="1"/>
      <c r="L1163" s="74"/>
      <c r="M1163" s="633"/>
      <c r="N1163" s="274"/>
      <c r="O1163" s="94"/>
      <c r="P1163" s="94"/>
      <c r="Q1163" s="94"/>
      <c r="R1163" s="94"/>
      <c r="S1163" s="94"/>
      <c r="V1163" s="30"/>
      <c r="W1163" s="30"/>
      <c r="X1163" s="1"/>
      <c r="Y1163" s="95"/>
      <c r="Z1163" s="1"/>
      <c r="AA1163" s="94"/>
      <c r="AB1163" s="1"/>
      <c r="AC1163" s="1"/>
      <c r="AD1163" s="1"/>
      <c r="AE1163" s="30"/>
      <c r="AF1163" s="633"/>
      <c r="AG1163" s="94"/>
      <c r="AH1163" s="94"/>
      <c r="AI1163" s="94"/>
      <c r="AJ1163" s="94"/>
      <c r="AK1163" s="94"/>
      <c r="AL1163" s="94"/>
    </row>
    <row r="1164" spans="3:38">
      <c r="C1164" s="30"/>
      <c r="F1164" s="95"/>
      <c r="G1164" s="1"/>
      <c r="H1164" s="94"/>
      <c r="I1164" s="90"/>
      <c r="J1164" s="90"/>
      <c r="K1164" s="1"/>
      <c r="L1164" s="74"/>
      <c r="M1164" s="633"/>
      <c r="N1164" s="274"/>
      <c r="O1164" s="94"/>
      <c r="P1164" s="94"/>
      <c r="Q1164" s="94"/>
      <c r="R1164" s="94"/>
      <c r="S1164" s="94"/>
      <c r="V1164" s="30"/>
      <c r="W1164" s="30"/>
      <c r="X1164" s="1"/>
      <c r="Y1164" s="95"/>
      <c r="Z1164" s="1"/>
      <c r="AA1164" s="94"/>
      <c r="AB1164" s="1"/>
      <c r="AC1164" s="1"/>
      <c r="AD1164" s="1"/>
      <c r="AE1164" s="30"/>
      <c r="AF1164" s="633"/>
      <c r="AG1164" s="94"/>
      <c r="AH1164" s="94"/>
      <c r="AI1164" s="94"/>
      <c r="AJ1164" s="94"/>
      <c r="AK1164" s="94"/>
      <c r="AL1164" s="94"/>
    </row>
    <row r="1165" spans="3:38">
      <c r="C1165" s="30"/>
      <c r="F1165" s="95"/>
      <c r="G1165" s="1"/>
      <c r="H1165" s="94"/>
      <c r="I1165" s="90"/>
      <c r="J1165" s="90"/>
      <c r="K1165" s="1"/>
      <c r="L1165" s="74"/>
      <c r="M1165" s="633"/>
      <c r="N1165" s="274"/>
      <c r="O1165" s="94"/>
      <c r="P1165" s="94"/>
      <c r="Q1165" s="94"/>
      <c r="R1165" s="94"/>
      <c r="S1165" s="94"/>
      <c r="V1165" s="30"/>
      <c r="W1165" s="30"/>
      <c r="X1165" s="1"/>
      <c r="Y1165" s="95"/>
      <c r="Z1165" s="1"/>
      <c r="AA1165" s="94"/>
      <c r="AB1165" s="1"/>
      <c r="AC1165" s="1"/>
      <c r="AD1165" s="1"/>
      <c r="AE1165" s="30"/>
      <c r="AF1165" s="633"/>
      <c r="AG1165" s="94"/>
      <c r="AH1165" s="94"/>
      <c r="AI1165" s="94"/>
      <c r="AJ1165" s="94"/>
      <c r="AK1165" s="94"/>
      <c r="AL1165" s="94"/>
    </row>
    <row r="1166" spans="3:38">
      <c r="C1166" s="30"/>
      <c r="F1166" s="95"/>
      <c r="G1166" s="1"/>
      <c r="H1166" s="94"/>
      <c r="I1166" s="90"/>
      <c r="J1166" s="90"/>
      <c r="K1166" s="1"/>
      <c r="L1166" s="74"/>
      <c r="M1166" s="633"/>
      <c r="N1166" s="274"/>
      <c r="O1166" s="94"/>
      <c r="P1166" s="94"/>
      <c r="Q1166" s="94"/>
      <c r="R1166" s="94"/>
      <c r="S1166" s="94"/>
      <c r="V1166" s="30"/>
      <c r="W1166" s="30"/>
      <c r="X1166" s="1"/>
      <c r="Y1166" s="95"/>
      <c r="Z1166" s="1"/>
      <c r="AA1166" s="94"/>
      <c r="AB1166" s="1"/>
      <c r="AC1166" s="1"/>
      <c r="AD1166" s="1"/>
      <c r="AE1166" s="30"/>
      <c r="AF1166" s="633"/>
      <c r="AG1166" s="94"/>
      <c r="AH1166" s="94"/>
      <c r="AI1166" s="94"/>
      <c r="AJ1166" s="94"/>
      <c r="AK1166" s="94"/>
      <c r="AL1166" s="94"/>
    </row>
    <row r="1167" spans="3:38">
      <c r="C1167" s="30"/>
      <c r="F1167" s="95"/>
      <c r="G1167" s="1"/>
      <c r="H1167" s="94"/>
      <c r="I1167" s="90"/>
      <c r="J1167" s="90"/>
      <c r="K1167" s="1"/>
      <c r="L1167" s="74"/>
      <c r="M1167" s="633"/>
      <c r="N1167" s="274"/>
      <c r="O1167" s="94"/>
      <c r="P1167" s="94"/>
      <c r="Q1167" s="94"/>
      <c r="R1167" s="94"/>
      <c r="S1167" s="94"/>
      <c r="V1167" s="30"/>
      <c r="W1167" s="30"/>
      <c r="X1167" s="1"/>
      <c r="Y1167" s="95"/>
      <c r="Z1167" s="1"/>
      <c r="AA1167" s="94"/>
      <c r="AB1167" s="1"/>
      <c r="AC1167" s="1"/>
      <c r="AD1167" s="1"/>
      <c r="AE1167" s="30"/>
      <c r="AF1167" s="633"/>
      <c r="AG1167" s="94"/>
      <c r="AH1167" s="94"/>
      <c r="AI1167" s="94"/>
      <c r="AJ1167" s="94"/>
      <c r="AK1167" s="94"/>
      <c r="AL1167" s="94"/>
    </row>
    <row r="1168" spans="3:38">
      <c r="C1168" s="30"/>
      <c r="F1168" s="95"/>
      <c r="G1168" s="1"/>
      <c r="H1168" s="94"/>
      <c r="I1168" s="90"/>
      <c r="J1168" s="90"/>
      <c r="K1168" s="1"/>
      <c r="L1168" s="74"/>
      <c r="M1168" s="633"/>
      <c r="N1168" s="274"/>
      <c r="O1168" s="94"/>
      <c r="P1168" s="94"/>
      <c r="Q1168" s="94"/>
      <c r="R1168" s="94"/>
      <c r="S1168" s="94"/>
      <c r="V1168" s="30"/>
      <c r="W1168" s="30"/>
      <c r="X1168" s="1"/>
      <c r="Y1168" s="95"/>
      <c r="Z1168" s="1"/>
      <c r="AA1168" s="94"/>
      <c r="AB1168" s="1"/>
      <c r="AC1168" s="1"/>
      <c r="AD1168" s="1"/>
      <c r="AE1168" s="30"/>
      <c r="AF1168" s="633"/>
      <c r="AG1168" s="94"/>
      <c r="AH1168" s="94"/>
      <c r="AI1168" s="94"/>
      <c r="AJ1168" s="94"/>
      <c r="AK1168" s="94"/>
      <c r="AL1168" s="94"/>
    </row>
    <row r="1169" spans="3:38">
      <c r="C1169" s="30"/>
      <c r="F1169" s="95"/>
      <c r="G1169" s="1"/>
      <c r="H1169" s="94"/>
      <c r="I1169" s="90"/>
      <c r="J1169" s="90"/>
      <c r="K1169" s="1"/>
      <c r="L1169" s="74"/>
      <c r="M1169" s="633"/>
      <c r="N1169" s="274"/>
      <c r="O1169" s="94"/>
      <c r="P1169" s="94"/>
      <c r="Q1169" s="94"/>
      <c r="R1169" s="94"/>
      <c r="S1169" s="94"/>
      <c r="V1169" s="30"/>
      <c r="W1169" s="30"/>
      <c r="X1169" s="1"/>
      <c r="Y1169" s="95"/>
      <c r="Z1169" s="1"/>
      <c r="AA1169" s="94"/>
      <c r="AB1169" s="1"/>
      <c r="AC1169" s="1"/>
      <c r="AD1169" s="1"/>
      <c r="AE1169" s="30"/>
      <c r="AF1169" s="633"/>
      <c r="AG1169" s="94"/>
      <c r="AH1169" s="94"/>
      <c r="AI1169" s="94"/>
      <c r="AJ1169" s="94"/>
      <c r="AK1169" s="94"/>
      <c r="AL1169" s="94"/>
    </row>
    <row r="1170" spans="3:38">
      <c r="C1170" s="30"/>
      <c r="F1170" s="95"/>
      <c r="G1170" s="1"/>
      <c r="H1170" s="94"/>
      <c r="I1170" s="90"/>
      <c r="J1170" s="90"/>
      <c r="K1170" s="1"/>
      <c r="L1170" s="74"/>
      <c r="M1170" s="633"/>
      <c r="N1170" s="274"/>
      <c r="O1170" s="94"/>
      <c r="P1170" s="94"/>
      <c r="Q1170" s="94"/>
      <c r="R1170" s="94"/>
      <c r="S1170" s="94"/>
      <c r="V1170" s="30"/>
      <c r="W1170" s="30"/>
      <c r="X1170" s="1"/>
      <c r="Y1170" s="95"/>
      <c r="Z1170" s="1"/>
      <c r="AA1170" s="94"/>
      <c r="AB1170" s="1"/>
      <c r="AC1170" s="1"/>
      <c r="AD1170" s="1"/>
      <c r="AE1170" s="30"/>
      <c r="AF1170" s="633"/>
      <c r="AG1170" s="94"/>
      <c r="AH1170" s="94"/>
      <c r="AI1170" s="94"/>
      <c r="AJ1170" s="94"/>
      <c r="AK1170" s="94"/>
      <c r="AL1170" s="94"/>
    </row>
    <row r="1171" spans="3:38">
      <c r="C1171" s="30"/>
      <c r="F1171" s="95"/>
      <c r="G1171" s="1"/>
      <c r="H1171" s="94"/>
      <c r="I1171" s="90"/>
      <c r="J1171" s="90"/>
      <c r="K1171" s="1"/>
      <c r="L1171" s="74"/>
      <c r="M1171" s="633"/>
      <c r="N1171" s="274"/>
      <c r="O1171" s="94"/>
      <c r="P1171" s="94"/>
      <c r="Q1171" s="94"/>
      <c r="R1171" s="94"/>
      <c r="S1171" s="94"/>
      <c r="V1171" s="30"/>
      <c r="W1171" s="30"/>
      <c r="X1171" s="1"/>
      <c r="Y1171" s="95"/>
      <c r="Z1171" s="1"/>
      <c r="AA1171" s="94"/>
      <c r="AB1171" s="1"/>
      <c r="AC1171" s="1"/>
      <c r="AD1171" s="1"/>
      <c r="AE1171" s="30"/>
      <c r="AF1171" s="633"/>
      <c r="AG1171" s="94"/>
      <c r="AH1171" s="94"/>
      <c r="AI1171" s="94"/>
      <c r="AJ1171" s="94"/>
      <c r="AK1171" s="94"/>
      <c r="AL1171" s="94"/>
    </row>
    <row r="1172" spans="3:38">
      <c r="C1172" s="30"/>
      <c r="F1172" s="95"/>
      <c r="G1172" s="1"/>
      <c r="H1172" s="94"/>
      <c r="I1172" s="90"/>
      <c r="J1172" s="90"/>
      <c r="K1172" s="1"/>
      <c r="L1172" s="74"/>
      <c r="M1172" s="633"/>
      <c r="N1172" s="274"/>
      <c r="O1172" s="94"/>
      <c r="P1172" s="94"/>
      <c r="Q1172" s="94"/>
      <c r="R1172" s="94"/>
      <c r="S1172" s="94"/>
      <c r="V1172" s="30"/>
      <c r="W1172" s="30"/>
      <c r="X1172" s="1"/>
      <c r="Y1172" s="95"/>
      <c r="Z1172" s="1"/>
      <c r="AA1172" s="94"/>
      <c r="AB1172" s="1"/>
      <c r="AC1172" s="1"/>
      <c r="AD1172" s="1"/>
      <c r="AE1172" s="30"/>
      <c r="AF1172" s="633"/>
      <c r="AG1172" s="94"/>
      <c r="AH1172" s="94"/>
      <c r="AI1172" s="94"/>
      <c r="AJ1172" s="94"/>
      <c r="AK1172" s="94"/>
      <c r="AL1172" s="94"/>
    </row>
    <row r="1173" spans="3:38">
      <c r="C1173" s="30"/>
      <c r="F1173" s="95"/>
      <c r="G1173" s="1"/>
      <c r="H1173" s="94"/>
      <c r="I1173" s="90"/>
      <c r="J1173" s="90"/>
      <c r="K1173" s="1"/>
      <c r="L1173" s="74"/>
      <c r="M1173" s="633"/>
      <c r="N1173" s="274"/>
      <c r="O1173" s="94"/>
      <c r="P1173" s="94"/>
      <c r="Q1173" s="94"/>
      <c r="R1173" s="94"/>
      <c r="S1173" s="94"/>
      <c r="V1173" s="30"/>
      <c r="W1173" s="30"/>
      <c r="X1173" s="1"/>
      <c r="Y1173" s="95"/>
      <c r="Z1173" s="1"/>
      <c r="AA1173" s="94"/>
      <c r="AB1173" s="1"/>
      <c r="AC1173" s="1"/>
      <c r="AD1173" s="1"/>
      <c r="AE1173" s="30"/>
      <c r="AF1173" s="633"/>
      <c r="AG1173" s="94"/>
      <c r="AH1173" s="94"/>
      <c r="AI1173" s="94"/>
      <c r="AJ1173" s="94"/>
      <c r="AK1173" s="94"/>
      <c r="AL1173" s="94"/>
    </row>
    <row r="1174" spans="3:38">
      <c r="C1174" s="30"/>
      <c r="F1174" s="95"/>
      <c r="G1174" s="1"/>
      <c r="H1174" s="94"/>
      <c r="I1174" s="90"/>
      <c r="J1174" s="90"/>
      <c r="K1174" s="1"/>
      <c r="L1174" s="74"/>
      <c r="M1174" s="633"/>
      <c r="N1174" s="274"/>
      <c r="O1174" s="94"/>
      <c r="P1174" s="94"/>
      <c r="Q1174" s="94"/>
      <c r="R1174" s="94"/>
      <c r="S1174" s="94"/>
      <c r="V1174" s="30"/>
      <c r="W1174" s="30"/>
      <c r="X1174" s="1"/>
      <c r="Y1174" s="95"/>
      <c r="Z1174" s="1"/>
      <c r="AA1174" s="94"/>
      <c r="AB1174" s="1"/>
      <c r="AC1174" s="1"/>
      <c r="AD1174" s="1"/>
      <c r="AE1174" s="30"/>
      <c r="AF1174" s="633"/>
      <c r="AG1174" s="94"/>
      <c r="AH1174" s="94"/>
      <c r="AI1174" s="94"/>
      <c r="AJ1174" s="94"/>
      <c r="AK1174" s="94"/>
      <c r="AL1174" s="94"/>
    </row>
    <row r="1175" spans="3:38">
      <c r="C1175" s="30"/>
      <c r="F1175" s="95"/>
      <c r="G1175" s="1"/>
      <c r="H1175" s="94"/>
      <c r="I1175" s="90"/>
      <c r="J1175" s="90"/>
      <c r="K1175" s="1"/>
      <c r="L1175" s="74"/>
      <c r="M1175" s="633"/>
      <c r="N1175" s="274"/>
      <c r="O1175" s="94"/>
      <c r="P1175" s="94"/>
      <c r="Q1175" s="94"/>
      <c r="R1175" s="94"/>
      <c r="S1175" s="94"/>
      <c r="V1175" s="30"/>
      <c r="W1175" s="30"/>
      <c r="X1175" s="1"/>
      <c r="Y1175" s="95"/>
      <c r="Z1175" s="1"/>
      <c r="AA1175" s="94"/>
      <c r="AB1175" s="1"/>
      <c r="AC1175" s="1"/>
      <c r="AD1175" s="1"/>
      <c r="AE1175" s="30"/>
      <c r="AF1175" s="633"/>
      <c r="AG1175" s="94"/>
      <c r="AH1175" s="94"/>
      <c r="AI1175" s="94"/>
      <c r="AJ1175" s="94"/>
      <c r="AK1175" s="94"/>
      <c r="AL1175" s="94"/>
    </row>
    <row r="1176" spans="3:38">
      <c r="C1176" s="30"/>
      <c r="F1176" s="95"/>
      <c r="G1176" s="1"/>
      <c r="H1176" s="94"/>
      <c r="I1176" s="90"/>
      <c r="J1176" s="90"/>
      <c r="K1176" s="1"/>
      <c r="L1176" s="74"/>
      <c r="M1176" s="633"/>
      <c r="N1176" s="274"/>
      <c r="O1176" s="94"/>
      <c r="P1176" s="94"/>
      <c r="Q1176" s="94"/>
      <c r="R1176" s="94"/>
      <c r="S1176" s="94"/>
      <c r="V1176" s="30"/>
      <c r="W1176" s="30"/>
      <c r="X1176" s="1"/>
      <c r="Y1176" s="95"/>
      <c r="Z1176" s="1"/>
      <c r="AA1176" s="94"/>
      <c r="AB1176" s="1"/>
      <c r="AC1176" s="1"/>
      <c r="AD1176" s="1"/>
      <c r="AE1176" s="30"/>
      <c r="AF1176" s="633"/>
      <c r="AG1176" s="94"/>
      <c r="AH1176" s="94"/>
      <c r="AI1176" s="94"/>
      <c r="AJ1176" s="94"/>
      <c r="AK1176" s="94"/>
      <c r="AL1176" s="94"/>
    </row>
    <row r="1177" spans="3:38">
      <c r="C1177" s="30"/>
      <c r="F1177" s="95"/>
      <c r="G1177" s="1"/>
      <c r="H1177" s="94"/>
      <c r="I1177" s="90"/>
      <c r="J1177" s="90"/>
      <c r="K1177" s="1"/>
      <c r="L1177" s="74"/>
      <c r="M1177" s="633"/>
      <c r="N1177" s="274"/>
      <c r="O1177" s="94"/>
      <c r="P1177" s="94"/>
      <c r="Q1177" s="94"/>
      <c r="R1177" s="94"/>
      <c r="S1177" s="94"/>
      <c r="V1177" s="30"/>
      <c r="W1177" s="30"/>
      <c r="X1177" s="1"/>
      <c r="Y1177" s="95"/>
      <c r="Z1177" s="1"/>
      <c r="AA1177" s="94"/>
      <c r="AB1177" s="1"/>
      <c r="AC1177" s="1"/>
      <c r="AD1177" s="1"/>
      <c r="AE1177" s="30"/>
      <c r="AF1177" s="633"/>
      <c r="AG1177" s="94"/>
      <c r="AH1177" s="94"/>
      <c r="AI1177" s="94"/>
      <c r="AJ1177" s="94"/>
      <c r="AK1177" s="94"/>
      <c r="AL1177" s="94"/>
    </row>
    <row r="1178" spans="3:38">
      <c r="C1178" s="30"/>
      <c r="F1178" s="95"/>
      <c r="G1178" s="1"/>
      <c r="H1178" s="94"/>
      <c r="I1178" s="90"/>
      <c r="J1178" s="90"/>
      <c r="K1178" s="1"/>
      <c r="L1178" s="74"/>
      <c r="M1178" s="633"/>
      <c r="N1178" s="274"/>
      <c r="O1178" s="94"/>
      <c r="P1178" s="94"/>
      <c r="Q1178" s="94"/>
      <c r="R1178" s="94"/>
      <c r="S1178" s="94"/>
      <c r="V1178" s="30"/>
      <c r="W1178" s="30"/>
      <c r="X1178" s="1"/>
      <c r="Y1178" s="95"/>
      <c r="Z1178" s="1"/>
      <c r="AA1178" s="94"/>
      <c r="AB1178" s="1"/>
      <c r="AC1178" s="1"/>
      <c r="AD1178" s="1"/>
      <c r="AE1178" s="30"/>
      <c r="AF1178" s="633"/>
      <c r="AG1178" s="94"/>
      <c r="AH1178" s="94"/>
      <c r="AI1178" s="94"/>
      <c r="AJ1178" s="94"/>
      <c r="AK1178" s="94"/>
      <c r="AL1178" s="94"/>
    </row>
    <row r="1179" spans="3:38">
      <c r="C1179" s="30"/>
      <c r="F1179" s="95"/>
      <c r="G1179" s="1"/>
      <c r="H1179" s="94"/>
      <c r="I1179" s="90"/>
      <c r="J1179" s="90"/>
      <c r="K1179" s="1"/>
      <c r="L1179" s="74"/>
      <c r="M1179" s="633"/>
      <c r="N1179" s="274"/>
      <c r="O1179" s="94"/>
      <c r="P1179" s="94"/>
      <c r="Q1179" s="94"/>
      <c r="R1179" s="94"/>
      <c r="S1179" s="94"/>
      <c r="V1179" s="30"/>
      <c r="W1179" s="30"/>
      <c r="X1179" s="1"/>
      <c r="Y1179" s="95"/>
      <c r="Z1179" s="1"/>
      <c r="AA1179" s="94"/>
      <c r="AB1179" s="1"/>
      <c r="AC1179" s="1"/>
      <c r="AD1179" s="1"/>
      <c r="AE1179" s="30"/>
      <c r="AF1179" s="633"/>
      <c r="AG1179" s="94"/>
      <c r="AH1179" s="94"/>
      <c r="AI1179" s="94"/>
      <c r="AJ1179" s="94"/>
      <c r="AK1179" s="94"/>
      <c r="AL1179" s="94"/>
    </row>
    <row r="1180" spans="3:38">
      <c r="C1180" s="30"/>
      <c r="F1180" s="95"/>
      <c r="G1180" s="1"/>
      <c r="H1180" s="94"/>
      <c r="I1180" s="90"/>
      <c r="J1180" s="90"/>
      <c r="K1180" s="1"/>
      <c r="L1180" s="74"/>
      <c r="M1180" s="633"/>
      <c r="N1180" s="274"/>
      <c r="O1180" s="94"/>
      <c r="P1180" s="94"/>
      <c r="Q1180" s="94"/>
      <c r="R1180" s="94"/>
      <c r="S1180" s="94"/>
      <c r="V1180" s="30"/>
      <c r="W1180" s="30"/>
      <c r="X1180" s="1"/>
      <c r="Y1180" s="95"/>
      <c r="Z1180" s="1"/>
      <c r="AA1180" s="94"/>
      <c r="AB1180" s="1"/>
      <c r="AC1180" s="1"/>
      <c r="AD1180" s="1"/>
      <c r="AE1180" s="30"/>
      <c r="AF1180" s="633"/>
      <c r="AG1180" s="94"/>
      <c r="AH1180" s="94"/>
      <c r="AI1180" s="94"/>
      <c r="AJ1180" s="94"/>
      <c r="AK1180" s="94"/>
      <c r="AL1180" s="94"/>
    </row>
    <row r="1181" spans="3:38">
      <c r="C1181" s="30"/>
      <c r="F1181" s="95"/>
      <c r="G1181" s="1"/>
      <c r="H1181" s="94"/>
      <c r="I1181" s="90"/>
      <c r="J1181" s="90"/>
      <c r="K1181" s="1"/>
      <c r="L1181" s="74"/>
      <c r="M1181" s="633"/>
      <c r="N1181" s="274"/>
      <c r="O1181" s="94"/>
      <c r="P1181" s="94"/>
      <c r="Q1181" s="94"/>
      <c r="R1181" s="94"/>
      <c r="S1181" s="94"/>
      <c r="V1181" s="30"/>
      <c r="W1181" s="30"/>
      <c r="X1181" s="1"/>
      <c r="Y1181" s="95"/>
      <c r="Z1181" s="1"/>
      <c r="AA1181" s="94"/>
      <c r="AB1181" s="1"/>
      <c r="AC1181" s="1"/>
      <c r="AD1181" s="1"/>
      <c r="AE1181" s="30"/>
      <c r="AF1181" s="633"/>
      <c r="AG1181" s="94"/>
      <c r="AH1181" s="94"/>
      <c r="AI1181" s="94"/>
      <c r="AJ1181" s="94"/>
      <c r="AK1181" s="94"/>
      <c r="AL1181" s="94"/>
    </row>
    <row r="1182" spans="3:38">
      <c r="C1182" s="30"/>
      <c r="F1182" s="95"/>
      <c r="G1182" s="1"/>
      <c r="H1182" s="94"/>
      <c r="I1182" s="90"/>
      <c r="J1182" s="90"/>
      <c r="K1182" s="1"/>
      <c r="L1182" s="74"/>
      <c r="M1182" s="633"/>
      <c r="N1182" s="274"/>
      <c r="O1182" s="94"/>
      <c r="P1182" s="94"/>
      <c r="Q1182" s="94"/>
      <c r="R1182" s="94"/>
      <c r="S1182" s="94"/>
      <c r="V1182" s="30"/>
      <c r="W1182" s="30"/>
      <c r="X1182" s="1"/>
      <c r="Y1182" s="95"/>
      <c r="Z1182" s="1"/>
      <c r="AA1182" s="94"/>
      <c r="AB1182" s="1"/>
      <c r="AC1182" s="1"/>
      <c r="AD1182" s="1"/>
      <c r="AE1182" s="30"/>
      <c r="AF1182" s="633"/>
      <c r="AG1182" s="94"/>
      <c r="AH1182" s="94"/>
      <c r="AI1182" s="94"/>
      <c r="AJ1182" s="94"/>
      <c r="AK1182" s="94"/>
      <c r="AL1182" s="94"/>
    </row>
    <row r="1183" spans="3:38">
      <c r="C1183" s="30"/>
      <c r="F1183" s="95"/>
      <c r="G1183" s="1"/>
      <c r="H1183" s="94"/>
      <c r="I1183" s="90"/>
      <c r="J1183" s="90"/>
      <c r="K1183" s="1"/>
      <c r="L1183" s="74"/>
      <c r="M1183" s="633"/>
      <c r="N1183" s="274"/>
      <c r="O1183" s="94"/>
      <c r="P1183" s="94"/>
      <c r="Q1183" s="94"/>
      <c r="R1183" s="94"/>
      <c r="S1183" s="94"/>
      <c r="V1183" s="30"/>
      <c r="W1183" s="30"/>
      <c r="X1183" s="1"/>
      <c r="Y1183" s="95"/>
      <c r="Z1183" s="1"/>
      <c r="AA1183" s="94"/>
      <c r="AB1183" s="1"/>
      <c r="AC1183" s="1"/>
      <c r="AD1183" s="1"/>
      <c r="AE1183" s="30"/>
      <c r="AF1183" s="633"/>
      <c r="AG1183" s="94"/>
      <c r="AH1183" s="94"/>
      <c r="AI1183" s="94"/>
      <c r="AJ1183" s="94"/>
      <c r="AK1183" s="94"/>
      <c r="AL1183" s="94"/>
    </row>
    <row r="1184" spans="3:38">
      <c r="C1184" s="30"/>
      <c r="F1184" s="95"/>
      <c r="G1184" s="1"/>
      <c r="H1184" s="94"/>
      <c r="I1184" s="90"/>
      <c r="J1184" s="90"/>
      <c r="K1184" s="1"/>
      <c r="L1184" s="74"/>
      <c r="M1184" s="633"/>
      <c r="N1184" s="274"/>
      <c r="O1184" s="94"/>
      <c r="P1184" s="94"/>
      <c r="Q1184" s="94"/>
      <c r="R1184" s="94"/>
      <c r="S1184" s="94"/>
      <c r="V1184" s="30"/>
      <c r="W1184" s="30"/>
      <c r="X1184" s="1"/>
      <c r="Y1184" s="95"/>
      <c r="Z1184" s="1"/>
      <c r="AA1184" s="94"/>
      <c r="AB1184" s="1"/>
      <c r="AC1184" s="1"/>
      <c r="AD1184" s="1"/>
      <c r="AE1184" s="30"/>
      <c r="AF1184" s="633"/>
      <c r="AG1184" s="94"/>
      <c r="AH1184" s="94"/>
      <c r="AI1184" s="94"/>
      <c r="AJ1184" s="94"/>
      <c r="AK1184" s="94"/>
      <c r="AL1184" s="94"/>
    </row>
    <row r="1185" spans="3:38">
      <c r="C1185" s="30"/>
      <c r="F1185" s="95"/>
      <c r="G1185" s="1"/>
      <c r="H1185" s="94"/>
      <c r="I1185" s="90"/>
      <c r="J1185" s="90"/>
      <c r="K1185" s="1"/>
      <c r="L1185" s="74"/>
      <c r="M1185" s="633"/>
      <c r="N1185" s="274"/>
      <c r="O1185" s="94"/>
      <c r="P1185" s="94"/>
      <c r="Q1185" s="94"/>
      <c r="R1185" s="94"/>
      <c r="S1185" s="94"/>
      <c r="V1185" s="30"/>
      <c r="W1185" s="30"/>
      <c r="X1185" s="1"/>
      <c r="Y1185" s="95"/>
      <c r="Z1185" s="1"/>
      <c r="AA1185" s="94"/>
      <c r="AB1185" s="1"/>
      <c r="AC1185" s="1"/>
      <c r="AD1185" s="1"/>
      <c r="AE1185" s="30"/>
      <c r="AF1185" s="633"/>
      <c r="AG1185" s="94"/>
      <c r="AH1185" s="94"/>
      <c r="AI1185" s="94"/>
      <c r="AJ1185" s="94"/>
      <c r="AK1185" s="94"/>
      <c r="AL1185" s="94"/>
    </row>
    <row r="1186" spans="3:38">
      <c r="C1186" s="30"/>
      <c r="F1186" s="95"/>
      <c r="G1186" s="1"/>
      <c r="H1186" s="94"/>
      <c r="I1186" s="90"/>
      <c r="J1186" s="90"/>
      <c r="K1186" s="1"/>
      <c r="L1186" s="74"/>
      <c r="M1186" s="633"/>
      <c r="N1186" s="274"/>
      <c r="O1186" s="94"/>
      <c r="P1186" s="94"/>
      <c r="Q1186" s="94"/>
      <c r="R1186" s="94"/>
      <c r="S1186" s="94"/>
      <c r="V1186" s="30"/>
      <c r="W1186" s="30"/>
      <c r="X1186" s="1"/>
      <c r="Y1186" s="95"/>
      <c r="Z1186" s="1"/>
      <c r="AA1186" s="94"/>
      <c r="AB1186" s="1"/>
      <c r="AC1186" s="1"/>
      <c r="AD1186" s="1"/>
      <c r="AE1186" s="30"/>
      <c r="AF1186" s="633"/>
      <c r="AG1186" s="94"/>
      <c r="AH1186" s="94"/>
      <c r="AI1186" s="94"/>
      <c r="AJ1186" s="94"/>
      <c r="AK1186" s="94"/>
      <c r="AL1186" s="94"/>
    </row>
    <row r="1187" spans="3:38">
      <c r="C1187" s="30"/>
      <c r="F1187" s="95"/>
      <c r="G1187" s="1"/>
      <c r="H1187" s="94"/>
      <c r="I1187" s="90"/>
      <c r="J1187" s="90"/>
      <c r="K1187" s="1"/>
      <c r="L1187" s="74"/>
      <c r="M1187" s="633"/>
      <c r="N1187" s="274"/>
      <c r="O1187" s="94"/>
      <c r="P1187" s="94"/>
      <c r="Q1187" s="94"/>
      <c r="R1187" s="94"/>
      <c r="S1187" s="94"/>
      <c r="V1187" s="30"/>
      <c r="W1187" s="30"/>
      <c r="X1187" s="1"/>
      <c r="Y1187" s="95"/>
      <c r="Z1187" s="1"/>
      <c r="AA1187" s="94"/>
      <c r="AB1187" s="1"/>
      <c r="AC1187" s="1"/>
      <c r="AD1187" s="1"/>
      <c r="AE1187" s="30"/>
      <c r="AF1187" s="633"/>
      <c r="AG1187" s="94"/>
      <c r="AH1187" s="94"/>
      <c r="AI1187" s="94"/>
      <c r="AJ1187" s="94"/>
      <c r="AK1187" s="94"/>
      <c r="AL1187" s="94"/>
    </row>
    <row r="1188" spans="3:38">
      <c r="C1188" s="30"/>
      <c r="F1188" s="95"/>
      <c r="G1188" s="1"/>
      <c r="H1188" s="94"/>
      <c r="I1188" s="90"/>
      <c r="J1188" s="90"/>
      <c r="K1188" s="1"/>
      <c r="L1188" s="74"/>
      <c r="M1188" s="633"/>
      <c r="N1188" s="274"/>
      <c r="O1188" s="94"/>
      <c r="P1188" s="94"/>
      <c r="Q1188" s="94"/>
      <c r="R1188" s="94"/>
      <c r="S1188" s="94"/>
      <c r="V1188" s="30"/>
      <c r="W1188" s="30"/>
      <c r="X1188" s="1"/>
      <c r="Y1188" s="95"/>
      <c r="Z1188" s="1"/>
      <c r="AA1188" s="94"/>
      <c r="AB1188" s="1"/>
      <c r="AC1188" s="1"/>
      <c r="AD1188" s="1"/>
      <c r="AE1188" s="30"/>
      <c r="AF1188" s="633"/>
      <c r="AG1188" s="94"/>
      <c r="AH1188" s="94"/>
      <c r="AI1188" s="94"/>
      <c r="AJ1188" s="94"/>
      <c r="AK1188" s="94"/>
      <c r="AL1188" s="94"/>
    </row>
    <row r="1189" spans="3:38">
      <c r="C1189" s="30"/>
      <c r="F1189" s="95"/>
      <c r="G1189" s="1"/>
      <c r="H1189" s="94"/>
      <c r="I1189" s="90"/>
      <c r="J1189" s="90"/>
      <c r="K1189" s="1"/>
      <c r="L1189" s="74"/>
      <c r="M1189" s="633"/>
      <c r="N1189" s="274"/>
      <c r="O1189" s="94"/>
      <c r="P1189" s="94"/>
      <c r="Q1189" s="94"/>
      <c r="R1189" s="94"/>
      <c r="S1189" s="94"/>
      <c r="V1189" s="30"/>
      <c r="W1189" s="30"/>
      <c r="X1189" s="1"/>
      <c r="Y1189" s="95"/>
      <c r="Z1189" s="1"/>
      <c r="AA1189" s="94"/>
      <c r="AB1189" s="1"/>
      <c r="AC1189" s="1"/>
      <c r="AD1189" s="1"/>
      <c r="AE1189" s="30"/>
      <c r="AF1189" s="633"/>
      <c r="AG1189" s="94"/>
      <c r="AH1189" s="94"/>
      <c r="AI1189" s="94"/>
      <c r="AJ1189" s="94"/>
      <c r="AK1189" s="94"/>
      <c r="AL1189" s="94"/>
    </row>
    <row r="1190" spans="3:38">
      <c r="C1190" s="30"/>
      <c r="F1190" s="95"/>
      <c r="G1190" s="1"/>
      <c r="H1190" s="94"/>
      <c r="I1190" s="90"/>
      <c r="J1190" s="90"/>
      <c r="K1190" s="1"/>
      <c r="L1190" s="74"/>
      <c r="M1190" s="633"/>
      <c r="N1190" s="274"/>
      <c r="O1190" s="94"/>
      <c r="P1190" s="94"/>
      <c r="Q1190" s="94"/>
      <c r="R1190" s="94"/>
      <c r="S1190" s="94"/>
      <c r="V1190" s="30"/>
      <c r="W1190" s="30"/>
      <c r="X1190" s="1"/>
      <c r="Y1190" s="95"/>
      <c r="Z1190" s="1"/>
      <c r="AA1190" s="94"/>
      <c r="AB1190" s="1"/>
      <c r="AC1190" s="1"/>
      <c r="AD1190" s="1"/>
      <c r="AE1190" s="30"/>
      <c r="AF1190" s="633"/>
      <c r="AG1190" s="94"/>
      <c r="AH1190" s="94"/>
      <c r="AI1190" s="94"/>
      <c r="AJ1190" s="94"/>
      <c r="AK1190" s="94"/>
      <c r="AL1190" s="94"/>
    </row>
    <row r="1191" spans="3:38">
      <c r="C1191" s="30"/>
      <c r="F1191" s="95"/>
      <c r="G1191" s="1"/>
      <c r="H1191" s="94"/>
      <c r="I1191" s="90"/>
      <c r="J1191" s="90"/>
      <c r="K1191" s="1"/>
      <c r="L1191" s="74"/>
      <c r="M1191" s="633"/>
      <c r="N1191" s="274"/>
      <c r="O1191" s="94"/>
      <c r="P1191" s="94"/>
      <c r="Q1191" s="94"/>
      <c r="R1191" s="94"/>
      <c r="S1191" s="94"/>
      <c r="V1191" s="30"/>
      <c r="W1191" s="30"/>
      <c r="X1191" s="1"/>
      <c r="Y1191" s="95"/>
      <c r="Z1191" s="1"/>
      <c r="AA1191" s="94"/>
      <c r="AB1191" s="1"/>
      <c r="AC1191" s="1"/>
      <c r="AD1191" s="1"/>
      <c r="AE1191" s="30"/>
      <c r="AF1191" s="633"/>
      <c r="AG1191" s="94"/>
      <c r="AH1191" s="94"/>
      <c r="AI1191" s="94"/>
      <c r="AJ1191" s="94"/>
      <c r="AK1191" s="94"/>
      <c r="AL1191" s="94"/>
    </row>
    <row r="1192" spans="3:38">
      <c r="C1192" s="30"/>
      <c r="F1192" s="95"/>
      <c r="G1192" s="1"/>
      <c r="H1192" s="94"/>
      <c r="I1192" s="90"/>
      <c r="J1192" s="90"/>
      <c r="K1192" s="1"/>
      <c r="L1192" s="74"/>
      <c r="M1192" s="633"/>
      <c r="N1192" s="274"/>
      <c r="O1192" s="94"/>
      <c r="P1192" s="94"/>
      <c r="Q1192" s="94"/>
      <c r="R1192" s="94"/>
      <c r="S1192" s="94"/>
      <c r="V1192" s="30"/>
      <c r="W1192" s="30"/>
      <c r="X1192" s="1"/>
      <c r="Y1192" s="95"/>
      <c r="Z1192" s="1"/>
      <c r="AA1192" s="94"/>
      <c r="AB1192" s="1"/>
      <c r="AC1192" s="1"/>
      <c r="AD1192" s="1"/>
      <c r="AE1192" s="30"/>
      <c r="AF1192" s="633"/>
      <c r="AG1192" s="94"/>
      <c r="AH1192" s="94"/>
      <c r="AI1192" s="94"/>
      <c r="AJ1192" s="94"/>
      <c r="AK1192" s="94"/>
      <c r="AL1192" s="94"/>
    </row>
    <row r="1193" spans="3:38">
      <c r="C1193" s="30"/>
      <c r="F1193" s="95"/>
      <c r="G1193" s="1"/>
      <c r="H1193" s="94"/>
      <c r="I1193" s="90"/>
      <c r="J1193" s="90"/>
      <c r="K1193" s="1"/>
      <c r="L1193" s="74"/>
      <c r="M1193" s="633"/>
      <c r="N1193" s="274"/>
      <c r="O1193" s="94"/>
      <c r="P1193" s="94"/>
      <c r="Q1193" s="94"/>
      <c r="R1193" s="94"/>
      <c r="S1193" s="94"/>
      <c r="V1193" s="30"/>
      <c r="W1193" s="30"/>
      <c r="X1193" s="1"/>
      <c r="Y1193" s="95"/>
      <c r="Z1193" s="1"/>
      <c r="AA1193" s="94"/>
      <c r="AB1193" s="1"/>
      <c r="AC1193" s="1"/>
      <c r="AD1193" s="1"/>
      <c r="AE1193" s="30"/>
      <c r="AF1193" s="633"/>
      <c r="AG1193" s="94"/>
      <c r="AH1193" s="94"/>
      <c r="AI1193" s="94"/>
      <c r="AJ1193" s="94"/>
      <c r="AK1193" s="94"/>
      <c r="AL1193" s="94"/>
    </row>
    <row r="1194" spans="3:38">
      <c r="C1194" s="30"/>
      <c r="F1194" s="95"/>
      <c r="G1194" s="1"/>
      <c r="H1194" s="94"/>
      <c r="I1194" s="90"/>
      <c r="J1194" s="90"/>
      <c r="K1194" s="1"/>
      <c r="L1194" s="74"/>
      <c r="M1194" s="633"/>
      <c r="N1194" s="274"/>
      <c r="O1194" s="94"/>
      <c r="P1194" s="94"/>
      <c r="Q1194" s="94"/>
      <c r="R1194" s="94"/>
      <c r="S1194" s="94"/>
      <c r="V1194" s="30"/>
      <c r="W1194" s="30"/>
      <c r="X1194" s="1"/>
      <c r="Y1194" s="95"/>
      <c r="Z1194" s="1"/>
      <c r="AA1194" s="94"/>
      <c r="AB1194" s="1"/>
      <c r="AC1194" s="1"/>
      <c r="AD1194" s="1"/>
      <c r="AE1194" s="30"/>
      <c r="AF1194" s="633"/>
      <c r="AG1194" s="94"/>
      <c r="AH1194" s="94"/>
      <c r="AI1194" s="94"/>
      <c r="AJ1194" s="94"/>
      <c r="AK1194" s="94"/>
      <c r="AL1194" s="94"/>
    </row>
    <row r="1195" spans="3:38">
      <c r="C1195" s="30"/>
      <c r="F1195" s="95"/>
      <c r="G1195" s="1"/>
      <c r="H1195" s="94"/>
      <c r="I1195" s="90"/>
      <c r="J1195" s="90"/>
      <c r="K1195" s="1"/>
      <c r="L1195" s="74"/>
      <c r="M1195" s="633"/>
      <c r="N1195" s="274"/>
      <c r="O1195" s="94"/>
      <c r="P1195" s="94"/>
      <c r="Q1195" s="94"/>
      <c r="R1195" s="94"/>
      <c r="S1195" s="94"/>
      <c r="V1195" s="30"/>
      <c r="W1195" s="30"/>
      <c r="X1195" s="1"/>
      <c r="Y1195" s="95"/>
      <c r="Z1195" s="1"/>
      <c r="AA1195" s="94"/>
      <c r="AB1195" s="1"/>
      <c r="AC1195" s="1"/>
      <c r="AD1195" s="1"/>
      <c r="AE1195" s="30"/>
      <c r="AF1195" s="633"/>
      <c r="AG1195" s="94"/>
      <c r="AH1195" s="94"/>
      <c r="AI1195" s="94"/>
      <c r="AJ1195" s="94"/>
      <c r="AK1195" s="94"/>
      <c r="AL1195" s="94"/>
    </row>
    <row r="1196" spans="3:38">
      <c r="C1196" s="30"/>
      <c r="F1196" s="95"/>
      <c r="G1196" s="1"/>
      <c r="H1196" s="94"/>
      <c r="I1196" s="90"/>
      <c r="J1196" s="90"/>
      <c r="K1196" s="1"/>
      <c r="L1196" s="74"/>
      <c r="M1196" s="633"/>
      <c r="N1196" s="274"/>
      <c r="O1196" s="94"/>
      <c r="P1196" s="94"/>
      <c r="Q1196" s="94"/>
      <c r="R1196" s="94"/>
      <c r="S1196" s="94"/>
      <c r="V1196" s="30"/>
      <c r="W1196" s="30"/>
      <c r="X1196" s="1"/>
      <c r="Y1196" s="95"/>
      <c r="Z1196" s="1"/>
      <c r="AA1196" s="94"/>
      <c r="AB1196" s="1"/>
      <c r="AC1196" s="1"/>
      <c r="AD1196" s="1"/>
      <c r="AE1196" s="30"/>
      <c r="AF1196" s="633"/>
      <c r="AG1196" s="94"/>
      <c r="AH1196" s="94"/>
      <c r="AI1196" s="94"/>
      <c r="AJ1196" s="94"/>
      <c r="AK1196" s="94"/>
      <c r="AL1196" s="94"/>
    </row>
    <row r="1197" spans="3:38">
      <c r="C1197" s="30"/>
      <c r="F1197" s="95"/>
      <c r="G1197" s="1"/>
      <c r="H1197" s="94"/>
      <c r="I1197" s="90"/>
      <c r="J1197" s="90"/>
      <c r="K1197" s="1"/>
      <c r="L1197" s="74"/>
      <c r="M1197" s="633"/>
      <c r="N1197" s="274"/>
      <c r="O1197" s="94"/>
      <c r="P1197" s="94"/>
      <c r="Q1197" s="94"/>
      <c r="R1197" s="94"/>
      <c r="S1197" s="94"/>
      <c r="V1197" s="30"/>
      <c r="W1197" s="30"/>
      <c r="X1197" s="1"/>
      <c r="Y1197" s="95"/>
      <c r="Z1197" s="1"/>
      <c r="AA1197" s="94"/>
      <c r="AB1197" s="1"/>
      <c r="AC1197" s="1"/>
      <c r="AD1197" s="1"/>
      <c r="AE1197" s="30"/>
      <c r="AF1197" s="633"/>
      <c r="AG1197" s="94"/>
      <c r="AH1197" s="94"/>
      <c r="AI1197" s="94"/>
      <c r="AJ1197" s="94"/>
      <c r="AK1197" s="94"/>
      <c r="AL1197" s="94"/>
    </row>
    <row r="1198" spans="3:38">
      <c r="C1198" s="30"/>
      <c r="F1198" s="95"/>
      <c r="G1198" s="1"/>
      <c r="H1198" s="94"/>
      <c r="I1198" s="90"/>
      <c r="J1198" s="90"/>
      <c r="K1198" s="1"/>
      <c r="L1198" s="74"/>
      <c r="M1198" s="633"/>
      <c r="N1198" s="274"/>
      <c r="O1198" s="94"/>
      <c r="P1198" s="94"/>
      <c r="Q1198" s="94"/>
      <c r="R1198" s="94"/>
      <c r="S1198" s="94"/>
      <c r="V1198" s="30"/>
      <c r="W1198" s="30"/>
      <c r="X1198" s="1"/>
      <c r="Y1198" s="95"/>
      <c r="Z1198" s="1"/>
      <c r="AA1198" s="94"/>
      <c r="AB1198" s="1"/>
      <c r="AC1198" s="1"/>
      <c r="AD1198" s="1"/>
      <c r="AE1198" s="30"/>
      <c r="AF1198" s="633"/>
      <c r="AG1198" s="94"/>
      <c r="AH1198" s="94"/>
      <c r="AI1198" s="94"/>
      <c r="AJ1198" s="94"/>
      <c r="AK1198" s="94"/>
      <c r="AL1198" s="94"/>
    </row>
    <row r="1199" spans="3:38">
      <c r="C1199" s="30"/>
      <c r="F1199" s="95"/>
      <c r="G1199" s="1"/>
      <c r="H1199" s="94"/>
      <c r="I1199" s="90"/>
      <c r="J1199" s="90"/>
      <c r="K1199" s="1"/>
      <c r="L1199" s="74"/>
      <c r="M1199" s="633"/>
      <c r="N1199" s="274"/>
      <c r="O1199" s="94"/>
      <c r="P1199" s="94"/>
      <c r="Q1199" s="94"/>
      <c r="R1199" s="94"/>
      <c r="S1199" s="94"/>
      <c r="V1199" s="30"/>
      <c r="W1199" s="30"/>
      <c r="X1199" s="1"/>
      <c r="Y1199" s="95"/>
      <c r="Z1199" s="1"/>
      <c r="AA1199" s="94"/>
      <c r="AB1199" s="1"/>
      <c r="AC1199" s="1"/>
      <c r="AD1199" s="1"/>
      <c r="AE1199" s="30"/>
      <c r="AF1199" s="633"/>
      <c r="AG1199" s="94"/>
      <c r="AH1199" s="94"/>
      <c r="AI1199" s="94"/>
      <c r="AJ1199" s="94"/>
      <c r="AK1199" s="94"/>
      <c r="AL1199" s="94"/>
    </row>
    <row r="1200" spans="3:38">
      <c r="C1200" s="30"/>
      <c r="F1200" s="95"/>
      <c r="G1200" s="1"/>
      <c r="H1200" s="94"/>
      <c r="I1200" s="90"/>
      <c r="J1200" s="90"/>
      <c r="K1200" s="1"/>
      <c r="L1200" s="74"/>
      <c r="M1200" s="633"/>
      <c r="N1200" s="274"/>
      <c r="O1200" s="94"/>
      <c r="P1200" s="94"/>
      <c r="Q1200" s="94"/>
      <c r="R1200" s="94"/>
      <c r="S1200" s="94"/>
      <c r="V1200" s="30"/>
      <c r="W1200" s="30"/>
      <c r="X1200" s="1"/>
      <c r="Y1200" s="95"/>
      <c r="Z1200" s="1"/>
      <c r="AA1200" s="94"/>
      <c r="AB1200" s="1"/>
      <c r="AC1200" s="1"/>
      <c r="AD1200" s="1"/>
      <c r="AE1200" s="30"/>
      <c r="AF1200" s="633"/>
      <c r="AG1200" s="94"/>
      <c r="AH1200" s="94"/>
      <c r="AI1200" s="94"/>
      <c r="AJ1200" s="94"/>
      <c r="AK1200" s="94"/>
      <c r="AL1200" s="94"/>
    </row>
    <row r="1201" spans="3:38">
      <c r="C1201" s="30"/>
      <c r="F1201" s="95"/>
      <c r="G1201" s="1"/>
      <c r="H1201" s="94"/>
      <c r="I1201" s="90"/>
      <c r="J1201" s="90"/>
      <c r="K1201" s="1"/>
      <c r="L1201" s="74"/>
      <c r="M1201" s="633"/>
      <c r="N1201" s="274"/>
      <c r="O1201" s="94"/>
      <c r="P1201" s="94"/>
      <c r="Q1201" s="94"/>
      <c r="R1201" s="94"/>
      <c r="S1201" s="94"/>
      <c r="V1201" s="30"/>
      <c r="W1201" s="30"/>
      <c r="X1201" s="1"/>
      <c r="Y1201" s="95"/>
      <c r="Z1201" s="1"/>
      <c r="AA1201" s="94"/>
      <c r="AB1201" s="1"/>
      <c r="AC1201" s="1"/>
      <c r="AD1201" s="1"/>
      <c r="AE1201" s="30"/>
      <c r="AF1201" s="633"/>
      <c r="AG1201" s="94"/>
      <c r="AH1201" s="94"/>
      <c r="AI1201" s="94"/>
      <c r="AJ1201" s="94"/>
      <c r="AK1201" s="94"/>
      <c r="AL1201" s="94"/>
    </row>
    <row r="1202" spans="3:38">
      <c r="C1202" s="30"/>
      <c r="F1202" s="95"/>
      <c r="G1202" s="1"/>
      <c r="H1202" s="94"/>
      <c r="I1202" s="90"/>
      <c r="J1202" s="90"/>
      <c r="K1202" s="1"/>
      <c r="L1202" s="74"/>
      <c r="M1202" s="633"/>
      <c r="N1202" s="274"/>
      <c r="O1202" s="94"/>
      <c r="P1202" s="94"/>
      <c r="Q1202" s="94"/>
      <c r="R1202" s="94"/>
      <c r="S1202" s="94"/>
      <c r="V1202" s="30"/>
      <c r="W1202" s="30"/>
      <c r="X1202" s="1"/>
      <c r="Y1202" s="95"/>
      <c r="Z1202" s="1"/>
      <c r="AA1202" s="94"/>
      <c r="AB1202" s="1"/>
      <c r="AC1202" s="1"/>
      <c r="AD1202" s="1"/>
      <c r="AE1202" s="30"/>
      <c r="AF1202" s="633"/>
      <c r="AG1202" s="94"/>
      <c r="AH1202" s="94"/>
      <c r="AI1202" s="94"/>
      <c r="AJ1202" s="94"/>
      <c r="AK1202" s="94"/>
      <c r="AL1202" s="94"/>
    </row>
    <row r="1203" spans="3:38">
      <c r="C1203" s="30"/>
      <c r="F1203" s="95"/>
      <c r="G1203" s="1"/>
      <c r="H1203" s="94"/>
      <c r="I1203" s="90"/>
      <c r="J1203" s="90"/>
      <c r="K1203" s="1"/>
      <c r="L1203" s="74"/>
      <c r="M1203" s="633"/>
      <c r="N1203" s="274"/>
      <c r="O1203" s="94"/>
      <c r="P1203" s="94"/>
      <c r="Q1203" s="94"/>
      <c r="R1203" s="94"/>
      <c r="S1203" s="94"/>
      <c r="V1203" s="30"/>
      <c r="W1203" s="30"/>
      <c r="X1203" s="1"/>
      <c r="Y1203" s="95"/>
      <c r="Z1203" s="1"/>
      <c r="AA1203" s="94"/>
      <c r="AB1203" s="1"/>
      <c r="AC1203" s="1"/>
      <c r="AD1203" s="1"/>
      <c r="AE1203" s="30"/>
      <c r="AF1203" s="633"/>
      <c r="AG1203" s="94"/>
      <c r="AH1203" s="94"/>
      <c r="AI1203" s="94"/>
      <c r="AJ1203" s="94"/>
      <c r="AK1203" s="94"/>
      <c r="AL1203" s="94"/>
    </row>
    <row r="1204" spans="3:38">
      <c r="C1204" s="30"/>
      <c r="F1204" s="95"/>
      <c r="G1204" s="1"/>
      <c r="H1204" s="94"/>
      <c r="I1204" s="90"/>
      <c r="J1204" s="90"/>
      <c r="K1204" s="1"/>
      <c r="L1204" s="74"/>
      <c r="M1204" s="633"/>
      <c r="N1204" s="274"/>
      <c r="O1204" s="94"/>
      <c r="P1204" s="94"/>
      <c r="Q1204" s="94"/>
      <c r="R1204" s="94"/>
      <c r="S1204" s="94"/>
      <c r="V1204" s="30"/>
      <c r="W1204" s="30"/>
      <c r="X1204" s="1"/>
      <c r="Y1204" s="95"/>
      <c r="Z1204" s="1"/>
      <c r="AA1204" s="94"/>
      <c r="AB1204" s="1"/>
      <c r="AC1204" s="1"/>
      <c r="AD1204" s="1"/>
      <c r="AE1204" s="30"/>
      <c r="AF1204" s="633"/>
      <c r="AG1204" s="94"/>
      <c r="AH1204" s="94"/>
      <c r="AI1204" s="94"/>
      <c r="AJ1204" s="94"/>
      <c r="AK1204" s="94"/>
      <c r="AL1204" s="94"/>
    </row>
    <row r="1205" spans="3:38">
      <c r="C1205" s="30"/>
      <c r="F1205" s="95"/>
      <c r="G1205" s="1"/>
      <c r="H1205" s="94"/>
      <c r="I1205" s="90"/>
      <c r="J1205" s="90"/>
      <c r="K1205" s="1"/>
      <c r="L1205" s="74"/>
      <c r="M1205" s="633"/>
      <c r="N1205" s="274"/>
      <c r="O1205" s="94"/>
      <c r="P1205" s="94"/>
      <c r="Q1205" s="94"/>
      <c r="R1205" s="94"/>
      <c r="S1205" s="94"/>
      <c r="V1205" s="30"/>
      <c r="W1205" s="30"/>
      <c r="X1205" s="1"/>
      <c r="Y1205" s="95"/>
      <c r="Z1205" s="1"/>
      <c r="AA1205" s="94"/>
      <c r="AB1205" s="1"/>
      <c r="AC1205" s="1"/>
      <c r="AD1205" s="1"/>
      <c r="AE1205" s="30"/>
      <c r="AF1205" s="633"/>
      <c r="AG1205" s="94"/>
      <c r="AH1205" s="94"/>
      <c r="AI1205" s="94"/>
      <c r="AJ1205" s="94"/>
      <c r="AK1205" s="94"/>
      <c r="AL1205" s="94"/>
    </row>
    <row r="1206" spans="3:38">
      <c r="C1206" s="30"/>
      <c r="F1206" s="95"/>
      <c r="G1206" s="1"/>
      <c r="H1206" s="94"/>
      <c r="I1206" s="90"/>
      <c r="J1206" s="90"/>
      <c r="K1206" s="1"/>
      <c r="L1206" s="74"/>
      <c r="M1206" s="633"/>
      <c r="N1206" s="274"/>
      <c r="O1206" s="94"/>
      <c r="P1206" s="94"/>
      <c r="Q1206" s="94"/>
      <c r="R1206" s="94"/>
      <c r="S1206" s="94"/>
      <c r="V1206" s="30"/>
      <c r="W1206" s="30"/>
      <c r="X1206" s="1"/>
      <c r="Y1206" s="95"/>
      <c r="Z1206" s="1"/>
      <c r="AA1206" s="94"/>
      <c r="AB1206" s="1"/>
      <c r="AC1206" s="1"/>
      <c r="AD1206" s="1"/>
      <c r="AE1206" s="30"/>
      <c r="AF1206" s="633"/>
      <c r="AG1206" s="94"/>
      <c r="AH1206" s="94"/>
      <c r="AI1206" s="94"/>
      <c r="AJ1206" s="94"/>
      <c r="AK1206" s="94"/>
      <c r="AL1206" s="94"/>
    </row>
    <row r="1207" spans="3:38">
      <c r="C1207" s="30"/>
      <c r="F1207" s="95"/>
      <c r="G1207" s="1"/>
      <c r="H1207" s="94"/>
      <c r="I1207" s="90"/>
      <c r="J1207" s="90"/>
      <c r="K1207" s="1"/>
      <c r="L1207" s="74"/>
      <c r="M1207" s="633"/>
      <c r="N1207" s="274"/>
      <c r="O1207" s="94"/>
      <c r="P1207" s="94"/>
      <c r="Q1207" s="94"/>
      <c r="R1207" s="94"/>
      <c r="S1207" s="94"/>
      <c r="V1207" s="30"/>
      <c r="W1207" s="30"/>
      <c r="X1207" s="1"/>
      <c r="Y1207" s="95"/>
      <c r="Z1207" s="1"/>
      <c r="AA1207" s="94"/>
      <c r="AB1207" s="1"/>
      <c r="AC1207" s="1"/>
      <c r="AD1207" s="1"/>
      <c r="AE1207" s="30"/>
      <c r="AF1207" s="633"/>
      <c r="AG1207" s="94"/>
      <c r="AH1207" s="94"/>
      <c r="AI1207" s="94"/>
      <c r="AJ1207" s="94"/>
      <c r="AK1207" s="94"/>
      <c r="AL1207" s="94"/>
    </row>
    <row r="1208" spans="3:38">
      <c r="C1208" s="30"/>
      <c r="F1208" s="95"/>
      <c r="G1208" s="1"/>
      <c r="H1208" s="94"/>
      <c r="I1208" s="90"/>
      <c r="J1208" s="90"/>
      <c r="K1208" s="1"/>
      <c r="L1208" s="74"/>
      <c r="M1208" s="633"/>
      <c r="N1208" s="274"/>
      <c r="O1208" s="94"/>
      <c r="P1208" s="94"/>
      <c r="Q1208" s="94"/>
      <c r="R1208" s="94"/>
      <c r="S1208" s="94"/>
      <c r="V1208" s="30"/>
      <c r="W1208" s="30"/>
      <c r="X1208" s="1"/>
      <c r="Y1208" s="95"/>
      <c r="Z1208" s="1"/>
      <c r="AA1208" s="94"/>
      <c r="AB1208" s="1"/>
      <c r="AC1208" s="1"/>
      <c r="AD1208" s="1"/>
      <c r="AE1208" s="30"/>
      <c r="AF1208" s="633"/>
      <c r="AG1208" s="94"/>
      <c r="AH1208" s="94"/>
      <c r="AI1208" s="94"/>
      <c r="AJ1208" s="94"/>
      <c r="AK1208" s="94"/>
      <c r="AL1208" s="94"/>
    </row>
    <row r="1209" spans="3:38">
      <c r="C1209" s="30"/>
      <c r="F1209" s="95"/>
      <c r="G1209" s="1"/>
      <c r="H1209" s="94"/>
      <c r="I1209" s="90"/>
      <c r="J1209" s="90"/>
      <c r="K1209" s="1"/>
      <c r="L1209" s="74"/>
      <c r="M1209" s="633"/>
      <c r="N1209" s="274"/>
      <c r="O1209" s="94"/>
      <c r="P1209" s="94"/>
      <c r="Q1209" s="94"/>
      <c r="R1209" s="94"/>
      <c r="S1209" s="94"/>
      <c r="V1209" s="30"/>
      <c r="W1209" s="30"/>
      <c r="X1209" s="1"/>
      <c r="Y1209" s="95"/>
      <c r="Z1209" s="1"/>
      <c r="AA1209" s="94"/>
      <c r="AB1209" s="1"/>
      <c r="AC1209" s="1"/>
      <c r="AD1209" s="1"/>
      <c r="AE1209" s="30"/>
      <c r="AF1209" s="633"/>
      <c r="AG1209" s="94"/>
      <c r="AH1209" s="94"/>
      <c r="AI1209" s="94"/>
      <c r="AJ1209" s="94"/>
      <c r="AK1209" s="94"/>
      <c r="AL1209" s="94"/>
    </row>
    <row r="1210" spans="3:38">
      <c r="C1210" s="30"/>
      <c r="F1210" s="95"/>
      <c r="G1210" s="1"/>
      <c r="H1210" s="94"/>
      <c r="I1210" s="90"/>
      <c r="J1210" s="90"/>
      <c r="K1210" s="1"/>
      <c r="L1210" s="74"/>
      <c r="M1210" s="633"/>
      <c r="N1210" s="274"/>
      <c r="O1210" s="94"/>
      <c r="P1210" s="94"/>
      <c r="Q1210" s="94"/>
      <c r="R1210" s="94"/>
      <c r="S1210" s="94"/>
      <c r="V1210" s="30"/>
      <c r="W1210" s="30"/>
      <c r="X1210" s="1"/>
      <c r="Y1210" s="95"/>
      <c r="Z1210" s="1"/>
      <c r="AA1210" s="94"/>
      <c r="AB1210" s="1"/>
      <c r="AC1210" s="1"/>
      <c r="AD1210" s="1"/>
      <c r="AE1210" s="30"/>
      <c r="AF1210" s="633"/>
      <c r="AG1210" s="94"/>
      <c r="AH1210" s="94"/>
      <c r="AI1210" s="94"/>
      <c r="AJ1210" s="94"/>
      <c r="AK1210" s="94"/>
      <c r="AL1210" s="94"/>
    </row>
    <row r="1211" spans="3:38">
      <c r="C1211" s="30"/>
      <c r="F1211" s="95"/>
      <c r="G1211" s="1"/>
      <c r="H1211" s="94"/>
      <c r="I1211" s="90"/>
      <c r="J1211" s="90"/>
      <c r="K1211" s="1"/>
      <c r="L1211" s="74"/>
      <c r="M1211" s="633"/>
      <c r="N1211" s="274"/>
      <c r="O1211" s="94"/>
      <c r="P1211" s="94"/>
      <c r="Q1211" s="94"/>
      <c r="R1211" s="94"/>
      <c r="S1211" s="94"/>
      <c r="V1211" s="30"/>
      <c r="W1211" s="30"/>
      <c r="X1211" s="1"/>
      <c r="Y1211" s="95"/>
      <c r="Z1211" s="1"/>
      <c r="AA1211" s="94"/>
      <c r="AB1211" s="1"/>
      <c r="AC1211" s="1"/>
      <c r="AD1211" s="1"/>
      <c r="AE1211" s="30"/>
      <c r="AF1211" s="633"/>
      <c r="AG1211" s="94"/>
      <c r="AH1211" s="94"/>
      <c r="AI1211" s="94"/>
      <c r="AJ1211" s="94"/>
      <c r="AK1211" s="94"/>
      <c r="AL1211" s="94"/>
    </row>
    <row r="1212" spans="3:38">
      <c r="C1212" s="30"/>
      <c r="F1212" s="95"/>
      <c r="G1212" s="1"/>
      <c r="H1212" s="94"/>
      <c r="I1212" s="90"/>
      <c r="J1212" s="90"/>
      <c r="K1212" s="1"/>
      <c r="L1212" s="74"/>
      <c r="M1212" s="633"/>
      <c r="N1212" s="274"/>
      <c r="O1212" s="94"/>
      <c r="P1212" s="94"/>
      <c r="Q1212" s="94"/>
      <c r="R1212" s="94"/>
      <c r="S1212" s="94"/>
      <c r="V1212" s="30"/>
      <c r="W1212" s="30"/>
      <c r="X1212" s="1"/>
      <c r="Y1212" s="95"/>
      <c r="Z1212" s="1"/>
      <c r="AA1212" s="94"/>
      <c r="AB1212" s="1"/>
      <c r="AC1212" s="1"/>
      <c r="AD1212" s="1"/>
      <c r="AE1212" s="30"/>
      <c r="AF1212" s="633"/>
      <c r="AG1212" s="94"/>
      <c r="AH1212" s="94"/>
      <c r="AI1212" s="94"/>
      <c r="AJ1212" s="94"/>
      <c r="AK1212" s="94"/>
      <c r="AL1212" s="94"/>
    </row>
    <row r="1213" spans="3:38">
      <c r="C1213" s="30"/>
      <c r="F1213" s="95"/>
      <c r="G1213" s="1"/>
      <c r="H1213" s="94"/>
      <c r="I1213" s="90"/>
      <c r="J1213" s="90"/>
      <c r="K1213" s="1"/>
      <c r="L1213" s="74"/>
      <c r="M1213" s="633"/>
      <c r="N1213" s="274"/>
      <c r="O1213" s="94"/>
      <c r="P1213" s="94"/>
      <c r="Q1213" s="94"/>
      <c r="R1213" s="94"/>
      <c r="S1213" s="94"/>
      <c r="V1213" s="30"/>
      <c r="W1213" s="30"/>
      <c r="X1213" s="1"/>
      <c r="Y1213" s="95"/>
      <c r="Z1213" s="1"/>
      <c r="AA1213" s="94"/>
      <c r="AB1213" s="1"/>
      <c r="AC1213" s="1"/>
      <c r="AD1213" s="1"/>
      <c r="AE1213" s="30"/>
      <c r="AF1213" s="633"/>
      <c r="AG1213" s="94"/>
      <c r="AH1213" s="94"/>
      <c r="AI1213" s="94"/>
      <c r="AJ1213" s="94"/>
      <c r="AK1213" s="94"/>
      <c r="AL1213" s="94"/>
    </row>
    <row r="1214" spans="3:38">
      <c r="C1214" s="30"/>
      <c r="F1214" s="95"/>
      <c r="G1214" s="1"/>
      <c r="H1214" s="94"/>
      <c r="I1214" s="90"/>
      <c r="J1214" s="90"/>
      <c r="K1214" s="1"/>
      <c r="L1214" s="74"/>
      <c r="M1214" s="633"/>
      <c r="N1214" s="274"/>
      <c r="O1214" s="94"/>
      <c r="P1214" s="94"/>
      <c r="Q1214" s="94"/>
      <c r="R1214" s="94"/>
      <c r="S1214" s="94"/>
      <c r="V1214" s="30"/>
      <c r="W1214" s="30"/>
      <c r="X1214" s="1"/>
      <c r="Y1214" s="95"/>
      <c r="Z1214" s="1"/>
      <c r="AA1214" s="94"/>
      <c r="AB1214" s="1"/>
      <c r="AC1214" s="1"/>
      <c r="AD1214" s="1"/>
      <c r="AE1214" s="30"/>
      <c r="AF1214" s="633"/>
      <c r="AG1214" s="94"/>
      <c r="AH1214" s="94"/>
      <c r="AI1214" s="94"/>
      <c r="AJ1214" s="94"/>
      <c r="AK1214" s="94"/>
      <c r="AL1214" s="94"/>
    </row>
    <row r="1215" spans="3:38">
      <c r="C1215" s="30"/>
      <c r="F1215" s="95"/>
      <c r="G1215" s="1"/>
      <c r="H1215" s="94"/>
      <c r="I1215" s="90"/>
      <c r="J1215" s="90"/>
      <c r="K1215" s="1"/>
      <c r="L1215" s="74"/>
      <c r="M1215" s="633"/>
      <c r="N1215" s="274"/>
      <c r="O1215" s="94"/>
      <c r="P1215" s="94"/>
      <c r="Q1215" s="94"/>
      <c r="R1215" s="94"/>
      <c r="S1215" s="94"/>
      <c r="V1215" s="30"/>
      <c r="W1215" s="30"/>
      <c r="X1215" s="1"/>
      <c r="Y1215" s="95"/>
      <c r="Z1215" s="1"/>
      <c r="AA1215" s="94"/>
      <c r="AB1215" s="1"/>
      <c r="AC1215" s="1"/>
      <c r="AD1215" s="1"/>
      <c r="AE1215" s="30"/>
      <c r="AF1215" s="633"/>
      <c r="AG1215" s="94"/>
      <c r="AH1215" s="94"/>
      <c r="AI1215" s="94"/>
      <c r="AJ1215" s="94"/>
      <c r="AK1215" s="94"/>
      <c r="AL1215" s="94"/>
    </row>
    <row r="1216" spans="3:38">
      <c r="C1216" s="30"/>
      <c r="F1216" s="95"/>
      <c r="G1216" s="1"/>
      <c r="H1216" s="94"/>
      <c r="I1216" s="90"/>
      <c r="J1216" s="90"/>
      <c r="K1216" s="1"/>
      <c r="L1216" s="74"/>
      <c r="M1216" s="633"/>
      <c r="N1216" s="274"/>
      <c r="O1216" s="94"/>
      <c r="P1216" s="94"/>
      <c r="Q1216" s="94"/>
      <c r="R1216" s="94"/>
      <c r="S1216" s="94"/>
      <c r="V1216" s="30"/>
      <c r="W1216" s="30"/>
      <c r="X1216" s="1"/>
      <c r="Y1216" s="95"/>
      <c r="Z1216" s="1"/>
      <c r="AA1216" s="94"/>
      <c r="AB1216" s="1"/>
      <c r="AC1216" s="1"/>
      <c r="AD1216" s="1"/>
      <c r="AE1216" s="30"/>
      <c r="AF1216" s="633"/>
      <c r="AG1216" s="94"/>
      <c r="AH1216" s="94"/>
      <c r="AI1216" s="94"/>
      <c r="AJ1216" s="94"/>
      <c r="AK1216" s="94"/>
      <c r="AL1216" s="94"/>
    </row>
    <row r="1217" spans="3:38">
      <c r="C1217" s="30"/>
      <c r="F1217" s="95"/>
      <c r="G1217" s="1"/>
      <c r="H1217" s="94"/>
      <c r="I1217" s="90"/>
      <c r="J1217" s="90"/>
      <c r="K1217" s="1"/>
      <c r="L1217" s="74"/>
      <c r="M1217" s="633"/>
      <c r="N1217" s="274"/>
      <c r="O1217" s="94"/>
      <c r="P1217" s="94"/>
      <c r="Q1217" s="94"/>
      <c r="R1217" s="94"/>
      <c r="S1217" s="94"/>
      <c r="V1217" s="30"/>
      <c r="W1217" s="30"/>
      <c r="X1217" s="1"/>
      <c r="Y1217" s="95"/>
      <c r="Z1217" s="1"/>
      <c r="AA1217" s="94"/>
      <c r="AB1217" s="1"/>
      <c r="AC1217" s="1"/>
      <c r="AD1217" s="1"/>
      <c r="AE1217" s="30"/>
      <c r="AF1217" s="633"/>
      <c r="AG1217" s="94"/>
      <c r="AH1217" s="94"/>
      <c r="AI1217" s="94"/>
      <c r="AJ1217" s="94"/>
      <c r="AK1217" s="94"/>
      <c r="AL1217" s="94"/>
    </row>
    <row r="1218" spans="3:38">
      <c r="C1218" s="30"/>
      <c r="F1218" s="95"/>
      <c r="G1218" s="1"/>
      <c r="H1218" s="94"/>
      <c r="I1218" s="90"/>
      <c r="J1218" s="90"/>
      <c r="K1218" s="1"/>
      <c r="L1218" s="74"/>
      <c r="M1218" s="633"/>
      <c r="N1218" s="274"/>
      <c r="O1218" s="94"/>
      <c r="P1218" s="94"/>
      <c r="Q1218" s="94"/>
      <c r="R1218" s="94"/>
      <c r="S1218" s="94"/>
      <c r="V1218" s="30"/>
      <c r="W1218" s="30"/>
      <c r="X1218" s="1"/>
      <c r="Y1218" s="95"/>
      <c r="Z1218" s="1"/>
      <c r="AA1218" s="94"/>
      <c r="AB1218" s="1"/>
      <c r="AC1218" s="1"/>
      <c r="AD1218" s="1"/>
      <c r="AE1218" s="30"/>
      <c r="AF1218" s="633"/>
      <c r="AG1218" s="94"/>
      <c r="AH1218" s="94"/>
      <c r="AI1218" s="94"/>
      <c r="AJ1218" s="94"/>
      <c r="AK1218" s="94"/>
      <c r="AL1218" s="94"/>
    </row>
    <row r="1219" spans="3:38">
      <c r="C1219" s="30"/>
      <c r="F1219" s="95"/>
      <c r="G1219" s="1"/>
      <c r="H1219" s="94"/>
      <c r="I1219" s="90"/>
      <c r="J1219" s="90"/>
      <c r="K1219" s="1"/>
      <c r="L1219" s="74"/>
      <c r="M1219" s="633"/>
      <c r="N1219" s="274"/>
      <c r="O1219" s="94"/>
      <c r="P1219" s="94"/>
      <c r="Q1219" s="94"/>
      <c r="R1219" s="94"/>
      <c r="S1219" s="94"/>
      <c r="V1219" s="30"/>
      <c r="W1219" s="30"/>
      <c r="X1219" s="1"/>
      <c r="Y1219" s="95"/>
      <c r="Z1219" s="1"/>
      <c r="AA1219" s="94"/>
      <c r="AB1219" s="1"/>
      <c r="AC1219" s="1"/>
      <c r="AD1219" s="1"/>
      <c r="AE1219" s="30"/>
      <c r="AF1219" s="633"/>
      <c r="AG1219" s="94"/>
      <c r="AH1219" s="94"/>
      <c r="AI1219" s="94"/>
      <c r="AJ1219" s="94"/>
      <c r="AK1219" s="94"/>
      <c r="AL1219" s="94"/>
    </row>
    <row r="1220" spans="3:38">
      <c r="C1220" s="30"/>
      <c r="F1220" s="95"/>
      <c r="G1220" s="1"/>
      <c r="H1220" s="94"/>
      <c r="I1220" s="90"/>
      <c r="J1220" s="90"/>
      <c r="K1220" s="1"/>
      <c r="L1220" s="74"/>
      <c r="M1220" s="633"/>
      <c r="N1220" s="274"/>
      <c r="O1220" s="94"/>
      <c r="P1220" s="94"/>
      <c r="Q1220" s="94"/>
      <c r="R1220" s="94"/>
      <c r="S1220" s="94"/>
      <c r="V1220" s="30"/>
      <c r="W1220" s="30"/>
      <c r="X1220" s="1"/>
      <c r="Y1220" s="95"/>
      <c r="Z1220" s="1"/>
      <c r="AA1220" s="94"/>
      <c r="AB1220" s="1"/>
      <c r="AC1220" s="1"/>
      <c r="AD1220" s="1"/>
      <c r="AE1220" s="30"/>
      <c r="AF1220" s="633"/>
      <c r="AG1220" s="94"/>
      <c r="AH1220" s="94"/>
      <c r="AI1220" s="94"/>
      <c r="AJ1220" s="94"/>
      <c r="AK1220" s="94"/>
      <c r="AL1220" s="94"/>
    </row>
    <row r="1221" spans="3:38">
      <c r="C1221" s="30"/>
      <c r="F1221" s="95"/>
      <c r="G1221" s="1"/>
      <c r="H1221" s="94"/>
      <c r="I1221" s="90"/>
      <c r="J1221" s="90"/>
      <c r="K1221" s="1"/>
      <c r="L1221" s="74"/>
      <c r="M1221" s="633"/>
      <c r="N1221" s="274"/>
      <c r="O1221" s="94"/>
      <c r="P1221" s="94"/>
      <c r="Q1221" s="94"/>
      <c r="R1221" s="94"/>
      <c r="S1221" s="94"/>
      <c r="V1221" s="30"/>
      <c r="W1221" s="30"/>
      <c r="X1221" s="1"/>
      <c r="Y1221" s="95"/>
      <c r="Z1221" s="1"/>
      <c r="AA1221" s="94"/>
      <c r="AB1221" s="1"/>
      <c r="AC1221" s="1"/>
      <c r="AD1221" s="1"/>
      <c r="AE1221" s="30"/>
      <c r="AF1221" s="633"/>
      <c r="AG1221" s="94"/>
      <c r="AH1221" s="94"/>
      <c r="AI1221" s="94"/>
      <c r="AJ1221" s="94"/>
      <c r="AK1221" s="94"/>
      <c r="AL1221" s="94"/>
    </row>
    <row r="1222" spans="3:38">
      <c r="C1222" s="30"/>
      <c r="F1222" s="95"/>
      <c r="G1222" s="1"/>
      <c r="H1222" s="94"/>
      <c r="I1222" s="90"/>
      <c r="J1222" s="90"/>
      <c r="K1222" s="1"/>
      <c r="L1222" s="74"/>
      <c r="M1222" s="633"/>
      <c r="N1222" s="274"/>
      <c r="O1222" s="94"/>
      <c r="P1222" s="94"/>
      <c r="Q1222" s="94"/>
      <c r="R1222" s="94"/>
      <c r="S1222" s="94"/>
      <c r="V1222" s="30"/>
      <c r="W1222" s="30"/>
      <c r="X1222" s="1"/>
      <c r="Y1222" s="95"/>
      <c r="Z1222" s="1"/>
      <c r="AA1222" s="94"/>
      <c r="AB1222" s="1"/>
      <c r="AC1222" s="1"/>
      <c r="AD1222" s="1"/>
      <c r="AE1222" s="30"/>
      <c r="AF1222" s="633"/>
      <c r="AG1222" s="94"/>
      <c r="AH1222" s="94"/>
      <c r="AI1222" s="94"/>
      <c r="AJ1222" s="94"/>
      <c r="AK1222" s="94"/>
      <c r="AL1222" s="94"/>
    </row>
    <row r="1223" spans="3:38">
      <c r="C1223" s="30"/>
      <c r="F1223" s="95"/>
      <c r="G1223" s="1"/>
      <c r="H1223" s="94"/>
      <c r="I1223" s="90"/>
      <c r="J1223" s="90"/>
      <c r="K1223" s="1"/>
      <c r="L1223" s="74"/>
      <c r="M1223" s="633"/>
      <c r="N1223" s="274"/>
      <c r="O1223" s="94"/>
      <c r="P1223" s="94"/>
      <c r="Q1223" s="94"/>
      <c r="R1223" s="94"/>
      <c r="S1223" s="94"/>
      <c r="V1223" s="30"/>
      <c r="W1223" s="30"/>
      <c r="X1223" s="1"/>
      <c r="Y1223" s="95"/>
      <c r="Z1223" s="1"/>
      <c r="AA1223" s="94"/>
      <c r="AB1223" s="1"/>
      <c r="AC1223" s="1"/>
      <c r="AD1223" s="1"/>
      <c r="AE1223" s="30"/>
      <c r="AF1223" s="633"/>
      <c r="AG1223" s="94"/>
      <c r="AH1223" s="94"/>
      <c r="AI1223" s="94"/>
      <c r="AJ1223" s="94"/>
      <c r="AK1223" s="94"/>
      <c r="AL1223" s="94"/>
    </row>
    <row r="1224" spans="3:38">
      <c r="C1224" s="30"/>
      <c r="F1224" s="95"/>
      <c r="G1224" s="1"/>
      <c r="H1224" s="94"/>
      <c r="I1224" s="90"/>
      <c r="J1224" s="90"/>
      <c r="K1224" s="1"/>
      <c r="L1224" s="74"/>
      <c r="M1224" s="633"/>
      <c r="N1224" s="274"/>
      <c r="O1224" s="94"/>
      <c r="P1224" s="94"/>
      <c r="Q1224" s="94"/>
      <c r="R1224" s="94"/>
      <c r="S1224" s="94"/>
      <c r="V1224" s="30"/>
      <c r="W1224" s="30"/>
      <c r="X1224" s="1"/>
      <c r="Y1224" s="95"/>
      <c r="Z1224" s="1"/>
      <c r="AA1224" s="94"/>
      <c r="AB1224" s="1"/>
      <c r="AC1224" s="1"/>
      <c r="AD1224" s="1"/>
      <c r="AE1224" s="30"/>
      <c r="AF1224" s="633"/>
      <c r="AG1224" s="94"/>
      <c r="AH1224" s="94"/>
      <c r="AI1224" s="94"/>
      <c r="AJ1224" s="94"/>
      <c r="AK1224" s="94"/>
      <c r="AL1224" s="94"/>
    </row>
    <row r="1225" spans="3:38">
      <c r="C1225" s="30"/>
      <c r="F1225" s="95"/>
      <c r="G1225" s="1"/>
      <c r="H1225" s="94"/>
      <c r="I1225" s="90"/>
      <c r="J1225" s="90"/>
      <c r="K1225" s="1"/>
      <c r="L1225" s="74"/>
      <c r="M1225" s="633"/>
      <c r="N1225" s="274"/>
      <c r="O1225" s="94"/>
      <c r="P1225" s="94"/>
      <c r="Q1225" s="94"/>
      <c r="R1225" s="94"/>
      <c r="S1225" s="94"/>
      <c r="V1225" s="30"/>
      <c r="W1225" s="30"/>
      <c r="X1225" s="1"/>
      <c r="Y1225" s="95"/>
      <c r="Z1225" s="1"/>
      <c r="AA1225" s="94"/>
      <c r="AB1225" s="1"/>
      <c r="AC1225" s="1"/>
      <c r="AD1225" s="1"/>
      <c r="AE1225" s="30"/>
      <c r="AF1225" s="633"/>
      <c r="AG1225" s="94"/>
      <c r="AH1225" s="94"/>
      <c r="AI1225" s="94"/>
      <c r="AJ1225" s="94"/>
      <c r="AK1225" s="94"/>
      <c r="AL1225" s="94"/>
    </row>
    <row r="1226" spans="3:38">
      <c r="C1226" s="30"/>
      <c r="F1226" s="95"/>
      <c r="G1226" s="1"/>
      <c r="H1226" s="94"/>
      <c r="I1226" s="90"/>
      <c r="J1226" s="90"/>
      <c r="K1226" s="1"/>
      <c r="L1226" s="74"/>
      <c r="M1226" s="633"/>
      <c r="N1226" s="274"/>
      <c r="O1226" s="94"/>
      <c r="P1226" s="94"/>
      <c r="Q1226" s="94"/>
      <c r="R1226" s="94"/>
      <c r="S1226" s="94"/>
      <c r="V1226" s="30"/>
      <c r="W1226" s="30"/>
      <c r="X1226" s="1"/>
      <c r="Y1226" s="95"/>
      <c r="Z1226" s="1"/>
      <c r="AA1226" s="94"/>
      <c r="AB1226" s="1"/>
      <c r="AC1226" s="1"/>
      <c r="AD1226" s="1"/>
      <c r="AE1226" s="30"/>
      <c r="AF1226" s="633"/>
      <c r="AG1226" s="94"/>
      <c r="AH1226" s="94"/>
      <c r="AI1226" s="94"/>
      <c r="AJ1226" s="94"/>
      <c r="AK1226" s="94"/>
      <c r="AL1226" s="94"/>
    </row>
    <row r="1227" spans="3:38">
      <c r="C1227" s="30"/>
      <c r="F1227" s="95"/>
      <c r="G1227" s="1"/>
      <c r="H1227" s="94"/>
      <c r="I1227" s="90"/>
      <c r="J1227" s="90"/>
      <c r="K1227" s="1"/>
      <c r="L1227" s="74"/>
      <c r="M1227" s="633"/>
      <c r="N1227" s="274"/>
      <c r="O1227" s="94"/>
      <c r="P1227" s="94"/>
      <c r="Q1227" s="94"/>
      <c r="R1227" s="94"/>
      <c r="S1227" s="94"/>
      <c r="V1227" s="30"/>
      <c r="W1227" s="30"/>
      <c r="X1227" s="1"/>
      <c r="Y1227" s="95"/>
      <c r="Z1227" s="1"/>
      <c r="AA1227" s="94"/>
      <c r="AB1227" s="1"/>
      <c r="AC1227" s="1"/>
      <c r="AD1227" s="1"/>
      <c r="AE1227" s="30"/>
      <c r="AF1227" s="633"/>
      <c r="AG1227" s="94"/>
      <c r="AH1227" s="94"/>
      <c r="AI1227" s="94"/>
      <c r="AJ1227" s="94"/>
      <c r="AK1227" s="94"/>
      <c r="AL1227" s="94"/>
    </row>
    <row r="1228" spans="3:38">
      <c r="C1228" s="30"/>
      <c r="F1228" s="95"/>
      <c r="G1228" s="1"/>
      <c r="H1228" s="94"/>
      <c r="I1228" s="90"/>
      <c r="J1228" s="90"/>
      <c r="K1228" s="1"/>
      <c r="L1228" s="74"/>
      <c r="M1228" s="633"/>
      <c r="N1228" s="274"/>
      <c r="O1228" s="94"/>
      <c r="P1228" s="94"/>
      <c r="Q1228" s="94"/>
      <c r="R1228" s="94"/>
      <c r="S1228" s="94"/>
      <c r="V1228" s="30"/>
      <c r="W1228" s="30"/>
      <c r="X1228" s="1"/>
      <c r="Y1228" s="95"/>
      <c r="Z1228" s="1"/>
      <c r="AA1228" s="94"/>
      <c r="AB1228" s="1"/>
      <c r="AC1228" s="1"/>
      <c r="AD1228" s="1"/>
      <c r="AE1228" s="30"/>
      <c r="AF1228" s="633"/>
      <c r="AG1228" s="94"/>
      <c r="AH1228" s="94"/>
      <c r="AI1228" s="94"/>
      <c r="AJ1228" s="94"/>
      <c r="AK1228" s="94"/>
      <c r="AL1228" s="94"/>
    </row>
    <row r="1229" spans="3:38">
      <c r="C1229" s="30"/>
      <c r="F1229" s="95"/>
      <c r="G1229" s="1"/>
      <c r="H1229" s="94"/>
      <c r="I1229" s="90"/>
      <c r="J1229" s="90"/>
      <c r="K1229" s="1"/>
      <c r="L1229" s="74"/>
      <c r="M1229" s="633"/>
      <c r="N1229" s="274"/>
      <c r="O1229" s="94"/>
      <c r="P1229" s="94"/>
      <c r="Q1229" s="94"/>
      <c r="R1229" s="94"/>
      <c r="S1229" s="94"/>
      <c r="V1229" s="30"/>
      <c r="W1229" s="30"/>
      <c r="X1229" s="1"/>
      <c r="Y1229" s="95"/>
      <c r="Z1229" s="1"/>
      <c r="AA1229" s="94"/>
      <c r="AB1229" s="1"/>
      <c r="AC1229" s="1"/>
      <c r="AD1229" s="1"/>
      <c r="AE1229" s="30"/>
      <c r="AF1229" s="633"/>
      <c r="AG1229" s="94"/>
      <c r="AH1229" s="94"/>
      <c r="AI1229" s="94"/>
      <c r="AJ1229" s="94"/>
      <c r="AK1229" s="94"/>
      <c r="AL1229" s="94"/>
    </row>
    <row r="1230" spans="3:38">
      <c r="C1230" s="30"/>
      <c r="F1230" s="95"/>
      <c r="G1230" s="1"/>
      <c r="H1230" s="94"/>
      <c r="I1230" s="90"/>
      <c r="J1230" s="90"/>
      <c r="K1230" s="1"/>
      <c r="L1230" s="74"/>
      <c r="M1230" s="633"/>
      <c r="N1230" s="274"/>
      <c r="O1230" s="94"/>
      <c r="P1230" s="94"/>
      <c r="Q1230" s="94"/>
      <c r="R1230" s="94"/>
      <c r="S1230" s="94"/>
      <c r="V1230" s="30"/>
      <c r="W1230" s="30"/>
      <c r="X1230" s="1"/>
      <c r="Y1230" s="95"/>
      <c r="Z1230" s="1"/>
      <c r="AA1230" s="94"/>
      <c r="AB1230" s="1"/>
      <c r="AC1230" s="1"/>
      <c r="AD1230" s="1"/>
      <c r="AE1230" s="30"/>
      <c r="AF1230" s="633"/>
      <c r="AG1230" s="94"/>
      <c r="AH1230" s="94"/>
      <c r="AI1230" s="94"/>
      <c r="AJ1230" s="94"/>
      <c r="AK1230" s="94"/>
      <c r="AL1230" s="94"/>
    </row>
    <row r="1231" spans="3:38">
      <c r="C1231" s="30"/>
      <c r="F1231" s="95"/>
      <c r="G1231" s="1"/>
      <c r="H1231" s="94"/>
      <c r="I1231" s="90"/>
      <c r="J1231" s="90"/>
      <c r="K1231" s="1"/>
      <c r="L1231" s="74"/>
      <c r="M1231" s="633"/>
      <c r="N1231" s="274"/>
      <c r="O1231" s="94"/>
      <c r="P1231" s="94"/>
      <c r="Q1231" s="94"/>
      <c r="R1231" s="94"/>
      <c r="S1231" s="94"/>
      <c r="V1231" s="30"/>
      <c r="W1231" s="30"/>
      <c r="X1231" s="1"/>
      <c r="Y1231" s="95"/>
      <c r="Z1231" s="1"/>
      <c r="AA1231" s="94"/>
      <c r="AB1231" s="1"/>
      <c r="AC1231" s="1"/>
      <c r="AD1231" s="1"/>
      <c r="AE1231" s="30"/>
      <c r="AF1231" s="633"/>
      <c r="AG1231" s="94"/>
      <c r="AH1231" s="94"/>
      <c r="AI1231" s="94"/>
      <c r="AJ1231" s="94"/>
      <c r="AK1231" s="94"/>
      <c r="AL1231" s="94"/>
    </row>
    <row r="1232" spans="3:38">
      <c r="C1232" s="30"/>
      <c r="F1232" s="95"/>
      <c r="G1232" s="1"/>
      <c r="H1232" s="94"/>
      <c r="I1232" s="90"/>
      <c r="J1232" s="90"/>
      <c r="K1232" s="1"/>
      <c r="L1232" s="74"/>
      <c r="M1232" s="633"/>
      <c r="N1232" s="274"/>
      <c r="O1232" s="94"/>
      <c r="P1232" s="94"/>
      <c r="Q1232" s="94"/>
      <c r="R1232" s="94"/>
      <c r="S1232" s="94"/>
      <c r="V1232" s="30"/>
      <c r="W1232" s="30"/>
      <c r="X1232" s="1"/>
      <c r="Y1232" s="95"/>
      <c r="Z1232" s="1"/>
      <c r="AA1232" s="94"/>
      <c r="AB1232" s="1"/>
      <c r="AC1232" s="1"/>
      <c r="AD1232" s="1"/>
      <c r="AE1232" s="30"/>
      <c r="AF1232" s="633"/>
      <c r="AG1232" s="94"/>
      <c r="AH1232" s="94"/>
      <c r="AI1232" s="94"/>
      <c r="AJ1232" s="94"/>
      <c r="AK1232" s="94"/>
      <c r="AL1232" s="94"/>
    </row>
    <row r="1233" spans="3:38">
      <c r="C1233" s="30"/>
      <c r="F1233" s="95"/>
      <c r="G1233" s="1"/>
      <c r="H1233" s="94"/>
      <c r="I1233" s="90"/>
      <c r="J1233" s="90"/>
      <c r="K1233" s="1"/>
      <c r="L1233" s="74"/>
      <c r="M1233" s="633"/>
      <c r="N1233" s="274"/>
      <c r="O1233" s="94"/>
      <c r="P1233" s="94"/>
      <c r="Q1233" s="94"/>
      <c r="R1233" s="94"/>
      <c r="S1233" s="94"/>
      <c r="V1233" s="30"/>
      <c r="W1233" s="30"/>
      <c r="X1233" s="1"/>
      <c r="Y1233" s="95"/>
      <c r="Z1233" s="1"/>
      <c r="AA1233" s="94"/>
      <c r="AB1233" s="1"/>
      <c r="AC1233" s="1"/>
      <c r="AD1233" s="1"/>
      <c r="AE1233" s="30"/>
      <c r="AF1233" s="633"/>
      <c r="AG1233" s="94"/>
      <c r="AH1233" s="94"/>
      <c r="AI1233" s="94"/>
      <c r="AJ1233" s="94"/>
      <c r="AK1233" s="94"/>
      <c r="AL1233" s="94"/>
    </row>
    <row r="1234" spans="3:38">
      <c r="C1234" s="30"/>
      <c r="F1234" s="95"/>
      <c r="G1234" s="1"/>
      <c r="H1234" s="94"/>
      <c r="I1234" s="90"/>
      <c r="J1234" s="90"/>
      <c r="K1234" s="1"/>
      <c r="L1234" s="74"/>
      <c r="M1234" s="633"/>
      <c r="N1234" s="274"/>
      <c r="O1234" s="94"/>
      <c r="P1234" s="94"/>
      <c r="Q1234" s="94"/>
      <c r="R1234" s="94"/>
      <c r="S1234" s="94"/>
      <c r="V1234" s="30"/>
      <c r="W1234" s="30"/>
      <c r="X1234" s="1"/>
      <c r="Y1234" s="95"/>
      <c r="Z1234" s="1"/>
      <c r="AA1234" s="94"/>
      <c r="AB1234" s="1"/>
      <c r="AC1234" s="1"/>
      <c r="AD1234" s="1"/>
      <c r="AE1234" s="30"/>
      <c r="AF1234" s="633"/>
      <c r="AG1234" s="94"/>
      <c r="AH1234" s="94"/>
      <c r="AI1234" s="94"/>
      <c r="AJ1234" s="94"/>
      <c r="AK1234" s="94"/>
      <c r="AL1234" s="94"/>
    </row>
    <row r="1235" spans="3:38">
      <c r="C1235" s="30"/>
      <c r="F1235" s="95"/>
      <c r="G1235" s="1"/>
      <c r="H1235" s="94"/>
      <c r="I1235" s="90"/>
      <c r="J1235" s="90"/>
      <c r="K1235" s="1"/>
      <c r="L1235" s="74"/>
      <c r="M1235" s="633"/>
      <c r="N1235" s="274"/>
      <c r="O1235" s="94"/>
      <c r="P1235" s="94"/>
      <c r="Q1235" s="94"/>
      <c r="R1235" s="94"/>
      <c r="S1235" s="94"/>
      <c r="V1235" s="30"/>
      <c r="W1235" s="30"/>
      <c r="X1235" s="1"/>
      <c r="Y1235" s="95"/>
      <c r="Z1235" s="1"/>
      <c r="AA1235" s="94"/>
      <c r="AB1235" s="1"/>
      <c r="AC1235" s="1"/>
      <c r="AD1235" s="1"/>
      <c r="AE1235" s="30"/>
      <c r="AF1235" s="633"/>
      <c r="AG1235" s="94"/>
      <c r="AH1235" s="94"/>
      <c r="AI1235" s="94"/>
      <c r="AJ1235" s="94"/>
      <c r="AK1235" s="94"/>
      <c r="AL1235" s="94"/>
    </row>
    <row r="1236" spans="3:38">
      <c r="C1236" s="30"/>
      <c r="F1236" s="95"/>
      <c r="G1236" s="1"/>
      <c r="H1236" s="94"/>
      <c r="I1236" s="90"/>
      <c r="J1236" s="90"/>
      <c r="K1236" s="1"/>
      <c r="L1236" s="74"/>
      <c r="M1236" s="633"/>
      <c r="N1236" s="274"/>
      <c r="O1236" s="94"/>
      <c r="P1236" s="94"/>
      <c r="Q1236" s="94"/>
      <c r="R1236" s="94"/>
      <c r="S1236" s="94"/>
      <c r="V1236" s="30"/>
      <c r="W1236" s="30"/>
      <c r="X1236" s="1"/>
      <c r="Y1236" s="95"/>
      <c r="Z1236" s="1"/>
      <c r="AA1236" s="94"/>
      <c r="AB1236" s="1"/>
      <c r="AC1236" s="1"/>
      <c r="AD1236" s="1"/>
      <c r="AE1236" s="30"/>
      <c r="AF1236" s="633"/>
      <c r="AG1236" s="94"/>
      <c r="AH1236" s="94"/>
      <c r="AI1236" s="94"/>
      <c r="AJ1236" s="94"/>
      <c r="AK1236" s="94"/>
      <c r="AL1236" s="94"/>
    </row>
    <row r="1237" spans="3:38">
      <c r="C1237" s="30"/>
      <c r="F1237" s="95"/>
      <c r="G1237" s="1"/>
      <c r="H1237" s="94"/>
      <c r="I1237" s="90"/>
      <c r="J1237" s="90"/>
      <c r="K1237" s="1"/>
      <c r="L1237" s="74"/>
      <c r="M1237" s="633"/>
      <c r="N1237" s="274"/>
      <c r="O1237" s="94"/>
      <c r="P1237" s="94"/>
      <c r="Q1237" s="94"/>
      <c r="R1237" s="94"/>
      <c r="S1237" s="94"/>
      <c r="V1237" s="30"/>
      <c r="W1237" s="30"/>
      <c r="X1237" s="1"/>
      <c r="Y1237" s="95"/>
      <c r="Z1237" s="1"/>
      <c r="AA1237" s="94"/>
      <c r="AB1237" s="1"/>
      <c r="AC1237" s="1"/>
      <c r="AD1237" s="1"/>
      <c r="AE1237" s="30"/>
      <c r="AF1237" s="633"/>
      <c r="AG1237" s="94"/>
      <c r="AH1237" s="94"/>
      <c r="AI1237" s="94"/>
      <c r="AJ1237" s="94"/>
      <c r="AK1237" s="94"/>
      <c r="AL1237" s="94"/>
    </row>
    <row r="1238" spans="3:38">
      <c r="C1238" s="30"/>
      <c r="F1238" s="95"/>
      <c r="G1238" s="1"/>
      <c r="H1238" s="94"/>
      <c r="I1238" s="90"/>
      <c r="J1238" s="90"/>
      <c r="K1238" s="1"/>
      <c r="L1238" s="74"/>
      <c r="M1238" s="633"/>
      <c r="N1238" s="274"/>
      <c r="O1238" s="94"/>
      <c r="P1238" s="94"/>
      <c r="Q1238" s="94"/>
      <c r="R1238" s="94"/>
      <c r="S1238" s="94"/>
      <c r="V1238" s="30"/>
      <c r="W1238" s="30"/>
      <c r="X1238" s="1"/>
      <c r="Y1238" s="95"/>
      <c r="Z1238" s="1"/>
      <c r="AA1238" s="94"/>
      <c r="AB1238" s="1"/>
      <c r="AC1238" s="1"/>
      <c r="AD1238" s="1"/>
      <c r="AE1238" s="30"/>
      <c r="AF1238" s="633"/>
      <c r="AG1238" s="94"/>
      <c r="AH1238" s="94"/>
      <c r="AI1238" s="94"/>
      <c r="AJ1238" s="94"/>
      <c r="AK1238" s="94"/>
      <c r="AL1238" s="94"/>
    </row>
    <row r="1239" spans="3:38">
      <c r="C1239" s="30"/>
      <c r="F1239" s="95"/>
      <c r="G1239" s="1"/>
      <c r="H1239" s="94"/>
      <c r="I1239" s="90"/>
      <c r="J1239" s="90"/>
      <c r="K1239" s="1"/>
      <c r="L1239" s="74"/>
      <c r="M1239" s="633"/>
      <c r="N1239" s="274"/>
      <c r="O1239" s="94"/>
      <c r="P1239" s="94"/>
      <c r="Q1239" s="94"/>
      <c r="R1239" s="94"/>
      <c r="S1239" s="94"/>
      <c r="V1239" s="30"/>
      <c r="W1239" s="30"/>
      <c r="X1239" s="1"/>
      <c r="Y1239" s="95"/>
      <c r="Z1239" s="1"/>
      <c r="AA1239" s="94"/>
      <c r="AB1239" s="1"/>
      <c r="AC1239" s="1"/>
      <c r="AD1239" s="1"/>
      <c r="AE1239" s="30"/>
      <c r="AF1239" s="633"/>
      <c r="AG1239" s="94"/>
      <c r="AH1239" s="94"/>
      <c r="AI1239" s="94"/>
      <c r="AJ1239" s="94"/>
      <c r="AK1239" s="94"/>
      <c r="AL1239" s="94"/>
    </row>
    <row r="1240" spans="3:38">
      <c r="C1240" s="30"/>
      <c r="F1240" s="95"/>
      <c r="G1240" s="1"/>
      <c r="H1240" s="94"/>
      <c r="I1240" s="90"/>
      <c r="J1240" s="90"/>
      <c r="K1240" s="1"/>
      <c r="L1240" s="74"/>
      <c r="M1240" s="633"/>
      <c r="N1240" s="274"/>
      <c r="O1240" s="94"/>
      <c r="P1240" s="94"/>
      <c r="Q1240" s="94"/>
      <c r="R1240" s="94"/>
      <c r="S1240" s="94"/>
      <c r="V1240" s="30"/>
      <c r="W1240" s="30"/>
      <c r="X1240" s="1"/>
      <c r="Y1240" s="95"/>
      <c r="Z1240" s="1"/>
      <c r="AA1240" s="94"/>
      <c r="AB1240" s="1"/>
      <c r="AC1240" s="1"/>
      <c r="AD1240" s="1"/>
      <c r="AE1240" s="30"/>
      <c r="AF1240" s="633"/>
      <c r="AG1240" s="94"/>
      <c r="AH1240" s="94"/>
      <c r="AI1240" s="94"/>
      <c r="AJ1240" s="94"/>
      <c r="AK1240" s="94"/>
      <c r="AL1240" s="94"/>
    </row>
    <row r="1241" spans="3:38">
      <c r="C1241" s="30"/>
      <c r="F1241" s="95"/>
      <c r="G1241" s="1"/>
      <c r="H1241" s="94"/>
      <c r="I1241" s="90"/>
      <c r="J1241" s="90"/>
      <c r="K1241" s="1"/>
      <c r="L1241" s="74"/>
      <c r="M1241" s="633"/>
      <c r="N1241" s="274"/>
      <c r="O1241" s="94"/>
      <c r="P1241" s="94"/>
      <c r="Q1241" s="94"/>
      <c r="R1241" s="94"/>
      <c r="S1241" s="94"/>
      <c r="V1241" s="30"/>
      <c r="W1241" s="30"/>
      <c r="X1241" s="1"/>
      <c r="Y1241" s="95"/>
      <c r="Z1241" s="1"/>
      <c r="AA1241" s="94"/>
      <c r="AB1241" s="1"/>
      <c r="AC1241" s="1"/>
      <c r="AD1241" s="1"/>
      <c r="AE1241" s="30"/>
      <c r="AF1241" s="633"/>
      <c r="AG1241" s="94"/>
      <c r="AH1241" s="94"/>
      <c r="AI1241" s="94"/>
      <c r="AJ1241" s="94"/>
      <c r="AK1241" s="94"/>
      <c r="AL1241" s="94"/>
    </row>
    <row r="1242" spans="3:38">
      <c r="C1242" s="30"/>
      <c r="F1242" s="95"/>
      <c r="G1242" s="1"/>
      <c r="H1242" s="94"/>
      <c r="I1242" s="90"/>
      <c r="J1242" s="90"/>
      <c r="K1242" s="1"/>
      <c r="L1242" s="74"/>
      <c r="M1242" s="633"/>
      <c r="N1242" s="274"/>
      <c r="O1242" s="94"/>
      <c r="P1242" s="94"/>
      <c r="Q1242" s="94"/>
      <c r="R1242" s="94"/>
      <c r="S1242" s="94"/>
      <c r="V1242" s="30"/>
      <c r="W1242" s="30"/>
      <c r="X1242" s="1"/>
      <c r="Y1242" s="95"/>
      <c r="Z1242" s="1"/>
      <c r="AA1242" s="94"/>
      <c r="AB1242" s="1"/>
      <c r="AC1242" s="1"/>
      <c r="AD1242" s="1"/>
      <c r="AE1242" s="30"/>
      <c r="AF1242" s="633"/>
      <c r="AG1242" s="94"/>
      <c r="AH1242" s="94"/>
      <c r="AI1242" s="94"/>
      <c r="AJ1242" s="94"/>
      <c r="AK1242" s="94"/>
      <c r="AL1242" s="94"/>
    </row>
    <row r="1243" spans="3:38">
      <c r="C1243" s="30"/>
      <c r="F1243" s="95"/>
      <c r="G1243" s="1"/>
      <c r="H1243" s="94"/>
      <c r="I1243" s="90"/>
      <c r="J1243" s="90"/>
      <c r="K1243" s="1"/>
      <c r="L1243" s="74"/>
      <c r="M1243" s="633"/>
      <c r="N1243" s="274"/>
      <c r="O1243" s="94"/>
      <c r="P1243" s="94"/>
      <c r="Q1243" s="94"/>
      <c r="R1243" s="94"/>
      <c r="S1243" s="94"/>
      <c r="V1243" s="30"/>
      <c r="W1243" s="30"/>
      <c r="X1243" s="1"/>
      <c r="Y1243" s="95"/>
      <c r="Z1243" s="1"/>
      <c r="AA1243" s="94"/>
      <c r="AB1243" s="1"/>
      <c r="AC1243" s="1"/>
      <c r="AD1243" s="1"/>
      <c r="AE1243" s="30"/>
      <c r="AF1243" s="633"/>
      <c r="AG1243" s="94"/>
      <c r="AH1243" s="94"/>
      <c r="AI1243" s="94"/>
      <c r="AJ1243" s="94"/>
      <c r="AK1243" s="94"/>
      <c r="AL1243" s="94"/>
    </row>
    <row r="1244" spans="3:38">
      <c r="C1244" s="30"/>
      <c r="F1244" s="95"/>
      <c r="G1244" s="1"/>
      <c r="H1244" s="94"/>
      <c r="I1244" s="90"/>
      <c r="J1244" s="90"/>
      <c r="K1244" s="1"/>
      <c r="L1244" s="74"/>
      <c r="M1244" s="633"/>
      <c r="N1244" s="274"/>
      <c r="O1244" s="94"/>
      <c r="P1244" s="94"/>
      <c r="Q1244" s="94"/>
      <c r="R1244" s="94"/>
      <c r="S1244" s="94"/>
      <c r="V1244" s="30"/>
      <c r="W1244" s="30"/>
      <c r="X1244" s="1"/>
      <c r="Y1244" s="95"/>
      <c r="Z1244" s="1"/>
      <c r="AA1244" s="94"/>
      <c r="AB1244" s="1"/>
      <c r="AC1244" s="1"/>
      <c r="AD1244" s="1"/>
      <c r="AE1244" s="30"/>
      <c r="AF1244" s="633"/>
      <c r="AG1244" s="94"/>
      <c r="AH1244" s="94"/>
      <c r="AI1244" s="94"/>
      <c r="AJ1244" s="94"/>
      <c r="AK1244" s="94"/>
      <c r="AL1244" s="94"/>
    </row>
    <row r="1245" spans="3:38">
      <c r="C1245" s="30"/>
      <c r="F1245" s="95"/>
      <c r="G1245" s="1"/>
      <c r="H1245" s="94"/>
      <c r="I1245" s="90"/>
      <c r="J1245" s="90"/>
      <c r="K1245" s="1"/>
      <c r="L1245" s="74"/>
      <c r="M1245" s="633"/>
      <c r="N1245" s="274"/>
      <c r="O1245" s="94"/>
      <c r="P1245" s="94"/>
      <c r="Q1245" s="94"/>
      <c r="R1245" s="94"/>
      <c r="S1245" s="94"/>
      <c r="V1245" s="30"/>
      <c r="W1245" s="30"/>
      <c r="X1245" s="1"/>
      <c r="Y1245" s="95"/>
      <c r="Z1245" s="1"/>
      <c r="AA1245" s="94"/>
      <c r="AB1245" s="1"/>
      <c r="AC1245" s="1"/>
      <c r="AD1245" s="1"/>
      <c r="AE1245" s="30"/>
      <c r="AF1245" s="633"/>
      <c r="AG1245" s="94"/>
      <c r="AH1245" s="94"/>
      <c r="AI1245" s="94"/>
      <c r="AJ1245" s="94"/>
      <c r="AK1245" s="94"/>
      <c r="AL1245" s="94"/>
    </row>
    <row r="1246" spans="3:38">
      <c r="C1246" s="30"/>
      <c r="F1246" s="95"/>
      <c r="G1246" s="1"/>
      <c r="H1246" s="94"/>
      <c r="I1246" s="90"/>
      <c r="J1246" s="90"/>
      <c r="K1246" s="1"/>
      <c r="L1246" s="74"/>
      <c r="M1246" s="633"/>
      <c r="N1246" s="274"/>
      <c r="O1246" s="94"/>
      <c r="P1246" s="94"/>
      <c r="Q1246" s="94"/>
      <c r="R1246" s="94"/>
      <c r="S1246" s="94"/>
      <c r="V1246" s="30"/>
      <c r="W1246" s="30"/>
      <c r="X1246" s="1"/>
      <c r="Y1246" s="95"/>
      <c r="Z1246" s="1"/>
      <c r="AA1246" s="94"/>
      <c r="AB1246" s="1"/>
      <c r="AC1246" s="1"/>
      <c r="AD1246" s="1"/>
      <c r="AE1246" s="30"/>
      <c r="AF1246" s="633"/>
      <c r="AG1246" s="94"/>
      <c r="AH1246" s="94"/>
      <c r="AI1246" s="94"/>
      <c r="AJ1246" s="94"/>
      <c r="AK1246" s="94"/>
      <c r="AL1246" s="94"/>
    </row>
    <row r="1247" spans="3:38">
      <c r="C1247" s="30"/>
      <c r="F1247" s="95"/>
      <c r="G1247" s="1"/>
      <c r="H1247" s="94"/>
      <c r="I1247" s="90"/>
      <c r="J1247" s="90"/>
      <c r="K1247" s="1"/>
      <c r="L1247" s="74"/>
      <c r="M1247" s="633"/>
      <c r="N1247" s="274"/>
      <c r="O1247" s="94"/>
      <c r="P1247" s="94"/>
      <c r="Q1247" s="94"/>
      <c r="R1247" s="94"/>
      <c r="S1247" s="94"/>
      <c r="V1247" s="30"/>
      <c r="W1247" s="30"/>
      <c r="X1247" s="1"/>
      <c r="Y1247" s="95"/>
      <c r="Z1247" s="1"/>
      <c r="AA1247" s="94"/>
      <c r="AB1247" s="1"/>
      <c r="AC1247" s="1"/>
      <c r="AD1247" s="1"/>
      <c r="AE1247" s="30"/>
      <c r="AF1247" s="633"/>
      <c r="AG1247" s="94"/>
      <c r="AH1247" s="94"/>
      <c r="AI1247" s="94"/>
      <c r="AJ1247" s="94"/>
      <c r="AK1247" s="94"/>
      <c r="AL1247" s="94"/>
    </row>
    <row r="1248" spans="3:38">
      <c r="C1248" s="30"/>
      <c r="F1248" s="95"/>
      <c r="G1248" s="1"/>
      <c r="H1248" s="94"/>
      <c r="I1248" s="90"/>
      <c r="J1248" s="90"/>
      <c r="K1248" s="1"/>
      <c r="L1248" s="74"/>
      <c r="M1248" s="633"/>
      <c r="N1248" s="274"/>
      <c r="O1248" s="94"/>
      <c r="P1248" s="94"/>
      <c r="Q1248" s="94"/>
      <c r="R1248" s="94"/>
      <c r="S1248" s="94"/>
      <c r="V1248" s="30"/>
      <c r="W1248" s="30"/>
      <c r="X1248" s="1"/>
      <c r="Y1248" s="95"/>
      <c r="Z1248" s="1"/>
      <c r="AA1248" s="94"/>
      <c r="AB1248" s="1"/>
      <c r="AC1248" s="1"/>
      <c r="AD1248" s="1"/>
      <c r="AE1248" s="30"/>
      <c r="AF1248" s="633"/>
      <c r="AG1248" s="94"/>
      <c r="AH1248" s="94"/>
      <c r="AI1248" s="94"/>
      <c r="AJ1248" s="94"/>
      <c r="AK1248" s="94"/>
      <c r="AL1248" s="94"/>
    </row>
    <row r="1249" spans="3:38">
      <c r="C1249" s="30"/>
      <c r="F1249" s="95"/>
      <c r="G1249" s="1"/>
      <c r="H1249" s="94"/>
      <c r="I1249" s="90"/>
      <c r="J1249" s="90"/>
      <c r="K1249" s="1"/>
      <c r="L1249" s="74"/>
      <c r="M1249" s="633"/>
      <c r="N1249" s="274"/>
      <c r="O1249" s="94"/>
      <c r="P1249" s="94"/>
      <c r="Q1249" s="94"/>
      <c r="R1249" s="94"/>
      <c r="S1249" s="94"/>
      <c r="V1249" s="30"/>
      <c r="W1249" s="30"/>
      <c r="X1249" s="1"/>
      <c r="Y1249" s="95"/>
      <c r="Z1249" s="1"/>
      <c r="AA1249" s="94"/>
      <c r="AB1249" s="1"/>
      <c r="AC1249" s="1"/>
      <c r="AD1249" s="1"/>
      <c r="AE1249" s="30"/>
      <c r="AF1249" s="633"/>
      <c r="AG1249" s="94"/>
      <c r="AH1249" s="94"/>
      <c r="AI1249" s="94"/>
      <c r="AJ1249" s="94"/>
      <c r="AK1249" s="94"/>
      <c r="AL1249" s="94"/>
    </row>
    <row r="1250" spans="3:38">
      <c r="C1250" s="30"/>
      <c r="F1250" s="95"/>
      <c r="G1250" s="1"/>
      <c r="H1250" s="94"/>
      <c r="I1250" s="90"/>
      <c r="J1250" s="90"/>
      <c r="K1250" s="1"/>
      <c r="L1250" s="74"/>
      <c r="M1250" s="633"/>
      <c r="N1250" s="274"/>
      <c r="O1250" s="94"/>
      <c r="P1250" s="94"/>
      <c r="Q1250" s="94"/>
      <c r="R1250" s="94"/>
      <c r="S1250" s="94"/>
      <c r="V1250" s="30"/>
      <c r="W1250" s="30"/>
      <c r="X1250" s="1"/>
      <c r="Y1250" s="95"/>
      <c r="Z1250" s="1"/>
      <c r="AA1250" s="94"/>
      <c r="AB1250" s="1"/>
      <c r="AC1250" s="1"/>
      <c r="AD1250" s="1"/>
      <c r="AE1250" s="30"/>
      <c r="AF1250" s="633"/>
      <c r="AG1250" s="94"/>
      <c r="AH1250" s="94"/>
      <c r="AI1250" s="94"/>
      <c r="AJ1250" s="94"/>
      <c r="AK1250" s="94"/>
      <c r="AL1250" s="94"/>
    </row>
    <row r="1251" spans="3:38">
      <c r="C1251" s="30"/>
      <c r="F1251" s="95"/>
      <c r="G1251" s="1"/>
      <c r="H1251" s="94"/>
      <c r="I1251" s="90"/>
      <c r="J1251" s="90"/>
      <c r="K1251" s="1"/>
      <c r="L1251" s="74"/>
      <c r="M1251" s="633"/>
      <c r="N1251" s="274"/>
      <c r="O1251" s="94"/>
      <c r="P1251" s="94"/>
      <c r="Q1251" s="94"/>
      <c r="R1251" s="94"/>
      <c r="S1251" s="94"/>
      <c r="V1251" s="30"/>
      <c r="W1251" s="30"/>
      <c r="X1251" s="1"/>
      <c r="Y1251" s="95"/>
      <c r="Z1251" s="1"/>
      <c r="AA1251" s="94"/>
      <c r="AB1251" s="1"/>
      <c r="AC1251" s="1"/>
      <c r="AD1251" s="1"/>
      <c r="AE1251" s="30"/>
      <c r="AF1251" s="633"/>
      <c r="AG1251" s="94"/>
      <c r="AH1251" s="94"/>
      <c r="AI1251" s="94"/>
      <c r="AJ1251" s="94"/>
      <c r="AK1251" s="94"/>
      <c r="AL1251" s="94"/>
    </row>
    <row r="1252" spans="3:38">
      <c r="C1252" s="30"/>
      <c r="F1252" s="95"/>
      <c r="G1252" s="1"/>
      <c r="H1252" s="94"/>
      <c r="I1252" s="90"/>
      <c r="J1252" s="90"/>
      <c r="K1252" s="1"/>
      <c r="L1252" s="74"/>
      <c r="M1252" s="633"/>
      <c r="N1252" s="274"/>
      <c r="O1252" s="94"/>
      <c r="P1252" s="94"/>
      <c r="Q1252" s="94"/>
      <c r="R1252" s="94"/>
      <c r="S1252" s="94"/>
      <c r="V1252" s="30"/>
      <c r="W1252" s="30"/>
      <c r="X1252" s="1"/>
      <c r="Y1252" s="95"/>
      <c r="Z1252" s="1"/>
      <c r="AA1252" s="94"/>
      <c r="AB1252" s="1"/>
      <c r="AC1252" s="1"/>
      <c r="AD1252" s="1"/>
      <c r="AE1252" s="30"/>
      <c r="AF1252" s="633"/>
      <c r="AG1252" s="94"/>
      <c r="AH1252" s="94"/>
      <c r="AI1252" s="94"/>
      <c r="AJ1252" s="94"/>
      <c r="AK1252" s="94"/>
      <c r="AL1252" s="94"/>
    </row>
    <row r="1253" spans="3:38">
      <c r="C1253" s="30"/>
      <c r="F1253" s="95"/>
      <c r="G1253" s="1"/>
      <c r="H1253" s="94"/>
      <c r="I1253" s="90"/>
      <c r="J1253" s="90"/>
      <c r="K1253" s="1"/>
      <c r="L1253" s="74"/>
      <c r="M1253" s="633"/>
      <c r="N1253" s="274"/>
      <c r="O1253" s="94"/>
      <c r="P1253" s="94"/>
      <c r="Q1253" s="94"/>
      <c r="R1253" s="94"/>
      <c r="S1253" s="94"/>
      <c r="V1253" s="30"/>
      <c r="W1253" s="30"/>
      <c r="X1253" s="1"/>
      <c r="Y1253" s="95"/>
      <c r="Z1253" s="1"/>
      <c r="AA1253" s="94"/>
      <c r="AB1253" s="1"/>
      <c r="AC1253" s="1"/>
      <c r="AD1253" s="1"/>
      <c r="AE1253" s="30"/>
      <c r="AF1253" s="633"/>
      <c r="AG1253" s="94"/>
      <c r="AH1253" s="94"/>
      <c r="AI1253" s="94"/>
      <c r="AJ1253" s="94"/>
      <c r="AK1253" s="94"/>
      <c r="AL1253" s="94"/>
    </row>
    <row r="1254" spans="3:38">
      <c r="C1254" s="30"/>
      <c r="F1254" s="95"/>
      <c r="G1254" s="1"/>
      <c r="H1254" s="94"/>
      <c r="I1254" s="90"/>
      <c r="J1254" s="90"/>
      <c r="K1254" s="1"/>
      <c r="L1254" s="74"/>
      <c r="M1254" s="633"/>
      <c r="N1254" s="274"/>
      <c r="O1254" s="94"/>
      <c r="P1254" s="94"/>
      <c r="Q1254" s="94"/>
      <c r="R1254" s="94"/>
      <c r="S1254" s="94"/>
      <c r="V1254" s="30"/>
      <c r="W1254" s="30"/>
      <c r="X1254" s="1"/>
      <c r="Y1254" s="95"/>
      <c r="Z1254" s="1"/>
      <c r="AA1254" s="94"/>
      <c r="AB1254" s="1"/>
      <c r="AC1254" s="1"/>
      <c r="AD1254" s="1"/>
      <c r="AE1254" s="30"/>
      <c r="AF1254" s="633"/>
      <c r="AG1254" s="94"/>
      <c r="AH1254" s="94"/>
      <c r="AI1254" s="94"/>
      <c r="AJ1254" s="94"/>
      <c r="AK1254" s="94"/>
      <c r="AL1254" s="94"/>
    </row>
    <row r="1255" spans="3:38">
      <c r="C1255" s="30"/>
      <c r="F1255" s="95"/>
      <c r="G1255" s="1"/>
      <c r="H1255" s="94"/>
      <c r="I1255" s="90"/>
      <c r="J1255" s="90"/>
      <c r="K1255" s="1"/>
      <c r="L1255" s="74"/>
      <c r="M1255" s="633"/>
      <c r="N1255" s="274"/>
      <c r="O1255" s="94"/>
      <c r="P1255" s="94"/>
      <c r="Q1255" s="94"/>
      <c r="R1255" s="94"/>
      <c r="S1255" s="94"/>
      <c r="V1255" s="30"/>
      <c r="W1255" s="30"/>
      <c r="X1255" s="1"/>
      <c r="Y1255" s="95"/>
      <c r="Z1255" s="1"/>
      <c r="AA1255" s="94"/>
      <c r="AB1255" s="1"/>
      <c r="AC1255" s="1"/>
      <c r="AD1255" s="1"/>
      <c r="AE1255" s="30"/>
      <c r="AF1255" s="633"/>
      <c r="AG1255" s="94"/>
      <c r="AH1255" s="94"/>
      <c r="AI1255" s="94"/>
      <c r="AJ1255" s="94"/>
      <c r="AK1255" s="94"/>
      <c r="AL1255" s="94"/>
    </row>
    <row r="1256" spans="3:38">
      <c r="C1256" s="30"/>
      <c r="F1256" s="95"/>
      <c r="G1256" s="1"/>
      <c r="H1256" s="94"/>
      <c r="I1256" s="90"/>
      <c r="J1256" s="90"/>
      <c r="K1256" s="1"/>
      <c r="L1256" s="74"/>
      <c r="M1256" s="633"/>
      <c r="N1256" s="274"/>
      <c r="O1256" s="94"/>
      <c r="P1256" s="94"/>
      <c r="Q1256" s="94"/>
      <c r="R1256" s="94"/>
      <c r="S1256" s="94"/>
      <c r="V1256" s="30"/>
      <c r="W1256" s="30"/>
      <c r="X1256" s="1"/>
      <c r="Y1256" s="95"/>
      <c r="Z1256" s="1"/>
      <c r="AA1256" s="94"/>
      <c r="AB1256" s="1"/>
      <c r="AC1256" s="1"/>
      <c r="AD1256" s="1"/>
      <c r="AE1256" s="30"/>
      <c r="AF1256" s="633"/>
      <c r="AG1256" s="94"/>
      <c r="AH1256" s="94"/>
      <c r="AI1256" s="94"/>
      <c r="AJ1256" s="94"/>
      <c r="AK1256" s="94"/>
      <c r="AL1256" s="94"/>
    </row>
    <row r="1257" spans="3:38">
      <c r="C1257" s="30"/>
      <c r="F1257" s="95"/>
      <c r="G1257" s="1"/>
      <c r="H1257" s="94"/>
      <c r="I1257" s="90"/>
      <c r="J1257" s="90"/>
      <c r="K1257" s="1"/>
      <c r="L1257" s="74"/>
      <c r="M1257" s="633"/>
      <c r="N1257" s="274"/>
      <c r="O1257" s="94"/>
      <c r="P1257" s="94"/>
      <c r="Q1257" s="94"/>
      <c r="R1257" s="94"/>
      <c r="S1257" s="94"/>
      <c r="V1257" s="30"/>
      <c r="W1257" s="30"/>
      <c r="X1257" s="1"/>
      <c r="Y1257" s="95"/>
      <c r="Z1257" s="1"/>
      <c r="AA1257" s="94"/>
      <c r="AB1257" s="1"/>
      <c r="AC1257" s="1"/>
      <c r="AD1257" s="1"/>
      <c r="AE1257" s="30"/>
      <c r="AF1257" s="633"/>
      <c r="AG1257" s="94"/>
      <c r="AH1257" s="94"/>
      <c r="AI1257" s="94"/>
      <c r="AJ1257" s="94"/>
      <c r="AK1257" s="94"/>
      <c r="AL1257" s="94"/>
    </row>
    <row r="1258" spans="3:38">
      <c r="C1258" s="30"/>
      <c r="F1258" s="95"/>
      <c r="G1258" s="1"/>
      <c r="H1258" s="94"/>
      <c r="I1258" s="90"/>
      <c r="J1258" s="90"/>
      <c r="K1258" s="1"/>
      <c r="L1258" s="74"/>
      <c r="M1258" s="633"/>
      <c r="N1258" s="274"/>
      <c r="O1258" s="94"/>
      <c r="P1258" s="94"/>
      <c r="Q1258" s="94"/>
      <c r="R1258" s="94"/>
      <c r="S1258" s="94"/>
      <c r="V1258" s="30"/>
      <c r="W1258" s="30"/>
      <c r="X1258" s="1"/>
      <c r="Y1258" s="95"/>
      <c r="Z1258" s="1"/>
      <c r="AA1258" s="94"/>
      <c r="AB1258" s="1"/>
      <c r="AC1258" s="1"/>
      <c r="AD1258" s="1"/>
      <c r="AE1258" s="30"/>
      <c r="AF1258" s="633"/>
      <c r="AG1258" s="94"/>
      <c r="AH1258" s="94"/>
      <c r="AI1258" s="94"/>
      <c r="AJ1258" s="94"/>
      <c r="AK1258" s="94"/>
      <c r="AL1258" s="94"/>
    </row>
    <row r="1259" spans="3:38">
      <c r="C1259" s="30"/>
      <c r="F1259" s="95"/>
      <c r="G1259" s="1"/>
      <c r="H1259" s="94"/>
      <c r="I1259" s="90"/>
      <c r="J1259" s="90"/>
      <c r="K1259" s="1"/>
      <c r="L1259" s="74"/>
      <c r="M1259" s="633"/>
      <c r="N1259" s="274"/>
      <c r="O1259" s="94"/>
      <c r="P1259" s="94"/>
      <c r="Q1259" s="94"/>
      <c r="R1259" s="94"/>
      <c r="S1259" s="94"/>
      <c r="V1259" s="30"/>
      <c r="W1259" s="30"/>
      <c r="X1259" s="1"/>
      <c r="Y1259" s="95"/>
      <c r="Z1259" s="1"/>
      <c r="AA1259" s="94"/>
      <c r="AB1259" s="1"/>
      <c r="AC1259" s="1"/>
      <c r="AD1259" s="1"/>
      <c r="AE1259" s="30"/>
      <c r="AF1259" s="633"/>
      <c r="AG1259" s="94"/>
      <c r="AH1259" s="94"/>
      <c r="AI1259" s="94"/>
      <c r="AJ1259" s="94"/>
      <c r="AK1259" s="94"/>
      <c r="AL1259" s="94"/>
    </row>
    <row r="1260" spans="3:38">
      <c r="C1260" s="30"/>
      <c r="F1260" s="95"/>
      <c r="G1260" s="1"/>
      <c r="H1260" s="94"/>
      <c r="I1260" s="90"/>
      <c r="J1260" s="90"/>
      <c r="K1260" s="1"/>
      <c r="L1260" s="74"/>
      <c r="M1260" s="633"/>
      <c r="N1260" s="274"/>
      <c r="O1260" s="94"/>
      <c r="P1260" s="94"/>
      <c r="Q1260" s="94"/>
      <c r="R1260" s="94"/>
      <c r="S1260" s="94"/>
      <c r="V1260" s="30"/>
      <c r="W1260" s="30"/>
      <c r="X1260" s="1"/>
      <c r="Y1260" s="95"/>
      <c r="Z1260" s="1"/>
      <c r="AA1260" s="94"/>
      <c r="AB1260" s="1"/>
      <c r="AC1260" s="1"/>
      <c r="AD1260" s="1"/>
      <c r="AE1260" s="30"/>
      <c r="AF1260" s="633"/>
      <c r="AG1260" s="94"/>
      <c r="AH1260" s="94"/>
      <c r="AI1260" s="94"/>
      <c r="AJ1260" s="94"/>
      <c r="AK1260" s="94"/>
      <c r="AL1260" s="94"/>
    </row>
    <row r="1261" spans="3:38">
      <c r="C1261" s="30"/>
      <c r="F1261" s="95"/>
      <c r="G1261" s="1"/>
      <c r="H1261" s="94"/>
      <c r="I1261" s="90"/>
      <c r="J1261" s="90"/>
      <c r="K1261" s="1"/>
      <c r="L1261" s="74"/>
      <c r="M1261" s="633"/>
      <c r="N1261" s="274"/>
      <c r="O1261" s="94"/>
      <c r="P1261" s="94"/>
      <c r="Q1261" s="94"/>
      <c r="R1261" s="94"/>
      <c r="S1261" s="94"/>
      <c r="V1261" s="30"/>
      <c r="W1261" s="30"/>
      <c r="X1261" s="1"/>
      <c r="Y1261" s="95"/>
      <c r="Z1261" s="1"/>
      <c r="AA1261" s="94"/>
      <c r="AB1261" s="1"/>
      <c r="AC1261" s="1"/>
      <c r="AD1261" s="1"/>
      <c r="AE1261" s="30"/>
      <c r="AF1261" s="633"/>
      <c r="AG1261" s="94"/>
      <c r="AH1261" s="94"/>
      <c r="AI1261" s="94"/>
      <c r="AJ1261" s="94"/>
      <c r="AK1261" s="94"/>
      <c r="AL1261" s="94"/>
    </row>
    <row r="1262" spans="3:38">
      <c r="C1262" s="30"/>
      <c r="F1262" s="95"/>
      <c r="G1262" s="1"/>
      <c r="H1262" s="94"/>
      <c r="I1262" s="90"/>
      <c r="J1262" s="90"/>
      <c r="K1262" s="1"/>
      <c r="L1262" s="74"/>
      <c r="M1262" s="633"/>
      <c r="N1262" s="274"/>
      <c r="O1262" s="94"/>
      <c r="P1262" s="94"/>
      <c r="Q1262" s="94"/>
      <c r="R1262" s="94"/>
      <c r="S1262" s="94"/>
      <c r="V1262" s="30"/>
      <c r="W1262" s="30"/>
      <c r="X1262" s="1"/>
      <c r="Y1262" s="95"/>
      <c r="Z1262" s="1"/>
      <c r="AA1262" s="94"/>
      <c r="AB1262" s="1"/>
      <c r="AC1262" s="1"/>
      <c r="AD1262" s="1"/>
      <c r="AE1262" s="30"/>
      <c r="AF1262" s="633"/>
      <c r="AG1262" s="94"/>
      <c r="AH1262" s="94"/>
      <c r="AI1262" s="94"/>
      <c r="AJ1262" s="94"/>
      <c r="AK1262" s="94"/>
      <c r="AL1262" s="94"/>
    </row>
    <row r="1263" spans="3:38">
      <c r="C1263" s="30"/>
      <c r="F1263" s="95"/>
      <c r="G1263" s="1"/>
      <c r="H1263" s="94"/>
      <c r="I1263" s="90"/>
      <c r="J1263" s="90"/>
      <c r="K1263" s="1"/>
      <c r="L1263" s="74"/>
      <c r="M1263" s="633"/>
      <c r="N1263" s="274"/>
      <c r="O1263" s="94"/>
      <c r="P1263" s="94"/>
      <c r="Q1263" s="94"/>
      <c r="R1263" s="94"/>
      <c r="S1263" s="94"/>
      <c r="V1263" s="30"/>
      <c r="W1263" s="30"/>
      <c r="X1263" s="1"/>
      <c r="Y1263" s="95"/>
      <c r="Z1263" s="1"/>
      <c r="AA1263" s="94"/>
      <c r="AB1263" s="1"/>
      <c r="AC1263" s="1"/>
      <c r="AD1263" s="1"/>
      <c r="AE1263" s="30"/>
      <c r="AF1263" s="633"/>
      <c r="AG1263" s="94"/>
      <c r="AH1263" s="94"/>
      <c r="AI1263" s="94"/>
      <c r="AJ1263" s="94"/>
      <c r="AK1263" s="94"/>
      <c r="AL1263" s="94"/>
    </row>
    <row r="1264" spans="3:38">
      <c r="C1264" s="30"/>
      <c r="F1264" s="95"/>
      <c r="G1264" s="1"/>
      <c r="H1264" s="94"/>
      <c r="I1264" s="90"/>
      <c r="J1264" s="90"/>
      <c r="K1264" s="1"/>
      <c r="L1264" s="74"/>
      <c r="M1264" s="633"/>
      <c r="N1264" s="274"/>
      <c r="O1264" s="94"/>
      <c r="P1264" s="94"/>
      <c r="Q1264" s="94"/>
      <c r="R1264" s="94"/>
      <c r="S1264" s="94"/>
      <c r="V1264" s="30"/>
      <c r="W1264" s="30"/>
      <c r="X1264" s="1"/>
      <c r="Y1264" s="95"/>
      <c r="Z1264" s="1"/>
      <c r="AA1264" s="94"/>
      <c r="AB1264" s="1"/>
      <c r="AC1264" s="1"/>
      <c r="AD1264" s="1"/>
      <c r="AE1264" s="30"/>
      <c r="AF1264" s="633"/>
      <c r="AG1264" s="94"/>
      <c r="AH1264" s="94"/>
      <c r="AI1264" s="94"/>
      <c r="AJ1264" s="94"/>
      <c r="AK1264" s="94"/>
      <c r="AL1264" s="94"/>
    </row>
    <row r="1265" spans="3:38">
      <c r="C1265" s="30"/>
      <c r="F1265" s="95"/>
      <c r="G1265" s="1"/>
      <c r="H1265" s="94"/>
      <c r="I1265" s="90"/>
      <c r="J1265" s="90"/>
      <c r="K1265" s="1"/>
      <c r="L1265" s="74"/>
      <c r="M1265" s="633"/>
      <c r="N1265" s="274"/>
      <c r="O1265" s="94"/>
      <c r="P1265" s="94"/>
      <c r="Q1265" s="94"/>
      <c r="R1265" s="94"/>
      <c r="S1265" s="94"/>
      <c r="V1265" s="30"/>
      <c r="W1265" s="30"/>
      <c r="X1265" s="1"/>
      <c r="Y1265" s="95"/>
      <c r="Z1265" s="1"/>
      <c r="AA1265" s="94"/>
      <c r="AB1265" s="1"/>
      <c r="AC1265" s="1"/>
      <c r="AD1265" s="1"/>
      <c r="AE1265" s="30"/>
      <c r="AF1265" s="633"/>
      <c r="AG1265" s="94"/>
      <c r="AH1265" s="94"/>
      <c r="AI1265" s="94"/>
      <c r="AJ1265" s="94"/>
      <c r="AK1265" s="94"/>
      <c r="AL1265" s="94"/>
    </row>
    <row r="1266" spans="3:38">
      <c r="C1266" s="30"/>
      <c r="F1266" s="95"/>
      <c r="G1266" s="1"/>
      <c r="H1266" s="94"/>
      <c r="I1266" s="90"/>
      <c r="J1266" s="90"/>
      <c r="K1266" s="1"/>
      <c r="L1266" s="74"/>
      <c r="M1266" s="633"/>
      <c r="N1266" s="274"/>
      <c r="O1266" s="94"/>
      <c r="P1266" s="94"/>
      <c r="Q1266" s="94"/>
      <c r="R1266" s="94"/>
      <c r="S1266" s="94"/>
      <c r="V1266" s="30"/>
      <c r="W1266" s="30"/>
      <c r="X1266" s="1"/>
      <c r="Y1266" s="95"/>
      <c r="Z1266" s="1"/>
      <c r="AA1266" s="94"/>
      <c r="AB1266" s="1"/>
      <c r="AC1266" s="1"/>
      <c r="AD1266" s="1"/>
      <c r="AE1266" s="30"/>
      <c r="AF1266" s="633"/>
      <c r="AG1266" s="94"/>
      <c r="AH1266" s="94"/>
      <c r="AI1266" s="94"/>
      <c r="AJ1266" s="94"/>
      <c r="AK1266" s="94"/>
      <c r="AL1266" s="94"/>
    </row>
    <row r="1267" spans="3:38">
      <c r="C1267" s="30"/>
      <c r="F1267" s="95"/>
      <c r="G1267" s="1"/>
      <c r="H1267" s="94"/>
      <c r="I1267" s="90"/>
      <c r="J1267" s="90"/>
      <c r="K1267" s="1"/>
      <c r="L1267" s="74"/>
      <c r="M1267" s="633"/>
      <c r="N1267" s="274"/>
      <c r="O1267" s="94"/>
      <c r="P1267" s="94"/>
      <c r="Q1267" s="94"/>
      <c r="R1267" s="94"/>
      <c r="S1267" s="94"/>
      <c r="V1267" s="30"/>
      <c r="W1267" s="30"/>
      <c r="X1267" s="1"/>
      <c r="Y1267" s="95"/>
      <c r="Z1267" s="1"/>
      <c r="AA1267" s="94"/>
      <c r="AB1267" s="1"/>
      <c r="AC1267" s="1"/>
      <c r="AD1267" s="1"/>
      <c r="AE1267" s="30"/>
      <c r="AF1267" s="633"/>
      <c r="AG1267" s="94"/>
      <c r="AH1267" s="94"/>
      <c r="AI1267" s="94"/>
      <c r="AJ1267" s="94"/>
      <c r="AK1267" s="94"/>
      <c r="AL1267" s="94"/>
    </row>
    <row r="1268" spans="3:38">
      <c r="C1268" s="30"/>
      <c r="F1268" s="95"/>
      <c r="G1268" s="1"/>
      <c r="H1268" s="94"/>
      <c r="I1268" s="90"/>
      <c r="J1268" s="90"/>
      <c r="K1268" s="1"/>
      <c r="L1268" s="74"/>
      <c r="M1268" s="633"/>
      <c r="N1268" s="274"/>
      <c r="O1268" s="94"/>
      <c r="P1268" s="94"/>
      <c r="Q1268" s="94"/>
      <c r="R1268" s="94"/>
      <c r="S1268" s="94"/>
      <c r="V1268" s="30"/>
      <c r="W1268" s="30"/>
      <c r="X1268" s="1"/>
      <c r="Y1268" s="95"/>
      <c r="Z1268" s="1"/>
      <c r="AA1268" s="94"/>
      <c r="AB1268" s="1"/>
      <c r="AC1268" s="1"/>
      <c r="AD1268" s="1"/>
      <c r="AE1268" s="30"/>
      <c r="AF1268" s="633"/>
      <c r="AG1268" s="94"/>
      <c r="AH1268" s="94"/>
      <c r="AI1268" s="94"/>
      <c r="AJ1268" s="94"/>
      <c r="AK1268" s="94"/>
      <c r="AL1268" s="94"/>
    </row>
    <row r="1269" spans="3:38">
      <c r="C1269" s="30"/>
      <c r="F1269" s="95"/>
      <c r="G1269" s="1"/>
      <c r="H1269" s="94"/>
      <c r="I1269" s="90"/>
      <c r="J1269" s="90"/>
      <c r="K1269" s="1"/>
      <c r="L1269" s="74"/>
      <c r="M1269" s="633"/>
      <c r="N1269" s="274"/>
      <c r="O1269" s="94"/>
      <c r="P1269" s="94"/>
      <c r="Q1269" s="94"/>
      <c r="R1269" s="94"/>
      <c r="S1269" s="94"/>
      <c r="V1269" s="30"/>
      <c r="W1269" s="30"/>
      <c r="X1269" s="1"/>
      <c r="Y1269" s="95"/>
      <c r="Z1269" s="1"/>
      <c r="AA1269" s="94"/>
      <c r="AB1269" s="1"/>
      <c r="AC1269" s="1"/>
      <c r="AD1269" s="1"/>
      <c r="AE1269" s="30"/>
      <c r="AF1269" s="633"/>
      <c r="AG1269" s="94"/>
      <c r="AH1269" s="94"/>
      <c r="AI1269" s="94"/>
      <c r="AJ1269" s="94"/>
      <c r="AK1269" s="94"/>
      <c r="AL1269" s="94"/>
    </row>
    <row r="1270" spans="3:38">
      <c r="C1270" s="30"/>
      <c r="F1270" s="95"/>
      <c r="G1270" s="1"/>
      <c r="H1270" s="94"/>
      <c r="I1270" s="90"/>
      <c r="J1270" s="90"/>
      <c r="K1270" s="1"/>
      <c r="L1270" s="74"/>
      <c r="M1270" s="633"/>
      <c r="N1270" s="274"/>
      <c r="O1270" s="94"/>
      <c r="P1270" s="94"/>
      <c r="Q1270" s="94"/>
      <c r="R1270" s="94"/>
      <c r="S1270" s="94"/>
      <c r="V1270" s="30"/>
      <c r="W1270" s="30"/>
      <c r="X1270" s="1"/>
      <c r="Y1270" s="95"/>
      <c r="Z1270" s="1"/>
      <c r="AA1270" s="94"/>
      <c r="AB1270" s="1"/>
      <c r="AC1270" s="1"/>
      <c r="AD1270" s="1"/>
      <c r="AE1270" s="30"/>
      <c r="AF1270" s="633"/>
      <c r="AG1270" s="94"/>
      <c r="AH1270" s="94"/>
      <c r="AI1270" s="94"/>
      <c r="AJ1270" s="94"/>
      <c r="AK1270" s="94"/>
      <c r="AL1270" s="94"/>
    </row>
    <row r="1271" spans="3:38">
      <c r="C1271" s="30"/>
      <c r="F1271" s="95"/>
      <c r="G1271" s="1"/>
      <c r="H1271" s="94"/>
      <c r="I1271" s="90"/>
      <c r="J1271" s="90"/>
      <c r="K1271" s="1"/>
      <c r="L1271" s="74"/>
      <c r="M1271" s="633"/>
      <c r="N1271" s="274"/>
      <c r="O1271" s="94"/>
      <c r="P1271" s="94"/>
      <c r="Q1271" s="94"/>
      <c r="R1271" s="94"/>
      <c r="S1271" s="94"/>
      <c r="V1271" s="30"/>
      <c r="W1271" s="30"/>
      <c r="X1271" s="1"/>
      <c r="Y1271" s="95"/>
      <c r="Z1271" s="1"/>
      <c r="AA1271" s="94"/>
      <c r="AB1271" s="1"/>
      <c r="AC1271" s="1"/>
      <c r="AD1271" s="1"/>
      <c r="AE1271" s="30"/>
      <c r="AF1271" s="633"/>
      <c r="AG1271" s="94"/>
      <c r="AH1271" s="94"/>
      <c r="AI1271" s="94"/>
      <c r="AJ1271" s="94"/>
      <c r="AK1271" s="94"/>
      <c r="AL1271" s="94"/>
    </row>
    <row r="1272" spans="3:38">
      <c r="C1272" s="30"/>
      <c r="F1272" s="95"/>
      <c r="G1272" s="1"/>
      <c r="H1272" s="94"/>
      <c r="I1272" s="90"/>
      <c r="J1272" s="90"/>
      <c r="K1272" s="1"/>
      <c r="L1272" s="74"/>
      <c r="M1272" s="633"/>
      <c r="N1272" s="274"/>
      <c r="O1272" s="94"/>
      <c r="P1272" s="94"/>
      <c r="Q1272" s="94"/>
      <c r="R1272" s="94"/>
      <c r="S1272" s="94"/>
      <c r="V1272" s="30"/>
      <c r="W1272" s="30"/>
      <c r="X1272" s="1"/>
      <c r="Y1272" s="95"/>
      <c r="Z1272" s="1"/>
      <c r="AA1272" s="94"/>
      <c r="AB1272" s="1"/>
      <c r="AC1272" s="1"/>
      <c r="AD1272" s="1"/>
      <c r="AE1272" s="30"/>
      <c r="AF1272" s="633"/>
      <c r="AG1272" s="94"/>
      <c r="AH1272" s="94"/>
      <c r="AI1272" s="94"/>
      <c r="AJ1272" s="94"/>
      <c r="AK1272" s="94"/>
      <c r="AL1272" s="94"/>
    </row>
    <row r="1273" spans="3:38">
      <c r="C1273" s="30"/>
      <c r="F1273" s="95"/>
      <c r="G1273" s="1"/>
      <c r="H1273" s="94"/>
      <c r="I1273" s="90"/>
      <c r="J1273" s="90"/>
      <c r="K1273" s="1"/>
      <c r="L1273" s="74"/>
      <c r="M1273" s="633"/>
      <c r="N1273" s="274"/>
      <c r="O1273" s="94"/>
      <c r="P1273" s="94"/>
      <c r="Q1273" s="94"/>
      <c r="R1273" s="94"/>
      <c r="S1273" s="94"/>
      <c r="V1273" s="30"/>
      <c r="W1273" s="30"/>
      <c r="X1273" s="1"/>
      <c r="Y1273" s="95"/>
      <c r="Z1273" s="1"/>
      <c r="AA1273" s="94"/>
      <c r="AB1273" s="1"/>
      <c r="AC1273" s="1"/>
      <c r="AD1273" s="1"/>
      <c r="AE1273" s="30"/>
      <c r="AF1273" s="633"/>
      <c r="AG1273" s="94"/>
      <c r="AH1273" s="94"/>
      <c r="AI1273" s="94"/>
      <c r="AJ1273" s="94"/>
      <c r="AK1273" s="94"/>
      <c r="AL1273" s="94"/>
    </row>
    <row r="1274" spans="3:38">
      <c r="C1274" s="30"/>
      <c r="F1274" s="95"/>
      <c r="G1274" s="1"/>
      <c r="H1274" s="94"/>
      <c r="I1274" s="90"/>
      <c r="J1274" s="90"/>
      <c r="K1274" s="1"/>
      <c r="L1274" s="74"/>
      <c r="M1274" s="633"/>
      <c r="N1274" s="274"/>
      <c r="O1274" s="94"/>
      <c r="P1274" s="94"/>
      <c r="Q1274" s="94"/>
      <c r="R1274" s="94"/>
      <c r="S1274" s="94"/>
      <c r="V1274" s="30"/>
      <c r="W1274" s="30"/>
      <c r="X1274" s="1"/>
      <c r="Y1274" s="95"/>
      <c r="Z1274" s="1"/>
      <c r="AA1274" s="94"/>
      <c r="AB1274" s="1"/>
      <c r="AC1274" s="1"/>
      <c r="AD1274" s="1"/>
      <c r="AE1274" s="30"/>
      <c r="AF1274" s="633"/>
      <c r="AG1274" s="94"/>
      <c r="AH1274" s="94"/>
      <c r="AI1274" s="94"/>
      <c r="AJ1274" s="94"/>
      <c r="AK1274" s="94"/>
      <c r="AL1274" s="94"/>
    </row>
    <row r="1275" spans="3:38">
      <c r="C1275" s="30"/>
      <c r="F1275" s="95"/>
      <c r="G1275" s="1"/>
      <c r="H1275" s="94"/>
      <c r="I1275" s="90"/>
      <c r="J1275" s="90"/>
      <c r="K1275" s="1"/>
      <c r="L1275" s="74"/>
      <c r="M1275" s="633"/>
      <c r="N1275" s="274"/>
      <c r="O1275" s="94"/>
      <c r="P1275" s="94"/>
      <c r="Q1275" s="94"/>
      <c r="R1275" s="94"/>
      <c r="S1275" s="94"/>
      <c r="V1275" s="30"/>
      <c r="W1275" s="30"/>
      <c r="X1275" s="1"/>
      <c r="Y1275" s="95"/>
      <c r="Z1275" s="1"/>
      <c r="AA1275" s="94"/>
      <c r="AB1275" s="1"/>
      <c r="AC1275" s="1"/>
      <c r="AD1275" s="1"/>
      <c r="AE1275" s="30"/>
      <c r="AF1275" s="633"/>
      <c r="AG1275" s="94"/>
      <c r="AH1275" s="94"/>
      <c r="AI1275" s="94"/>
      <c r="AJ1275" s="94"/>
      <c r="AK1275" s="94"/>
      <c r="AL1275" s="94"/>
    </row>
    <row r="1276" spans="3:38">
      <c r="C1276" s="30"/>
      <c r="F1276" s="95"/>
      <c r="G1276" s="1"/>
      <c r="H1276" s="94"/>
      <c r="I1276" s="90"/>
      <c r="J1276" s="90"/>
      <c r="K1276" s="1"/>
      <c r="L1276" s="74"/>
      <c r="M1276" s="633"/>
      <c r="N1276" s="274"/>
      <c r="O1276" s="94"/>
      <c r="P1276" s="94"/>
      <c r="Q1276" s="94"/>
      <c r="R1276" s="94"/>
      <c r="S1276" s="94"/>
      <c r="V1276" s="30"/>
      <c r="W1276" s="30"/>
      <c r="X1276" s="1"/>
      <c r="Y1276" s="95"/>
      <c r="Z1276" s="1"/>
      <c r="AA1276" s="94"/>
      <c r="AB1276" s="1"/>
      <c r="AC1276" s="1"/>
      <c r="AD1276" s="1"/>
      <c r="AE1276" s="30"/>
      <c r="AF1276" s="633"/>
      <c r="AG1276" s="94"/>
      <c r="AH1276" s="94"/>
      <c r="AI1276" s="94"/>
      <c r="AJ1276" s="94"/>
      <c r="AK1276" s="94"/>
      <c r="AL1276" s="94"/>
    </row>
    <row r="1277" spans="3:38">
      <c r="C1277" s="30"/>
      <c r="F1277" s="95"/>
      <c r="G1277" s="1"/>
      <c r="H1277" s="94"/>
      <c r="I1277" s="90"/>
      <c r="J1277" s="90"/>
      <c r="K1277" s="1"/>
      <c r="L1277" s="74"/>
      <c r="M1277" s="633"/>
      <c r="N1277" s="274"/>
      <c r="O1277" s="94"/>
      <c r="P1277" s="94"/>
      <c r="Q1277" s="94"/>
      <c r="R1277" s="94"/>
      <c r="S1277" s="94"/>
      <c r="V1277" s="30"/>
      <c r="W1277" s="30"/>
      <c r="X1277" s="1"/>
      <c r="Y1277" s="95"/>
      <c r="Z1277" s="1"/>
      <c r="AA1277" s="94"/>
      <c r="AB1277" s="1"/>
      <c r="AC1277" s="1"/>
      <c r="AD1277" s="1"/>
      <c r="AE1277" s="30"/>
      <c r="AF1277" s="633"/>
      <c r="AG1277" s="94"/>
      <c r="AH1277" s="94"/>
      <c r="AI1277" s="94"/>
      <c r="AJ1277" s="94"/>
      <c r="AK1277" s="94"/>
      <c r="AL1277" s="94"/>
    </row>
    <row r="1278" spans="3:38">
      <c r="C1278" s="30"/>
      <c r="F1278" s="95"/>
      <c r="G1278" s="1"/>
      <c r="H1278" s="94"/>
      <c r="I1278" s="90"/>
      <c r="J1278" s="90"/>
      <c r="K1278" s="1"/>
      <c r="L1278" s="74"/>
      <c r="M1278" s="633"/>
      <c r="N1278" s="274"/>
      <c r="O1278" s="94"/>
      <c r="P1278" s="94"/>
      <c r="Q1278" s="94"/>
      <c r="R1278" s="94"/>
      <c r="S1278" s="94"/>
      <c r="V1278" s="30"/>
      <c r="W1278" s="30"/>
      <c r="X1278" s="1"/>
      <c r="Y1278" s="95"/>
      <c r="Z1278" s="1"/>
      <c r="AA1278" s="94"/>
      <c r="AB1278" s="1"/>
      <c r="AC1278" s="1"/>
      <c r="AD1278" s="1"/>
      <c r="AE1278" s="30"/>
      <c r="AF1278" s="633"/>
      <c r="AG1278" s="94"/>
      <c r="AH1278" s="94"/>
      <c r="AI1278" s="94"/>
      <c r="AJ1278" s="94"/>
      <c r="AK1278" s="94"/>
      <c r="AL1278" s="94"/>
    </row>
    <row r="1279" spans="3:38">
      <c r="C1279" s="30"/>
      <c r="F1279" s="95"/>
      <c r="G1279" s="1"/>
      <c r="H1279" s="94"/>
      <c r="I1279" s="90"/>
      <c r="J1279" s="90"/>
      <c r="K1279" s="1"/>
      <c r="L1279" s="74"/>
      <c r="M1279" s="633"/>
      <c r="N1279" s="274"/>
      <c r="O1279" s="94"/>
      <c r="P1279" s="94"/>
      <c r="Q1279" s="94"/>
      <c r="R1279" s="94"/>
      <c r="S1279" s="94"/>
      <c r="V1279" s="30"/>
      <c r="W1279" s="30"/>
      <c r="X1279" s="1"/>
      <c r="Y1279" s="95"/>
      <c r="Z1279" s="1"/>
      <c r="AA1279" s="94"/>
      <c r="AB1279" s="1"/>
      <c r="AC1279" s="1"/>
      <c r="AD1279" s="1"/>
      <c r="AE1279" s="30"/>
      <c r="AF1279" s="633"/>
      <c r="AG1279" s="94"/>
      <c r="AH1279" s="94"/>
      <c r="AI1279" s="94"/>
      <c r="AJ1279" s="94"/>
      <c r="AK1279" s="94"/>
      <c r="AL1279" s="94"/>
    </row>
    <row r="1280" spans="3:38">
      <c r="C1280" s="30"/>
      <c r="F1280" s="95"/>
      <c r="G1280" s="1"/>
      <c r="H1280" s="94"/>
      <c r="I1280" s="90"/>
      <c r="J1280" s="90"/>
      <c r="K1280" s="1"/>
      <c r="L1280" s="74"/>
      <c r="M1280" s="633"/>
      <c r="N1280" s="274"/>
      <c r="O1280" s="94"/>
      <c r="P1280" s="94"/>
      <c r="Q1280" s="94"/>
      <c r="R1280" s="94"/>
      <c r="S1280" s="94"/>
      <c r="V1280" s="30"/>
      <c r="W1280" s="30"/>
      <c r="X1280" s="1"/>
      <c r="Y1280" s="95"/>
      <c r="Z1280" s="1"/>
      <c r="AA1280" s="94"/>
      <c r="AB1280" s="1"/>
      <c r="AC1280" s="1"/>
      <c r="AD1280" s="1"/>
      <c r="AE1280" s="30"/>
      <c r="AF1280" s="633"/>
      <c r="AG1280" s="94"/>
      <c r="AH1280" s="94"/>
      <c r="AI1280" s="94"/>
      <c r="AJ1280" s="94"/>
      <c r="AK1280" s="94"/>
      <c r="AL1280" s="94"/>
    </row>
    <row r="1281" spans="3:38">
      <c r="C1281" s="30"/>
      <c r="F1281" s="95"/>
      <c r="G1281" s="1"/>
      <c r="H1281" s="94"/>
      <c r="I1281" s="90"/>
      <c r="J1281" s="90"/>
      <c r="K1281" s="1"/>
      <c r="L1281" s="74"/>
      <c r="M1281" s="633"/>
      <c r="N1281" s="274"/>
      <c r="O1281" s="94"/>
      <c r="P1281" s="94"/>
      <c r="Q1281" s="94"/>
      <c r="R1281" s="94"/>
      <c r="S1281" s="94"/>
      <c r="V1281" s="30"/>
      <c r="W1281" s="30"/>
      <c r="X1281" s="1"/>
      <c r="Y1281" s="95"/>
      <c r="Z1281" s="1"/>
      <c r="AA1281" s="94"/>
      <c r="AB1281" s="1"/>
      <c r="AC1281" s="1"/>
      <c r="AD1281" s="1"/>
      <c r="AE1281" s="30"/>
      <c r="AF1281" s="633"/>
      <c r="AG1281" s="94"/>
      <c r="AH1281" s="94"/>
      <c r="AI1281" s="94"/>
      <c r="AJ1281" s="94"/>
      <c r="AK1281" s="94"/>
      <c r="AL1281" s="94"/>
    </row>
    <row r="1282" spans="3:38">
      <c r="C1282" s="30"/>
      <c r="F1282" s="95"/>
      <c r="G1282" s="1"/>
      <c r="H1282" s="94"/>
      <c r="I1282" s="90"/>
      <c r="J1282" s="90"/>
      <c r="K1282" s="1"/>
      <c r="L1282" s="74"/>
      <c r="M1282" s="633"/>
      <c r="N1282" s="274"/>
      <c r="O1282" s="94"/>
      <c r="P1282" s="94"/>
      <c r="Q1282" s="94"/>
      <c r="R1282" s="94"/>
      <c r="S1282" s="94"/>
      <c r="V1282" s="30"/>
      <c r="W1282" s="30"/>
      <c r="X1282" s="1"/>
      <c r="Y1282" s="95"/>
      <c r="Z1282" s="1"/>
      <c r="AA1282" s="94"/>
      <c r="AB1282" s="1"/>
      <c r="AC1282" s="1"/>
      <c r="AD1282" s="1"/>
      <c r="AE1282" s="30"/>
      <c r="AF1282" s="633"/>
      <c r="AG1282" s="94"/>
      <c r="AH1282" s="94"/>
      <c r="AI1282" s="94"/>
      <c r="AJ1282" s="94"/>
      <c r="AK1282" s="94"/>
      <c r="AL1282" s="94"/>
    </row>
    <row r="1283" spans="3:38">
      <c r="C1283" s="30"/>
      <c r="F1283" s="95"/>
      <c r="G1283" s="1"/>
      <c r="H1283" s="94"/>
      <c r="I1283" s="90"/>
      <c r="J1283" s="90"/>
      <c r="K1283" s="1"/>
      <c r="L1283" s="74"/>
      <c r="M1283" s="633"/>
      <c r="N1283" s="274"/>
      <c r="O1283" s="94"/>
      <c r="P1283" s="94"/>
      <c r="Q1283" s="94"/>
      <c r="R1283" s="94"/>
      <c r="S1283" s="94"/>
      <c r="V1283" s="30"/>
      <c r="W1283" s="30"/>
      <c r="X1283" s="1"/>
      <c r="Y1283" s="95"/>
      <c r="Z1283" s="1"/>
      <c r="AA1283" s="94"/>
      <c r="AB1283" s="1"/>
      <c r="AC1283" s="1"/>
      <c r="AD1283" s="1"/>
      <c r="AE1283" s="30"/>
      <c r="AF1283" s="633"/>
      <c r="AG1283" s="94"/>
      <c r="AH1283" s="94"/>
      <c r="AI1283" s="94"/>
      <c r="AJ1283" s="94"/>
      <c r="AK1283" s="94"/>
      <c r="AL1283" s="94"/>
    </row>
    <row r="1284" spans="3:38">
      <c r="C1284" s="30"/>
      <c r="F1284" s="95"/>
      <c r="G1284" s="1"/>
      <c r="H1284" s="94"/>
      <c r="I1284" s="90"/>
      <c r="J1284" s="90"/>
      <c r="K1284" s="1"/>
      <c r="L1284" s="74"/>
      <c r="M1284" s="633"/>
      <c r="N1284" s="274"/>
      <c r="O1284" s="94"/>
      <c r="P1284" s="94"/>
      <c r="Q1284" s="94"/>
      <c r="R1284" s="94"/>
      <c r="S1284" s="94"/>
      <c r="V1284" s="30"/>
      <c r="W1284" s="30"/>
      <c r="X1284" s="1"/>
      <c r="Y1284" s="95"/>
      <c r="Z1284" s="1"/>
      <c r="AA1284" s="94"/>
      <c r="AB1284" s="1"/>
      <c r="AC1284" s="1"/>
      <c r="AD1284" s="1"/>
      <c r="AE1284" s="30"/>
      <c r="AF1284" s="633"/>
      <c r="AG1284" s="94"/>
      <c r="AH1284" s="94"/>
      <c r="AI1284" s="94"/>
      <c r="AJ1284" s="94"/>
      <c r="AK1284" s="94"/>
      <c r="AL1284" s="94"/>
    </row>
    <row r="1285" spans="3:38">
      <c r="C1285" s="30"/>
      <c r="F1285" s="95"/>
      <c r="G1285" s="1"/>
      <c r="H1285" s="94"/>
      <c r="I1285" s="90"/>
      <c r="J1285" s="90"/>
      <c r="K1285" s="1"/>
      <c r="L1285" s="74"/>
      <c r="M1285" s="633"/>
      <c r="N1285" s="274"/>
      <c r="O1285" s="94"/>
      <c r="P1285" s="94"/>
      <c r="Q1285" s="94"/>
      <c r="R1285" s="94"/>
      <c r="S1285" s="94"/>
      <c r="V1285" s="30"/>
      <c r="W1285" s="30"/>
      <c r="X1285" s="1"/>
      <c r="Y1285" s="95"/>
      <c r="Z1285" s="1"/>
      <c r="AA1285" s="94"/>
      <c r="AB1285" s="1"/>
      <c r="AC1285" s="1"/>
      <c r="AD1285" s="1"/>
      <c r="AE1285" s="30"/>
      <c r="AF1285" s="633"/>
      <c r="AG1285" s="94"/>
      <c r="AH1285" s="94"/>
      <c r="AI1285" s="94"/>
      <c r="AJ1285" s="94"/>
      <c r="AK1285" s="94"/>
      <c r="AL1285" s="94"/>
    </row>
    <row r="1286" spans="3:38">
      <c r="C1286" s="30"/>
      <c r="F1286" s="95"/>
      <c r="G1286" s="1"/>
      <c r="H1286" s="94"/>
      <c r="I1286" s="90"/>
      <c r="J1286" s="90"/>
      <c r="K1286" s="1"/>
      <c r="L1286" s="74"/>
      <c r="M1286" s="633"/>
      <c r="N1286" s="274"/>
      <c r="O1286" s="94"/>
      <c r="P1286" s="94"/>
      <c r="Q1286" s="94"/>
      <c r="R1286" s="94"/>
      <c r="S1286" s="94"/>
      <c r="V1286" s="30"/>
      <c r="W1286" s="30"/>
      <c r="X1286" s="1"/>
      <c r="Y1286" s="95"/>
      <c r="Z1286" s="1"/>
      <c r="AA1286" s="94"/>
      <c r="AB1286" s="1"/>
      <c r="AC1286" s="1"/>
      <c r="AD1286" s="1"/>
      <c r="AE1286" s="30"/>
      <c r="AF1286" s="633"/>
      <c r="AG1286" s="94"/>
      <c r="AH1286" s="94"/>
      <c r="AI1286" s="94"/>
      <c r="AJ1286" s="94"/>
      <c r="AK1286" s="94"/>
      <c r="AL1286" s="94"/>
    </row>
    <row r="1287" spans="3:38">
      <c r="C1287" s="30"/>
      <c r="F1287" s="95"/>
      <c r="G1287" s="1"/>
      <c r="H1287" s="94"/>
      <c r="I1287" s="90"/>
      <c r="J1287" s="90"/>
      <c r="K1287" s="1"/>
      <c r="L1287" s="74"/>
      <c r="M1287" s="633"/>
      <c r="N1287" s="274"/>
      <c r="O1287" s="94"/>
      <c r="P1287" s="94"/>
      <c r="Q1287" s="94"/>
      <c r="R1287" s="94"/>
      <c r="S1287" s="94"/>
      <c r="V1287" s="30"/>
      <c r="W1287" s="30"/>
      <c r="X1287" s="1"/>
      <c r="Y1287" s="95"/>
      <c r="Z1287" s="1"/>
      <c r="AA1287" s="94"/>
      <c r="AB1287" s="1"/>
      <c r="AC1287" s="1"/>
      <c r="AD1287" s="1"/>
      <c r="AE1287" s="30"/>
      <c r="AF1287" s="633"/>
      <c r="AG1287" s="94"/>
      <c r="AH1287" s="94"/>
      <c r="AI1287" s="94"/>
      <c r="AJ1287" s="94"/>
      <c r="AK1287" s="94"/>
      <c r="AL1287" s="94"/>
    </row>
    <row r="1288" spans="3:38">
      <c r="C1288" s="30"/>
      <c r="F1288" s="95"/>
      <c r="G1288" s="1"/>
      <c r="H1288" s="94"/>
      <c r="I1288" s="90"/>
      <c r="J1288" s="90"/>
      <c r="K1288" s="1"/>
      <c r="L1288" s="74"/>
      <c r="M1288" s="633"/>
      <c r="N1288" s="274"/>
      <c r="O1288" s="94"/>
      <c r="P1288" s="94"/>
      <c r="Q1288" s="94"/>
      <c r="R1288" s="94"/>
      <c r="S1288" s="94"/>
      <c r="V1288" s="30"/>
      <c r="W1288" s="30"/>
      <c r="X1288" s="1"/>
      <c r="Y1288" s="95"/>
      <c r="Z1288" s="1"/>
      <c r="AA1288" s="94"/>
      <c r="AB1288" s="1"/>
      <c r="AC1288" s="1"/>
      <c r="AD1288" s="1"/>
      <c r="AE1288" s="30"/>
      <c r="AF1288" s="633"/>
      <c r="AG1288" s="94"/>
      <c r="AH1288" s="94"/>
      <c r="AI1288" s="94"/>
      <c r="AJ1288" s="94"/>
      <c r="AK1288" s="94"/>
      <c r="AL1288" s="94"/>
    </row>
    <row r="1289" spans="3:38">
      <c r="C1289" s="30"/>
      <c r="F1289" s="95"/>
      <c r="G1289" s="1"/>
      <c r="H1289" s="94"/>
      <c r="I1289" s="90"/>
      <c r="J1289" s="90"/>
      <c r="K1289" s="1"/>
      <c r="L1289" s="74"/>
      <c r="M1289" s="633"/>
      <c r="N1289" s="274"/>
      <c r="O1289" s="94"/>
      <c r="P1289" s="94"/>
      <c r="Q1289" s="94"/>
      <c r="R1289" s="94"/>
      <c r="S1289" s="94"/>
      <c r="V1289" s="30"/>
      <c r="W1289" s="30"/>
      <c r="X1289" s="1"/>
      <c r="Y1289" s="95"/>
      <c r="Z1289" s="1"/>
      <c r="AA1289" s="94"/>
      <c r="AB1289" s="1"/>
      <c r="AC1289" s="1"/>
      <c r="AD1289" s="1"/>
      <c r="AE1289" s="30"/>
      <c r="AF1289" s="633"/>
      <c r="AG1289" s="94"/>
      <c r="AH1289" s="94"/>
      <c r="AI1289" s="94"/>
      <c r="AJ1289" s="94"/>
      <c r="AK1289" s="94"/>
      <c r="AL1289" s="94"/>
    </row>
    <row r="1290" spans="3:38">
      <c r="C1290" s="30"/>
      <c r="F1290" s="95"/>
      <c r="G1290" s="1"/>
      <c r="H1290" s="94"/>
      <c r="I1290" s="90"/>
      <c r="J1290" s="90"/>
      <c r="K1290" s="1"/>
      <c r="L1290" s="74"/>
      <c r="M1290" s="633"/>
      <c r="N1290" s="274"/>
      <c r="O1290" s="94"/>
      <c r="P1290" s="94"/>
      <c r="Q1290" s="94"/>
      <c r="R1290" s="94"/>
      <c r="S1290" s="94"/>
      <c r="V1290" s="30"/>
      <c r="W1290" s="30"/>
      <c r="X1290" s="1"/>
      <c r="Y1290" s="95"/>
      <c r="Z1290" s="1"/>
      <c r="AA1290" s="94"/>
      <c r="AB1290" s="1"/>
      <c r="AC1290" s="1"/>
      <c r="AD1290" s="1"/>
      <c r="AE1290" s="30"/>
      <c r="AF1290" s="633"/>
      <c r="AG1290" s="94"/>
      <c r="AH1290" s="94"/>
      <c r="AI1290" s="94"/>
      <c r="AJ1290" s="94"/>
      <c r="AK1290" s="94"/>
      <c r="AL1290" s="94"/>
    </row>
    <row r="1291" spans="3:38">
      <c r="C1291" s="30"/>
      <c r="F1291" s="95"/>
      <c r="G1291" s="1"/>
      <c r="H1291" s="94"/>
      <c r="I1291" s="90"/>
      <c r="J1291" s="90"/>
      <c r="K1291" s="1"/>
      <c r="L1291" s="74"/>
      <c r="M1291" s="633"/>
      <c r="N1291" s="274"/>
      <c r="O1291" s="94"/>
      <c r="P1291" s="94"/>
      <c r="Q1291" s="94"/>
      <c r="R1291" s="94"/>
      <c r="S1291" s="94"/>
      <c r="V1291" s="30"/>
      <c r="W1291" s="30"/>
      <c r="X1291" s="1"/>
      <c r="Y1291" s="95"/>
      <c r="Z1291" s="1"/>
      <c r="AA1291" s="94"/>
      <c r="AB1291" s="1"/>
      <c r="AC1291" s="1"/>
      <c r="AD1291" s="1"/>
      <c r="AE1291" s="30"/>
      <c r="AF1291" s="633"/>
      <c r="AG1291" s="94"/>
      <c r="AH1291" s="94"/>
      <c r="AI1291" s="94"/>
      <c r="AJ1291" s="94"/>
      <c r="AK1291" s="94"/>
      <c r="AL1291" s="94"/>
    </row>
    <row r="1292" spans="3:38">
      <c r="C1292" s="30"/>
      <c r="F1292" s="95"/>
      <c r="G1292" s="1"/>
      <c r="H1292" s="94"/>
      <c r="I1292" s="90"/>
      <c r="J1292" s="90"/>
      <c r="K1292" s="1"/>
      <c r="L1292" s="74"/>
      <c r="M1292" s="633"/>
      <c r="N1292" s="274"/>
      <c r="O1292" s="94"/>
      <c r="P1292" s="94"/>
      <c r="Q1292" s="94"/>
      <c r="R1292" s="94"/>
      <c r="S1292" s="94"/>
      <c r="V1292" s="30"/>
      <c r="W1292" s="30"/>
      <c r="X1292" s="1"/>
      <c r="Y1292" s="95"/>
      <c r="Z1292" s="1"/>
      <c r="AA1292" s="94"/>
      <c r="AB1292" s="1"/>
      <c r="AC1292" s="1"/>
      <c r="AD1292" s="1"/>
      <c r="AE1292" s="30"/>
      <c r="AF1292" s="633"/>
      <c r="AG1292" s="94"/>
      <c r="AH1292" s="94"/>
      <c r="AI1292" s="94"/>
      <c r="AJ1292" s="94"/>
      <c r="AK1292" s="94"/>
      <c r="AL1292" s="94"/>
    </row>
    <row r="1293" spans="3:38">
      <c r="C1293" s="30"/>
      <c r="F1293" s="95"/>
      <c r="G1293" s="1"/>
      <c r="H1293" s="94"/>
      <c r="I1293" s="90"/>
      <c r="J1293" s="90"/>
      <c r="K1293" s="1"/>
      <c r="L1293" s="74"/>
      <c r="M1293" s="633"/>
      <c r="N1293" s="274"/>
      <c r="O1293" s="94"/>
      <c r="P1293" s="94"/>
      <c r="Q1293" s="94"/>
      <c r="R1293" s="94"/>
      <c r="S1293" s="94"/>
      <c r="V1293" s="30"/>
      <c r="W1293" s="30"/>
      <c r="X1293" s="1"/>
      <c r="Y1293" s="95"/>
      <c r="Z1293" s="1"/>
      <c r="AA1293" s="94"/>
      <c r="AB1293" s="1"/>
      <c r="AC1293" s="1"/>
      <c r="AD1293" s="1"/>
      <c r="AE1293" s="30"/>
      <c r="AF1293" s="633"/>
      <c r="AG1293" s="94"/>
      <c r="AH1293" s="94"/>
      <c r="AI1293" s="94"/>
      <c r="AJ1293" s="94"/>
      <c r="AK1293" s="94"/>
      <c r="AL1293" s="94"/>
    </row>
    <row r="1294" spans="3:38">
      <c r="C1294" s="30"/>
      <c r="F1294" s="95"/>
      <c r="G1294" s="1"/>
      <c r="H1294" s="94"/>
      <c r="I1294" s="90"/>
      <c r="J1294" s="90"/>
      <c r="K1294" s="1"/>
      <c r="L1294" s="74"/>
      <c r="M1294" s="633"/>
      <c r="N1294" s="274"/>
      <c r="O1294" s="94"/>
      <c r="P1294" s="94"/>
      <c r="Q1294" s="94"/>
      <c r="R1294" s="94"/>
      <c r="S1294" s="94"/>
      <c r="V1294" s="30"/>
      <c r="W1294" s="30"/>
      <c r="X1294" s="1"/>
      <c r="Y1294" s="95"/>
      <c r="Z1294" s="1"/>
      <c r="AA1294" s="94"/>
      <c r="AB1294" s="1"/>
      <c r="AC1294" s="1"/>
      <c r="AD1294" s="1"/>
      <c r="AE1294" s="30"/>
      <c r="AF1294" s="633"/>
      <c r="AG1294" s="94"/>
      <c r="AH1294" s="94"/>
      <c r="AI1294" s="94"/>
      <c r="AJ1294" s="94"/>
      <c r="AK1294" s="94"/>
      <c r="AL1294" s="94"/>
    </row>
    <row r="1295" spans="3:38">
      <c r="C1295" s="30"/>
      <c r="F1295" s="95"/>
      <c r="G1295" s="1"/>
      <c r="H1295" s="94"/>
      <c r="I1295" s="90"/>
      <c r="J1295" s="90"/>
      <c r="K1295" s="1"/>
      <c r="L1295" s="74"/>
      <c r="M1295" s="633"/>
      <c r="N1295" s="274"/>
      <c r="O1295" s="94"/>
      <c r="P1295" s="94"/>
      <c r="Q1295" s="94"/>
      <c r="R1295" s="94"/>
      <c r="S1295" s="94"/>
      <c r="V1295" s="30"/>
      <c r="W1295" s="30"/>
      <c r="X1295" s="1"/>
      <c r="Y1295" s="95"/>
      <c r="Z1295" s="1"/>
      <c r="AA1295" s="94"/>
      <c r="AB1295" s="1"/>
      <c r="AC1295" s="1"/>
      <c r="AD1295" s="1"/>
      <c r="AE1295" s="30"/>
      <c r="AF1295" s="633"/>
      <c r="AG1295" s="94"/>
      <c r="AH1295" s="94"/>
      <c r="AI1295" s="94"/>
      <c r="AJ1295" s="94"/>
      <c r="AK1295" s="94"/>
      <c r="AL1295" s="94"/>
    </row>
    <row r="1296" spans="3:38">
      <c r="C1296" s="30"/>
      <c r="F1296" s="95"/>
      <c r="G1296" s="1"/>
      <c r="H1296" s="94"/>
      <c r="I1296" s="90"/>
      <c r="J1296" s="90"/>
      <c r="K1296" s="1"/>
      <c r="L1296" s="74"/>
      <c r="M1296" s="633"/>
      <c r="N1296" s="274"/>
      <c r="O1296" s="94"/>
      <c r="P1296" s="94"/>
      <c r="Q1296" s="94"/>
      <c r="R1296" s="94"/>
      <c r="S1296" s="94"/>
      <c r="V1296" s="30"/>
      <c r="W1296" s="30"/>
      <c r="X1296" s="1"/>
      <c r="Y1296" s="95"/>
      <c r="Z1296" s="1"/>
      <c r="AA1296" s="94"/>
      <c r="AB1296" s="1"/>
      <c r="AC1296" s="1"/>
      <c r="AD1296" s="1"/>
      <c r="AE1296" s="30"/>
      <c r="AF1296" s="633"/>
      <c r="AG1296" s="94"/>
      <c r="AH1296" s="94"/>
      <c r="AI1296" s="94"/>
      <c r="AJ1296" s="94"/>
      <c r="AK1296" s="94"/>
      <c r="AL1296" s="94"/>
    </row>
    <row r="1297" spans="3:38">
      <c r="C1297" s="30"/>
      <c r="F1297" s="95"/>
      <c r="G1297" s="1"/>
      <c r="H1297" s="94"/>
      <c r="I1297" s="90"/>
      <c r="J1297" s="90"/>
      <c r="K1297" s="1"/>
      <c r="L1297" s="74"/>
      <c r="M1297" s="633"/>
      <c r="N1297" s="274"/>
      <c r="O1297" s="94"/>
      <c r="P1297" s="94"/>
      <c r="Q1297" s="94"/>
      <c r="R1297" s="94"/>
      <c r="S1297" s="94"/>
      <c r="V1297" s="30"/>
      <c r="W1297" s="30"/>
      <c r="X1297" s="1"/>
      <c r="Y1297" s="95"/>
      <c r="Z1297" s="1"/>
      <c r="AA1297" s="94"/>
      <c r="AB1297" s="1"/>
      <c r="AC1297" s="1"/>
      <c r="AD1297" s="1"/>
      <c r="AE1297" s="30"/>
      <c r="AF1297" s="633"/>
      <c r="AG1297" s="94"/>
      <c r="AH1297" s="94"/>
      <c r="AI1297" s="94"/>
      <c r="AJ1297" s="94"/>
      <c r="AK1297" s="94"/>
      <c r="AL1297" s="94"/>
    </row>
    <row r="1298" spans="3:38">
      <c r="C1298" s="30"/>
      <c r="F1298" s="95"/>
      <c r="G1298" s="1"/>
      <c r="H1298" s="94"/>
      <c r="I1298" s="90"/>
      <c r="J1298" s="90"/>
      <c r="K1298" s="1"/>
      <c r="L1298" s="74"/>
      <c r="M1298" s="633"/>
      <c r="N1298" s="274"/>
      <c r="O1298" s="94"/>
      <c r="P1298" s="94"/>
      <c r="Q1298" s="94"/>
      <c r="R1298" s="94"/>
      <c r="S1298" s="94"/>
      <c r="V1298" s="30"/>
      <c r="W1298" s="30"/>
      <c r="X1298" s="1"/>
      <c r="Y1298" s="95"/>
      <c r="Z1298" s="1"/>
      <c r="AA1298" s="94"/>
      <c r="AB1298" s="1"/>
      <c r="AC1298" s="1"/>
      <c r="AD1298" s="1"/>
      <c r="AE1298" s="30"/>
      <c r="AF1298" s="633"/>
      <c r="AG1298" s="94"/>
      <c r="AH1298" s="94"/>
      <c r="AI1298" s="94"/>
      <c r="AJ1298" s="94"/>
      <c r="AK1298" s="94"/>
      <c r="AL1298" s="94"/>
    </row>
    <row r="1299" spans="3:38">
      <c r="C1299" s="30"/>
      <c r="F1299" s="95"/>
      <c r="G1299" s="1"/>
      <c r="H1299" s="94"/>
      <c r="I1299" s="90"/>
      <c r="J1299" s="90"/>
      <c r="K1299" s="1"/>
      <c r="L1299" s="74"/>
      <c r="M1299" s="633"/>
      <c r="N1299" s="274"/>
      <c r="O1299" s="94"/>
      <c r="P1299" s="94"/>
      <c r="Q1299" s="94"/>
      <c r="R1299" s="94"/>
      <c r="S1299" s="94"/>
      <c r="V1299" s="30"/>
      <c r="W1299" s="30"/>
      <c r="X1299" s="1"/>
      <c r="Y1299" s="95"/>
      <c r="Z1299" s="1"/>
      <c r="AA1299" s="94"/>
      <c r="AB1299" s="1"/>
      <c r="AC1299" s="1"/>
      <c r="AD1299" s="1"/>
      <c r="AE1299" s="30"/>
      <c r="AF1299" s="633"/>
      <c r="AG1299" s="94"/>
      <c r="AH1299" s="94"/>
      <c r="AI1299" s="94"/>
      <c r="AJ1299" s="94"/>
      <c r="AK1299" s="94"/>
      <c r="AL1299" s="94"/>
    </row>
    <row r="1300" spans="3:38">
      <c r="C1300" s="30"/>
      <c r="F1300" s="95"/>
      <c r="G1300" s="1"/>
      <c r="H1300" s="94"/>
      <c r="I1300" s="90"/>
      <c r="J1300" s="90"/>
      <c r="K1300" s="1"/>
      <c r="L1300" s="74"/>
      <c r="M1300" s="633"/>
      <c r="N1300" s="274"/>
      <c r="O1300" s="94"/>
      <c r="P1300" s="94"/>
      <c r="Q1300" s="94"/>
      <c r="R1300" s="94"/>
      <c r="S1300" s="94"/>
      <c r="V1300" s="30"/>
      <c r="W1300" s="30"/>
      <c r="X1300" s="1"/>
      <c r="Y1300" s="95"/>
      <c r="Z1300" s="1"/>
      <c r="AA1300" s="94"/>
      <c r="AB1300" s="1"/>
      <c r="AC1300" s="1"/>
      <c r="AD1300" s="1"/>
      <c r="AE1300" s="30"/>
      <c r="AF1300" s="633"/>
      <c r="AG1300" s="94"/>
      <c r="AH1300" s="94"/>
      <c r="AI1300" s="94"/>
      <c r="AJ1300" s="94"/>
      <c r="AK1300" s="94"/>
      <c r="AL1300" s="94"/>
    </row>
    <row r="1301" spans="3:38">
      <c r="C1301" s="30"/>
      <c r="F1301" s="95"/>
      <c r="G1301" s="1"/>
      <c r="H1301" s="94"/>
      <c r="I1301" s="90"/>
      <c r="J1301" s="90"/>
      <c r="K1301" s="1"/>
      <c r="L1301" s="74"/>
      <c r="M1301" s="633"/>
      <c r="N1301" s="274"/>
      <c r="O1301" s="94"/>
      <c r="P1301" s="94"/>
      <c r="Q1301" s="94"/>
      <c r="R1301" s="94"/>
      <c r="S1301" s="94"/>
      <c r="V1301" s="30"/>
      <c r="W1301" s="30"/>
      <c r="X1301" s="1"/>
      <c r="Y1301" s="95"/>
      <c r="Z1301" s="1"/>
      <c r="AA1301" s="94"/>
      <c r="AB1301" s="1"/>
      <c r="AC1301" s="1"/>
      <c r="AD1301" s="1"/>
      <c r="AE1301" s="30"/>
      <c r="AF1301" s="633"/>
      <c r="AG1301" s="94"/>
      <c r="AH1301" s="94"/>
      <c r="AI1301" s="94"/>
      <c r="AJ1301" s="94"/>
      <c r="AK1301" s="94"/>
      <c r="AL1301" s="94"/>
    </row>
    <row r="1302" spans="3:38">
      <c r="C1302" s="30"/>
      <c r="F1302" s="95"/>
      <c r="G1302" s="1"/>
      <c r="H1302" s="94"/>
      <c r="I1302" s="90"/>
      <c r="J1302" s="90"/>
      <c r="K1302" s="1"/>
      <c r="L1302" s="74"/>
      <c r="M1302" s="633"/>
      <c r="N1302" s="274"/>
      <c r="O1302" s="94"/>
      <c r="P1302" s="94"/>
      <c r="Q1302" s="94"/>
      <c r="R1302" s="94"/>
      <c r="S1302" s="94"/>
      <c r="V1302" s="30"/>
      <c r="W1302" s="30"/>
      <c r="X1302" s="1"/>
      <c r="Y1302" s="95"/>
      <c r="Z1302" s="1"/>
      <c r="AA1302" s="94"/>
      <c r="AB1302" s="1"/>
      <c r="AC1302" s="1"/>
      <c r="AD1302" s="1"/>
      <c r="AE1302" s="30"/>
      <c r="AF1302" s="633"/>
      <c r="AG1302" s="94"/>
      <c r="AH1302" s="94"/>
      <c r="AI1302" s="94"/>
      <c r="AJ1302" s="94"/>
      <c r="AK1302" s="94"/>
      <c r="AL1302" s="94"/>
    </row>
    <row r="1303" spans="3:38">
      <c r="C1303" s="30"/>
      <c r="F1303" s="95"/>
      <c r="G1303" s="1"/>
      <c r="H1303" s="94"/>
      <c r="I1303" s="90"/>
      <c r="J1303" s="90"/>
      <c r="K1303" s="1"/>
      <c r="L1303" s="74"/>
      <c r="M1303" s="633"/>
      <c r="N1303" s="274"/>
      <c r="O1303" s="94"/>
      <c r="P1303" s="94"/>
      <c r="Q1303" s="94"/>
      <c r="R1303" s="94"/>
      <c r="S1303" s="94"/>
      <c r="V1303" s="30"/>
      <c r="W1303" s="30"/>
      <c r="X1303" s="1"/>
      <c r="Y1303" s="95"/>
      <c r="Z1303" s="1"/>
      <c r="AA1303" s="94"/>
      <c r="AB1303" s="1"/>
      <c r="AC1303" s="1"/>
      <c r="AD1303" s="1"/>
      <c r="AE1303" s="30"/>
      <c r="AF1303" s="633"/>
      <c r="AG1303" s="94"/>
      <c r="AH1303" s="94"/>
      <c r="AI1303" s="94"/>
      <c r="AJ1303" s="94"/>
      <c r="AK1303" s="94"/>
      <c r="AL1303" s="94"/>
    </row>
    <row r="1304" spans="3:38">
      <c r="C1304" s="30"/>
      <c r="F1304" s="95"/>
      <c r="G1304" s="1"/>
      <c r="H1304" s="94"/>
      <c r="I1304" s="90"/>
      <c r="J1304" s="90"/>
      <c r="K1304" s="1"/>
      <c r="L1304" s="74"/>
      <c r="M1304" s="633"/>
      <c r="N1304" s="274"/>
      <c r="O1304" s="94"/>
      <c r="P1304" s="94"/>
      <c r="Q1304" s="94"/>
      <c r="R1304" s="94"/>
      <c r="S1304" s="94"/>
      <c r="V1304" s="30"/>
      <c r="W1304" s="30"/>
      <c r="X1304" s="1"/>
      <c r="Y1304" s="95"/>
      <c r="Z1304" s="1"/>
      <c r="AA1304" s="94"/>
      <c r="AB1304" s="1"/>
      <c r="AC1304" s="1"/>
      <c r="AD1304" s="1"/>
      <c r="AE1304" s="30"/>
      <c r="AF1304" s="633"/>
      <c r="AG1304" s="94"/>
      <c r="AH1304" s="94"/>
      <c r="AI1304" s="94"/>
      <c r="AJ1304" s="94"/>
      <c r="AK1304" s="94"/>
      <c r="AL1304" s="94"/>
    </row>
    <row r="1305" spans="3:38">
      <c r="C1305" s="30"/>
      <c r="F1305" s="95"/>
      <c r="G1305" s="1"/>
      <c r="H1305" s="94"/>
      <c r="I1305" s="90"/>
      <c r="J1305" s="90"/>
      <c r="K1305" s="1"/>
      <c r="L1305" s="74"/>
      <c r="M1305" s="633"/>
      <c r="N1305" s="274"/>
      <c r="O1305" s="94"/>
      <c r="P1305" s="94"/>
      <c r="Q1305" s="94"/>
      <c r="R1305" s="94"/>
      <c r="S1305" s="94"/>
      <c r="V1305" s="30"/>
      <c r="W1305" s="30"/>
      <c r="X1305" s="1"/>
      <c r="Y1305" s="95"/>
      <c r="Z1305" s="1"/>
      <c r="AA1305" s="94"/>
      <c r="AB1305" s="1"/>
      <c r="AC1305" s="1"/>
      <c r="AD1305" s="1"/>
      <c r="AE1305" s="30"/>
      <c r="AF1305" s="633"/>
      <c r="AG1305" s="94"/>
      <c r="AH1305" s="94"/>
      <c r="AI1305" s="94"/>
      <c r="AJ1305" s="94"/>
      <c r="AK1305" s="94"/>
      <c r="AL1305" s="94"/>
    </row>
    <row r="1306" spans="3:38">
      <c r="C1306" s="30"/>
      <c r="F1306" s="95"/>
      <c r="G1306" s="1"/>
      <c r="H1306" s="94"/>
      <c r="I1306" s="90"/>
      <c r="J1306" s="90"/>
      <c r="K1306" s="1"/>
      <c r="L1306" s="74"/>
      <c r="M1306" s="633"/>
      <c r="N1306" s="274"/>
      <c r="O1306" s="94"/>
      <c r="P1306" s="94"/>
      <c r="Q1306" s="94"/>
      <c r="R1306" s="94"/>
      <c r="S1306" s="94"/>
      <c r="V1306" s="30"/>
      <c r="W1306" s="30"/>
      <c r="X1306" s="1"/>
      <c r="Y1306" s="95"/>
      <c r="Z1306" s="1"/>
      <c r="AA1306" s="94"/>
      <c r="AB1306" s="1"/>
      <c r="AC1306" s="1"/>
      <c r="AD1306" s="1"/>
      <c r="AE1306" s="30"/>
      <c r="AF1306" s="633"/>
      <c r="AG1306" s="94"/>
      <c r="AH1306" s="94"/>
      <c r="AI1306" s="94"/>
      <c r="AJ1306" s="94"/>
      <c r="AK1306" s="94"/>
      <c r="AL1306" s="94"/>
    </row>
    <row r="1307" spans="3:38">
      <c r="C1307" s="30"/>
      <c r="F1307" s="95"/>
      <c r="G1307" s="1"/>
      <c r="H1307" s="94"/>
      <c r="I1307" s="90"/>
      <c r="J1307" s="90"/>
      <c r="K1307" s="1"/>
      <c r="L1307" s="74"/>
      <c r="M1307" s="633"/>
      <c r="N1307" s="274"/>
      <c r="O1307" s="94"/>
      <c r="P1307" s="94"/>
      <c r="Q1307" s="94"/>
      <c r="R1307" s="94"/>
      <c r="S1307" s="94"/>
      <c r="V1307" s="30"/>
      <c r="W1307" s="30"/>
      <c r="X1307" s="1"/>
      <c r="Y1307" s="95"/>
      <c r="Z1307" s="1"/>
      <c r="AA1307" s="94"/>
      <c r="AB1307" s="1"/>
      <c r="AC1307" s="1"/>
      <c r="AD1307" s="1"/>
      <c r="AE1307" s="30"/>
      <c r="AF1307" s="633"/>
      <c r="AG1307" s="94"/>
      <c r="AH1307" s="94"/>
      <c r="AI1307" s="94"/>
      <c r="AJ1307" s="94"/>
      <c r="AK1307" s="94"/>
      <c r="AL1307" s="94"/>
    </row>
    <row r="1308" spans="3:38">
      <c r="C1308" s="30"/>
      <c r="F1308" s="95"/>
      <c r="G1308" s="1"/>
      <c r="H1308" s="94"/>
      <c r="I1308" s="90"/>
      <c r="J1308" s="90"/>
      <c r="K1308" s="1"/>
      <c r="L1308" s="74"/>
      <c r="M1308" s="633"/>
      <c r="N1308" s="274"/>
      <c r="O1308" s="94"/>
      <c r="P1308" s="94"/>
      <c r="Q1308" s="94"/>
      <c r="R1308" s="94"/>
      <c r="S1308" s="94"/>
      <c r="V1308" s="30"/>
      <c r="W1308" s="30"/>
      <c r="X1308" s="1"/>
      <c r="Y1308" s="95"/>
      <c r="Z1308" s="1"/>
      <c r="AA1308" s="94"/>
      <c r="AB1308" s="1"/>
      <c r="AC1308" s="1"/>
      <c r="AD1308" s="1"/>
      <c r="AE1308" s="30"/>
      <c r="AF1308" s="633"/>
      <c r="AG1308" s="94"/>
      <c r="AH1308" s="94"/>
      <c r="AI1308" s="94"/>
      <c r="AJ1308" s="94"/>
      <c r="AK1308" s="94"/>
      <c r="AL1308" s="94"/>
    </row>
    <row r="1309" spans="3:38">
      <c r="C1309" s="30"/>
      <c r="F1309" s="95"/>
      <c r="G1309" s="1"/>
      <c r="H1309" s="94"/>
      <c r="I1309" s="90"/>
      <c r="J1309" s="90"/>
      <c r="K1309" s="1"/>
      <c r="L1309" s="74"/>
      <c r="M1309" s="633"/>
      <c r="N1309" s="274"/>
      <c r="O1309" s="94"/>
      <c r="P1309" s="94"/>
      <c r="Q1309" s="94"/>
      <c r="R1309" s="94"/>
      <c r="S1309" s="94"/>
      <c r="V1309" s="30"/>
      <c r="W1309" s="30"/>
      <c r="X1309" s="1"/>
      <c r="Y1309" s="95"/>
      <c r="Z1309" s="1"/>
      <c r="AA1309" s="94"/>
      <c r="AB1309" s="1"/>
      <c r="AC1309" s="1"/>
      <c r="AD1309" s="1"/>
      <c r="AE1309" s="30"/>
      <c r="AF1309" s="633"/>
      <c r="AG1309" s="94"/>
      <c r="AH1309" s="94"/>
      <c r="AI1309" s="94"/>
      <c r="AJ1309" s="94"/>
      <c r="AK1309" s="94"/>
      <c r="AL1309" s="94"/>
    </row>
    <row r="1310" spans="3:38">
      <c r="C1310" s="30"/>
      <c r="F1310" s="95"/>
      <c r="G1310" s="1"/>
      <c r="H1310" s="94"/>
      <c r="I1310" s="90"/>
      <c r="J1310" s="90"/>
      <c r="K1310" s="1"/>
      <c r="L1310" s="74"/>
      <c r="M1310" s="633"/>
      <c r="N1310" s="274"/>
      <c r="O1310" s="94"/>
      <c r="P1310" s="94"/>
      <c r="Q1310" s="94"/>
      <c r="R1310" s="94"/>
      <c r="S1310" s="94"/>
      <c r="V1310" s="30"/>
      <c r="W1310" s="30"/>
      <c r="X1310" s="1"/>
      <c r="Y1310" s="95"/>
      <c r="Z1310" s="1"/>
      <c r="AA1310" s="94"/>
      <c r="AB1310" s="1"/>
      <c r="AC1310" s="1"/>
      <c r="AD1310" s="1"/>
      <c r="AE1310" s="30"/>
      <c r="AF1310" s="633"/>
      <c r="AG1310" s="94"/>
      <c r="AH1310" s="94"/>
      <c r="AI1310" s="94"/>
      <c r="AJ1310" s="94"/>
      <c r="AK1310" s="94"/>
      <c r="AL1310" s="94"/>
    </row>
    <row r="1311" spans="3:38">
      <c r="C1311" s="30"/>
      <c r="F1311" s="95"/>
      <c r="G1311" s="1"/>
      <c r="H1311" s="94"/>
      <c r="I1311" s="90"/>
      <c r="J1311" s="90"/>
      <c r="K1311" s="1"/>
      <c r="L1311" s="74"/>
      <c r="M1311" s="633"/>
      <c r="N1311" s="274"/>
      <c r="O1311" s="94"/>
      <c r="P1311" s="94"/>
      <c r="Q1311" s="94"/>
      <c r="R1311" s="94"/>
      <c r="S1311" s="94"/>
      <c r="V1311" s="30"/>
      <c r="W1311" s="30"/>
      <c r="X1311" s="1"/>
      <c r="Y1311" s="95"/>
      <c r="Z1311" s="1"/>
      <c r="AA1311" s="94"/>
      <c r="AB1311" s="1"/>
      <c r="AC1311" s="1"/>
      <c r="AD1311" s="1"/>
      <c r="AE1311" s="30"/>
      <c r="AF1311" s="633"/>
      <c r="AG1311" s="94"/>
      <c r="AH1311" s="94"/>
      <c r="AI1311" s="94"/>
      <c r="AJ1311" s="94"/>
      <c r="AK1311" s="94"/>
      <c r="AL1311" s="94"/>
    </row>
    <row r="1312" spans="3:38">
      <c r="C1312" s="30"/>
      <c r="F1312" s="95"/>
      <c r="G1312" s="1"/>
      <c r="H1312" s="94"/>
      <c r="I1312" s="90"/>
      <c r="J1312" s="90"/>
      <c r="K1312" s="1"/>
      <c r="L1312" s="74"/>
      <c r="M1312" s="633"/>
      <c r="N1312" s="274"/>
      <c r="O1312" s="94"/>
      <c r="P1312" s="94"/>
      <c r="Q1312" s="94"/>
      <c r="R1312" s="94"/>
      <c r="S1312" s="94"/>
      <c r="V1312" s="30"/>
      <c r="W1312" s="30"/>
      <c r="X1312" s="1"/>
      <c r="Y1312" s="95"/>
      <c r="Z1312" s="1"/>
      <c r="AA1312" s="94"/>
      <c r="AB1312" s="1"/>
      <c r="AC1312" s="1"/>
      <c r="AD1312" s="1"/>
      <c r="AE1312" s="30"/>
      <c r="AF1312" s="633"/>
      <c r="AG1312" s="94"/>
      <c r="AH1312" s="94"/>
      <c r="AI1312" s="94"/>
      <c r="AJ1312" s="94"/>
      <c r="AK1312" s="94"/>
      <c r="AL1312" s="94"/>
    </row>
    <row r="1313" spans="3:38">
      <c r="C1313" s="30"/>
      <c r="F1313" s="95"/>
      <c r="G1313" s="1"/>
      <c r="H1313" s="94"/>
      <c r="I1313" s="90"/>
      <c r="J1313" s="90"/>
      <c r="K1313" s="1"/>
      <c r="L1313" s="74"/>
      <c r="M1313" s="633"/>
      <c r="N1313" s="274"/>
      <c r="O1313" s="94"/>
      <c r="P1313" s="94"/>
      <c r="Q1313" s="94"/>
      <c r="R1313" s="94"/>
      <c r="S1313" s="94"/>
      <c r="V1313" s="30"/>
      <c r="W1313" s="30"/>
      <c r="X1313" s="1"/>
      <c r="Y1313" s="95"/>
      <c r="Z1313" s="1"/>
      <c r="AA1313" s="94"/>
      <c r="AB1313" s="1"/>
      <c r="AC1313" s="1"/>
      <c r="AD1313" s="1"/>
      <c r="AE1313" s="30"/>
      <c r="AF1313" s="633"/>
      <c r="AG1313" s="94"/>
      <c r="AH1313" s="94"/>
      <c r="AI1313" s="94"/>
      <c r="AJ1313" s="94"/>
      <c r="AK1313" s="94"/>
      <c r="AL1313" s="94"/>
    </row>
    <row r="1314" spans="3:38">
      <c r="C1314" s="30"/>
      <c r="F1314" s="95"/>
      <c r="G1314" s="1"/>
      <c r="H1314" s="94"/>
      <c r="I1314" s="90"/>
      <c r="J1314" s="90"/>
      <c r="K1314" s="1"/>
      <c r="L1314" s="74"/>
      <c r="M1314" s="633"/>
      <c r="N1314" s="274"/>
      <c r="O1314" s="94"/>
      <c r="P1314" s="94"/>
      <c r="Q1314" s="94"/>
      <c r="R1314" s="94"/>
      <c r="S1314" s="94"/>
      <c r="V1314" s="30"/>
      <c r="W1314" s="30"/>
      <c r="X1314" s="1"/>
      <c r="Y1314" s="95"/>
      <c r="Z1314" s="1"/>
      <c r="AA1314" s="94"/>
      <c r="AB1314" s="1"/>
      <c r="AC1314" s="1"/>
      <c r="AD1314" s="1"/>
      <c r="AE1314" s="30"/>
      <c r="AF1314" s="633"/>
      <c r="AG1314" s="94"/>
      <c r="AH1314" s="94"/>
      <c r="AI1314" s="94"/>
      <c r="AJ1314" s="94"/>
      <c r="AK1314" s="94"/>
      <c r="AL1314" s="94"/>
    </row>
    <row r="1315" spans="3:38">
      <c r="C1315" s="30"/>
      <c r="F1315" s="95"/>
      <c r="G1315" s="1"/>
      <c r="H1315" s="94"/>
      <c r="I1315" s="90"/>
      <c r="J1315" s="90"/>
      <c r="K1315" s="1"/>
      <c r="L1315" s="74"/>
      <c r="M1315" s="633"/>
      <c r="N1315" s="274"/>
      <c r="O1315" s="94"/>
      <c r="P1315" s="94"/>
      <c r="Q1315" s="94"/>
      <c r="R1315" s="94"/>
      <c r="S1315" s="94"/>
      <c r="V1315" s="30"/>
      <c r="W1315" s="30"/>
      <c r="X1315" s="1"/>
      <c r="Y1315" s="95"/>
      <c r="Z1315" s="1"/>
      <c r="AA1315" s="94"/>
      <c r="AB1315" s="1"/>
      <c r="AC1315" s="1"/>
      <c r="AD1315" s="1"/>
      <c r="AE1315" s="30"/>
      <c r="AF1315" s="633"/>
      <c r="AG1315" s="94"/>
      <c r="AH1315" s="94"/>
      <c r="AI1315" s="94"/>
      <c r="AJ1315" s="94"/>
      <c r="AK1315" s="94"/>
      <c r="AL1315" s="94"/>
    </row>
    <row r="1316" spans="3:38">
      <c r="C1316" s="30"/>
      <c r="F1316" s="95"/>
      <c r="G1316" s="1"/>
      <c r="H1316" s="94"/>
      <c r="I1316" s="90"/>
      <c r="J1316" s="90"/>
      <c r="K1316" s="1"/>
      <c r="L1316" s="74"/>
      <c r="M1316" s="633"/>
      <c r="N1316" s="274"/>
      <c r="O1316" s="94"/>
      <c r="P1316" s="94"/>
      <c r="Q1316" s="94"/>
      <c r="R1316" s="94"/>
      <c r="S1316" s="94"/>
      <c r="V1316" s="30"/>
      <c r="W1316" s="30"/>
      <c r="X1316" s="1"/>
      <c r="Y1316" s="95"/>
      <c r="Z1316" s="1"/>
      <c r="AA1316" s="94"/>
      <c r="AB1316" s="1"/>
      <c r="AC1316" s="1"/>
      <c r="AD1316" s="1"/>
      <c r="AE1316" s="30"/>
      <c r="AF1316" s="633"/>
      <c r="AG1316" s="94"/>
      <c r="AH1316" s="94"/>
      <c r="AI1316" s="94"/>
      <c r="AJ1316" s="94"/>
      <c r="AK1316" s="94"/>
      <c r="AL1316" s="94"/>
    </row>
    <row r="1317" spans="3:38">
      <c r="C1317" s="30"/>
      <c r="F1317" s="95"/>
      <c r="G1317" s="1"/>
      <c r="H1317" s="94"/>
      <c r="I1317" s="90"/>
      <c r="J1317" s="90"/>
      <c r="K1317" s="1"/>
      <c r="L1317" s="74"/>
      <c r="M1317" s="633"/>
      <c r="N1317" s="274"/>
      <c r="O1317" s="94"/>
      <c r="P1317" s="94"/>
      <c r="Q1317" s="94"/>
      <c r="R1317" s="94"/>
      <c r="S1317" s="94"/>
      <c r="V1317" s="30"/>
      <c r="W1317" s="30"/>
      <c r="X1317" s="1"/>
      <c r="Y1317" s="95"/>
      <c r="Z1317" s="1"/>
      <c r="AA1317" s="94"/>
      <c r="AB1317" s="1"/>
      <c r="AC1317" s="1"/>
      <c r="AD1317" s="1"/>
      <c r="AE1317" s="30"/>
      <c r="AF1317" s="633"/>
      <c r="AG1317" s="94"/>
      <c r="AH1317" s="94"/>
      <c r="AI1317" s="94"/>
      <c r="AJ1317" s="94"/>
      <c r="AK1317" s="94"/>
      <c r="AL1317" s="94"/>
    </row>
    <row r="1318" spans="3:38">
      <c r="C1318" s="30"/>
      <c r="F1318" s="95"/>
      <c r="G1318" s="1"/>
      <c r="H1318" s="94"/>
      <c r="I1318" s="90"/>
      <c r="J1318" s="90"/>
      <c r="K1318" s="1"/>
      <c r="L1318" s="74"/>
      <c r="M1318" s="633"/>
      <c r="N1318" s="274"/>
      <c r="O1318" s="94"/>
      <c r="P1318" s="94"/>
      <c r="Q1318" s="94"/>
      <c r="R1318" s="94"/>
      <c r="S1318" s="94"/>
      <c r="V1318" s="30"/>
      <c r="W1318" s="30"/>
      <c r="X1318" s="1"/>
      <c r="Y1318" s="95"/>
      <c r="Z1318" s="1"/>
      <c r="AA1318" s="94"/>
      <c r="AB1318" s="1"/>
      <c r="AC1318" s="1"/>
      <c r="AD1318" s="1"/>
      <c r="AE1318" s="30"/>
      <c r="AF1318" s="633"/>
      <c r="AG1318" s="94"/>
      <c r="AH1318" s="94"/>
      <c r="AI1318" s="94"/>
      <c r="AJ1318" s="94"/>
      <c r="AK1318" s="94"/>
      <c r="AL1318" s="94"/>
    </row>
    <row r="1319" spans="3:38">
      <c r="C1319" s="30"/>
      <c r="F1319" s="95"/>
      <c r="G1319" s="1"/>
      <c r="H1319" s="94"/>
      <c r="I1319" s="90"/>
      <c r="J1319" s="90"/>
      <c r="K1319" s="1"/>
      <c r="L1319" s="74"/>
      <c r="M1319" s="633"/>
      <c r="N1319" s="274"/>
      <c r="O1319" s="94"/>
      <c r="P1319" s="94"/>
      <c r="Q1319" s="94"/>
      <c r="R1319" s="94"/>
      <c r="S1319" s="94"/>
      <c r="V1319" s="30"/>
      <c r="W1319" s="30"/>
      <c r="X1319" s="1"/>
      <c r="Y1319" s="95"/>
      <c r="Z1319" s="1"/>
      <c r="AA1319" s="94"/>
      <c r="AB1319" s="1"/>
      <c r="AC1319" s="1"/>
      <c r="AD1319" s="1"/>
      <c r="AE1319" s="30"/>
      <c r="AF1319" s="633"/>
      <c r="AG1319" s="94"/>
      <c r="AH1319" s="94"/>
      <c r="AI1319" s="94"/>
      <c r="AJ1319" s="94"/>
      <c r="AK1319" s="94"/>
      <c r="AL1319" s="94"/>
    </row>
    <row r="1320" spans="3:38">
      <c r="C1320" s="30"/>
      <c r="F1320" s="95"/>
      <c r="G1320" s="1"/>
      <c r="H1320" s="94"/>
      <c r="I1320" s="90"/>
      <c r="J1320" s="90"/>
      <c r="K1320" s="1"/>
      <c r="L1320" s="74"/>
      <c r="M1320" s="633"/>
      <c r="N1320" s="274"/>
      <c r="O1320" s="94"/>
      <c r="P1320" s="94"/>
      <c r="Q1320" s="94"/>
      <c r="R1320" s="94"/>
      <c r="S1320" s="94"/>
      <c r="V1320" s="30"/>
      <c r="W1320" s="30"/>
      <c r="X1320" s="1"/>
      <c r="Y1320" s="95"/>
      <c r="Z1320" s="1"/>
      <c r="AA1320" s="94"/>
      <c r="AB1320" s="1"/>
      <c r="AC1320" s="1"/>
      <c r="AD1320" s="1"/>
      <c r="AE1320" s="30"/>
      <c r="AF1320" s="633"/>
      <c r="AG1320" s="94"/>
      <c r="AH1320" s="94"/>
      <c r="AI1320" s="94"/>
      <c r="AJ1320" s="94"/>
      <c r="AK1320" s="94"/>
      <c r="AL1320" s="94"/>
    </row>
    <row r="1321" spans="3:38">
      <c r="C1321" s="30"/>
      <c r="F1321" s="95"/>
      <c r="G1321" s="1"/>
      <c r="H1321" s="94"/>
      <c r="I1321" s="90"/>
      <c r="J1321" s="90"/>
      <c r="K1321" s="1"/>
      <c r="L1321" s="74"/>
      <c r="M1321" s="633"/>
      <c r="N1321" s="274"/>
      <c r="O1321" s="94"/>
      <c r="P1321" s="94"/>
      <c r="Q1321" s="94"/>
      <c r="R1321" s="94"/>
      <c r="S1321" s="94"/>
      <c r="V1321" s="30"/>
      <c r="W1321" s="30"/>
      <c r="X1321" s="1"/>
      <c r="Y1321" s="95"/>
      <c r="Z1321" s="1"/>
      <c r="AA1321" s="94"/>
      <c r="AB1321" s="1"/>
      <c r="AC1321" s="1"/>
      <c r="AD1321" s="1"/>
      <c r="AE1321" s="30"/>
      <c r="AF1321" s="633"/>
      <c r="AG1321" s="94"/>
      <c r="AH1321" s="94"/>
      <c r="AI1321" s="94"/>
      <c r="AJ1321" s="94"/>
      <c r="AK1321" s="94"/>
      <c r="AL1321" s="94"/>
    </row>
    <row r="1322" spans="3:38">
      <c r="C1322" s="30"/>
      <c r="F1322" s="95"/>
      <c r="G1322" s="1"/>
      <c r="H1322" s="94"/>
      <c r="I1322" s="90"/>
      <c r="J1322" s="90"/>
      <c r="K1322" s="1"/>
      <c r="L1322" s="74"/>
      <c r="M1322" s="633"/>
      <c r="N1322" s="274"/>
      <c r="O1322" s="94"/>
      <c r="P1322" s="94"/>
      <c r="Q1322" s="94"/>
      <c r="R1322" s="94"/>
      <c r="S1322" s="94"/>
      <c r="V1322" s="30"/>
      <c r="W1322" s="30"/>
      <c r="X1322" s="1"/>
      <c r="Y1322" s="95"/>
      <c r="Z1322" s="1"/>
      <c r="AA1322" s="94"/>
      <c r="AB1322" s="1"/>
      <c r="AC1322" s="1"/>
      <c r="AD1322" s="1"/>
      <c r="AE1322" s="30"/>
      <c r="AF1322" s="633"/>
      <c r="AG1322" s="94"/>
      <c r="AH1322" s="94"/>
      <c r="AI1322" s="94"/>
      <c r="AJ1322" s="94"/>
      <c r="AK1322" s="94"/>
      <c r="AL1322" s="94"/>
    </row>
    <row r="1323" spans="3:38">
      <c r="C1323" s="30"/>
      <c r="F1323" s="95"/>
      <c r="G1323" s="1"/>
      <c r="H1323" s="94"/>
      <c r="I1323" s="90"/>
      <c r="J1323" s="90"/>
      <c r="K1323" s="1"/>
      <c r="L1323" s="74"/>
      <c r="M1323" s="633"/>
      <c r="N1323" s="274"/>
      <c r="O1323" s="94"/>
      <c r="P1323" s="94"/>
      <c r="Q1323" s="94"/>
      <c r="R1323" s="94"/>
      <c r="S1323" s="94"/>
      <c r="V1323" s="30"/>
      <c r="W1323" s="30"/>
      <c r="X1323" s="1"/>
      <c r="Y1323" s="95"/>
      <c r="Z1323" s="1"/>
      <c r="AA1323" s="94"/>
      <c r="AB1323" s="1"/>
      <c r="AC1323" s="1"/>
      <c r="AD1323" s="1"/>
      <c r="AE1323" s="30"/>
      <c r="AF1323" s="633"/>
      <c r="AG1323" s="94"/>
      <c r="AH1323" s="94"/>
      <c r="AI1323" s="94"/>
      <c r="AJ1323" s="94"/>
      <c r="AK1323" s="94"/>
      <c r="AL1323" s="94"/>
    </row>
    <row r="1324" spans="3:38">
      <c r="C1324" s="30"/>
      <c r="F1324" s="95"/>
      <c r="G1324" s="1"/>
      <c r="H1324" s="94"/>
      <c r="I1324" s="90"/>
      <c r="J1324" s="90"/>
      <c r="K1324" s="1"/>
      <c r="L1324" s="74"/>
      <c r="M1324" s="633"/>
      <c r="N1324" s="274"/>
      <c r="O1324" s="94"/>
      <c r="P1324" s="94"/>
      <c r="Q1324" s="94"/>
      <c r="R1324" s="94"/>
      <c r="S1324" s="94"/>
      <c r="V1324" s="30"/>
      <c r="W1324" s="30"/>
      <c r="X1324" s="1"/>
      <c r="Y1324" s="95"/>
      <c r="Z1324" s="1"/>
      <c r="AA1324" s="94"/>
      <c r="AB1324" s="1"/>
      <c r="AC1324" s="1"/>
      <c r="AD1324" s="1"/>
      <c r="AE1324" s="30"/>
      <c r="AF1324" s="633"/>
      <c r="AG1324" s="94"/>
      <c r="AH1324" s="94"/>
      <c r="AI1324" s="94"/>
      <c r="AJ1324" s="94"/>
      <c r="AK1324" s="94"/>
      <c r="AL1324" s="94"/>
    </row>
    <row r="1325" spans="3:38">
      <c r="C1325" s="30"/>
      <c r="F1325" s="95"/>
      <c r="G1325" s="1"/>
      <c r="H1325" s="94"/>
      <c r="I1325" s="90"/>
      <c r="J1325" s="90"/>
      <c r="K1325" s="1"/>
      <c r="L1325" s="74"/>
      <c r="M1325" s="633"/>
      <c r="N1325" s="274"/>
      <c r="O1325" s="94"/>
      <c r="P1325" s="94"/>
      <c r="Q1325" s="94"/>
      <c r="R1325" s="94"/>
      <c r="S1325" s="94"/>
      <c r="V1325" s="30"/>
      <c r="W1325" s="30"/>
      <c r="X1325" s="1"/>
      <c r="Y1325" s="95"/>
      <c r="Z1325" s="1"/>
      <c r="AA1325" s="94"/>
      <c r="AB1325" s="1"/>
      <c r="AC1325" s="1"/>
      <c r="AD1325" s="1"/>
      <c r="AE1325" s="30"/>
      <c r="AF1325" s="633"/>
      <c r="AG1325" s="94"/>
      <c r="AH1325" s="94"/>
      <c r="AI1325" s="94"/>
      <c r="AJ1325" s="94"/>
      <c r="AK1325" s="94"/>
      <c r="AL1325" s="94"/>
    </row>
    <row r="1326" spans="3:38">
      <c r="C1326" s="30"/>
      <c r="F1326" s="95"/>
      <c r="G1326" s="1"/>
      <c r="H1326" s="94"/>
      <c r="I1326" s="90"/>
      <c r="J1326" s="90"/>
      <c r="K1326" s="1"/>
      <c r="L1326" s="74"/>
      <c r="M1326" s="633"/>
      <c r="N1326" s="274"/>
      <c r="O1326" s="94"/>
      <c r="P1326" s="94"/>
      <c r="Q1326" s="94"/>
      <c r="R1326" s="94"/>
      <c r="S1326" s="94"/>
      <c r="V1326" s="30"/>
      <c r="W1326" s="30"/>
      <c r="X1326" s="1"/>
      <c r="Y1326" s="95"/>
      <c r="Z1326" s="1"/>
      <c r="AA1326" s="94"/>
      <c r="AB1326" s="1"/>
      <c r="AC1326" s="1"/>
      <c r="AD1326" s="1"/>
      <c r="AE1326" s="30"/>
      <c r="AF1326" s="633"/>
      <c r="AG1326" s="94"/>
      <c r="AH1326" s="94"/>
      <c r="AI1326" s="94"/>
      <c r="AJ1326" s="94"/>
      <c r="AK1326" s="94"/>
      <c r="AL1326" s="94"/>
    </row>
    <row r="1327" spans="3:38">
      <c r="C1327" s="30"/>
      <c r="F1327" s="95"/>
      <c r="G1327" s="1"/>
      <c r="H1327" s="94"/>
      <c r="I1327" s="90"/>
      <c r="J1327" s="90"/>
      <c r="K1327" s="1"/>
      <c r="L1327" s="74"/>
      <c r="M1327" s="633"/>
      <c r="N1327" s="274"/>
      <c r="O1327" s="94"/>
      <c r="P1327" s="94"/>
      <c r="Q1327" s="94"/>
      <c r="R1327" s="94"/>
      <c r="S1327" s="94"/>
      <c r="V1327" s="30"/>
      <c r="W1327" s="30"/>
      <c r="X1327" s="1"/>
      <c r="Y1327" s="95"/>
      <c r="Z1327" s="1"/>
      <c r="AA1327" s="94"/>
      <c r="AB1327" s="1"/>
      <c r="AC1327" s="1"/>
      <c r="AD1327" s="1"/>
      <c r="AE1327" s="30"/>
      <c r="AF1327" s="633"/>
      <c r="AG1327" s="94"/>
      <c r="AH1327" s="94"/>
      <c r="AI1327" s="94"/>
      <c r="AJ1327" s="94"/>
      <c r="AK1327" s="94"/>
      <c r="AL1327" s="94"/>
    </row>
    <row r="1328" spans="3:38">
      <c r="C1328" s="30"/>
      <c r="F1328" s="95"/>
      <c r="G1328" s="1"/>
      <c r="H1328" s="94"/>
      <c r="I1328" s="90"/>
      <c r="J1328" s="90"/>
      <c r="K1328" s="1"/>
      <c r="L1328" s="74"/>
      <c r="M1328" s="633"/>
      <c r="N1328" s="274"/>
      <c r="O1328" s="94"/>
      <c r="P1328" s="94"/>
      <c r="Q1328" s="94"/>
      <c r="R1328" s="94"/>
      <c r="S1328" s="94"/>
      <c r="V1328" s="30"/>
      <c r="W1328" s="30"/>
      <c r="X1328" s="1"/>
      <c r="Y1328" s="95"/>
      <c r="Z1328" s="1"/>
      <c r="AA1328" s="94"/>
      <c r="AB1328" s="1"/>
      <c r="AC1328" s="1"/>
      <c r="AD1328" s="1"/>
      <c r="AE1328" s="30"/>
      <c r="AF1328" s="633"/>
      <c r="AG1328" s="94"/>
      <c r="AH1328" s="94"/>
      <c r="AI1328" s="94"/>
      <c r="AJ1328" s="94"/>
      <c r="AK1328" s="94"/>
      <c r="AL1328" s="94"/>
    </row>
    <row r="1329" spans="3:38">
      <c r="C1329" s="30"/>
      <c r="F1329" s="95"/>
      <c r="G1329" s="1"/>
      <c r="H1329" s="94"/>
      <c r="I1329" s="90"/>
      <c r="J1329" s="90"/>
      <c r="K1329" s="1"/>
      <c r="L1329" s="74"/>
      <c r="M1329" s="633"/>
      <c r="N1329" s="274"/>
      <c r="O1329" s="94"/>
      <c r="P1329" s="94"/>
      <c r="Q1329" s="94"/>
      <c r="R1329" s="94"/>
      <c r="S1329" s="94"/>
      <c r="V1329" s="30"/>
      <c r="W1329" s="30"/>
      <c r="X1329" s="1"/>
      <c r="Y1329" s="95"/>
      <c r="Z1329" s="1"/>
      <c r="AA1329" s="94"/>
      <c r="AB1329" s="1"/>
      <c r="AC1329" s="1"/>
      <c r="AD1329" s="1"/>
      <c r="AE1329" s="30"/>
      <c r="AF1329" s="633"/>
      <c r="AG1329" s="94"/>
      <c r="AH1329" s="94"/>
      <c r="AI1329" s="94"/>
      <c r="AJ1329" s="94"/>
      <c r="AK1329" s="94"/>
      <c r="AL1329" s="94"/>
    </row>
    <row r="1330" spans="3:38">
      <c r="C1330" s="30"/>
      <c r="F1330" s="95"/>
      <c r="G1330" s="1"/>
      <c r="H1330" s="94"/>
      <c r="I1330" s="90"/>
      <c r="J1330" s="90"/>
      <c r="K1330" s="1"/>
      <c r="L1330" s="74"/>
      <c r="M1330" s="633"/>
      <c r="N1330" s="274"/>
      <c r="O1330" s="94"/>
      <c r="P1330" s="94"/>
      <c r="Q1330" s="94"/>
      <c r="R1330" s="94"/>
      <c r="S1330" s="94"/>
      <c r="V1330" s="30"/>
      <c r="W1330" s="30"/>
      <c r="X1330" s="1"/>
      <c r="Y1330" s="95"/>
      <c r="Z1330" s="1"/>
      <c r="AA1330" s="94"/>
      <c r="AB1330" s="1"/>
      <c r="AC1330" s="1"/>
      <c r="AD1330" s="1"/>
      <c r="AE1330" s="30"/>
      <c r="AF1330" s="633"/>
      <c r="AG1330" s="94"/>
      <c r="AH1330" s="94"/>
      <c r="AI1330" s="94"/>
      <c r="AJ1330" s="94"/>
      <c r="AK1330" s="94"/>
      <c r="AL1330" s="94"/>
    </row>
    <row r="1331" spans="3:38">
      <c r="C1331" s="30"/>
      <c r="F1331" s="95"/>
      <c r="G1331" s="1"/>
      <c r="H1331" s="94"/>
      <c r="I1331" s="90"/>
      <c r="J1331" s="90"/>
      <c r="K1331" s="1"/>
      <c r="L1331" s="74"/>
      <c r="M1331" s="633"/>
      <c r="N1331" s="274"/>
      <c r="O1331" s="94"/>
      <c r="P1331" s="94"/>
      <c r="Q1331" s="94"/>
      <c r="R1331" s="94"/>
      <c r="S1331" s="94"/>
      <c r="V1331" s="30"/>
      <c r="W1331" s="30"/>
      <c r="X1331" s="1"/>
      <c r="Y1331" s="95"/>
      <c r="Z1331" s="1"/>
      <c r="AA1331" s="94"/>
      <c r="AB1331" s="1"/>
      <c r="AC1331" s="1"/>
      <c r="AD1331" s="1"/>
      <c r="AE1331" s="30"/>
      <c r="AF1331" s="633"/>
      <c r="AG1331" s="94"/>
      <c r="AH1331" s="94"/>
      <c r="AI1331" s="94"/>
      <c r="AJ1331" s="94"/>
      <c r="AK1331" s="94"/>
      <c r="AL1331" s="94"/>
    </row>
    <row r="1332" spans="3:38">
      <c r="C1332" s="30"/>
      <c r="F1332" s="95"/>
      <c r="G1332" s="1"/>
      <c r="H1332" s="94"/>
      <c r="I1332" s="90"/>
      <c r="J1332" s="90"/>
      <c r="K1332" s="1"/>
      <c r="L1332" s="74"/>
      <c r="M1332" s="633"/>
      <c r="N1332" s="274"/>
      <c r="O1332" s="94"/>
      <c r="P1332" s="94"/>
      <c r="Q1332" s="94"/>
      <c r="R1332" s="94"/>
      <c r="S1332" s="94"/>
      <c r="V1332" s="30"/>
      <c r="W1332" s="30"/>
      <c r="X1332" s="1"/>
      <c r="Y1332" s="95"/>
      <c r="Z1332" s="1"/>
      <c r="AA1332" s="94"/>
      <c r="AB1332" s="1"/>
      <c r="AC1332" s="1"/>
      <c r="AD1332" s="1"/>
      <c r="AE1332" s="30"/>
      <c r="AF1332" s="633"/>
      <c r="AG1332" s="94"/>
      <c r="AH1332" s="94"/>
      <c r="AI1332" s="94"/>
      <c r="AJ1332" s="94"/>
      <c r="AK1332" s="94"/>
      <c r="AL1332" s="94"/>
    </row>
    <row r="1333" spans="3:38">
      <c r="C1333" s="30"/>
      <c r="F1333" s="95"/>
      <c r="G1333" s="1"/>
      <c r="H1333" s="94"/>
      <c r="I1333" s="90"/>
      <c r="J1333" s="90"/>
      <c r="K1333" s="1"/>
      <c r="L1333" s="74"/>
      <c r="M1333" s="633"/>
      <c r="N1333" s="274"/>
      <c r="O1333" s="94"/>
      <c r="P1333" s="94"/>
      <c r="Q1333" s="94"/>
      <c r="R1333" s="94"/>
      <c r="S1333" s="94"/>
      <c r="V1333" s="30"/>
      <c r="W1333" s="30"/>
      <c r="X1333" s="1"/>
      <c r="Y1333" s="95"/>
      <c r="Z1333" s="1"/>
      <c r="AA1333" s="94"/>
      <c r="AB1333" s="1"/>
      <c r="AC1333" s="1"/>
      <c r="AD1333" s="1"/>
      <c r="AE1333" s="30"/>
      <c r="AF1333" s="633"/>
      <c r="AG1333" s="94"/>
      <c r="AH1333" s="94"/>
      <c r="AI1333" s="94"/>
      <c r="AJ1333" s="94"/>
      <c r="AK1333" s="94"/>
      <c r="AL1333" s="94"/>
    </row>
    <row r="1334" spans="3:38">
      <c r="C1334" s="30"/>
      <c r="F1334" s="95"/>
      <c r="G1334" s="1"/>
      <c r="H1334" s="94"/>
      <c r="I1334" s="90"/>
      <c r="J1334" s="90"/>
      <c r="K1334" s="1"/>
      <c r="L1334" s="74"/>
      <c r="M1334" s="633"/>
      <c r="N1334" s="274"/>
      <c r="O1334" s="94"/>
      <c r="P1334" s="94"/>
      <c r="Q1334" s="94"/>
      <c r="R1334" s="94"/>
      <c r="S1334" s="94"/>
      <c r="V1334" s="30"/>
      <c r="W1334" s="30"/>
      <c r="X1334" s="1"/>
      <c r="Y1334" s="95"/>
      <c r="Z1334" s="1"/>
      <c r="AA1334" s="94"/>
      <c r="AB1334" s="1"/>
      <c r="AC1334" s="1"/>
      <c r="AD1334" s="1"/>
      <c r="AE1334" s="30"/>
      <c r="AF1334" s="633"/>
      <c r="AG1334" s="94"/>
      <c r="AH1334" s="94"/>
      <c r="AI1334" s="94"/>
      <c r="AJ1334" s="94"/>
      <c r="AK1334" s="94"/>
      <c r="AL1334" s="94"/>
    </row>
    <row r="1335" spans="3:38">
      <c r="C1335" s="30"/>
      <c r="F1335" s="95"/>
      <c r="G1335" s="1"/>
      <c r="H1335" s="94"/>
      <c r="I1335" s="90"/>
      <c r="J1335" s="90"/>
      <c r="K1335" s="1"/>
      <c r="L1335" s="74"/>
      <c r="M1335" s="633"/>
      <c r="N1335" s="274"/>
      <c r="O1335" s="94"/>
      <c r="P1335" s="94"/>
      <c r="Q1335" s="94"/>
      <c r="R1335" s="94"/>
      <c r="S1335" s="94"/>
      <c r="V1335" s="30"/>
      <c r="W1335" s="30"/>
      <c r="X1335" s="1"/>
      <c r="Y1335" s="95"/>
      <c r="Z1335" s="1"/>
      <c r="AA1335" s="94"/>
      <c r="AB1335" s="1"/>
      <c r="AC1335" s="1"/>
      <c r="AD1335" s="1"/>
      <c r="AE1335" s="30"/>
      <c r="AF1335" s="633"/>
      <c r="AG1335" s="94"/>
      <c r="AH1335" s="94"/>
      <c r="AI1335" s="94"/>
      <c r="AJ1335" s="94"/>
      <c r="AK1335" s="94"/>
      <c r="AL1335" s="94"/>
    </row>
    <row r="1336" spans="3:38">
      <c r="C1336" s="30"/>
      <c r="F1336" s="95"/>
      <c r="G1336" s="1"/>
      <c r="H1336" s="94"/>
      <c r="I1336" s="90"/>
      <c r="J1336" s="90"/>
      <c r="K1336" s="1"/>
      <c r="L1336" s="74"/>
      <c r="M1336" s="633"/>
      <c r="N1336" s="274"/>
      <c r="O1336" s="94"/>
      <c r="P1336" s="94"/>
      <c r="Q1336" s="94"/>
      <c r="R1336" s="94"/>
      <c r="S1336" s="94"/>
      <c r="V1336" s="30"/>
      <c r="W1336" s="30"/>
      <c r="X1336" s="1"/>
      <c r="Y1336" s="95"/>
      <c r="Z1336" s="1"/>
      <c r="AA1336" s="94"/>
      <c r="AB1336" s="1"/>
      <c r="AC1336" s="1"/>
      <c r="AD1336" s="1"/>
      <c r="AE1336" s="30"/>
      <c r="AF1336" s="633"/>
      <c r="AG1336" s="94"/>
      <c r="AH1336" s="94"/>
      <c r="AI1336" s="94"/>
      <c r="AJ1336" s="94"/>
      <c r="AK1336" s="94"/>
      <c r="AL1336" s="94"/>
    </row>
    <row r="1337" spans="3:38">
      <c r="C1337" s="30"/>
      <c r="F1337" s="95"/>
      <c r="G1337" s="1"/>
      <c r="H1337" s="94"/>
      <c r="I1337" s="90"/>
      <c r="J1337" s="90"/>
      <c r="K1337" s="1"/>
      <c r="L1337" s="74"/>
      <c r="M1337" s="633"/>
      <c r="N1337" s="274"/>
      <c r="O1337" s="94"/>
      <c r="P1337" s="94"/>
      <c r="Q1337" s="94"/>
      <c r="R1337" s="94"/>
      <c r="S1337" s="94"/>
      <c r="V1337" s="30"/>
      <c r="W1337" s="30"/>
      <c r="X1337" s="1"/>
      <c r="Y1337" s="95"/>
      <c r="Z1337" s="1"/>
      <c r="AA1337" s="94"/>
      <c r="AB1337" s="1"/>
      <c r="AC1337" s="1"/>
      <c r="AD1337" s="1"/>
      <c r="AE1337" s="30"/>
      <c r="AF1337" s="633"/>
      <c r="AG1337" s="94"/>
      <c r="AH1337" s="94"/>
      <c r="AI1337" s="94"/>
      <c r="AJ1337" s="94"/>
      <c r="AK1337" s="94"/>
      <c r="AL1337" s="94"/>
    </row>
    <row r="1338" spans="3:38">
      <c r="C1338" s="30"/>
      <c r="F1338" s="95"/>
      <c r="G1338" s="1"/>
      <c r="H1338" s="94"/>
      <c r="I1338" s="90"/>
      <c r="J1338" s="90"/>
      <c r="K1338" s="1"/>
      <c r="L1338" s="74"/>
      <c r="M1338" s="633"/>
      <c r="N1338" s="274"/>
      <c r="O1338" s="94"/>
      <c r="P1338" s="94"/>
      <c r="Q1338" s="94"/>
      <c r="R1338" s="94"/>
      <c r="S1338" s="94"/>
      <c r="V1338" s="30"/>
      <c r="W1338" s="30"/>
      <c r="X1338" s="1"/>
      <c r="Y1338" s="95"/>
      <c r="Z1338" s="1"/>
      <c r="AA1338" s="94"/>
      <c r="AB1338" s="1"/>
      <c r="AC1338" s="1"/>
      <c r="AD1338" s="1"/>
      <c r="AE1338" s="30"/>
      <c r="AF1338" s="633"/>
      <c r="AG1338" s="94"/>
      <c r="AH1338" s="94"/>
      <c r="AI1338" s="94"/>
      <c r="AJ1338" s="94"/>
      <c r="AK1338" s="94"/>
      <c r="AL1338" s="94"/>
    </row>
    <row r="1339" spans="3:38">
      <c r="C1339" s="30"/>
      <c r="F1339" s="95"/>
      <c r="G1339" s="1"/>
      <c r="H1339" s="94"/>
      <c r="I1339" s="90"/>
      <c r="J1339" s="90"/>
      <c r="K1339" s="1"/>
      <c r="L1339" s="74"/>
      <c r="M1339" s="633"/>
      <c r="N1339" s="274"/>
      <c r="O1339" s="94"/>
      <c r="P1339" s="94"/>
      <c r="Q1339" s="94"/>
      <c r="R1339" s="94"/>
      <c r="S1339" s="94"/>
      <c r="V1339" s="30"/>
      <c r="W1339" s="30"/>
      <c r="X1339" s="1"/>
      <c r="Y1339" s="95"/>
      <c r="Z1339" s="1"/>
      <c r="AA1339" s="94"/>
      <c r="AB1339" s="1"/>
      <c r="AC1339" s="1"/>
      <c r="AD1339" s="1"/>
      <c r="AE1339" s="30"/>
      <c r="AF1339" s="633"/>
      <c r="AG1339" s="94"/>
      <c r="AH1339" s="94"/>
      <c r="AI1339" s="94"/>
      <c r="AJ1339" s="94"/>
      <c r="AK1339" s="94"/>
      <c r="AL1339" s="94"/>
    </row>
    <row r="1340" spans="3:38">
      <c r="C1340" s="30"/>
      <c r="F1340" s="95"/>
      <c r="G1340" s="1"/>
      <c r="H1340" s="94"/>
      <c r="I1340" s="90"/>
      <c r="J1340" s="90"/>
      <c r="K1340" s="1"/>
      <c r="L1340" s="74"/>
      <c r="M1340" s="633"/>
      <c r="N1340" s="274"/>
      <c r="O1340" s="94"/>
      <c r="P1340" s="94"/>
      <c r="Q1340" s="94"/>
      <c r="R1340" s="94"/>
      <c r="S1340" s="94"/>
      <c r="V1340" s="30"/>
      <c r="W1340" s="30"/>
      <c r="X1340" s="1"/>
      <c r="Y1340" s="95"/>
      <c r="Z1340" s="1"/>
      <c r="AA1340" s="94"/>
      <c r="AB1340" s="1"/>
      <c r="AC1340" s="1"/>
      <c r="AD1340" s="1"/>
      <c r="AE1340" s="30"/>
      <c r="AF1340" s="633"/>
      <c r="AG1340" s="94"/>
      <c r="AH1340" s="94"/>
      <c r="AI1340" s="94"/>
      <c r="AJ1340" s="94"/>
      <c r="AK1340" s="94"/>
      <c r="AL1340" s="94"/>
    </row>
    <row r="1341" spans="3:38">
      <c r="C1341" s="30"/>
      <c r="F1341" s="95"/>
      <c r="G1341" s="1"/>
      <c r="H1341" s="94"/>
      <c r="I1341" s="90"/>
      <c r="J1341" s="90"/>
      <c r="K1341" s="1"/>
      <c r="L1341" s="74"/>
      <c r="M1341" s="633"/>
      <c r="N1341" s="274"/>
      <c r="O1341" s="94"/>
      <c r="P1341" s="94"/>
      <c r="Q1341" s="94"/>
      <c r="R1341" s="94"/>
      <c r="S1341" s="94"/>
      <c r="V1341" s="30"/>
      <c r="W1341" s="30"/>
      <c r="X1341" s="1"/>
      <c r="Y1341" s="95"/>
      <c r="Z1341" s="1"/>
      <c r="AA1341" s="94"/>
      <c r="AB1341" s="1"/>
      <c r="AC1341" s="1"/>
      <c r="AD1341" s="1"/>
      <c r="AE1341" s="30"/>
      <c r="AF1341" s="633"/>
      <c r="AG1341" s="94"/>
      <c r="AH1341" s="94"/>
      <c r="AI1341" s="94"/>
      <c r="AJ1341" s="94"/>
      <c r="AK1341" s="94"/>
      <c r="AL1341" s="94"/>
    </row>
    <row r="1342" spans="3:38">
      <c r="C1342" s="30"/>
      <c r="F1342" s="95"/>
      <c r="G1342" s="1"/>
      <c r="H1342" s="94"/>
      <c r="I1342" s="90"/>
      <c r="J1342" s="90"/>
      <c r="K1342" s="1"/>
      <c r="L1342" s="74"/>
      <c r="M1342" s="633"/>
      <c r="N1342" s="274"/>
      <c r="O1342" s="94"/>
      <c r="P1342" s="94"/>
      <c r="Q1342" s="94"/>
      <c r="R1342" s="94"/>
      <c r="S1342" s="94"/>
      <c r="V1342" s="30"/>
      <c r="W1342" s="30"/>
      <c r="X1342" s="1"/>
      <c r="Y1342" s="95"/>
      <c r="Z1342" s="1"/>
      <c r="AA1342" s="94"/>
      <c r="AB1342" s="1"/>
      <c r="AC1342" s="1"/>
      <c r="AD1342" s="1"/>
      <c r="AE1342" s="30"/>
      <c r="AF1342" s="633"/>
      <c r="AG1342" s="94"/>
      <c r="AH1342" s="94"/>
      <c r="AI1342" s="94"/>
      <c r="AJ1342" s="94"/>
      <c r="AK1342" s="94"/>
      <c r="AL1342" s="94"/>
    </row>
    <row r="1343" spans="3:38">
      <c r="C1343" s="30"/>
      <c r="F1343" s="95"/>
      <c r="G1343" s="1"/>
      <c r="H1343" s="94"/>
      <c r="I1343" s="90"/>
      <c r="J1343" s="90"/>
      <c r="K1343" s="1"/>
      <c r="L1343" s="74"/>
      <c r="M1343" s="633"/>
      <c r="N1343" s="274"/>
      <c r="O1343" s="94"/>
      <c r="P1343" s="94"/>
      <c r="Q1343" s="94"/>
      <c r="R1343" s="94"/>
      <c r="S1343" s="94"/>
      <c r="V1343" s="30"/>
      <c r="W1343" s="30"/>
      <c r="X1343" s="1"/>
      <c r="Y1343" s="95"/>
      <c r="Z1343" s="1"/>
      <c r="AA1343" s="94"/>
      <c r="AB1343" s="1"/>
      <c r="AC1343" s="1"/>
      <c r="AD1343" s="1"/>
      <c r="AE1343" s="30"/>
      <c r="AF1343" s="633"/>
      <c r="AG1343" s="94"/>
      <c r="AH1343" s="94"/>
      <c r="AI1343" s="94"/>
      <c r="AJ1343" s="94"/>
      <c r="AK1343" s="94"/>
      <c r="AL1343" s="94"/>
    </row>
    <row r="1344" spans="3:38">
      <c r="C1344" s="30"/>
      <c r="F1344" s="95"/>
      <c r="G1344" s="1"/>
      <c r="H1344" s="94"/>
      <c r="I1344" s="90"/>
      <c r="J1344" s="90"/>
      <c r="K1344" s="1"/>
      <c r="L1344" s="74"/>
      <c r="M1344" s="633"/>
      <c r="N1344" s="274"/>
      <c r="O1344" s="94"/>
      <c r="P1344" s="94"/>
      <c r="Q1344" s="94"/>
      <c r="R1344" s="94"/>
      <c r="S1344" s="94"/>
      <c r="V1344" s="30"/>
      <c r="W1344" s="30"/>
      <c r="X1344" s="1"/>
      <c r="Y1344" s="95"/>
      <c r="Z1344" s="1"/>
      <c r="AA1344" s="94"/>
      <c r="AB1344" s="1"/>
      <c r="AC1344" s="1"/>
      <c r="AD1344" s="1"/>
      <c r="AE1344" s="30"/>
      <c r="AF1344" s="633"/>
      <c r="AG1344" s="94"/>
      <c r="AH1344" s="94"/>
      <c r="AI1344" s="94"/>
      <c r="AJ1344" s="94"/>
      <c r="AK1344" s="94"/>
      <c r="AL1344" s="94"/>
    </row>
    <row r="1345" spans="3:38">
      <c r="C1345" s="30"/>
      <c r="F1345" s="95"/>
      <c r="G1345" s="1"/>
      <c r="H1345" s="94"/>
      <c r="I1345" s="90"/>
      <c r="J1345" s="90"/>
      <c r="K1345" s="1"/>
      <c r="L1345" s="74"/>
      <c r="M1345" s="633"/>
      <c r="N1345" s="274"/>
      <c r="O1345" s="94"/>
      <c r="P1345" s="94"/>
      <c r="Q1345" s="94"/>
      <c r="R1345" s="94"/>
      <c r="S1345" s="94"/>
      <c r="V1345" s="30"/>
      <c r="W1345" s="30"/>
      <c r="X1345" s="1"/>
      <c r="Y1345" s="95"/>
      <c r="Z1345" s="1"/>
      <c r="AA1345" s="94"/>
      <c r="AB1345" s="1"/>
      <c r="AC1345" s="1"/>
      <c r="AD1345" s="1"/>
      <c r="AE1345" s="30"/>
      <c r="AF1345" s="633"/>
      <c r="AG1345" s="94"/>
      <c r="AH1345" s="94"/>
      <c r="AI1345" s="94"/>
      <c r="AJ1345" s="94"/>
      <c r="AK1345" s="94"/>
      <c r="AL1345" s="94"/>
    </row>
    <row r="1346" spans="3:38">
      <c r="C1346" s="30"/>
      <c r="F1346" s="95"/>
      <c r="G1346" s="1"/>
      <c r="H1346" s="94"/>
      <c r="I1346" s="90"/>
      <c r="J1346" s="90"/>
      <c r="K1346" s="1"/>
      <c r="L1346" s="74"/>
      <c r="M1346" s="633"/>
      <c r="N1346" s="274"/>
      <c r="O1346" s="94"/>
      <c r="P1346" s="94"/>
      <c r="Q1346" s="94"/>
      <c r="R1346" s="94"/>
      <c r="S1346" s="94"/>
      <c r="V1346" s="30"/>
      <c r="W1346" s="30"/>
      <c r="X1346" s="1"/>
      <c r="Y1346" s="95"/>
      <c r="Z1346" s="1"/>
      <c r="AA1346" s="94"/>
      <c r="AB1346" s="1"/>
      <c r="AC1346" s="1"/>
      <c r="AD1346" s="1"/>
      <c r="AE1346" s="30"/>
      <c r="AF1346" s="633"/>
      <c r="AG1346" s="94"/>
      <c r="AH1346" s="94"/>
      <c r="AI1346" s="94"/>
      <c r="AJ1346" s="94"/>
      <c r="AK1346" s="94"/>
      <c r="AL1346" s="94"/>
    </row>
    <row r="1347" spans="3:38">
      <c r="C1347" s="30"/>
      <c r="F1347" s="95"/>
      <c r="G1347" s="1"/>
      <c r="H1347" s="94"/>
      <c r="I1347" s="90"/>
      <c r="J1347" s="90"/>
      <c r="K1347" s="1"/>
      <c r="L1347" s="74"/>
      <c r="M1347" s="633"/>
      <c r="N1347" s="274"/>
      <c r="O1347" s="94"/>
      <c r="P1347" s="94"/>
      <c r="Q1347" s="94"/>
      <c r="R1347" s="94"/>
      <c r="S1347" s="94"/>
      <c r="V1347" s="30"/>
      <c r="W1347" s="30"/>
      <c r="X1347" s="1"/>
      <c r="Y1347" s="95"/>
      <c r="Z1347" s="1"/>
      <c r="AA1347" s="94"/>
      <c r="AB1347" s="1"/>
      <c r="AC1347" s="1"/>
      <c r="AD1347" s="1"/>
      <c r="AE1347" s="30"/>
      <c r="AF1347" s="633"/>
      <c r="AG1347" s="94"/>
      <c r="AH1347" s="94"/>
      <c r="AI1347" s="94"/>
      <c r="AJ1347" s="94"/>
      <c r="AK1347" s="94"/>
      <c r="AL1347" s="94"/>
    </row>
    <row r="1348" spans="3:38">
      <c r="C1348" s="30"/>
      <c r="F1348" s="95"/>
      <c r="G1348" s="1"/>
      <c r="H1348" s="94"/>
      <c r="I1348" s="90"/>
      <c r="J1348" s="90"/>
      <c r="K1348" s="1"/>
      <c r="L1348" s="74"/>
      <c r="M1348" s="633"/>
      <c r="N1348" s="274"/>
      <c r="O1348" s="94"/>
      <c r="P1348" s="94"/>
      <c r="Q1348" s="94"/>
      <c r="R1348" s="94"/>
      <c r="S1348" s="94"/>
      <c r="V1348" s="30"/>
      <c r="W1348" s="30"/>
      <c r="X1348" s="1"/>
      <c r="Y1348" s="95"/>
      <c r="Z1348" s="1"/>
      <c r="AA1348" s="94"/>
      <c r="AB1348" s="1"/>
      <c r="AC1348" s="1"/>
      <c r="AD1348" s="1"/>
      <c r="AE1348" s="30"/>
      <c r="AF1348" s="633"/>
      <c r="AG1348" s="94"/>
      <c r="AH1348" s="94"/>
      <c r="AI1348" s="94"/>
      <c r="AJ1348" s="94"/>
      <c r="AK1348" s="94"/>
      <c r="AL1348" s="94"/>
    </row>
    <row r="1349" spans="3:38">
      <c r="C1349" s="30"/>
      <c r="F1349" s="95"/>
      <c r="G1349" s="1"/>
      <c r="H1349" s="94"/>
      <c r="I1349" s="90"/>
      <c r="J1349" s="90"/>
      <c r="K1349" s="1"/>
      <c r="L1349" s="74"/>
      <c r="M1349" s="633"/>
      <c r="N1349" s="274"/>
      <c r="O1349" s="94"/>
      <c r="P1349" s="94"/>
      <c r="Q1349" s="94"/>
      <c r="R1349" s="94"/>
      <c r="S1349" s="94"/>
      <c r="V1349" s="30"/>
      <c r="W1349" s="30"/>
      <c r="X1349" s="1"/>
      <c r="Y1349" s="95"/>
      <c r="Z1349" s="1"/>
      <c r="AA1349" s="94"/>
      <c r="AB1349" s="1"/>
      <c r="AC1349" s="1"/>
      <c r="AD1349" s="1"/>
      <c r="AE1349" s="30"/>
      <c r="AF1349" s="633"/>
      <c r="AG1349" s="94"/>
      <c r="AH1349" s="94"/>
      <c r="AI1349" s="94"/>
      <c r="AJ1349" s="94"/>
      <c r="AK1349" s="94"/>
      <c r="AL1349" s="94"/>
    </row>
    <row r="1350" spans="3:38">
      <c r="C1350" s="30"/>
      <c r="F1350" s="95"/>
      <c r="G1350" s="1"/>
      <c r="H1350" s="94"/>
      <c r="I1350" s="90"/>
      <c r="J1350" s="90"/>
      <c r="K1350" s="1"/>
      <c r="L1350" s="74"/>
      <c r="M1350" s="633"/>
      <c r="N1350" s="274"/>
      <c r="O1350" s="94"/>
      <c r="P1350" s="94"/>
      <c r="Q1350" s="94"/>
      <c r="R1350" s="94"/>
      <c r="S1350" s="94"/>
      <c r="V1350" s="30"/>
      <c r="W1350" s="30"/>
      <c r="X1350" s="1"/>
      <c r="Y1350" s="95"/>
      <c r="Z1350" s="1"/>
      <c r="AA1350" s="94"/>
      <c r="AB1350" s="1"/>
      <c r="AC1350" s="1"/>
      <c r="AD1350" s="1"/>
      <c r="AE1350" s="30"/>
      <c r="AF1350" s="633"/>
      <c r="AG1350" s="94"/>
      <c r="AH1350" s="94"/>
      <c r="AI1350" s="94"/>
      <c r="AJ1350" s="94"/>
      <c r="AK1350" s="94"/>
      <c r="AL1350" s="94"/>
    </row>
    <row r="1351" spans="3:38">
      <c r="C1351" s="30"/>
      <c r="F1351" s="95"/>
      <c r="G1351" s="1"/>
      <c r="H1351" s="94"/>
      <c r="I1351" s="90"/>
      <c r="J1351" s="90"/>
      <c r="K1351" s="1"/>
      <c r="L1351" s="74"/>
      <c r="M1351" s="633"/>
      <c r="N1351" s="274"/>
      <c r="O1351" s="94"/>
      <c r="P1351" s="94"/>
      <c r="Q1351" s="94"/>
      <c r="R1351" s="94"/>
      <c r="S1351" s="94"/>
      <c r="V1351" s="30"/>
      <c r="W1351" s="30"/>
      <c r="X1351" s="1"/>
      <c r="Y1351" s="95"/>
      <c r="Z1351" s="1"/>
      <c r="AA1351" s="94"/>
      <c r="AB1351" s="1"/>
      <c r="AC1351" s="1"/>
      <c r="AD1351" s="1"/>
      <c r="AE1351" s="30"/>
      <c r="AF1351" s="633"/>
      <c r="AG1351" s="94"/>
      <c r="AH1351" s="94"/>
      <c r="AI1351" s="94"/>
      <c r="AJ1351" s="94"/>
      <c r="AK1351" s="94"/>
      <c r="AL1351" s="94"/>
    </row>
    <row r="1352" spans="3:38">
      <c r="C1352" s="30"/>
      <c r="F1352" s="95"/>
      <c r="G1352" s="1"/>
      <c r="H1352" s="94"/>
      <c r="I1352" s="90"/>
      <c r="J1352" s="90"/>
      <c r="K1352" s="1"/>
      <c r="L1352" s="74"/>
      <c r="M1352" s="633"/>
      <c r="N1352" s="274"/>
      <c r="O1352" s="94"/>
      <c r="P1352" s="94"/>
      <c r="Q1352" s="94"/>
      <c r="R1352" s="94"/>
      <c r="S1352" s="94"/>
      <c r="V1352" s="30"/>
      <c r="W1352" s="30"/>
      <c r="X1352" s="1"/>
      <c r="Y1352" s="95"/>
      <c r="Z1352" s="1"/>
      <c r="AA1352" s="94"/>
      <c r="AB1352" s="1"/>
      <c r="AC1352" s="1"/>
      <c r="AD1352" s="1"/>
      <c r="AE1352" s="30"/>
      <c r="AF1352" s="633"/>
      <c r="AG1352" s="94"/>
      <c r="AH1352" s="94"/>
      <c r="AI1352" s="94"/>
      <c r="AJ1352" s="94"/>
      <c r="AK1352" s="94"/>
      <c r="AL1352" s="94"/>
    </row>
    <row r="1353" spans="3:38">
      <c r="C1353" s="30"/>
      <c r="F1353" s="95"/>
      <c r="G1353" s="1"/>
      <c r="H1353" s="94"/>
      <c r="I1353" s="90"/>
      <c r="J1353" s="90"/>
      <c r="K1353" s="1"/>
      <c r="L1353" s="74"/>
      <c r="M1353" s="633"/>
      <c r="N1353" s="274"/>
      <c r="O1353" s="94"/>
      <c r="P1353" s="94"/>
      <c r="Q1353" s="94"/>
      <c r="R1353" s="94"/>
      <c r="S1353" s="94"/>
      <c r="V1353" s="30"/>
      <c r="W1353" s="30"/>
      <c r="X1353" s="1"/>
      <c r="Y1353" s="95"/>
      <c r="Z1353" s="1"/>
      <c r="AA1353" s="94"/>
      <c r="AB1353" s="1"/>
      <c r="AC1353" s="1"/>
      <c r="AD1353" s="1"/>
      <c r="AE1353" s="30"/>
      <c r="AF1353" s="633"/>
      <c r="AG1353" s="94"/>
      <c r="AH1353" s="94"/>
      <c r="AI1353" s="94"/>
      <c r="AJ1353" s="94"/>
      <c r="AK1353" s="94"/>
      <c r="AL1353" s="94"/>
    </row>
    <row r="1354" spans="3:38">
      <c r="C1354" s="30"/>
      <c r="F1354" s="95"/>
      <c r="G1354" s="1"/>
      <c r="H1354" s="94"/>
      <c r="I1354" s="90"/>
      <c r="J1354" s="90"/>
      <c r="K1354" s="1"/>
      <c r="L1354" s="74"/>
      <c r="M1354" s="633"/>
      <c r="N1354" s="274"/>
      <c r="O1354" s="94"/>
      <c r="P1354" s="94"/>
      <c r="Q1354" s="94"/>
      <c r="R1354" s="94"/>
      <c r="S1354" s="94"/>
      <c r="V1354" s="30"/>
      <c r="W1354" s="30"/>
      <c r="X1354" s="1"/>
      <c r="Y1354" s="95"/>
      <c r="Z1354" s="1"/>
      <c r="AA1354" s="94"/>
      <c r="AB1354" s="1"/>
      <c r="AC1354" s="1"/>
      <c r="AD1354" s="1"/>
      <c r="AE1354" s="30"/>
      <c r="AF1354" s="633"/>
      <c r="AG1354" s="94"/>
      <c r="AH1354" s="94"/>
      <c r="AI1354" s="94"/>
      <c r="AJ1354" s="94"/>
      <c r="AK1354" s="94"/>
      <c r="AL1354" s="94"/>
    </row>
    <row r="1355" spans="3:38">
      <c r="C1355" s="30"/>
      <c r="F1355" s="95"/>
      <c r="G1355" s="1"/>
      <c r="H1355" s="94"/>
      <c r="I1355" s="90"/>
      <c r="J1355" s="90"/>
      <c r="K1355" s="1"/>
      <c r="L1355" s="74"/>
      <c r="M1355" s="633"/>
      <c r="N1355" s="274"/>
      <c r="O1355" s="94"/>
      <c r="P1355" s="94"/>
      <c r="Q1355" s="94"/>
      <c r="R1355" s="94"/>
      <c r="S1355" s="94"/>
      <c r="V1355" s="30"/>
      <c r="W1355" s="30"/>
      <c r="X1355" s="1"/>
      <c r="Y1355" s="95"/>
      <c r="Z1355" s="1"/>
      <c r="AA1355" s="94"/>
      <c r="AB1355" s="1"/>
      <c r="AC1355" s="1"/>
      <c r="AD1355" s="1"/>
      <c r="AE1355" s="30"/>
      <c r="AF1355" s="633"/>
      <c r="AG1355" s="94"/>
      <c r="AH1355" s="94"/>
      <c r="AI1355" s="94"/>
      <c r="AJ1355" s="94"/>
      <c r="AK1355" s="94"/>
      <c r="AL1355" s="94"/>
    </row>
    <row r="1356" spans="3:38">
      <c r="C1356" s="30"/>
      <c r="F1356" s="95"/>
      <c r="G1356" s="1"/>
      <c r="H1356" s="94"/>
      <c r="I1356" s="90"/>
      <c r="J1356" s="90"/>
      <c r="K1356" s="1"/>
      <c r="L1356" s="74"/>
      <c r="M1356" s="633"/>
      <c r="N1356" s="274"/>
      <c r="O1356" s="94"/>
      <c r="P1356" s="94"/>
      <c r="Q1356" s="94"/>
      <c r="R1356" s="94"/>
      <c r="S1356" s="94"/>
      <c r="V1356" s="30"/>
      <c r="W1356" s="30"/>
      <c r="X1356" s="1"/>
      <c r="Y1356" s="95"/>
      <c r="Z1356" s="1"/>
      <c r="AA1356" s="94"/>
      <c r="AB1356" s="1"/>
      <c r="AC1356" s="1"/>
      <c r="AD1356" s="1"/>
      <c r="AE1356" s="30"/>
      <c r="AF1356" s="633"/>
      <c r="AG1356" s="94"/>
      <c r="AH1356" s="94"/>
      <c r="AI1356" s="94"/>
      <c r="AJ1356" s="94"/>
      <c r="AK1356" s="94"/>
      <c r="AL1356" s="94"/>
    </row>
    <row r="1357" spans="3:38">
      <c r="C1357" s="30"/>
      <c r="F1357" s="95"/>
      <c r="G1357" s="1"/>
      <c r="H1357" s="94"/>
      <c r="I1357" s="90"/>
      <c r="J1357" s="90"/>
      <c r="K1357" s="1"/>
      <c r="L1357" s="74"/>
      <c r="M1357" s="633"/>
      <c r="N1357" s="274"/>
      <c r="O1357" s="94"/>
      <c r="P1357" s="94"/>
      <c r="Q1357" s="94"/>
      <c r="R1357" s="94"/>
      <c r="S1357" s="94"/>
      <c r="V1357" s="30"/>
      <c r="W1357" s="30"/>
      <c r="X1357" s="1"/>
      <c r="Y1357" s="95"/>
      <c r="Z1357" s="1"/>
      <c r="AA1357" s="94"/>
      <c r="AB1357" s="1"/>
      <c r="AC1357" s="1"/>
      <c r="AD1357" s="1"/>
      <c r="AE1357" s="30"/>
      <c r="AF1357" s="633"/>
      <c r="AG1357" s="94"/>
      <c r="AH1357" s="94"/>
      <c r="AI1357" s="94"/>
      <c r="AJ1357" s="94"/>
      <c r="AK1357" s="94"/>
      <c r="AL1357" s="94"/>
    </row>
    <row r="1358" spans="3:38">
      <c r="C1358" s="30"/>
      <c r="F1358" s="95"/>
      <c r="G1358" s="1"/>
      <c r="H1358" s="94"/>
      <c r="I1358" s="90"/>
      <c r="J1358" s="90"/>
      <c r="K1358" s="1"/>
      <c r="L1358" s="74"/>
      <c r="M1358" s="633"/>
      <c r="N1358" s="274"/>
      <c r="O1358" s="94"/>
      <c r="P1358" s="94"/>
      <c r="Q1358" s="94"/>
      <c r="R1358" s="94"/>
      <c r="S1358" s="94"/>
      <c r="V1358" s="30"/>
      <c r="W1358" s="30"/>
      <c r="X1358" s="1"/>
      <c r="Y1358" s="95"/>
      <c r="Z1358" s="1"/>
      <c r="AA1358" s="94"/>
      <c r="AB1358" s="1"/>
      <c r="AC1358" s="1"/>
      <c r="AD1358" s="1"/>
      <c r="AE1358" s="30"/>
      <c r="AF1358" s="633"/>
      <c r="AG1358" s="94"/>
      <c r="AH1358" s="94"/>
      <c r="AI1358" s="94"/>
      <c r="AJ1358" s="94"/>
      <c r="AK1358" s="94"/>
      <c r="AL1358" s="94"/>
    </row>
    <row r="1359" spans="3:38">
      <c r="C1359" s="30"/>
      <c r="F1359" s="95"/>
      <c r="G1359" s="1"/>
      <c r="H1359" s="94"/>
      <c r="I1359" s="90"/>
      <c r="J1359" s="90"/>
      <c r="K1359" s="1"/>
      <c r="L1359" s="74"/>
      <c r="M1359" s="633"/>
      <c r="N1359" s="274"/>
      <c r="O1359" s="94"/>
      <c r="P1359" s="94"/>
      <c r="Q1359" s="94"/>
      <c r="R1359" s="94"/>
      <c r="S1359" s="94"/>
      <c r="V1359" s="30"/>
      <c r="W1359" s="30"/>
      <c r="X1359" s="1"/>
      <c r="Y1359" s="95"/>
      <c r="Z1359" s="1"/>
      <c r="AA1359" s="94"/>
      <c r="AB1359" s="1"/>
      <c r="AC1359" s="1"/>
      <c r="AD1359" s="1"/>
      <c r="AE1359" s="30"/>
      <c r="AF1359" s="633"/>
      <c r="AG1359" s="94"/>
      <c r="AH1359" s="94"/>
      <c r="AI1359" s="94"/>
      <c r="AJ1359" s="94"/>
      <c r="AK1359" s="94"/>
      <c r="AL1359" s="94"/>
    </row>
    <row r="1360" spans="3:38">
      <c r="C1360" s="30"/>
      <c r="F1360" s="95"/>
      <c r="G1360" s="1"/>
      <c r="H1360" s="94"/>
      <c r="I1360" s="90"/>
      <c r="J1360" s="90"/>
      <c r="K1360" s="1"/>
      <c r="L1360" s="74"/>
      <c r="M1360" s="633"/>
      <c r="N1360" s="274"/>
      <c r="O1360" s="94"/>
      <c r="P1360" s="94"/>
      <c r="Q1360" s="94"/>
      <c r="R1360" s="94"/>
      <c r="S1360" s="94"/>
      <c r="V1360" s="30"/>
      <c r="W1360" s="30"/>
      <c r="X1360" s="1"/>
      <c r="Y1360" s="95"/>
      <c r="Z1360" s="1"/>
      <c r="AA1360" s="94"/>
      <c r="AB1360" s="1"/>
      <c r="AC1360" s="1"/>
      <c r="AD1360" s="1"/>
      <c r="AE1360" s="30"/>
      <c r="AF1360" s="633"/>
      <c r="AG1360" s="94"/>
      <c r="AH1360" s="94"/>
      <c r="AI1360" s="94"/>
      <c r="AJ1360" s="94"/>
      <c r="AK1360" s="94"/>
      <c r="AL1360" s="94"/>
    </row>
    <row r="1361" spans="3:38">
      <c r="C1361" s="30"/>
      <c r="F1361" s="95"/>
      <c r="G1361" s="1"/>
      <c r="H1361" s="94"/>
      <c r="I1361" s="90"/>
      <c r="J1361" s="90"/>
      <c r="K1361" s="1"/>
      <c r="L1361" s="74"/>
      <c r="M1361" s="633"/>
      <c r="N1361" s="274"/>
      <c r="O1361" s="94"/>
      <c r="P1361" s="94"/>
      <c r="Q1361" s="94"/>
      <c r="R1361" s="94"/>
      <c r="S1361" s="94"/>
      <c r="V1361" s="30"/>
      <c r="W1361" s="30"/>
      <c r="X1361" s="1"/>
      <c r="Y1361" s="95"/>
      <c r="Z1361" s="1"/>
      <c r="AA1361" s="94"/>
      <c r="AB1361" s="1"/>
      <c r="AC1361" s="1"/>
      <c r="AD1361" s="1"/>
      <c r="AE1361" s="30"/>
      <c r="AF1361" s="633"/>
      <c r="AG1361" s="94"/>
      <c r="AH1361" s="94"/>
      <c r="AI1361" s="94"/>
      <c r="AJ1361" s="94"/>
      <c r="AK1361" s="94"/>
      <c r="AL1361" s="94"/>
    </row>
    <row r="1362" spans="3:38">
      <c r="C1362" s="30"/>
      <c r="F1362" s="95"/>
      <c r="G1362" s="1"/>
      <c r="H1362" s="94"/>
      <c r="I1362" s="90"/>
      <c r="J1362" s="90"/>
      <c r="K1362" s="1"/>
      <c r="L1362" s="74"/>
      <c r="M1362" s="633"/>
      <c r="N1362" s="274"/>
      <c r="O1362" s="94"/>
      <c r="P1362" s="94"/>
      <c r="Q1362" s="94"/>
      <c r="R1362" s="94"/>
      <c r="S1362" s="94"/>
      <c r="V1362" s="30"/>
      <c r="W1362" s="30"/>
      <c r="X1362" s="1"/>
      <c r="Y1362" s="95"/>
      <c r="Z1362" s="1"/>
      <c r="AA1362" s="94"/>
      <c r="AB1362" s="1"/>
      <c r="AC1362" s="1"/>
      <c r="AD1362" s="1"/>
      <c r="AE1362" s="30"/>
      <c r="AF1362" s="633"/>
      <c r="AG1362" s="94"/>
      <c r="AH1362" s="94"/>
      <c r="AI1362" s="94"/>
      <c r="AJ1362" s="94"/>
      <c r="AK1362" s="94"/>
      <c r="AL1362" s="94"/>
    </row>
    <row r="1363" spans="3:38">
      <c r="C1363" s="30"/>
      <c r="F1363" s="95"/>
      <c r="G1363" s="1"/>
      <c r="H1363" s="94"/>
      <c r="I1363" s="90"/>
      <c r="J1363" s="90"/>
      <c r="K1363" s="1"/>
      <c r="L1363" s="74"/>
      <c r="M1363" s="633"/>
      <c r="N1363" s="274"/>
      <c r="O1363" s="94"/>
      <c r="P1363" s="94"/>
      <c r="Q1363" s="94"/>
      <c r="R1363" s="94"/>
      <c r="S1363" s="94"/>
      <c r="V1363" s="30"/>
      <c r="W1363" s="30"/>
      <c r="X1363" s="1"/>
      <c r="Y1363" s="95"/>
      <c r="Z1363" s="1"/>
      <c r="AA1363" s="94"/>
      <c r="AB1363" s="1"/>
      <c r="AC1363" s="1"/>
      <c r="AD1363" s="1"/>
      <c r="AE1363" s="30"/>
      <c r="AF1363" s="633"/>
      <c r="AG1363" s="94"/>
      <c r="AH1363" s="94"/>
      <c r="AI1363" s="94"/>
      <c r="AJ1363" s="94"/>
      <c r="AK1363" s="94"/>
      <c r="AL1363" s="94"/>
    </row>
    <row r="1364" spans="3:38">
      <c r="C1364" s="30"/>
      <c r="F1364" s="95"/>
      <c r="G1364" s="1"/>
      <c r="H1364" s="94"/>
      <c r="I1364" s="90"/>
      <c r="J1364" s="90"/>
      <c r="K1364" s="1"/>
      <c r="L1364" s="74"/>
      <c r="M1364" s="633"/>
      <c r="N1364" s="274"/>
      <c r="O1364" s="94"/>
      <c r="P1364" s="94"/>
      <c r="Q1364" s="94"/>
      <c r="R1364" s="94"/>
      <c r="S1364" s="94"/>
      <c r="V1364" s="30"/>
      <c r="W1364" s="30"/>
      <c r="X1364" s="1"/>
      <c r="Y1364" s="95"/>
      <c r="Z1364" s="1"/>
      <c r="AA1364" s="94"/>
      <c r="AB1364" s="1"/>
      <c r="AC1364" s="1"/>
      <c r="AD1364" s="1"/>
      <c r="AE1364" s="30"/>
      <c r="AF1364" s="633"/>
      <c r="AG1364" s="94"/>
      <c r="AH1364" s="94"/>
      <c r="AI1364" s="94"/>
      <c r="AJ1364" s="94"/>
      <c r="AK1364" s="94"/>
      <c r="AL1364" s="94"/>
    </row>
    <row r="1365" spans="3:38">
      <c r="C1365" s="30"/>
      <c r="F1365" s="95"/>
      <c r="G1365" s="1"/>
      <c r="H1365" s="94"/>
      <c r="I1365" s="90"/>
      <c r="J1365" s="90"/>
      <c r="K1365" s="1"/>
      <c r="L1365" s="74"/>
      <c r="M1365" s="633"/>
      <c r="N1365" s="274"/>
      <c r="O1365" s="94"/>
      <c r="P1365" s="94"/>
      <c r="Q1365" s="94"/>
      <c r="R1365" s="94"/>
      <c r="S1365" s="94"/>
      <c r="V1365" s="30"/>
      <c r="W1365" s="30"/>
      <c r="X1365" s="1"/>
      <c r="Y1365" s="95"/>
      <c r="Z1365" s="1"/>
      <c r="AA1365" s="94"/>
      <c r="AB1365" s="1"/>
      <c r="AC1365" s="1"/>
      <c r="AD1365" s="1"/>
      <c r="AE1365" s="30"/>
      <c r="AF1365" s="633"/>
      <c r="AG1365" s="94"/>
      <c r="AH1365" s="94"/>
      <c r="AI1365" s="94"/>
      <c r="AJ1365" s="94"/>
      <c r="AK1365" s="94"/>
      <c r="AL1365" s="94"/>
    </row>
    <row r="1366" spans="3:38">
      <c r="C1366" s="30"/>
      <c r="F1366" s="95"/>
      <c r="G1366" s="1"/>
      <c r="H1366" s="94"/>
      <c r="I1366" s="90"/>
      <c r="J1366" s="90"/>
      <c r="K1366" s="1"/>
      <c r="L1366" s="74"/>
      <c r="M1366" s="633"/>
      <c r="N1366" s="274"/>
      <c r="O1366" s="94"/>
      <c r="P1366" s="94"/>
      <c r="Q1366" s="94"/>
      <c r="R1366" s="94"/>
      <c r="S1366" s="94"/>
      <c r="V1366" s="30"/>
      <c r="W1366" s="30"/>
      <c r="X1366" s="1"/>
      <c r="Y1366" s="95"/>
      <c r="Z1366" s="1"/>
      <c r="AA1366" s="94"/>
      <c r="AB1366" s="1"/>
      <c r="AC1366" s="1"/>
      <c r="AD1366" s="1"/>
      <c r="AE1366" s="30"/>
      <c r="AF1366" s="633"/>
      <c r="AG1366" s="94"/>
      <c r="AH1366" s="94"/>
      <c r="AI1366" s="94"/>
      <c r="AJ1366" s="94"/>
      <c r="AK1366" s="94"/>
      <c r="AL1366" s="94"/>
    </row>
    <row r="1367" spans="3:38">
      <c r="C1367" s="30"/>
      <c r="F1367" s="95"/>
      <c r="G1367" s="1"/>
      <c r="H1367" s="94"/>
      <c r="I1367" s="90"/>
      <c r="J1367" s="90"/>
      <c r="K1367" s="1"/>
      <c r="L1367" s="74"/>
      <c r="M1367" s="633"/>
      <c r="N1367" s="274"/>
      <c r="O1367" s="94"/>
      <c r="P1367" s="94"/>
      <c r="Q1367" s="94"/>
      <c r="R1367" s="94"/>
      <c r="S1367" s="94"/>
      <c r="V1367" s="30"/>
      <c r="W1367" s="30"/>
      <c r="X1367" s="1"/>
      <c r="Y1367" s="95"/>
      <c r="Z1367" s="1"/>
      <c r="AA1367" s="94"/>
      <c r="AB1367" s="1"/>
      <c r="AC1367" s="1"/>
      <c r="AD1367" s="1"/>
      <c r="AE1367" s="30"/>
      <c r="AF1367" s="633"/>
      <c r="AG1367" s="94"/>
      <c r="AH1367" s="94"/>
      <c r="AI1367" s="94"/>
      <c r="AJ1367" s="94"/>
      <c r="AK1367" s="94"/>
      <c r="AL1367" s="94"/>
    </row>
    <row r="1368" spans="3:38">
      <c r="C1368" s="30"/>
      <c r="F1368" s="95"/>
      <c r="G1368" s="1"/>
      <c r="H1368" s="94"/>
      <c r="I1368" s="90"/>
      <c r="J1368" s="90"/>
      <c r="K1368" s="1"/>
      <c r="L1368" s="74"/>
      <c r="M1368" s="633"/>
      <c r="N1368" s="274"/>
      <c r="O1368" s="94"/>
      <c r="P1368" s="94"/>
      <c r="Q1368" s="94"/>
      <c r="R1368" s="94"/>
      <c r="S1368" s="94"/>
      <c r="V1368" s="30"/>
      <c r="W1368" s="30"/>
      <c r="X1368" s="1"/>
      <c r="Y1368" s="95"/>
      <c r="Z1368" s="1"/>
      <c r="AA1368" s="94"/>
      <c r="AB1368" s="1"/>
      <c r="AC1368" s="1"/>
      <c r="AD1368" s="1"/>
      <c r="AE1368" s="30"/>
      <c r="AF1368" s="633"/>
      <c r="AG1368" s="94"/>
      <c r="AH1368" s="94"/>
      <c r="AI1368" s="94"/>
      <c r="AJ1368" s="94"/>
      <c r="AK1368" s="94"/>
      <c r="AL1368" s="94"/>
    </row>
    <row r="1369" spans="3:38">
      <c r="C1369" s="30"/>
      <c r="F1369" s="95"/>
      <c r="G1369" s="1"/>
      <c r="H1369" s="94"/>
      <c r="I1369" s="90"/>
      <c r="J1369" s="90"/>
      <c r="K1369" s="1"/>
      <c r="L1369" s="74"/>
      <c r="M1369" s="633"/>
      <c r="N1369" s="274"/>
      <c r="O1369" s="94"/>
      <c r="P1369" s="94"/>
      <c r="Q1369" s="94"/>
      <c r="R1369" s="94"/>
      <c r="S1369" s="94"/>
      <c r="V1369" s="30"/>
      <c r="W1369" s="30"/>
      <c r="X1369" s="1"/>
      <c r="Y1369" s="95"/>
      <c r="Z1369" s="1"/>
      <c r="AA1369" s="94"/>
      <c r="AB1369" s="1"/>
      <c r="AC1369" s="1"/>
      <c r="AD1369" s="1"/>
      <c r="AE1369" s="30"/>
      <c r="AF1369" s="633"/>
      <c r="AG1369" s="94"/>
      <c r="AH1369" s="94"/>
      <c r="AI1369" s="94"/>
      <c r="AJ1369" s="94"/>
      <c r="AK1369" s="94"/>
      <c r="AL1369" s="94"/>
    </row>
    <row r="1370" spans="3:38">
      <c r="C1370" s="30"/>
      <c r="F1370" s="95"/>
      <c r="G1370" s="1"/>
      <c r="H1370" s="94"/>
      <c r="I1370" s="90"/>
      <c r="J1370" s="90"/>
      <c r="K1370" s="1"/>
      <c r="L1370" s="74"/>
      <c r="M1370" s="633"/>
      <c r="N1370" s="274"/>
      <c r="O1370" s="94"/>
      <c r="P1370" s="94"/>
      <c r="Q1370" s="94"/>
      <c r="R1370" s="94"/>
      <c r="S1370" s="94"/>
      <c r="V1370" s="30"/>
      <c r="W1370" s="30"/>
      <c r="X1370" s="1"/>
      <c r="Y1370" s="95"/>
      <c r="Z1370" s="1"/>
      <c r="AA1370" s="94"/>
      <c r="AB1370" s="1"/>
      <c r="AC1370" s="1"/>
      <c r="AD1370" s="1"/>
      <c r="AE1370" s="30"/>
      <c r="AF1370" s="633"/>
      <c r="AG1370" s="94"/>
      <c r="AH1370" s="94"/>
      <c r="AI1370" s="94"/>
      <c r="AJ1370" s="94"/>
      <c r="AK1370" s="94"/>
      <c r="AL1370" s="94"/>
    </row>
    <row r="1371" spans="3:38">
      <c r="C1371" s="30"/>
      <c r="F1371" s="95"/>
      <c r="G1371" s="1"/>
      <c r="H1371" s="94"/>
      <c r="I1371" s="90"/>
      <c r="J1371" s="90"/>
      <c r="K1371" s="1"/>
      <c r="L1371" s="74"/>
      <c r="M1371" s="633"/>
      <c r="N1371" s="274"/>
      <c r="O1371" s="94"/>
      <c r="P1371" s="94"/>
      <c r="Q1371" s="94"/>
      <c r="R1371" s="94"/>
      <c r="S1371" s="94"/>
      <c r="V1371" s="30"/>
      <c r="W1371" s="30"/>
      <c r="X1371" s="1"/>
      <c r="Y1371" s="95"/>
      <c r="Z1371" s="1"/>
      <c r="AA1371" s="94"/>
      <c r="AB1371" s="1"/>
      <c r="AC1371" s="1"/>
      <c r="AD1371" s="1"/>
      <c r="AE1371" s="30"/>
      <c r="AF1371" s="633"/>
      <c r="AG1371" s="94"/>
      <c r="AH1371" s="94"/>
      <c r="AI1371" s="94"/>
      <c r="AJ1371" s="94"/>
      <c r="AK1371" s="94"/>
      <c r="AL1371" s="94"/>
    </row>
    <row r="1372" spans="3:38">
      <c r="C1372" s="30"/>
      <c r="F1372" s="95"/>
      <c r="G1372" s="1"/>
      <c r="H1372" s="94"/>
      <c r="I1372" s="90"/>
      <c r="J1372" s="90"/>
      <c r="K1372" s="1"/>
      <c r="L1372" s="74"/>
      <c r="M1372" s="633"/>
      <c r="N1372" s="274"/>
      <c r="O1372" s="94"/>
      <c r="P1372" s="94"/>
      <c r="Q1372" s="94"/>
      <c r="R1372" s="94"/>
      <c r="S1372" s="94"/>
      <c r="V1372" s="30"/>
      <c r="W1372" s="30"/>
      <c r="X1372" s="1"/>
      <c r="Y1372" s="95"/>
      <c r="Z1372" s="1"/>
      <c r="AA1372" s="94"/>
      <c r="AB1372" s="1"/>
      <c r="AC1372" s="1"/>
      <c r="AD1372" s="1"/>
      <c r="AE1372" s="30"/>
      <c r="AF1372" s="633"/>
      <c r="AG1372" s="94"/>
      <c r="AH1372" s="94"/>
      <c r="AI1372" s="94"/>
      <c r="AJ1372" s="94"/>
      <c r="AK1372" s="94"/>
      <c r="AL1372" s="94"/>
    </row>
    <row r="1373" spans="3:38">
      <c r="C1373" s="30"/>
      <c r="F1373" s="95"/>
      <c r="G1373" s="1"/>
      <c r="H1373" s="94"/>
      <c r="I1373" s="90"/>
      <c r="J1373" s="90"/>
      <c r="K1373" s="1"/>
      <c r="L1373" s="74"/>
      <c r="M1373" s="633"/>
      <c r="N1373" s="274"/>
      <c r="O1373" s="94"/>
      <c r="P1373" s="94"/>
      <c r="Q1373" s="94"/>
      <c r="R1373" s="94"/>
      <c r="S1373" s="94"/>
      <c r="V1373" s="30"/>
      <c r="W1373" s="30"/>
      <c r="X1373" s="1"/>
      <c r="Y1373" s="95"/>
      <c r="Z1373" s="1"/>
      <c r="AA1373" s="94"/>
      <c r="AB1373" s="1"/>
      <c r="AC1373" s="1"/>
      <c r="AD1373" s="1"/>
      <c r="AE1373" s="30"/>
      <c r="AF1373" s="633"/>
      <c r="AG1373" s="94"/>
      <c r="AH1373" s="94"/>
      <c r="AI1373" s="94"/>
      <c r="AJ1373" s="94"/>
      <c r="AK1373" s="94"/>
      <c r="AL1373" s="94"/>
    </row>
    <row r="1374" spans="3:38">
      <c r="C1374" s="30"/>
      <c r="F1374" s="95"/>
      <c r="G1374" s="1"/>
      <c r="H1374" s="94"/>
      <c r="I1374" s="90"/>
      <c r="J1374" s="90"/>
      <c r="K1374" s="1"/>
      <c r="L1374" s="74"/>
      <c r="M1374" s="633"/>
      <c r="N1374" s="274"/>
      <c r="O1374" s="94"/>
      <c r="P1374" s="94"/>
      <c r="Q1374" s="94"/>
      <c r="R1374" s="94"/>
      <c r="S1374" s="94"/>
      <c r="V1374" s="30"/>
      <c r="W1374" s="30"/>
      <c r="X1374" s="1"/>
      <c r="Y1374" s="95"/>
      <c r="Z1374" s="1"/>
      <c r="AA1374" s="94"/>
      <c r="AB1374" s="1"/>
      <c r="AC1374" s="1"/>
      <c r="AD1374" s="1"/>
      <c r="AE1374" s="30"/>
      <c r="AF1374" s="633"/>
      <c r="AG1374" s="94"/>
      <c r="AH1374" s="94"/>
      <c r="AI1374" s="94"/>
      <c r="AJ1374" s="94"/>
      <c r="AK1374" s="94"/>
      <c r="AL1374" s="94"/>
    </row>
    <row r="1375" spans="3:38">
      <c r="C1375" s="30"/>
      <c r="F1375" s="95"/>
      <c r="G1375" s="1"/>
      <c r="H1375" s="94"/>
      <c r="I1375" s="90"/>
      <c r="J1375" s="90"/>
      <c r="K1375" s="1"/>
      <c r="L1375" s="74"/>
      <c r="M1375" s="633"/>
      <c r="N1375" s="274"/>
      <c r="O1375" s="94"/>
      <c r="P1375" s="94"/>
      <c r="Q1375" s="94"/>
      <c r="R1375" s="94"/>
      <c r="S1375" s="94"/>
      <c r="V1375" s="30"/>
      <c r="W1375" s="30"/>
      <c r="X1375" s="1"/>
      <c r="Y1375" s="95"/>
      <c r="Z1375" s="1"/>
      <c r="AA1375" s="94"/>
      <c r="AB1375" s="1"/>
      <c r="AC1375" s="1"/>
      <c r="AD1375" s="1"/>
      <c r="AE1375" s="30"/>
      <c r="AF1375" s="633"/>
      <c r="AG1375" s="94"/>
      <c r="AH1375" s="94"/>
      <c r="AI1375" s="94"/>
      <c r="AJ1375" s="94"/>
      <c r="AK1375" s="94"/>
      <c r="AL1375" s="94"/>
    </row>
    <row r="1376" spans="3:38">
      <c r="C1376" s="30"/>
      <c r="F1376" s="95"/>
      <c r="G1376" s="1"/>
      <c r="H1376" s="94"/>
      <c r="I1376" s="90"/>
      <c r="J1376" s="90"/>
      <c r="K1376" s="1"/>
      <c r="L1376" s="74"/>
      <c r="M1376" s="633"/>
      <c r="N1376" s="274"/>
      <c r="O1376" s="94"/>
      <c r="P1376" s="94"/>
      <c r="Q1376" s="94"/>
      <c r="R1376" s="94"/>
      <c r="S1376" s="94"/>
      <c r="V1376" s="30"/>
      <c r="W1376" s="30"/>
      <c r="X1376" s="1"/>
      <c r="Y1376" s="95"/>
      <c r="Z1376" s="1"/>
      <c r="AA1376" s="94"/>
      <c r="AB1376" s="1"/>
      <c r="AC1376" s="1"/>
      <c r="AD1376" s="1"/>
      <c r="AE1376" s="30"/>
      <c r="AF1376" s="633"/>
      <c r="AG1376" s="94"/>
      <c r="AH1376" s="94"/>
      <c r="AI1376" s="94"/>
      <c r="AJ1376" s="94"/>
      <c r="AK1376" s="94"/>
      <c r="AL1376" s="94"/>
    </row>
    <row r="1377" spans="3:38">
      <c r="C1377" s="30"/>
      <c r="F1377" s="95"/>
      <c r="G1377" s="1"/>
      <c r="H1377" s="94"/>
      <c r="I1377" s="90"/>
      <c r="J1377" s="90"/>
      <c r="K1377" s="1"/>
      <c r="L1377" s="74"/>
      <c r="M1377" s="633"/>
      <c r="N1377" s="274"/>
      <c r="O1377" s="94"/>
      <c r="P1377" s="94"/>
      <c r="Q1377" s="94"/>
      <c r="R1377" s="94"/>
      <c r="S1377" s="94"/>
      <c r="V1377" s="30"/>
      <c r="W1377" s="30"/>
      <c r="X1377" s="1"/>
      <c r="Y1377" s="95"/>
      <c r="Z1377" s="1"/>
      <c r="AA1377" s="94"/>
      <c r="AB1377" s="1"/>
      <c r="AC1377" s="1"/>
      <c r="AD1377" s="1"/>
      <c r="AE1377" s="30"/>
      <c r="AF1377" s="633"/>
      <c r="AG1377" s="94"/>
      <c r="AH1377" s="94"/>
      <c r="AI1377" s="94"/>
      <c r="AJ1377" s="94"/>
      <c r="AK1377" s="94"/>
      <c r="AL1377" s="94"/>
    </row>
    <row r="1378" spans="3:38">
      <c r="C1378" s="30"/>
      <c r="F1378" s="95"/>
      <c r="G1378" s="1"/>
      <c r="H1378" s="94"/>
      <c r="I1378" s="90"/>
      <c r="J1378" s="90"/>
      <c r="K1378" s="1"/>
      <c r="L1378" s="74"/>
      <c r="M1378" s="633"/>
      <c r="N1378" s="274"/>
      <c r="O1378" s="94"/>
      <c r="P1378" s="94"/>
      <c r="Q1378" s="94"/>
      <c r="R1378" s="94"/>
      <c r="S1378" s="94"/>
      <c r="V1378" s="30"/>
      <c r="W1378" s="30"/>
      <c r="X1378" s="1"/>
      <c r="Y1378" s="95"/>
      <c r="Z1378" s="1"/>
      <c r="AA1378" s="94"/>
      <c r="AB1378" s="1"/>
      <c r="AC1378" s="1"/>
      <c r="AD1378" s="1"/>
      <c r="AE1378" s="30"/>
      <c r="AF1378" s="633"/>
      <c r="AG1378" s="94"/>
      <c r="AH1378" s="94"/>
      <c r="AI1378" s="94"/>
      <c r="AJ1378" s="94"/>
      <c r="AK1378" s="94"/>
      <c r="AL1378" s="94"/>
    </row>
    <row r="1379" spans="3:38">
      <c r="C1379" s="30"/>
      <c r="F1379" s="95"/>
      <c r="G1379" s="1"/>
      <c r="H1379" s="94"/>
      <c r="I1379" s="90"/>
      <c r="J1379" s="90"/>
      <c r="K1379" s="1"/>
      <c r="L1379" s="74"/>
      <c r="M1379" s="633"/>
      <c r="N1379" s="274"/>
      <c r="O1379" s="94"/>
      <c r="P1379" s="94"/>
      <c r="Q1379" s="94"/>
      <c r="R1379" s="94"/>
      <c r="S1379" s="94"/>
      <c r="V1379" s="30"/>
      <c r="W1379" s="30"/>
      <c r="X1379" s="1"/>
      <c r="Y1379" s="95"/>
      <c r="Z1379" s="1"/>
      <c r="AA1379" s="94"/>
      <c r="AB1379" s="1"/>
      <c r="AC1379" s="1"/>
      <c r="AD1379" s="1"/>
      <c r="AE1379" s="30"/>
      <c r="AF1379" s="633"/>
      <c r="AG1379" s="94"/>
      <c r="AH1379" s="94"/>
      <c r="AI1379" s="94"/>
      <c r="AJ1379" s="94"/>
      <c r="AK1379" s="94"/>
      <c r="AL1379" s="94"/>
    </row>
    <row r="1380" spans="3:38">
      <c r="C1380" s="30"/>
      <c r="F1380" s="95"/>
      <c r="G1380" s="1"/>
      <c r="H1380" s="94"/>
      <c r="I1380" s="90"/>
      <c r="J1380" s="90"/>
      <c r="K1380" s="1"/>
      <c r="L1380" s="74"/>
      <c r="M1380" s="633"/>
      <c r="N1380" s="274"/>
      <c r="O1380" s="94"/>
      <c r="P1380" s="94"/>
      <c r="Q1380" s="94"/>
      <c r="R1380" s="94"/>
      <c r="S1380" s="94"/>
      <c r="V1380" s="30"/>
      <c r="W1380" s="30"/>
      <c r="X1380" s="1"/>
      <c r="Y1380" s="95"/>
      <c r="Z1380" s="1"/>
      <c r="AA1380" s="94"/>
      <c r="AB1380" s="1"/>
      <c r="AC1380" s="1"/>
      <c r="AD1380" s="1"/>
      <c r="AE1380" s="30"/>
      <c r="AF1380" s="633"/>
      <c r="AG1380" s="94"/>
      <c r="AH1380" s="94"/>
      <c r="AI1380" s="94"/>
      <c r="AJ1380" s="94"/>
      <c r="AK1380" s="94"/>
      <c r="AL1380" s="94"/>
    </row>
    <row r="1381" spans="3:38">
      <c r="C1381" s="30"/>
      <c r="F1381" s="95"/>
      <c r="G1381" s="1"/>
      <c r="H1381" s="94"/>
      <c r="I1381" s="90"/>
      <c r="J1381" s="90"/>
      <c r="K1381" s="1"/>
      <c r="L1381" s="74"/>
      <c r="M1381" s="633"/>
      <c r="N1381" s="274"/>
      <c r="O1381" s="94"/>
      <c r="P1381" s="94"/>
      <c r="Q1381" s="94"/>
      <c r="R1381" s="94"/>
      <c r="S1381" s="94"/>
      <c r="V1381" s="30"/>
      <c r="W1381" s="30"/>
      <c r="X1381" s="1"/>
      <c r="Y1381" s="95"/>
      <c r="Z1381" s="1"/>
      <c r="AA1381" s="94"/>
      <c r="AB1381" s="1"/>
      <c r="AC1381" s="1"/>
      <c r="AD1381" s="1"/>
      <c r="AE1381" s="30"/>
      <c r="AF1381" s="633"/>
      <c r="AG1381" s="94"/>
      <c r="AH1381" s="94"/>
      <c r="AI1381" s="94"/>
      <c r="AJ1381" s="94"/>
      <c r="AK1381" s="94"/>
      <c r="AL1381" s="94"/>
    </row>
    <row r="1382" spans="3:38">
      <c r="C1382" s="30"/>
      <c r="F1382" s="95"/>
      <c r="G1382" s="1"/>
      <c r="H1382" s="94"/>
      <c r="I1382" s="90"/>
      <c r="J1382" s="90"/>
      <c r="K1382" s="1"/>
      <c r="L1382" s="74"/>
      <c r="M1382" s="633"/>
      <c r="N1382" s="274"/>
      <c r="O1382" s="94"/>
      <c r="P1382" s="94"/>
      <c r="Q1382" s="94"/>
      <c r="R1382" s="94"/>
      <c r="S1382" s="94"/>
      <c r="V1382" s="30"/>
      <c r="W1382" s="30"/>
      <c r="X1382" s="1"/>
      <c r="Y1382" s="95"/>
      <c r="Z1382" s="1"/>
      <c r="AA1382" s="94"/>
      <c r="AB1382" s="1"/>
      <c r="AC1382" s="1"/>
      <c r="AD1382" s="1"/>
      <c r="AE1382" s="30"/>
      <c r="AF1382" s="633"/>
      <c r="AG1382" s="94"/>
      <c r="AH1382" s="94"/>
      <c r="AI1382" s="94"/>
      <c r="AJ1382" s="94"/>
      <c r="AK1382" s="94"/>
      <c r="AL1382" s="94"/>
    </row>
    <row r="1383" spans="3:38">
      <c r="C1383" s="30"/>
      <c r="F1383" s="95"/>
      <c r="G1383" s="1"/>
      <c r="H1383" s="94"/>
      <c r="I1383" s="90"/>
      <c r="J1383" s="90"/>
      <c r="K1383" s="1"/>
      <c r="L1383" s="74"/>
      <c r="M1383" s="633"/>
      <c r="N1383" s="274"/>
      <c r="O1383" s="94"/>
      <c r="P1383" s="94"/>
      <c r="Q1383" s="94"/>
      <c r="R1383" s="94"/>
      <c r="S1383" s="94"/>
      <c r="V1383" s="30"/>
      <c r="W1383" s="30"/>
      <c r="X1383" s="1"/>
      <c r="Y1383" s="95"/>
      <c r="Z1383" s="1"/>
      <c r="AA1383" s="94"/>
      <c r="AB1383" s="1"/>
      <c r="AC1383" s="1"/>
      <c r="AD1383" s="1"/>
      <c r="AE1383" s="30"/>
      <c r="AF1383" s="633"/>
      <c r="AG1383" s="94"/>
      <c r="AH1383" s="94"/>
      <c r="AI1383" s="94"/>
      <c r="AJ1383" s="94"/>
      <c r="AK1383" s="94"/>
      <c r="AL1383" s="94"/>
    </row>
    <row r="1384" spans="3:38">
      <c r="C1384" s="30"/>
      <c r="F1384" s="95"/>
      <c r="G1384" s="1"/>
      <c r="H1384" s="94"/>
      <c r="I1384" s="90"/>
      <c r="J1384" s="90"/>
      <c r="K1384" s="1"/>
      <c r="L1384" s="74"/>
      <c r="M1384" s="633"/>
      <c r="N1384" s="274"/>
      <c r="O1384" s="94"/>
      <c r="P1384" s="94"/>
      <c r="Q1384" s="94"/>
      <c r="R1384" s="94"/>
      <c r="S1384" s="94"/>
      <c r="V1384" s="30"/>
      <c r="W1384" s="30"/>
      <c r="X1384" s="1"/>
      <c r="Y1384" s="95"/>
      <c r="Z1384" s="1"/>
      <c r="AA1384" s="94"/>
      <c r="AB1384" s="1"/>
      <c r="AC1384" s="1"/>
      <c r="AD1384" s="1"/>
      <c r="AE1384" s="30"/>
      <c r="AF1384" s="633"/>
      <c r="AG1384" s="94"/>
      <c r="AH1384" s="94"/>
      <c r="AI1384" s="94"/>
      <c r="AJ1384" s="94"/>
      <c r="AK1384" s="94"/>
      <c r="AL1384" s="94"/>
    </row>
    <row r="1385" spans="3:38">
      <c r="C1385" s="30"/>
      <c r="F1385" s="95"/>
      <c r="G1385" s="1"/>
      <c r="H1385" s="94"/>
      <c r="I1385" s="90"/>
      <c r="J1385" s="90"/>
      <c r="K1385" s="1"/>
      <c r="L1385" s="74"/>
      <c r="M1385" s="633"/>
      <c r="N1385" s="274"/>
      <c r="O1385" s="94"/>
      <c r="P1385" s="94"/>
      <c r="Q1385" s="94"/>
      <c r="R1385" s="94"/>
      <c r="S1385" s="94"/>
      <c r="V1385" s="30"/>
      <c r="W1385" s="30"/>
      <c r="X1385" s="1"/>
      <c r="Y1385" s="95"/>
      <c r="Z1385" s="1"/>
      <c r="AA1385" s="94"/>
      <c r="AB1385" s="1"/>
      <c r="AC1385" s="1"/>
      <c r="AD1385" s="1"/>
      <c r="AE1385" s="30"/>
      <c r="AF1385" s="633"/>
      <c r="AG1385" s="94"/>
      <c r="AH1385" s="94"/>
      <c r="AI1385" s="94"/>
      <c r="AJ1385" s="94"/>
      <c r="AK1385" s="94"/>
      <c r="AL1385" s="94"/>
    </row>
    <row r="1386" spans="3:38">
      <c r="C1386" s="30"/>
      <c r="F1386" s="95"/>
      <c r="G1386" s="1"/>
      <c r="H1386" s="94"/>
      <c r="I1386" s="90"/>
      <c r="J1386" s="90"/>
      <c r="K1386" s="1"/>
      <c r="L1386" s="74"/>
      <c r="M1386" s="633"/>
      <c r="N1386" s="274"/>
      <c r="O1386" s="94"/>
      <c r="P1386" s="94"/>
      <c r="Q1386" s="94"/>
      <c r="R1386" s="94"/>
      <c r="S1386" s="94"/>
      <c r="V1386" s="30"/>
      <c r="W1386" s="30"/>
      <c r="X1386" s="1"/>
      <c r="Y1386" s="95"/>
      <c r="Z1386" s="1"/>
      <c r="AA1386" s="94"/>
      <c r="AB1386" s="1"/>
      <c r="AC1386" s="1"/>
      <c r="AD1386" s="1"/>
      <c r="AE1386" s="30"/>
      <c r="AF1386" s="633"/>
      <c r="AG1386" s="94"/>
      <c r="AH1386" s="94"/>
      <c r="AI1386" s="94"/>
      <c r="AJ1386" s="94"/>
      <c r="AK1386" s="94"/>
      <c r="AL1386" s="94"/>
    </row>
    <row r="1387" spans="3:38">
      <c r="C1387" s="30"/>
      <c r="F1387" s="95"/>
      <c r="G1387" s="1"/>
      <c r="H1387" s="94"/>
      <c r="I1387" s="90"/>
      <c r="J1387" s="90"/>
      <c r="K1387" s="1"/>
      <c r="L1387" s="74"/>
      <c r="M1387" s="633"/>
      <c r="N1387" s="274"/>
      <c r="O1387" s="94"/>
      <c r="P1387" s="94"/>
      <c r="Q1387" s="94"/>
      <c r="R1387" s="94"/>
      <c r="S1387" s="94"/>
      <c r="V1387" s="30"/>
      <c r="W1387" s="30"/>
      <c r="X1387" s="1"/>
      <c r="Y1387" s="95"/>
      <c r="Z1387" s="1"/>
      <c r="AA1387" s="94"/>
      <c r="AB1387" s="1"/>
      <c r="AC1387" s="1"/>
      <c r="AD1387" s="1"/>
      <c r="AE1387" s="30"/>
      <c r="AF1387" s="633"/>
      <c r="AG1387" s="94"/>
      <c r="AH1387" s="94"/>
      <c r="AI1387" s="94"/>
      <c r="AJ1387" s="94"/>
      <c r="AK1387" s="94"/>
      <c r="AL1387" s="94"/>
    </row>
    <row r="1388" spans="3:38">
      <c r="C1388" s="30"/>
      <c r="F1388" s="95"/>
      <c r="G1388" s="1"/>
      <c r="H1388" s="94"/>
      <c r="I1388" s="90"/>
      <c r="J1388" s="90"/>
      <c r="K1388" s="1"/>
      <c r="L1388" s="74"/>
      <c r="M1388" s="633"/>
      <c r="N1388" s="274"/>
      <c r="O1388" s="94"/>
      <c r="P1388" s="94"/>
      <c r="Q1388" s="94"/>
      <c r="R1388" s="94"/>
      <c r="S1388" s="94"/>
      <c r="V1388" s="30"/>
      <c r="W1388" s="30"/>
      <c r="X1388" s="1"/>
      <c r="Y1388" s="95"/>
      <c r="Z1388" s="1"/>
      <c r="AA1388" s="94"/>
      <c r="AB1388" s="1"/>
      <c r="AC1388" s="1"/>
      <c r="AD1388" s="1"/>
      <c r="AE1388" s="30"/>
      <c r="AF1388" s="633"/>
      <c r="AG1388" s="94"/>
      <c r="AH1388" s="94"/>
      <c r="AI1388" s="94"/>
      <c r="AJ1388" s="94"/>
      <c r="AK1388" s="94"/>
      <c r="AL1388" s="94"/>
    </row>
    <row r="1389" spans="3:38">
      <c r="C1389" s="30"/>
      <c r="F1389" s="95"/>
      <c r="G1389" s="1"/>
      <c r="H1389" s="94"/>
      <c r="I1389" s="90"/>
      <c r="J1389" s="90"/>
      <c r="K1389" s="1"/>
      <c r="L1389" s="74"/>
      <c r="M1389" s="633"/>
      <c r="N1389" s="274"/>
      <c r="O1389" s="94"/>
      <c r="P1389" s="94"/>
      <c r="Q1389" s="94"/>
      <c r="R1389" s="94"/>
      <c r="S1389" s="94"/>
      <c r="V1389" s="30"/>
      <c r="W1389" s="30"/>
      <c r="X1389" s="1"/>
      <c r="Y1389" s="95"/>
      <c r="Z1389" s="1"/>
      <c r="AA1389" s="94"/>
      <c r="AB1389" s="1"/>
      <c r="AC1389" s="1"/>
      <c r="AD1389" s="1"/>
      <c r="AE1389" s="30"/>
      <c r="AF1389" s="633"/>
      <c r="AG1389" s="94"/>
      <c r="AH1389" s="94"/>
      <c r="AI1389" s="94"/>
      <c r="AJ1389" s="94"/>
      <c r="AK1389" s="94"/>
      <c r="AL1389" s="94"/>
    </row>
    <row r="1390" spans="3:38">
      <c r="C1390" s="30"/>
      <c r="F1390" s="95"/>
      <c r="G1390" s="1"/>
      <c r="H1390" s="94"/>
      <c r="I1390" s="90"/>
      <c r="J1390" s="90"/>
      <c r="K1390" s="1"/>
      <c r="L1390" s="74"/>
      <c r="M1390" s="633"/>
      <c r="N1390" s="274"/>
      <c r="O1390" s="94"/>
      <c r="P1390" s="94"/>
      <c r="Q1390" s="94"/>
      <c r="R1390" s="94"/>
      <c r="S1390" s="94"/>
      <c r="V1390" s="30"/>
      <c r="W1390" s="30"/>
      <c r="X1390" s="1"/>
      <c r="Y1390" s="95"/>
      <c r="Z1390" s="1"/>
      <c r="AA1390" s="94"/>
      <c r="AB1390" s="1"/>
      <c r="AC1390" s="1"/>
      <c r="AD1390" s="1"/>
      <c r="AE1390" s="30"/>
      <c r="AF1390" s="633"/>
      <c r="AG1390" s="94"/>
      <c r="AH1390" s="94"/>
      <c r="AI1390" s="94"/>
      <c r="AJ1390" s="94"/>
      <c r="AK1390" s="94"/>
      <c r="AL1390" s="94"/>
    </row>
    <row r="1391" spans="3:38">
      <c r="C1391" s="30"/>
      <c r="F1391" s="95"/>
      <c r="G1391" s="1"/>
      <c r="H1391" s="94"/>
      <c r="I1391" s="90"/>
      <c r="J1391" s="90"/>
      <c r="K1391" s="1"/>
      <c r="L1391" s="74"/>
      <c r="M1391" s="633"/>
      <c r="N1391" s="274"/>
      <c r="O1391" s="94"/>
      <c r="P1391" s="94"/>
      <c r="Q1391" s="94"/>
      <c r="R1391" s="94"/>
      <c r="S1391" s="94"/>
      <c r="V1391" s="30"/>
      <c r="W1391" s="30"/>
      <c r="X1391" s="1"/>
      <c r="Y1391" s="95"/>
      <c r="Z1391" s="1"/>
      <c r="AA1391" s="94"/>
      <c r="AB1391" s="1"/>
      <c r="AC1391" s="1"/>
      <c r="AD1391" s="1"/>
      <c r="AE1391" s="30"/>
      <c r="AF1391" s="633"/>
      <c r="AG1391" s="94"/>
      <c r="AH1391" s="94"/>
      <c r="AI1391" s="94"/>
      <c r="AJ1391" s="94"/>
      <c r="AK1391" s="94"/>
      <c r="AL1391" s="94"/>
    </row>
    <row r="1392" spans="3:38">
      <c r="C1392" s="30"/>
      <c r="F1392" s="95"/>
      <c r="G1392" s="1"/>
      <c r="H1392" s="94"/>
      <c r="I1392" s="90"/>
      <c r="J1392" s="90"/>
      <c r="K1392" s="1"/>
      <c r="L1392" s="74"/>
      <c r="M1392" s="633"/>
      <c r="N1392" s="274"/>
      <c r="O1392" s="94"/>
      <c r="P1392" s="94"/>
      <c r="Q1392" s="94"/>
      <c r="R1392" s="94"/>
      <c r="S1392" s="94"/>
      <c r="V1392" s="30"/>
      <c r="W1392" s="30"/>
      <c r="X1392" s="1"/>
      <c r="Y1392" s="95"/>
      <c r="Z1392" s="1"/>
      <c r="AA1392" s="94"/>
      <c r="AB1392" s="1"/>
      <c r="AC1392" s="1"/>
      <c r="AD1392" s="1"/>
      <c r="AE1392" s="30"/>
      <c r="AF1392" s="633"/>
      <c r="AG1392" s="94"/>
      <c r="AH1392" s="94"/>
      <c r="AI1392" s="94"/>
      <c r="AJ1392" s="94"/>
      <c r="AK1392" s="94"/>
      <c r="AL1392" s="94"/>
    </row>
    <row r="1393" spans="3:38">
      <c r="C1393" s="30"/>
      <c r="F1393" s="95"/>
      <c r="G1393" s="1"/>
      <c r="H1393" s="94"/>
      <c r="I1393" s="90"/>
      <c r="J1393" s="90"/>
      <c r="K1393" s="1"/>
      <c r="L1393" s="74"/>
      <c r="M1393" s="633"/>
      <c r="N1393" s="274"/>
      <c r="O1393" s="94"/>
      <c r="P1393" s="94"/>
      <c r="Q1393" s="94"/>
      <c r="R1393" s="94"/>
      <c r="S1393" s="94"/>
      <c r="V1393" s="30"/>
      <c r="W1393" s="30"/>
      <c r="X1393" s="1"/>
      <c r="Y1393" s="95"/>
      <c r="Z1393" s="1"/>
      <c r="AA1393" s="94"/>
      <c r="AB1393" s="1"/>
      <c r="AC1393" s="1"/>
      <c r="AD1393" s="1"/>
      <c r="AE1393" s="30"/>
      <c r="AF1393" s="633"/>
      <c r="AG1393" s="94"/>
      <c r="AH1393" s="94"/>
      <c r="AI1393" s="94"/>
      <c r="AJ1393" s="94"/>
      <c r="AK1393" s="94"/>
      <c r="AL1393" s="94"/>
    </row>
    <row r="1394" spans="3:38">
      <c r="C1394" s="30"/>
      <c r="F1394" s="95"/>
      <c r="G1394" s="1"/>
      <c r="H1394" s="94"/>
      <c r="I1394" s="90"/>
      <c r="J1394" s="90"/>
      <c r="K1394" s="1"/>
      <c r="L1394" s="74"/>
      <c r="M1394" s="633"/>
      <c r="N1394" s="274"/>
      <c r="O1394" s="94"/>
      <c r="P1394" s="94"/>
      <c r="Q1394" s="94"/>
      <c r="R1394" s="94"/>
      <c r="S1394" s="94"/>
      <c r="V1394" s="30"/>
      <c r="W1394" s="30"/>
      <c r="X1394" s="1"/>
      <c r="Y1394" s="95"/>
      <c r="Z1394" s="1"/>
      <c r="AA1394" s="94"/>
      <c r="AB1394" s="1"/>
      <c r="AC1394" s="1"/>
      <c r="AD1394" s="1"/>
      <c r="AE1394" s="30"/>
      <c r="AF1394" s="633"/>
      <c r="AG1394" s="94"/>
      <c r="AH1394" s="94"/>
      <c r="AI1394" s="94"/>
      <c r="AJ1394" s="94"/>
      <c r="AK1394" s="94"/>
      <c r="AL1394" s="94"/>
    </row>
    <row r="1395" spans="3:38">
      <c r="C1395" s="30"/>
      <c r="F1395" s="95"/>
      <c r="G1395" s="1"/>
      <c r="H1395" s="94"/>
      <c r="I1395" s="90"/>
      <c r="J1395" s="90"/>
      <c r="K1395" s="1"/>
      <c r="L1395" s="74"/>
      <c r="M1395" s="633"/>
      <c r="N1395" s="274"/>
      <c r="O1395" s="94"/>
      <c r="P1395" s="94"/>
      <c r="Q1395" s="94"/>
      <c r="R1395" s="94"/>
      <c r="S1395" s="94"/>
      <c r="V1395" s="30"/>
      <c r="W1395" s="30"/>
      <c r="X1395" s="1"/>
      <c r="Y1395" s="95"/>
      <c r="Z1395" s="1"/>
      <c r="AA1395" s="94"/>
      <c r="AB1395" s="1"/>
      <c r="AC1395" s="1"/>
      <c r="AD1395" s="1"/>
      <c r="AE1395" s="30"/>
      <c r="AF1395" s="633"/>
      <c r="AG1395" s="94"/>
      <c r="AH1395" s="94"/>
      <c r="AI1395" s="94"/>
      <c r="AJ1395" s="94"/>
      <c r="AK1395" s="94"/>
      <c r="AL1395" s="94"/>
    </row>
    <row r="1396" spans="3:38">
      <c r="C1396" s="30"/>
      <c r="F1396" s="95"/>
      <c r="G1396" s="1"/>
      <c r="H1396" s="94"/>
      <c r="I1396" s="90"/>
      <c r="J1396" s="90"/>
      <c r="K1396" s="1"/>
      <c r="L1396" s="74"/>
      <c r="M1396" s="633"/>
      <c r="N1396" s="274"/>
      <c r="O1396" s="94"/>
      <c r="P1396" s="94"/>
      <c r="Q1396" s="94"/>
      <c r="R1396" s="94"/>
      <c r="S1396" s="94"/>
      <c r="V1396" s="30"/>
      <c r="W1396" s="30"/>
      <c r="X1396" s="1"/>
      <c r="Y1396" s="95"/>
      <c r="Z1396" s="1"/>
      <c r="AA1396" s="94"/>
      <c r="AB1396" s="1"/>
      <c r="AC1396" s="1"/>
      <c r="AD1396" s="1"/>
      <c r="AE1396" s="30"/>
      <c r="AF1396" s="633"/>
      <c r="AG1396" s="94"/>
      <c r="AH1396" s="94"/>
      <c r="AI1396" s="94"/>
      <c r="AJ1396" s="94"/>
      <c r="AK1396" s="94"/>
      <c r="AL1396" s="94"/>
    </row>
    <row r="1397" spans="3:38">
      <c r="C1397" s="30"/>
      <c r="F1397" s="95"/>
      <c r="G1397" s="1"/>
      <c r="H1397" s="94"/>
      <c r="I1397" s="90"/>
      <c r="J1397" s="90"/>
      <c r="K1397" s="1"/>
      <c r="L1397" s="74"/>
      <c r="M1397" s="633"/>
      <c r="N1397" s="274"/>
      <c r="O1397" s="94"/>
      <c r="P1397" s="94"/>
      <c r="Q1397" s="94"/>
      <c r="R1397" s="94"/>
      <c r="S1397" s="94"/>
      <c r="V1397" s="30"/>
      <c r="W1397" s="30"/>
      <c r="X1397" s="1"/>
      <c r="Y1397" s="95"/>
      <c r="Z1397" s="1"/>
      <c r="AA1397" s="94"/>
      <c r="AB1397" s="1"/>
      <c r="AC1397" s="1"/>
      <c r="AD1397" s="1"/>
      <c r="AE1397" s="30"/>
      <c r="AF1397" s="633"/>
      <c r="AG1397" s="94"/>
      <c r="AH1397" s="94"/>
      <c r="AI1397" s="94"/>
      <c r="AJ1397" s="94"/>
      <c r="AK1397" s="94"/>
      <c r="AL1397" s="94"/>
    </row>
    <row r="1398" spans="3:38">
      <c r="C1398" s="30"/>
      <c r="F1398" s="95"/>
      <c r="G1398" s="1"/>
      <c r="H1398" s="94"/>
      <c r="I1398" s="90"/>
      <c r="J1398" s="90"/>
      <c r="K1398" s="1"/>
      <c r="L1398" s="74"/>
      <c r="M1398" s="633"/>
      <c r="N1398" s="274"/>
      <c r="O1398" s="94"/>
      <c r="P1398" s="94"/>
      <c r="Q1398" s="94"/>
      <c r="R1398" s="94"/>
      <c r="S1398" s="94"/>
      <c r="V1398" s="30"/>
      <c r="W1398" s="30"/>
      <c r="X1398" s="1"/>
      <c r="Y1398" s="95"/>
      <c r="Z1398" s="1"/>
      <c r="AA1398" s="94"/>
      <c r="AB1398" s="1"/>
      <c r="AC1398" s="1"/>
      <c r="AD1398" s="1"/>
      <c r="AE1398" s="30"/>
      <c r="AF1398" s="633"/>
      <c r="AG1398" s="94"/>
      <c r="AH1398" s="94"/>
      <c r="AI1398" s="94"/>
      <c r="AJ1398" s="94"/>
      <c r="AK1398" s="94"/>
      <c r="AL1398" s="94"/>
    </row>
    <row r="1399" spans="3:38">
      <c r="C1399" s="30"/>
      <c r="F1399" s="95"/>
      <c r="G1399" s="1"/>
      <c r="H1399" s="94"/>
      <c r="I1399" s="90"/>
      <c r="J1399" s="90"/>
      <c r="K1399" s="1"/>
      <c r="L1399" s="74"/>
      <c r="M1399" s="633"/>
      <c r="N1399" s="274"/>
      <c r="O1399" s="94"/>
      <c r="P1399" s="94"/>
      <c r="Q1399" s="94"/>
      <c r="R1399" s="94"/>
      <c r="S1399" s="94"/>
      <c r="V1399" s="30"/>
      <c r="W1399" s="30"/>
      <c r="X1399" s="1"/>
      <c r="Y1399" s="95"/>
      <c r="Z1399" s="1"/>
      <c r="AA1399" s="94"/>
      <c r="AB1399" s="1"/>
      <c r="AC1399" s="1"/>
      <c r="AD1399" s="1"/>
      <c r="AE1399" s="30"/>
      <c r="AF1399" s="633"/>
      <c r="AG1399" s="94"/>
      <c r="AH1399" s="94"/>
      <c r="AI1399" s="94"/>
      <c r="AJ1399" s="94"/>
      <c r="AK1399" s="94"/>
      <c r="AL1399" s="94"/>
    </row>
    <row r="1400" spans="3:38">
      <c r="C1400" s="30"/>
      <c r="F1400" s="95"/>
      <c r="G1400" s="1"/>
      <c r="H1400" s="94"/>
      <c r="I1400" s="90"/>
      <c r="J1400" s="90"/>
      <c r="K1400" s="1"/>
      <c r="L1400" s="74"/>
      <c r="M1400" s="633"/>
      <c r="N1400" s="274"/>
      <c r="O1400" s="94"/>
      <c r="P1400" s="94"/>
      <c r="Q1400" s="94"/>
      <c r="R1400" s="94"/>
      <c r="S1400" s="94"/>
      <c r="V1400" s="30"/>
      <c r="W1400" s="30"/>
      <c r="X1400" s="1"/>
      <c r="Y1400" s="95"/>
      <c r="Z1400" s="1"/>
      <c r="AA1400" s="94"/>
      <c r="AB1400" s="1"/>
      <c r="AC1400" s="1"/>
      <c r="AD1400" s="1"/>
      <c r="AE1400" s="30"/>
      <c r="AF1400" s="633"/>
      <c r="AG1400" s="94"/>
      <c r="AH1400" s="94"/>
      <c r="AI1400" s="94"/>
      <c r="AJ1400" s="94"/>
      <c r="AK1400" s="94"/>
      <c r="AL1400" s="94"/>
    </row>
    <row r="1401" spans="3:38">
      <c r="C1401" s="30"/>
      <c r="F1401" s="95"/>
      <c r="G1401" s="1"/>
      <c r="H1401" s="94"/>
      <c r="I1401" s="90"/>
      <c r="J1401" s="90"/>
      <c r="K1401" s="1"/>
      <c r="L1401" s="74"/>
      <c r="M1401" s="633"/>
      <c r="N1401" s="274"/>
      <c r="O1401" s="94"/>
      <c r="P1401" s="94"/>
      <c r="Q1401" s="94"/>
      <c r="R1401" s="94"/>
      <c r="S1401" s="94"/>
      <c r="V1401" s="30"/>
      <c r="W1401" s="30"/>
      <c r="X1401" s="1"/>
      <c r="Y1401" s="95"/>
      <c r="Z1401" s="1"/>
      <c r="AA1401" s="94"/>
      <c r="AB1401" s="1"/>
      <c r="AC1401" s="1"/>
      <c r="AD1401" s="1"/>
      <c r="AE1401" s="30"/>
      <c r="AF1401" s="633"/>
      <c r="AG1401" s="94"/>
      <c r="AH1401" s="94"/>
      <c r="AI1401" s="94"/>
      <c r="AJ1401" s="94"/>
      <c r="AK1401" s="94"/>
      <c r="AL1401" s="94"/>
    </row>
    <row r="1402" spans="3:38">
      <c r="C1402" s="30"/>
      <c r="F1402" s="95"/>
      <c r="G1402" s="1"/>
      <c r="H1402" s="94"/>
      <c r="I1402" s="90"/>
      <c r="J1402" s="90"/>
      <c r="K1402" s="1"/>
      <c r="L1402" s="74"/>
      <c r="M1402" s="633"/>
      <c r="N1402" s="274"/>
      <c r="O1402" s="94"/>
      <c r="P1402" s="94"/>
      <c r="Q1402" s="94"/>
      <c r="R1402" s="94"/>
      <c r="S1402" s="94"/>
      <c r="V1402" s="30"/>
      <c r="W1402" s="30"/>
      <c r="X1402" s="1"/>
      <c r="Y1402" s="95"/>
      <c r="Z1402" s="1"/>
      <c r="AA1402" s="94"/>
      <c r="AB1402" s="1"/>
      <c r="AC1402" s="1"/>
      <c r="AD1402" s="1"/>
      <c r="AE1402" s="30"/>
      <c r="AF1402" s="633"/>
      <c r="AG1402" s="94"/>
      <c r="AH1402" s="94"/>
      <c r="AI1402" s="94"/>
      <c r="AJ1402" s="94"/>
      <c r="AK1402" s="94"/>
      <c r="AL1402" s="94"/>
    </row>
    <row r="1403" spans="3:38">
      <c r="C1403" s="30"/>
      <c r="F1403" s="95"/>
      <c r="G1403" s="1"/>
      <c r="H1403" s="94"/>
      <c r="I1403" s="90"/>
      <c r="J1403" s="90"/>
      <c r="K1403" s="1"/>
      <c r="L1403" s="74"/>
      <c r="M1403" s="633"/>
      <c r="N1403" s="274"/>
      <c r="O1403" s="94"/>
      <c r="P1403" s="94"/>
      <c r="Q1403" s="94"/>
      <c r="R1403" s="94"/>
      <c r="S1403" s="94"/>
      <c r="V1403" s="30"/>
      <c r="W1403" s="30"/>
      <c r="X1403" s="1"/>
      <c r="Y1403" s="95"/>
      <c r="Z1403" s="1"/>
      <c r="AA1403" s="94"/>
      <c r="AB1403" s="1"/>
      <c r="AC1403" s="1"/>
      <c r="AD1403" s="1"/>
      <c r="AE1403" s="30"/>
      <c r="AF1403" s="633"/>
      <c r="AG1403" s="94"/>
      <c r="AH1403" s="94"/>
      <c r="AI1403" s="94"/>
      <c r="AJ1403" s="94"/>
      <c r="AK1403" s="94"/>
      <c r="AL1403" s="94"/>
    </row>
    <row r="1404" spans="3:38">
      <c r="C1404" s="30"/>
      <c r="F1404" s="95"/>
      <c r="G1404" s="1"/>
      <c r="H1404" s="94"/>
      <c r="I1404" s="90"/>
      <c r="J1404" s="90"/>
      <c r="K1404" s="1"/>
      <c r="L1404" s="74"/>
      <c r="M1404" s="633"/>
      <c r="N1404" s="274"/>
      <c r="O1404" s="94"/>
      <c r="P1404" s="94"/>
      <c r="Q1404" s="94"/>
      <c r="R1404" s="94"/>
      <c r="S1404" s="94"/>
      <c r="V1404" s="30"/>
      <c r="W1404" s="30"/>
      <c r="X1404" s="1"/>
      <c r="Y1404" s="95"/>
      <c r="Z1404" s="1"/>
      <c r="AA1404" s="94"/>
      <c r="AB1404" s="1"/>
      <c r="AC1404" s="1"/>
      <c r="AD1404" s="1"/>
      <c r="AE1404" s="30"/>
      <c r="AF1404" s="633"/>
      <c r="AG1404" s="94"/>
      <c r="AH1404" s="94"/>
      <c r="AI1404" s="94"/>
      <c r="AJ1404" s="94"/>
      <c r="AK1404" s="94"/>
      <c r="AL1404" s="94"/>
    </row>
    <row r="1405" spans="3:38">
      <c r="C1405" s="30"/>
      <c r="F1405" s="95"/>
      <c r="G1405" s="1"/>
      <c r="H1405" s="94"/>
      <c r="I1405" s="90"/>
      <c r="J1405" s="90"/>
      <c r="K1405" s="1"/>
      <c r="L1405" s="74"/>
      <c r="M1405" s="633"/>
      <c r="N1405" s="274"/>
      <c r="O1405" s="94"/>
      <c r="P1405" s="94"/>
      <c r="Q1405" s="94"/>
      <c r="R1405" s="94"/>
      <c r="S1405" s="94"/>
      <c r="V1405" s="30"/>
      <c r="W1405" s="30"/>
      <c r="X1405" s="1"/>
      <c r="Y1405" s="95"/>
      <c r="Z1405" s="1"/>
      <c r="AA1405" s="94"/>
      <c r="AB1405" s="1"/>
      <c r="AC1405" s="1"/>
      <c r="AD1405" s="1"/>
      <c r="AE1405" s="30"/>
      <c r="AF1405" s="633"/>
      <c r="AG1405" s="94"/>
      <c r="AH1405" s="94"/>
      <c r="AI1405" s="94"/>
      <c r="AJ1405" s="94"/>
      <c r="AK1405" s="94"/>
      <c r="AL1405" s="94"/>
    </row>
    <row r="1406" spans="3:38">
      <c r="C1406" s="30"/>
      <c r="F1406" s="95"/>
      <c r="G1406" s="1"/>
      <c r="H1406" s="94"/>
      <c r="I1406" s="90"/>
      <c r="J1406" s="90"/>
      <c r="K1406" s="1"/>
      <c r="L1406" s="74"/>
      <c r="M1406" s="633"/>
      <c r="N1406" s="274"/>
      <c r="O1406" s="94"/>
      <c r="P1406" s="94"/>
      <c r="Q1406" s="94"/>
      <c r="R1406" s="94"/>
      <c r="S1406" s="94"/>
      <c r="V1406" s="30"/>
      <c r="W1406" s="30"/>
      <c r="X1406" s="1"/>
      <c r="Y1406" s="95"/>
      <c r="Z1406" s="1"/>
      <c r="AA1406" s="94"/>
      <c r="AB1406" s="1"/>
      <c r="AC1406" s="1"/>
      <c r="AD1406" s="1"/>
      <c r="AE1406" s="30"/>
      <c r="AF1406" s="633"/>
      <c r="AG1406" s="94"/>
      <c r="AH1406" s="94"/>
      <c r="AI1406" s="94"/>
      <c r="AJ1406" s="94"/>
      <c r="AK1406" s="94"/>
      <c r="AL1406" s="94"/>
    </row>
    <row r="1407" spans="3:38">
      <c r="C1407" s="30"/>
      <c r="F1407" s="95"/>
      <c r="G1407" s="1"/>
      <c r="H1407" s="94"/>
      <c r="I1407" s="90"/>
      <c r="J1407" s="90"/>
      <c r="K1407" s="1"/>
      <c r="L1407" s="74"/>
      <c r="M1407" s="633"/>
      <c r="N1407" s="274"/>
      <c r="O1407" s="94"/>
      <c r="P1407" s="94"/>
      <c r="Q1407" s="94"/>
      <c r="R1407" s="94"/>
      <c r="S1407" s="94"/>
      <c r="V1407" s="30"/>
      <c r="W1407" s="30"/>
      <c r="X1407" s="1"/>
      <c r="Y1407" s="95"/>
      <c r="Z1407" s="1"/>
      <c r="AA1407" s="94"/>
      <c r="AB1407" s="1"/>
      <c r="AC1407" s="1"/>
      <c r="AD1407" s="1"/>
      <c r="AE1407" s="30"/>
      <c r="AF1407" s="633"/>
      <c r="AG1407" s="94"/>
      <c r="AH1407" s="94"/>
      <c r="AI1407" s="94"/>
      <c r="AJ1407" s="94"/>
      <c r="AK1407" s="94"/>
      <c r="AL1407" s="94"/>
    </row>
    <row r="1408" spans="3:38">
      <c r="C1408" s="30"/>
      <c r="F1408" s="95"/>
      <c r="G1408" s="1"/>
      <c r="H1408" s="94"/>
      <c r="I1408" s="90"/>
      <c r="J1408" s="90"/>
      <c r="K1408" s="1"/>
      <c r="L1408" s="74"/>
      <c r="M1408" s="633"/>
      <c r="N1408" s="274"/>
      <c r="O1408" s="94"/>
      <c r="P1408" s="94"/>
      <c r="Q1408" s="94"/>
      <c r="R1408" s="94"/>
      <c r="S1408" s="94"/>
      <c r="V1408" s="30"/>
      <c r="W1408" s="30"/>
      <c r="X1408" s="1"/>
      <c r="Y1408" s="95"/>
      <c r="Z1408" s="1"/>
      <c r="AA1408" s="94"/>
      <c r="AB1408" s="1"/>
      <c r="AC1408" s="1"/>
      <c r="AD1408" s="1"/>
      <c r="AE1408" s="30"/>
      <c r="AF1408" s="633"/>
      <c r="AG1408" s="94"/>
      <c r="AH1408" s="94"/>
      <c r="AI1408" s="94"/>
      <c r="AJ1408" s="94"/>
      <c r="AK1408" s="94"/>
      <c r="AL1408" s="94"/>
    </row>
    <row r="1409" spans="3:38">
      <c r="C1409" s="30"/>
      <c r="F1409" s="95"/>
      <c r="G1409" s="1"/>
      <c r="H1409" s="94"/>
      <c r="I1409" s="90"/>
      <c r="J1409" s="90"/>
      <c r="K1409" s="1"/>
      <c r="L1409" s="74"/>
      <c r="M1409" s="633"/>
      <c r="N1409" s="274"/>
      <c r="O1409" s="94"/>
      <c r="P1409" s="94"/>
      <c r="Q1409" s="94"/>
      <c r="R1409" s="94"/>
      <c r="S1409" s="94"/>
      <c r="V1409" s="30"/>
      <c r="W1409" s="30"/>
      <c r="X1409" s="1"/>
      <c r="Y1409" s="95"/>
      <c r="Z1409" s="1"/>
      <c r="AA1409" s="94"/>
      <c r="AB1409" s="1"/>
      <c r="AC1409" s="1"/>
      <c r="AD1409" s="1"/>
      <c r="AE1409" s="30"/>
      <c r="AF1409" s="633"/>
      <c r="AG1409" s="94"/>
      <c r="AH1409" s="94"/>
      <c r="AI1409" s="94"/>
      <c r="AJ1409" s="94"/>
      <c r="AK1409" s="94"/>
      <c r="AL1409" s="94"/>
    </row>
    <row r="1410" spans="3:38">
      <c r="C1410" s="30"/>
      <c r="F1410" s="95"/>
      <c r="G1410" s="1"/>
      <c r="H1410" s="94"/>
      <c r="I1410" s="90"/>
      <c r="J1410" s="90"/>
      <c r="K1410" s="1"/>
      <c r="L1410" s="74"/>
      <c r="M1410" s="633"/>
      <c r="N1410" s="274"/>
      <c r="O1410" s="94"/>
      <c r="P1410" s="94"/>
      <c r="Q1410" s="94"/>
      <c r="R1410" s="94"/>
      <c r="S1410" s="94"/>
      <c r="V1410" s="30"/>
      <c r="W1410" s="30"/>
      <c r="X1410" s="1"/>
      <c r="Y1410" s="95"/>
      <c r="Z1410" s="1"/>
      <c r="AA1410" s="94"/>
      <c r="AB1410" s="1"/>
      <c r="AC1410" s="1"/>
      <c r="AD1410" s="1"/>
      <c r="AE1410" s="30"/>
      <c r="AF1410" s="633"/>
      <c r="AG1410" s="94"/>
      <c r="AH1410" s="94"/>
      <c r="AI1410" s="94"/>
      <c r="AJ1410" s="94"/>
      <c r="AK1410" s="94"/>
      <c r="AL1410" s="94"/>
    </row>
    <row r="1411" spans="3:38">
      <c r="C1411" s="30"/>
      <c r="F1411" s="95"/>
      <c r="G1411" s="1"/>
      <c r="H1411" s="94"/>
      <c r="I1411" s="90"/>
      <c r="J1411" s="90"/>
      <c r="K1411" s="1"/>
      <c r="L1411" s="74"/>
      <c r="M1411" s="633"/>
      <c r="N1411" s="274"/>
      <c r="O1411" s="94"/>
      <c r="P1411" s="94"/>
      <c r="Q1411" s="94"/>
      <c r="R1411" s="94"/>
      <c r="S1411" s="94"/>
      <c r="V1411" s="30"/>
      <c r="W1411" s="30"/>
      <c r="X1411" s="1"/>
      <c r="Y1411" s="95"/>
      <c r="Z1411" s="1"/>
      <c r="AA1411" s="94"/>
      <c r="AB1411" s="1"/>
      <c r="AC1411" s="1"/>
      <c r="AD1411" s="1"/>
      <c r="AE1411" s="30"/>
      <c r="AF1411" s="633"/>
      <c r="AG1411" s="94"/>
      <c r="AH1411" s="94"/>
      <c r="AI1411" s="94"/>
      <c r="AJ1411" s="94"/>
      <c r="AK1411" s="94"/>
      <c r="AL1411" s="94"/>
    </row>
    <row r="1412" spans="3:38">
      <c r="C1412" s="30"/>
      <c r="F1412" s="95"/>
      <c r="G1412" s="1"/>
      <c r="H1412" s="94"/>
      <c r="I1412" s="90"/>
      <c r="J1412" s="90"/>
      <c r="K1412" s="1"/>
      <c r="L1412" s="74"/>
      <c r="M1412" s="633"/>
      <c r="N1412" s="274"/>
      <c r="O1412" s="94"/>
      <c r="P1412" s="94"/>
      <c r="Q1412" s="94"/>
      <c r="R1412" s="94"/>
      <c r="S1412" s="94"/>
      <c r="V1412" s="30"/>
      <c r="W1412" s="30"/>
      <c r="X1412" s="1"/>
      <c r="Y1412" s="95"/>
      <c r="Z1412" s="1"/>
      <c r="AA1412" s="94"/>
      <c r="AB1412" s="1"/>
      <c r="AC1412" s="1"/>
      <c r="AD1412" s="1"/>
      <c r="AE1412" s="30"/>
      <c r="AF1412" s="633"/>
      <c r="AG1412" s="94"/>
      <c r="AH1412" s="94"/>
      <c r="AI1412" s="94"/>
      <c r="AJ1412" s="94"/>
      <c r="AK1412" s="94"/>
      <c r="AL1412" s="94"/>
    </row>
    <row r="1413" spans="3:38">
      <c r="C1413" s="30"/>
      <c r="F1413" s="95"/>
      <c r="G1413" s="1"/>
      <c r="H1413" s="94"/>
      <c r="I1413" s="90"/>
      <c r="J1413" s="90"/>
      <c r="K1413" s="1"/>
      <c r="L1413" s="74"/>
      <c r="M1413" s="633"/>
      <c r="N1413" s="274"/>
      <c r="O1413" s="94"/>
      <c r="P1413" s="94"/>
      <c r="Q1413" s="94"/>
      <c r="R1413" s="94"/>
      <c r="S1413" s="94"/>
      <c r="V1413" s="30"/>
      <c r="W1413" s="30"/>
      <c r="X1413" s="1"/>
      <c r="Y1413" s="95"/>
      <c r="Z1413" s="1"/>
      <c r="AA1413" s="94"/>
      <c r="AB1413" s="1"/>
      <c r="AC1413" s="1"/>
      <c r="AD1413" s="1"/>
      <c r="AE1413" s="30"/>
      <c r="AF1413" s="633"/>
      <c r="AG1413" s="94"/>
      <c r="AH1413" s="94"/>
      <c r="AI1413" s="94"/>
      <c r="AJ1413" s="94"/>
      <c r="AK1413" s="94"/>
      <c r="AL1413" s="94"/>
    </row>
    <row r="1414" spans="3:38">
      <c r="C1414" s="30"/>
      <c r="F1414" s="95"/>
      <c r="G1414" s="1"/>
      <c r="H1414" s="94"/>
      <c r="I1414" s="90"/>
      <c r="J1414" s="90"/>
      <c r="K1414" s="1"/>
      <c r="L1414" s="74"/>
      <c r="M1414" s="633"/>
      <c r="N1414" s="274"/>
      <c r="O1414" s="94"/>
      <c r="P1414" s="94"/>
      <c r="Q1414" s="94"/>
      <c r="R1414" s="94"/>
      <c r="S1414" s="94"/>
      <c r="V1414" s="30"/>
      <c r="W1414" s="30"/>
      <c r="X1414" s="1"/>
      <c r="Y1414" s="95"/>
      <c r="Z1414" s="1"/>
      <c r="AA1414" s="94"/>
      <c r="AB1414" s="1"/>
      <c r="AC1414" s="1"/>
      <c r="AD1414" s="1"/>
      <c r="AE1414" s="30"/>
      <c r="AF1414" s="633"/>
      <c r="AG1414" s="94"/>
      <c r="AH1414" s="94"/>
      <c r="AI1414" s="94"/>
      <c r="AJ1414" s="94"/>
      <c r="AK1414" s="94"/>
      <c r="AL1414" s="94"/>
    </row>
    <row r="1415" spans="3:38">
      <c r="C1415" s="30"/>
      <c r="F1415" s="95"/>
      <c r="G1415" s="1"/>
      <c r="H1415" s="94"/>
      <c r="I1415" s="90"/>
      <c r="J1415" s="90"/>
      <c r="K1415" s="1"/>
      <c r="L1415" s="74"/>
      <c r="M1415" s="633"/>
      <c r="N1415" s="274"/>
      <c r="O1415" s="94"/>
      <c r="P1415" s="94"/>
      <c r="Q1415" s="94"/>
      <c r="R1415" s="94"/>
      <c r="S1415" s="94"/>
      <c r="V1415" s="30"/>
      <c r="W1415" s="30"/>
      <c r="X1415" s="1"/>
      <c r="Y1415" s="95"/>
      <c r="Z1415" s="1"/>
      <c r="AA1415" s="94"/>
      <c r="AB1415" s="1"/>
      <c r="AC1415" s="1"/>
      <c r="AD1415" s="1"/>
      <c r="AE1415" s="30"/>
      <c r="AF1415" s="633"/>
      <c r="AG1415" s="94"/>
      <c r="AH1415" s="94"/>
      <c r="AI1415" s="94"/>
      <c r="AJ1415" s="94"/>
      <c r="AK1415" s="94"/>
      <c r="AL1415" s="94"/>
    </row>
    <row r="1416" spans="3:38">
      <c r="C1416" s="30"/>
      <c r="F1416" s="95"/>
      <c r="G1416" s="1"/>
      <c r="H1416" s="94"/>
      <c r="I1416" s="90"/>
      <c r="J1416" s="90"/>
      <c r="K1416" s="1"/>
      <c r="L1416" s="74"/>
      <c r="M1416" s="633"/>
      <c r="N1416" s="274"/>
      <c r="O1416" s="94"/>
      <c r="P1416" s="94"/>
      <c r="Q1416" s="94"/>
      <c r="R1416" s="94"/>
      <c r="S1416" s="94"/>
      <c r="V1416" s="30"/>
      <c r="W1416" s="30"/>
      <c r="X1416" s="1"/>
      <c r="Y1416" s="95"/>
      <c r="Z1416" s="1"/>
      <c r="AA1416" s="94"/>
      <c r="AB1416" s="1"/>
      <c r="AC1416" s="1"/>
      <c r="AD1416" s="1"/>
      <c r="AE1416" s="30"/>
      <c r="AF1416" s="633"/>
      <c r="AG1416" s="94"/>
      <c r="AH1416" s="94"/>
      <c r="AI1416" s="94"/>
      <c r="AJ1416" s="94"/>
      <c r="AK1416" s="94"/>
      <c r="AL1416" s="94"/>
    </row>
    <row r="1417" spans="3:38">
      <c r="C1417" s="30"/>
      <c r="F1417" s="95"/>
      <c r="G1417" s="1"/>
      <c r="H1417" s="94"/>
      <c r="I1417" s="90"/>
      <c r="J1417" s="90"/>
      <c r="K1417" s="1"/>
      <c r="L1417" s="74"/>
      <c r="M1417" s="633"/>
      <c r="N1417" s="274"/>
      <c r="O1417" s="94"/>
      <c r="P1417" s="94"/>
      <c r="Q1417" s="94"/>
      <c r="R1417" s="94"/>
      <c r="S1417" s="94"/>
      <c r="V1417" s="30"/>
      <c r="W1417" s="30"/>
      <c r="X1417" s="1"/>
      <c r="Y1417" s="95"/>
      <c r="Z1417" s="1"/>
      <c r="AA1417" s="94"/>
      <c r="AB1417" s="1"/>
      <c r="AC1417" s="1"/>
      <c r="AD1417" s="1"/>
      <c r="AE1417" s="30"/>
      <c r="AF1417" s="633"/>
      <c r="AG1417" s="94"/>
      <c r="AH1417" s="94"/>
      <c r="AI1417" s="94"/>
      <c r="AJ1417" s="94"/>
      <c r="AK1417" s="94"/>
      <c r="AL1417" s="94"/>
    </row>
    <row r="1418" spans="3:38">
      <c r="C1418" s="30"/>
      <c r="F1418" s="95"/>
      <c r="G1418" s="1"/>
      <c r="H1418" s="94"/>
      <c r="I1418" s="90"/>
      <c r="J1418" s="90"/>
      <c r="K1418" s="1"/>
      <c r="L1418" s="74"/>
      <c r="M1418" s="633"/>
      <c r="N1418" s="274"/>
      <c r="O1418" s="94"/>
      <c r="P1418" s="94"/>
      <c r="Q1418" s="94"/>
      <c r="R1418" s="94"/>
      <c r="S1418" s="94"/>
      <c r="V1418" s="30"/>
      <c r="W1418" s="30"/>
      <c r="X1418" s="1"/>
      <c r="Y1418" s="95"/>
      <c r="Z1418" s="1"/>
      <c r="AA1418" s="94"/>
      <c r="AB1418" s="1"/>
      <c r="AC1418" s="1"/>
      <c r="AD1418" s="1"/>
      <c r="AE1418" s="30"/>
      <c r="AF1418" s="633"/>
      <c r="AG1418" s="94"/>
      <c r="AH1418" s="94"/>
      <c r="AI1418" s="94"/>
      <c r="AJ1418" s="94"/>
      <c r="AK1418" s="94"/>
      <c r="AL1418" s="94"/>
    </row>
    <row r="1419" spans="3:38">
      <c r="C1419" s="30"/>
      <c r="F1419" s="95"/>
      <c r="G1419" s="1"/>
      <c r="H1419" s="94"/>
      <c r="I1419" s="90"/>
      <c r="J1419" s="90"/>
      <c r="K1419" s="1"/>
      <c r="L1419" s="74"/>
      <c r="M1419" s="633"/>
      <c r="N1419" s="274"/>
      <c r="O1419" s="94"/>
      <c r="P1419" s="94"/>
      <c r="Q1419" s="94"/>
      <c r="R1419" s="94"/>
      <c r="S1419" s="94"/>
      <c r="V1419" s="30"/>
      <c r="W1419" s="30"/>
      <c r="X1419" s="1"/>
      <c r="Y1419" s="95"/>
      <c r="Z1419" s="1"/>
      <c r="AA1419" s="94"/>
      <c r="AB1419" s="1"/>
      <c r="AC1419" s="1"/>
      <c r="AD1419" s="1"/>
      <c r="AE1419" s="30"/>
      <c r="AF1419" s="633"/>
      <c r="AG1419" s="94"/>
      <c r="AH1419" s="94"/>
      <c r="AI1419" s="94"/>
      <c r="AJ1419" s="94"/>
      <c r="AK1419" s="94"/>
      <c r="AL1419" s="94"/>
    </row>
    <row r="1420" spans="3:38">
      <c r="C1420" s="30"/>
      <c r="F1420" s="95"/>
      <c r="G1420" s="1"/>
      <c r="H1420" s="94"/>
      <c r="I1420" s="90"/>
      <c r="J1420" s="90"/>
      <c r="K1420" s="1"/>
      <c r="L1420" s="74"/>
      <c r="M1420" s="633"/>
      <c r="N1420" s="274"/>
      <c r="O1420" s="94"/>
      <c r="P1420" s="94"/>
      <c r="Q1420" s="94"/>
      <c r="R1420" s="94"/>
      <c r="S1420" s="94"/>
      <c r="V1420" s="30"/>
      <c r="W1420" s="30"/>
      <c r="X1420" s="1"/>
      <c r="Y1420" s="95"/>
      <c r="Z1420" s="1"/>
      <c r="AA1420" s="94"/>
      <c r="AB1420" s="1"/>
      <c r="AC1420" s="1"/>
      <c r="AD1420" s="1"/>
      <c r="AE1420" s="30"/>
      <c r="AF1420" s="633"/>
      <c r="AG1420" s="94"/>
      <c r="AH1420" s="94"/>
      <c r="AI1420" s="94"/>
      <c r="AJ1420" s="94"/>
      <c r="AK1420" s="94"/>
      <c r="AL1420" s="94"/>
    </row>
    <row r="1421" spans="3:38">
      <c r="C1421" s="30"/>
      <c r="F1421" s="95"/>
      <c r="G1421" s="1"/>
      <c r="H1421" s="94"/>
      <c r="I1421" s="90"/>
      <c r="J1421" s="90"/>
      <c r="K1421" s="1"/>
      <c r="L1421" s="74"/>
      <c r="M1421" s="633"/>
      <c r="N1421" s="274"/>
      <c r="O1421" s="94"/>
      <c r="P1421" s="94"/>
      <c r="Q1421" s="94"/>
      <c r="R1421" s="94"/>
      <c r="S1421" s="94"/>
      <c r="V1421" s="30"/>
      <c r="W1421" s="30"/>
      <c r="X1421" s="1"/>
      <c r="Y1421" s="95"/>
      <c r="Z1421" s="1"/>
      <c r="AA1421" s="94"/>
      <c r="AB1421" s="1"/>
      <c r="AC1421" s="1"/>
      <c r="AD1421" s="1"/>
      <c r="AE1421" s="30"/>
      <c r="AF1421" s="633"/>
      <c r="AG1421" s="94"/>
      <c r="AH1421" s="94"/>
      <c r="AI1421" s="94"/>
      <c r="AJ1421" s="94"/>
      <c r="AK1421" s="94"/>
      <c r="AL1421" s="94"/>
    </row>
    <row r="1422" spans="3:38">
      <c r="C1422" s="30"/>
      <c r="F1422" s="95"/>
      <c r="G1422" s="1"/>
      <c r="H1422" s="94"/>
      <c r="I1422" s="90"/>
      <c r="J1422" s="90"/>
      <c r="K1422" s="1"/>
      <c r="L1422" s="74"/>
      <c r="M1422" s="633"/>
      <c r="N1422" s="274"/>
      <c r="O1422" s="94"/>
      <c r="P1422" s="94"/>
      <c r="Q1422" s="94"/>
      <c r="R1422" s="94"/>
      <c r="S1422" s="94"/>
      <c r="V1422" s="30"/>
      <c r="W1422" s="30"/>
      <c r="X1422" s="1"/>
      <c r="Y1422" s="95"/>
      <c r="Z1422" s="1"/>
      <c r="AA1422" s="94"/>
      <c r="AB1422" s="1"/>
      <c r="AC1422" s="1"/>
      <c r="AD1422" s="1"/>
      <c r="AE1422" s="30"/>
      <c r="AF1422" s="633"/>
      <c r="AG1422" s="94"/>
      <c r="AH1422" s="94"/>
      <c r="AI1422" s="94"/>
      <c r="AJ1422" s="94"/>
      <c r="AK1422" s="94"/>
      <c r="AL1422" s="94"/>
    </row>
    <row r="1423" spans="3:38">
      <c r="C1423" s="30"/>
      <c r="F1423" s="95"/>
      <c r="G1423" s="1"/>
      <c r="H1423" s="94"/>
      <c r="I1423" s="90"/>
      <c r="J1423" s="90"/>
      <c r="K1423" s="1"/>
      <c r="L1423" s="74"/>
      <c r="M1423" s="633"/>
      <c r="N1423" s="274"/>
      <c r="O1423" s="94"/>
      <c r="P1423" s="94"/>
      <c r="Q1423" s="94"/>
      <c r="R1423" s="94"/>
      <c r="S1423" s="94"/>
      <c r="V1423" s="30"/>
      <c r="W1423" s="30"/>
      <c r="X1423" s="1"/>
      <c r="Y1423" s="95"/>
      <c r="Z1423" s="1"/>
      <c r="AA1423" s="94"/>
      <c r="AB1423" s="1"/>
      <c r="AC1423" s="1"/>
      <c r="AD1423" s="1"/>
      <c r="AE1423" s="30"/>
      <c r="AF1423" s="633"/>
      <c r="AG1423" s="94"/>
      <c r="AH1423" s="94"/>
      <c r="AI1423" s="94"/>
      <c r="AJ1423" s="94"/>
      <c r="AK1423" s="94"/>
      <c r="AL1423" s="94"/>
    </row>
    <row r="1424" spans="3:38">
      <c r="C1424" s="30"/>
      <c r="F1424" s="95"/>
      <c r="G1424" s="1"/>
      <c r="H1424" s="94"/>
      <c r="I1424" s="90"/>
      <c r="J1424" s="90"/>
      <c r="K1424" s="1"/>
      <c r="L1424" s="74"/>
      <c r="M1424" s="633"/>
      <c r="N1424" s="274"/>
      <c r="O1424" s="94"/>
      <c r="P1424" s="94"/>
      <c r="Q1424" s="94"/>
      <c r="R1424" s="94"/>
      <c r="S1424" s="94"/>
      <c r="V1424" s="30"/>
      <c r="W1424" s="30"/>
      <c r="X1424" s="1"/>
      <c r="Y1424" s="95"/>
      <c r="Z1424" s="1"/>
      <c r="AA1424" s="94"/>
      <c r="AB1424" s="1"/>
      <c r="AC1424" s="1"/>
      <c r="AD1424" s="1"/>
      <c r="AE1424" s="30"/>
      <c r="AF1424" s="633"/>
      <c r="AG1424" s="94"/>
      <c r="AH1424" s="94"/>
      <c r="AI1424" s="94"/>
      <c r="AJ1424" s="94"/>
      <c r="AK1424" s="94"/>
      <c r="AL1424" s="94"/>
    </row>
    <row r="1425" spans="3:38">
      <c r="C1425" s="30"/>
      <c r="F1425" s="95"/>
      <c r="G1425" s="1"/>
      <c r="H1425" s="94"/>
      <c r="I1425" s="90"/>
      <c r="J1425" s="90"/>
      <c r="K1425" s="1"/>
      <c r="L1425" s="74"/>
      <c r="M1425" s="633"/>
      <c r="N1425" s="274"/>
      <c r="O1425" s="94"/>
      <c r="P1425" s="94"/>
      <c r="Q1425" s="94"/>
      <c r="R1425" s="94"/>
      <c r="S1425" s="94"/>
      <c r="V1425" s="30"/>
      <c r="W1425" s="30"/>
      <c r="X1425" s="1"/>
      <c r="Y1425" s="95"/>
      <c r="Z1425" s="1"/>
      <c r="AA1425" s="94"/>
      <c r="AB1425" s="1"/>
      <c r="AC1425" s="1"/>
      <c r="AD1425" s="1"/>
      <c r="AE1425" s="30"/>
      <c r="AF1425" s="633"/>
      <c r="AG1425" s="94"/>
      <c r="AH1425" s="94"/>
      <c r="AI1425" s="94"/>
      <c r="AJ1425" s="94"/>
      <c r="AK1425" s="94"/>
      <c r="AL1425" s="94"/>
    </row>
    <row r="1426" spans="3:38">
      <c r="C1426" s="30"/>
      <c r="F1426" s="95"/>
      <c r="G1426" s="1"/>
      <c r="H1426" s="94"/>
      <c r="I1426" s="90"/>
      <c r="J1426" s="90"/>
      <c r="K1426" s="1"/>
      <c r="L1426" s="74"/>
      <c r="M1426" s="633"/>
      <c r="N1426" s="274"/>
      <c r="O1426" s="94"/>
      <c r="P1426" s="94"/>
      <c r="Q1426" s="94"/>
      <c r="R1426" s="94"/>
      <c r="S1426" s="94"/>
      <c r="V1426" s="30"/>
      <c r="W1426" s="30"/>
      <c r="X1426" s="1"/>
      <c r="Y1426" s="95"/>
      <c r="Z1426" s="1"/>
      <c r="AA1426" s="94"/>
      <c r="AB1426" s="1"/>
      <c r="AC1426" s="1"/>
      <c r="AD1426" s="1"/>
      <c r="AE1426" s="30"/>
      <c r="AF1426" s="633"/>
      <c r="AG1426" s="94"/>
      <c r="AH1426" s="94"/>
      <c r="AI1426" s="94"/>
      <c r="AJ1426" s="94"/>
      <c r="AK1426" s="94"/>
      <c r="AL1426" s="94"/>
    </row>
    <row r="1427" spans="3:38">
      <c r="C1427" s="30"/>
      <c r="F1427" s="95"/>
      <c r="G1427" s="1"/>
      <c r="H1427" s="94"/>
      <c r="I1427" s="90"/>
      <c r="J1427" s="90"/>
      <c r="K1427" s="1"/>
      <c r="L1427" s="74"/>
      <c r="M1427" s="633"/>
      <c r="N1427" s="274"/>
      <c r="O1427" s="94"/>
      <c r="P1427" s="94"/>
      <c r="Q1427" s="94"/>
      <c r="R1427" s="94"/>
      <c r="S1427" s="94"/>
      <c r="V1427" s="30"/>
      <c r="W1427" s="30"/>
      <c r="X1427" s="1"/>
      <c r="Y1427" s="95"/>
      <c r="Z1427" s="1"/>
      <c r="AA1427" s="94"/>
      <c r="AB1427" s="1"/>
      <c r="AC1427" s="1"/>
      <c r="AD1427" s="1"/>
      <c r="AE1427" s="30"/>
      <c r="AF1427" s="633"/>
      <c r="AG1427" s="94"/>
      <c r="AH1427" s="94"/>
      <c r="AI1427" s="94"/>
      <c r="AJ1427" s="94"/>
      <c r="AK1427" s="94"/>
      <c r="AL1427" s="94"/>
    </row>
    <row r="1428" spans="3:38">
      <c r="C1428" s="30"/>
      <c r="F1428" s="95"/>
      <c r="G1428" s="1"/>
      <c r="H1428" s="94"/>
      <c r="I1428" s="90"/>
      <c r="J1428" s="90"/>
      <c r="K1428" s="1"/>
      <c r="L1428" s="74"/>
      <c r="M1428" s="633"/>
      <c r="N1428" s="274"/>
      <c r="O1428" s="94"/>
      <c r="P1428" s="94"/>
      <c r="Q1428" s="94"/>
      <c r="R1428" s="94"/>
      <c r="S1428" s="94"/>
      <c r="V1428" s="30"/>
      <c r="W1428" s="30"/>
      <c r="X1428" s="1"/>
      <c r="Y1428" s="95"/>
      <c r="Z1428" s="1"/>
      <c r="AA1428" s="94"/>
      <c r="AB1428" s="1"/>
      <c r="AC1428" s="1"/>
      <c r="AD1428" s="1"/>
      <c r="AE1428" s="30"/>
      <c r="AF1428" s="633"/>
      <c r="AG1428" s="94"/>
      <c r="AH1428" s="94"/>
      <c r="AI1428" s="94"/>
      <c r="AJ1428" s="94"/>
      <c r="AK1428" s="94"/>
      <c r="AL1428" s="94"/>
    </row>
    <row r="1429" spans="3:38">
      <c r="C1429" s="30"/>
      <c r="F1429" s="95"/>
      <c r="G1429" s="1"/>
      <c r="H1429" s="94"/>
      <c r="I1429" s="90"/>
      <c r="J1429" s="90"/>
      <c r="K1429" s="1"/>
      <c r="L1429" s="74"/>
      <c r="M1429" s="633"/>
      <c r="N1429" s="274"/>
      <c r="O1429" s="94"/>
      <c r="P1429" s="94"/>
      <c r="Q1429" s="94"/>
      <c r="R1429" s="94"/>
      <c r="S1429" s="94"/>
      <c r="V1429" s="30"/>
      <c r="W1429" s="30"/>
      <c r="X1429" s="1"/>
      <c r="Y1429" s="95"/>
      <c r="Z1429" s="1"/>
      <c r="AA1429" s="94"/>
      <c r="AB1429" s="1"/>
      <c r="AC1429" s="1"/>
      <c r="AD1429" s="1"/>
      <c r="AE1429" s="30"/>
      <c r="AF1429" s="633"/>
      <c r="AG1429" s="94"/>
      <c r="AH1429" s="94"/>
      <c r="AI1429" s="94"/>
      <c r="AJ1429" s="94"/>
      <c r="AK1429" s="94"/>
      <c r="AL1429" s="94"/>
    </row>
    <row r="1430" spans="3:38">
      <c r="C1430" s="30"/>
      <c r="F1430" s="95"/>
      <c r="G1430" s="1"/>
      <c r="H1430" s="94"/>
      <c r="I1430" s="90"/>
      <c r="J1430" s="90"/>
      <c r="K1430" s="1"/>
      <c r="L1430" s="74"/>
      <c r="M1430" s="633"/>
      <c r="N1430" s="274"/>
      <c r="O1430" s="94"/>
      <c r="P1430" s="94"/>
      <c r="Q1430" s="94"/>
      <c r="R1430" s="94"/>
      <c r="S1430" s="94"/>
      <c r="V1430" s="30"/>
      <c r="W1430" s="30"/>
      <c r="X1430" s="1"/>
      <c r="Y1430" s="95"/>
      <c r="Z1430" s="1"/>
      <c r="AA1430" s="94"/>
      <c r="AB1430" s="1"/>
      <c r="AC1430" s="1"/>
      <c r="AD1430" s="1"/>
      <c r="AE1430" s="30"/>
      <c r="AF1430" s="633"/>
      <c r="AG1430" s="94"/>
      <c r="AH1430" s="94"/>
      <c r="AI1430" s="94"/>
      <c r="AJ1430" s="94"/>
      <c r="AK1430" s="94"/>
      <c r="AL1430" s="94"/>
    </row>
    <row r="1431" spans="3:38">
      <c r="C1431" s="30"/>
      <c r="F1431" s="95"/>
      <c r="G1431" s="1"/>
      <c r="H1431" s="94"/>
      <c r="I1431" s="90"/>
      <c r="J1431" s="90"/>
      <c r="K1431" s="1"/>
      <c r="L1431" s="74"/>
      <c r="M1431" s="633"/>
      <c r="N1431" s="274"/>
      <c r="O1431" s="94"/>
      <c r="P1431" s="94"/>
      <c r="Q1431" s="94"/>
      <c r="R1431" s="94"/>
      <c r="S1431" s="94"/>
      <c r="V1431" s="30"/>
      <c r="W1431" s="30"/>
      <c r="X1431" s="1"/>
      <c r="Y1431" s="95"/>
      <c r="Z1431" s="1"/>
      <c r="AA1431" s="94"/>
      <c r="AB1431" s="1"/>
      <c r="AC1431" s="1"/>
      <c r="AD1431" s="1"/>
      <c r="AE1431" s="30"/>
      <c r="AF1431" s="633"/>
      <c r="AG1431" s="94"/>
      <c r="AH1431" s="94"/>
      <c r="AI1431" s="94"/>
      <c r="AJ1431" s="94"/>
      <c r="AK1431" s="94"/>
      <c r="AL1431" s="94"/>
    </row>
    <row r="1432" spans="3:38">
      <c r="C1432" s="30"/>
      <c r="F1432" s="95"/>
      <c r="G1432" s="1"/>
      <c r="H1432" s="94"/>
      <c r="I1432" s="90"/>
      <c r="J1432" s="90"/>
      <c r="K1432" s="1"/>
      <c r="L1432" s="74"/>
      <c r="M1432" s="633"/>
      <c r="N1432" s="274"/>
      <c r="O1432" s="94"/>
      <c r="P1432" s="94"/>
      <c r="Q1432" s="94"/>
      <c r="R1432" s="94"/>
      <c r="S1432" s="94"/>
      <c r="V1432" s="30"/>
      <c r="W1432" s="30"/>
      <c r="X1432" s="1"/>
      <c r="Y1432" s="95"/>
      <c r="Z1432" s="1"/>
      <c r="AA1432" s="94"/>
      <c r="AB1432" s="1"/>
      <c r="AC1432" s="1"/>
      <c r="AD1432" s="1"/>
      <c r="AE1432" s="30"/>
      <c r="AF1432" s="633"/>
      <c r="AG1432" s="94"/>
      <c r="AH1432" s="94"/>
      <c r="AI1432" s="94"/>
      <c r="AJ1432" s="94"/>
      <c r="AK1432" s="94"/>
      <c r="AL1432" s="94"/>
    </row>
    <row r="1433" spans="3:38">
      <c r="C1433" s="30"/>
      <c r="F1433" s="95"/>
      <c r="G1433" s="1"/>
      <c r="H1433" s="94"/>
      <c r="I1433" s="90"/>
      <c r="J1433" s="90"/>
      <c r="K1433" s="1"/>
      <c r="L1433" s="74"/>
      <c r="M1433" s="633"/>
      <c r="N1433" s="274"/>
      <c r="O1433" s="94"/>
      <c r="P1433" s="94"/>
      <c r="Q1433" s="94"/>
      <c r="R1433" s="94"/>
      <c r="S1433" s="94"/>
      <c r="V1433" s="30"/>
      <c r="W1433" s="30"/>
      <c r="X1433" s="1"/>
      <c r="Y1433" s="95"/>
      <c r="Z1433" s="1"/>
      <c r="AA1433" s="94"/>
      <c r="AB1433" s="1"/>
      <c r="AC1433" s="1"/>
      <c r="AD1433" s="1"/>
      <c r="AE1433" s="30"/>
      <c r="AF1433" s="633"/>
      <c r="AG1433" s="94"/>
      <c r="AH1433" s="94"/>
      <c r="AI1433" s="94"/>
      <c r="AJ1433" s="94"/>
      <c r="AK1433" s="94"/>
      <c r="AL1433" s="94"/>
    </row>
    <row r="1434" spans="3:38">
      <c r="C1434" s="30"/>
      <c r="F1434" s="95"/>
      <c r="G1434" s="1"/>
      <c r="H1434" s="94"/>
      <c r="I1434" s="90"/>
      <c r="J1434" s="90"/>
      <c r="K1434" s="1"/>
      <c r="L1434" s="74"/>
      <c r="M1434" s="633"/>
      <c r="N1434" s="274"/>
      <c r="O1434" s="94"/>
      <c r="P1434" s="94"/>
      <c r="Q1434" s="94"/>
      <c r="R1434" s="94"/>
      <c r="S1434" s="94"/>
      <c r="V1434" s="30"/>
      <c r="W1434" s="30"/>
      <c r="X1434" s="1"/>
      <c r="Y1434" s="95"/>
      <c r="Z1434" s="1"/>
      <c r="AA1434" s="94"/>
      <c r="AB1434" s="1"/>
      <c r="AC1434" s="1"/>
      <c r="AD1434" s="1"/>
      <c r="AE1434" s="30"/>
      <c r="AF1434" s="633"/>
      <c r="AG1434" s="94"/>
      <c r="AH1434" s="94"/>
      <c r="AI1434" s="94"/>
      <c r="AJ1434" s="94"/>
      <c r="AK1434" s="94"/>
      <c r="AL1434" s="94"/>
    </row>
    <row r="1435" spans="3:38">
      <c r="C1435" s="30"/>
      <c r="F1435" s="95"/>
      <c r="G1435" s="1"/>
      <c r="H1435" s="94"/>
      <c r="I1435" s="90"/>
      <c r="J1435" s="90"/>
      <c r="K1435" s="1"/>
      <c r="L1435" s="74"/>
      <c r="M1435" s="633"/>
      <c r="N1435" s="274"/>
      <c r="O1435" s="94"/>
      <c r="P1435" s="94"/>
      <c r="Q1435" s="94"/>
      <c r="R1435" s="94"/>
      <c r="S1435" s="94"/>
      <c r="V1435" s="30"/>
      <c r="W1435" s="30"/>
      <c r="X1435" s="1"/>
      <c r="Y1435" s="95"/>
      <c r="Z1435" s="1"/>
      <c r="AA1435" s="94"/>
      <c r="AB1435" s="1"/>
      <c r="AC1435" s="1"/>
      <c r="AD1435" s="1"/>
      <c r="AE1435" s="30"/>
      <c r="AF1435" s="633"/>
      <c r="AG1435" s="94"/>
      <c r="AH1435" s="94"/>
      <c r="AI1435" s="94"/>
      <c r="AJ1435" s="94"/>
      <c r="AK1435" s="94"/>
      <c r="AL1435" s="94"/>
    </row>
    <row r="1436" spans="3:38">
      <c r="C1436" s="30"/>
      <c r="F1436" s="95"/>
      <c r="G1436" s="1"/>
      <c r="H1436" s="94"/>
      <c r="I1436" s="90"/>
      <c r="J1436" s="90"/>
      <c r="K1436" s="1"/>
      <c r="L1436" s="74"/>
      <c r="M1436" s="633"/>
      <c r="N1436" s="274"/>
      <c r="O1436" s="94"/>
      <c r="P1436" s="94"/>
      <c r="Q1436" s="94"/>
      <c r="R1436" s="94"/>
      <c r="S1436" s="94"/>
      <c r="V1436" s="30"/>
      <c r="W1436" s="30"/>
      <c r="X1436" s="1"/>
      <c r="Y1436" s="95"/>
      <c r="Z1436" s="1"/>
      <c r="AA1436" s="94"/>
      <c r="AB1436" s="1"/>
      <c r="AC1436" s="1"/>
      <c r="AD1436" s="1"/>
      <c r="AE1436" s="30"/>
      <c r="AF1436" s="633"/>
      <c r="AG1436" s="94"/>
      <c r="AH1436" s="94"/>
      <c r="AI1436" s="94"/>
      <c r="AJ1436" s="94"/>
      <c r="AK1436" s="94"/>
      <c r="AL1436" s="94"/>
    </row>
    <row r="1437" spans="3:38">
      <c r="C1437" s="30"/>
      <c r="F1437" s="95"/>
      <c r="G1437" s="1"/>
      <c r="H1437" s="94"/>
      <c r="I1437" s="90"/>
      <c r="J1437" s="90"/>
      <c r="K1437" s="1"/>
      <c r="L1437" s="74"/>
      <c r="M1437" s="633"/>
      <c r="N1437" s="274"/>
      <c r="O1437" s="94"/>
      <c r="P1437" s="94"/>
      <c r="Q1437" s="94"/>
      <c r="R1437" s="94"/>
      <c r="S1437" s="94"/>
      <c r="V1437" s="30"/>
      <c r="W1437" s="30"/>
      <c r="X1437" s="1"/>
      <c r="Y1437" s="95"/>
      <c r="Z1437" s="1"/>
      <c r="AA1437" s="94"/>
      <c r="AB1437" s="1"/>
      <c r="AC1437" s="1"/>
      <c r="AD1437" s="1"/>
      <c r="AE1437" s="30"/>
      <c r="AF1437" s="633"/>
      <c r="AG1437" s="94"/>
      <c r="AH1437" s="94"/>
      <c r="AI1437" s="94"/>
      <c r="AJ1437" s="94"/>
      <c r="AK1437" s="94"/>
      <c r="AL1437" s="94"/>
    </row>
    <row r="1438" spans="3:38">
      <c r="C1438" s="30"/>
      <c r="F1438" s="95"/>
      <c r="G1438" s="1"/>
      <c r="H1438" s="94"/>
      <c r="I1438" s="90"/>
      <c r="J1438" s="90"/>
      <c r="K1438" s="1"/>
      <c r="L1438" s="74"/>
      <c r="M1438" s="633"/>
      <c r="N1438" s="274"/>
      <c r="O1438" s="94"/>
      <c r="P1438" s="94"/>
      <c r="Q1438" s="94"/>
      <c r="R1438" s="94"/>
      <c r="S1438" s="94"/>
      <c r="V1438" s="30"/>
      <c r="W1438" s="30"/>
      <c r="X1438" s="1"/>
      <c r="Y1438" s="95"/>
      <c r="Z1438" s="1"/>
      <c r="AA1438" s="94"/>
      <c r="AB1438" s="1"/>
      <c r="AC1438" s="1"/>
      <c r="AD1438" s="1"/>
      <c r="AE1438" s="30"/>
      <c r="AF1438" s="633"/>
      <c r="AG1438" s="94"/>
      <c r="AH1438" s="94"/>
      <c r="AI1438" s="94"/>
      <c r="AJ1438" s="94"/>
      <c r="AK1438" s="94"/>
      <c r="AL1438" s="94"/>
    </row>
    <row r="1439" spans="3:38">
      <c r="C1439" s="30"/>
      <c r="F1439" s="95"/>
      <c r="G1439" s="1"/>
      <c r="H1439" s="94"/>
      <c r="I1439" s="90"/>
      <c r="J1439" s="90"/>
      <c r="K1439" s="1"/>
      <c r="L1439" s="74"/>
      <c r="M1439" s="633"/>
      <c r="N1439" s="274"/>
      <c r="O1439" s="94"/>
      <c r="P1439" s="94"/>
      <c r="Q1439" s="94"/>
      <c r="R1439" s="94"/>
      <c r="S1439" s="94"/>
      <c r="V1439" s="30"/>
      <c r="W1439" s="30"/>
      <c r="X1439" s="1"/>
      <c r="Y1439" s="95"/>
      <c r="Z1439" s="1"/>
      <c r="AA1439" s="94"/>
      <c r="AB1439" s="1"/>
      <c r="AC1439" s="1"/>
      <c r="AD1439" s="1"/>
      <c r="AE1439" s="30"/>
      <c r="AF1439" s="633"/>
      <c r="AG1439" s="94"/>
      <c r="AH1439" s="94"/>
      <c r="AI1439" s="94"/>
      <c r="AJ1439" s="94"/>
      <c r="AK1439" s="94"/>
      <c r="AL1439" s="94"/>
    </row>
    <row r="1440" spans="3:38">
      <c r="C1440" s="30"/>
      <c r="F1440" s="95"/>
      <c r="G1440" s="1"/>
      <c r="H1440" s="94"/>
      <c r="I1440" s="90"/>
      <c r="J1440" s="90"/>
      <c r="K1440" s="1"/>
      <c r="L1440" s="74"/>
      <c r="M1440" s="633"/>
      <c r="N1440" s="274"/>
      <c r="O1440" s="94"/>
      <c r="P1440" s="94"/>
      <c r="Q1440" s="94"/>
      <c r="R1440" s="94"/>
      <c r="S1440" s="94"/>
      <c r="V1440" s="30"/>
      <c r="W1440" s="30"/>
      <c r="X1440" s="1"/>
      <c r="Y1440" s="95"/>
      <c r="Z1440" s="1"/>
      <c r="AA1440" s="94"/>
      <c r="AB1440" s="1"/>
      <c r="AC1440" s="1"/>
      <c r="AD1440" s="1"/>
      <c r="AE1440" s="30"/>
      <c r="AF1440" s="633"/>
      <c r="AG1440" s="94"/>
      <c r="AH1440" s="94"/>
      <c r="AI1440" s="94"/>
      <c r="AJ1440" s="94"/>
      <c r="AK1440" s="94"/>
      <c r="AL1440" s="94"/>
    </row>
    <row r="1441" spans="3:38">
      <c r="C1441" s="30"/>
      <c r="F1441" s="95"/>
      <c r="G1441" s="1"/>
      <c r="H1441" s="94"/>
      <c r="I1441" s="90"/>
      <c r="J1441" s="90"/>
      <c r="K1441" s="1"/>
      <c r="L1441" s="74"/>
      <c r="M1441" s="633"/>
      <c r="N1441" s="274"/>
      <c r="O1441" s="94"/>
      <c r="P1441" s="94"/>
      <c r="Q1441" s="94"/>
      <c r="R1441" s="94"/>
      <c r="S1441" s="94"/>
      <c r="V1441" s="30"/>
      <c r="W1441" s="30"/>
      <c r="X1441" s="1"/>
      <c r="Y1441" s="95"/>
      <c r="Z1441" s="1"/>
      <c r="AA1441" s="94"/>
      <c r="AB1441" s="1"/>
      <c r="AC1441" s="1"/>
      <c r="AD1441" s="1"/>
      <c r="AE1441" s="30"/>
      <c r="AF1441" s="633"/>
      <c r="AG1441" s="94"/>
      <c r="AH1441" s="94"/>
      <c r="AI1441" s="94"/>
      <c r="AJ1441" s="94"/>
      <c r="AK1441" s="94"/>
      <c r="AL1441" s="94"/>
    </row>
    <row r="1442" spans="3:38">
      <c r="C1442" s="30"/>
      <c r="F1442" s="95"/>
      <c r="G1442" s="1"/>
      <c r="H1442" s="94"/>
      <c r="I1442" s="90"/>
      <c r="J1442" s="90"/>
      <c r="K1442" s="1"/>
      <c r="L1442" s="74"/>
      <c r="M1442" s="633"/>
      <c r="N1442" s="274"/>
      <c r="O1442" s="94"/>
      <c r="P1442" s="94"/>
      <c r="Q1442" s="94"/>
      <c r="R1442" s="94"/>
      <c r="S1442" s="94"/>
      <c r="V1442" s="30"/>
      <c r="W1442" s="30"/>
      <c r="X1442" s="1"/>
      <c r="Y1442" s="95"/>
      <c r="Z1442" s="1"/>
      <c r="AA1442" s="94"/>
      <c r="AB1442" s="1"/>
      <c r="AC1442" s="1"/>
      <c r="AD1442" s="1"/>
      <c r="AE1442" s="30"/>
      <c r="AF1442" s="633"/>
      <c r="AG1442" s="94"/>
      <c r="AH1442" s="94"/>
      <c r="AI1442" s="94"/>
      <c r="AJ1442" s="94"/>
      <c r="AK1442" s="94"/>
      <c r="AL1442" s="94"/>
    </row>
    <row r="1443" spans="3:38">
      <c r="C1443" s="30"/>
      <c r="F1443" s="95"/>
      <c r="G1443" s="1"/>
      <c r="H1443" s="94"/>
      <c r="I1443" s="90"/>
      <c r="J1443" s="90"/>
      <c r="K1443" s="1"/>
      <c r="L1443" s="74"/>
      <c r="M1443" s="633"/>
      <c r="N1443" s="274"/>
      <c r="O1443" s="94"/>
      <c r="P1443" s="94"/>
      <c r="Q1443" s="94"/>
      <c r="R1443" s="94"/>
      <c r="S1443" s="94"/>
      <c r="V1443" s="30"/>
      <c r="W1443" s="30"/>
      <c r="X1443" s="1"/>
      <c r="Y1443" s="95"/>
      <c r="Z1443" s="1"/>
      <c r="AA1443" s="94"/>
      <c r="AB1443" s="1"/>
      <c r="AC1443" s="1"/>
      <c r="AD1443" s="1"/>
      <c r="AE1443" s="30"/>
      <c r="AF1443" s="633"/>
      <c r="AG1443" s="94"/>
      <c r="AH1443" s="94"/>
      <c r="AI1443" s="94"/>
      <c r="AJ1443" s="94"/>
      <c r="AK1443" s="94"/>
      <c r="AL1443" s="94"/>
    </row>
    <row r="1444" spans="3:38">
      <c r="C1444" s="30"/>
      <c r="F1444" s="95"/>
      <c r="G1444" s="1"/>
      <c r="H1444" s="94"/>
      <c r="I1444" s="90"/>
      <c r="J1444" s="90"/>
      <c r="K1444" s="1"/>
      <c r="L1444" s="74"/>
      <c r="M1444" s="633"/>
      <c r="N1444" s="274"/>
      <c r="O1444" s="94"/>
      <c r="P1444" s="94"/>
      <c r="Q1444" s="94"/>
      <c r="R1444" s="94"/>
      <c r="S1444" s="94"/>
      <c r="V1444" s="30"/>
      <c r="W1444" s="30"/>
      <c r="X1444" s="1"/>
      <c r="Y1444" s="95"/>
      <c r="Z1444" s="1"/>
      <c r="AA1444" s="94"/>
      <c r="AB1444" s="1"/>
      <c r="AC1444" s="1"/>
      <c r="AD1444" s="1"/>
      <c r="AE1444" s="30"/>
      <c r="AF1444" s="633"/>
      <c r="AG1444" s="94"/>
      <c r="AH1444" s="94"/>
      <c r="AI1444" s="94"/>
      <c r="AJ1444" s="94"/>
      <c r="AK1444" s="94"/>
      <c r="AL1444" s="94"/>
    </row>
    <row r="1445" spans="3:38">
      <c r="C1445" s="30"/>
      <c r="F1445" s="95"/>
      <c r="G1445" s="1"/>
      <c r="H1445" s="94"/>
      <c r="I1445" s="90"/>
      <c r="J1445" s="90"/>
      <c r="K1445" s="1"/>
      <c r="L1445" s="74"/>
      <c r="M1445" s="633"/>
      <c r="N1445" s="274"/>
      <c r="O1445" s="94"/>
      <c r="P1445" s="94"/>
      <c r="Q1445" s="94"/>
      <c r="R1445" s="94"/>
      <c r="S1445" s="94"/>
      <c r="V1445" s="30"/>
      <c r="W1445" s="30"/>
      <c r="X1445" s="1"/>
      <c r="Y1445" s="95"/>
      <c r="Z1445" s="1"/>
      <c r="AA1445" s="94"/>
      <c r="AB1445" s="1"/>
      <c r="AC1445" s="1"/>
      <c r="AD1445" s="1"/>
      <c r="AE1445" s="30"/>
      <c r="AF1445" s="633"/>
      <c r="AG1445" s="94"/>
      <c r="AH1445" s="94"/>
      <c r="AI1445" s="94"/>
      <c r="AJ1445" s="94"/>
      <c r="AK1445" s="94"/>
      <c r="AL1445" s="94"/>
    </row>
    <row r="1446" spans="3:38">
      <c r="C1446" s="30"/>
      <c r="F1446" s="95"/>
      <c r="G1446" s="1"/>
      <c r="H1446" s="94"/>
      <c r="I1446" s="90"/>
      <c r="J1446" s="90"/>
      <c r="K1446" s="1"/>
      <c r="L1446" s="74"/>
      <c r="M1446" s="633"/>
      <c r="N1446" s="274"/>
      <c r="O1446" s="94"/>
      <c r="P1446" s="94"/>
      <c r="Q1446" s="94"/>
      <c r="R1446" s="94"/>
      <c r="S1446" s="94"/>
      <c r="V1446" s="30"/>
      <c r="W1446" s="30"/>
      <c r="X1446" s="1"/>
      <c r="Y1446" s="95"/>
      <c r="Z1446" s="1"/>
      <c r="AA1446" s="94"/>
      <c r="AB1446" s="1"/>
      <c r="AC1446" s="1"/>
      <c r="AD1446" s="1"/>
      <c r="AE1446" s="30"/>
      <c r="AF1446" s="633"/>
      <c r="AG1446" s="94"/>
      <c r="AH1446" s="94"/>
      <c r="AI1446" s="94"/>
      <c r="AJ1446" s="94"/>
      <c r="AK1446" s="94"/>
      <c r="AL1446" s="94"/>
    </row>
    <row r="1447" spans="3:38">
      <c r="C1447" s="30"/>
      <c r="F1447" s="95"/>
      <c r="G1447" s="1"/>
      <c r="H1447" s="94"/>
      <c r="I1447" s="90"/>
      <c r="J1447" s="90"/>
      <c r="K1447" s="1"/>
      <c r="L1447" s="74"/>
      <c r="M1447" s="633"/>
      <c r="N1447" s="274"/>
      <c r="O1447" s="94"/>
      <c r="P1447" s="94"/>
      <c r="Q1447" s="94"/>
      <c r="R1447" s="94"/>
      <c r="S1447" s="94"/>
      <c r="V1447" s="30"/>
      <c r="W1447" s="30"/>
      <c r="X1447" s="1"/>
      <c r="Y1447" s="95"/>
      <c r="Z1447" s="1"/>
      <c r="AA1447" s="94"/>
      <c r="AB1447" s="1"/>
      <c r="AC1447" s="1"/>
      <c r="AD1447" s="1"/>
      <c r="AE1447" s="30"/>
      <c r="AF1447" s="633"/>
      <c r="AG1447" s="94"/>
      <c r="AH1447" s="94"/>
      <c r="AI1447" s="94"/>
      <c r="AJ1447" s="94"/>
      <c r="AK1447" s="94"/>
      <c r="AL1447" s="94"/>
    </row>
    <row r="1448" spans="3:38">
      <c r="C1448" s="30"/>
      <c r="F1448" s="95"/>
      <c r="G1448" s="1"/>
      <c r="H1448" s="94"/>
      <c r="I1448" s="90"/>
      <c r="J1448" s="90"/>
      <c r="K1448" s="1"/>
      <c r="L1448" s="74"/>
      <c r="M1448" s="633"/>
      <c r="N1448" s="274"/>
      <c r="O1448" s="94"/>
      <c r="P1448" s="94"/>
      <c r="Q1448" s="94"/>
      <c r="R1448" s="94"/>
      <c r="S1448" s="94"/>
      <c r="V1448" s="30"/>
      <c r="W1448" s="30"/>
      <c r="X1448" s="1"/>
      <c r="Y1448" s="95"/>
      <c r="Z1448" s="1"/>
      <c r="AA1448" s="94"/>
      <c r="AB1448" s="1"/>
      <c r="AC1448" s="1"/>
      <c r="AD1448" s="1"/>
      <c r="AE1448" s="30"/>
      <c r="AF1448" s="633"/>
      <c r="AG1448" s="94"/>
      <c r="AH1448" s="94"/>
      <c r="AI1448" s="94"/>
      <c r="AJ1448" s="94"/>
      <c r="AK1448" s="94"/>
      <c r="AL1448" s="94"/>
    </row>
    <row r="1449" spans="3:38">
      <c r="C1449" s="30"/>
      <c r="F1449" s="95"/>
      <c r="G1449" s="1"/>
      <c r="H1449" s="94"/>
      <c r="I1449" s="90"/>
      <c r="J1449" s="90"/>
      <c r="K1449" s="1"/>
      <c r="L1449" s="74"/>
      <c r="M1449" s="633"/>
      <c r="N1449" s="274"/>
      <c r="O1449" s="94"/>
      <c r="P1449" s="94"/>
      <c r="Q1449" s="94"/>
      <c r="R1449" s="94"/>
      <c r="S1449" s="94"/>
      <c r="V1449" s="30"/>
      <c r="W1449" s="30"/>
      <c r="X1449" s="1"/>
      <c r="Y1449" s="95"/>
      <c r="Z1449" s="1"/>
      <c r="AA1449" s="94"/>
      <c r="AB1449" s="1"/>
      <c r="AC1449" s="1"/>
      <c r="AD1449" s="1"/>
      <c r="AE1449" s="30"/>
      <c r="AF1449" s="633"/>
      <c r="AG1449" s="94"/>
      <c r="AH1449" s="94"/>
      <c r="AI1449" s="94"/>
      <c r="AJ1449" s="94"/>
      <c r="AK1449" s="94"/>
      <c r="AL1449" s="94"/>
    </row>
    <row r="1450" spans="3:38">
      <c r="C1450" s="30"/>
      <c r="F1450" s="95"/>
      <c r="G1450" s="1"/>
      <c r="H1450" s="94"/>
      <c r="I1450" s="90"/>
      <c r="J1450" s="90"/>
      <c r="K1450" s="1"/>
      <c r="L1450" s="74"/>
      <c r="M1450" s="633"/>
      <c r="N1450" s="274"/>
      <c r="O1450" s="94"/>
      <c r="P1450" s="94"/>
      <c r="Q1450" s="94"/>
      <c r="R1450" s="94"/>
      <c r="S1450" s="94"/>
      <c r="V1450" s="30"/>
      <c r="W1450" s="30"/>
      <c r="X1450" s="1"/>
      <c r="Y1450" s="95"/>
      <c r="Z1450" s="1"/>
      <c r="AA1450" s="94"/>
      <c r="AB1450" s="1"/>
      <c r="AC1450" s="1"/>
      <c r="AD1450" s="1"/>
      <c r="AE1450" s="30"/>
      <c r="AF1450" s="633"/>
      <c r="AG1450" s="94"/>
      <c r="AH1450" s="94"/>
      <c r="AI1450" s="94"/>
      <c r="AJ1450" s="94"/>
      <c r="AK1450" s="94"/>
      <c r="AL1450" s="94"/>
    </row>
    <row r="1451" spans="3:38">
      <c r="C1451" s="30"/>
      <c r="F1451" s="95"/>
      <c r="G1451" s="1"/>
      <c r="H1451" s="94"/>
      <c r="I1451" s="90"/>
      <c r="J1451" s="90"/>
      <c r="K1451" s="1"/>
      <c r="L1451" s="74"/>
      <c r="M1451" s="633"/>
      <c r="N1451" s="274"/>
      <c r="O1451" s="94"/>
      <c r="P1451" s="94"/>
      <c r="Q1451" s="94"/>
      <c r="R1451" s="94"/>
      <c r="S1451" s="94"/>
      <c r="V1451" s="30"/>
      <c r="W1451" s="30"/>
      <c r="X1451" s="1"/>
      <c r="Y1451" s="95"/>
      <c r="Z1451" s="1"/>
      <c r="AA1451" s="94"/>
      <c r="AB1451" s="1"/>
      <c r="AC1451" s="1"/>
      <c r="AD1451" s="1"/>
      <c r="AE1451" s="30"/>
      <c r="AF1451" s="633"/>
      <c r="AG1451" s="94"/>
      <c r="AH1451" s="94"/>
      <c r="AI1451" s="94"/>
      <c r="AJ1451" s="94"/>
      <c r="AK1451" s="94"/>
      <c r="AL1451" s="94"/>
    </row>
    <row r="1452" spans="3:38">
      <c r="C1452" s="30"/>
      <c r="F1452" s="95"/>
      <c r="G1452" s="1"/>
      <c r="H1452" s="94"/>
      <c r="I1452" s="90"/>
      <c r="J1452" s="90"/>
      <c r="K1452" s="1"/>
      <c r="L1452" s="74"/>
      <c r="M1452" s="633"/>
      <c r="N1452" s="274"/>
      <c r="O1452" s="94"/>
      <c r="P1452" s="94"/>
      <c r="Q1452" s="94"/>
      <c r="R1452" s="94"/>
      <c r="S1452" s="94"/>
      <c r="V1452" s="30"/>
      <c r="W1452" s="30"/>
      <c r="X1452" s="1"/>
      <c r="Y1452" s="95"/>
      <c r="Z1452" s="1"/>
      <c r="AA1452" s="94"/>
      <c r="AB1452" s="1"/>
      <c r="AC1452" s="1"/>
      <c r="AD1452" s="1"/>
      <c r="AE1452" s="30"/>
      <c r="AF1452" s="633"/>
      <c r="AG1452" s="94"/>
      <c r="AH1452" s="94"/>
      <c r="AI1452" s="94"/>
      <c r="AJ1452" s="94"/>
      <c r="AK1452" s="94"/>
      <c r="AL1452" s="94"/>
    </row>
    <row r="1453" spans="3:38">
      <c r="C1453" s="30"/>
      <c r="F1453" s="95"/>
      <c r="G1453" s="1"/>
      <c r="H1453" s="94"/>
      <c r="I1453" s="90"/>
      <c r="J1453" s="90"/>
      <c r="K1453" s="1"/>
      <c r="L1453" s="74"/>
      <c r="M1453" s="633"/>
      <c r="N1453" s="274"/>
      <c r="O1453" s="94"/>
      <c r="P1453" s="94"/>
      <c r="Q1453" s="94"/>
      <c r="R1453" s="94"/>
      <c r="S1453" s="94"/>
      <c r="V1453" s="30"/>
      <c r="W1453" s="30"/>
      <c r="X1453" s="1"/>
      <c r="Y1453" s="95"/>
      <c r="Z1453" s="1"/>
      <c r="AA1453" s="94"/>
      <c r="AB1453" s="1"/>
      <c r="AC1453" s="1"/>
      <c r="AD1453" s="1"/>
      <c r="AE1453" s="30"/>
      <c r="AF1453" s="633"/>
      <c r="AG1453" s="94"/>
      <c r="AH1453" s="94"/>
      <c r="AI1453" s="94"/>
      <c r="AJ1453" s="94"/>
      <c r="AK1453" s="94"/>
      <c r="AL1453" s="94"/>
    </row>
    <row r="1454" spans="3:38">
      <c r="C1454" s="30"/>
      <c r="F1454" s="95"/>
      <c r="G1454" s="1"/>
      <c r="H1454" s="94"/>
      <c r="I1454" s="90"/>
      <c r="J1454" s="90"/>
      <c r="K1454" s="1"/>
      <c r="L1454" s="74"/>
      <c r="M1454" s="633"/>
      <c r="N1454" s="274"/>
      <c r="O1454" s="94"/>
      <c r="P1454" s="94"/>
      <c r="Q1454" s="94"/>
      <c r="R1454" s="94"/>
      <c r="S1454" s="94"/>
      <c r="V1454" s="30"/>
      <c r="W1454" s="30"/>
      <c r="X1454" s="1"/>
      <c r="Y1454" s="95"/>
      <c r="Z1454" s="1"/>
      <c r="AA1454" s="94"/>
      <c r="AB1454" s="1"/>
      <c r="AC1454" s="1"/>
      <c r="AD1454" s="1"/>
      <c r="AE1454" s="30"/>
      <c r="AF1454" s="633"/>
      <c r="AG1454" s="94"/>
      <c r="AH1454" s="94"/>
      <c r="AI1454" s="94"/>
      <c r="AJ1454" s="94"/>
      <c r="AK1454" s="94"/>
      <c r="AL1454" s="94"/>
    </row>
    <row r="1455" spans="3:38">
      <c r="C1455" s="30"/>
      <c r="F1455" s="95"/>
      <c r="G1455" s="1"/>
      <c r="H1455" s="94"/>
      <c r="I1455" s="90"/>
      <c r="J1455" s="90"/>
      <c r="K1455" s="1"/>
      <c r="L1455" s="74"/>
      <c r="M1455" s="633"/>
      <c r="N1455" s="274"/>
      <c r="O1455" s="94"/>
      <c r="P1455" s="94"/>
      <c r="Q1455" s="94"/>
      <c r="R1455" s="94"/>
      <c r="S1455" s="94"/>
      <c r="V1455" s="30"/>
      <c r="W1455" s="30"/>
      <c r="X1455" s="1"/>
      <c r="Y1455" s="95"/>
      <c r="Z1455" s="1"/>
      <c r="AA1455" s="94"/>
      <c r="AB1455" s="1"/>
      <c r="AC1455" s="1"/>
      <c r="AD1455" s="1"/>
      <c r="AE1455" s="30"/>
      <c r="AF1455" s="633"/>
      <c r="AG1455" s="94"/>
      <c r="AH1455" s="94"/>
      <c r="AI1455" s="94"/>
      <c r="AJ1455" s="94"/>
      <c r="AK1455" s="94"/>
      <c r="AL1455" s="94"/>
    </row>
    <row r="1456" spans="3:38">
      <c r="C1456" s="30"/>
      <c r="F1456" s="95"/>
      <c r="G1456" s="1"/>
      <c r="H1456" s="94"/>
      <c r="I1456" s="90"/>
      <c r="J1456" s="90"/>
      <c r="K1456" s="1"/>
      <c r="L1456" s="74"/>
      <c r="M1456" s="633"/>
      <c r="N1456" s="274"/>
      <c r="O1456" s="94"/>
      <c r="P1456" s="94"/>
      <c r="Q1456" s="94"/>
      <c r="R1456" s="94"/>
      <c r="S1456" s="94"/>
      <c r="V1456" s="30"/>
      <c r="W1456" s="30"/>
      <c r="X1456" s="1"/>
      <c r="Y1456" s="95"/>
      <c r="Z1456" s="1"/>
      <c r="AA1456" s="94"/>
      <c r="AB1456" s="1"/>
      <c r="AC1456" s="1"/>
      <c r="AD1456" s="1"/>
      <c r="AE1456" s="30"/>
      <c r="AF1456" s="633"/>
      <c r="AG1456" s="94"/>
      <c r="AH1456" s="94"/>
      <c r="AI1456" s="94"/>
      <c r="AJ1456" s="94"/>
      <c r="AK1456" s="94"/>
      <c r="AL1456" s="94"/>
    </row>
    <row r="1457" spans="3:38">
      <c r="C1457" s="30"/>
      <c r="F1457" s="95"/>
      <c r="G1457" s="1"/>
      <c r="H1457" s="94"/>
      <c r="I1457" s="90"/>
      <c r="J1457" s="90"/>
      <c r="K1457" s="1"/>
      <c r="L1457" s="74"/>
      <c r="M1457" s="633"/>
      <c r="N1457" s="274"/>
      <c r="O1457" s="94"/>
      <c r="P1457" s="94"/>
      <c r="Q1457" s="94"/>
      <c r="R1457" s="94"/>
      <c r="S1457" s="94"/>
      <c r="V1457" s="30"/>
      <c r="W1457" s="30"/>
      <c r="X1457" s="1"/>
      <c r="Y1457" s="95"/>
      <c r="Z1457" s="1"/>
      <c r="AA1457" s="94"/>
      <c r="AB1457" s="1"/>
      <c r="AC1457" s="1"/>
      <c r="AD1457" s="1"/>
      <c r="AE1457" s="30"/>
      <c r="AF1457" s="633"/>
      <c r="AG1457" s="94"/>
      <c r="AH1457" s="94"/>
      <c r="AI1457" s="94"/>
      <c r="AJ1457" s="94"/>
      <c r="AK1457" s="94"/>
      <c r="AL1457" s="94"/>
    </row>
    <row r="1458" spans="3:38">
      <c r="C1458" s="30"/>
      <c r="F1458" s="95"/>
      <c r="G1458" s="1"/>
      <c r="H1458" s="94"/>
      <c r="I1458" s="90"/>
      <c r="J1458" s="90"/>
      <c r="K1458" s="1"/>
      <c r="L1458" s="74"/>
      <c r="M1458" s="633"/>
      <c r="N1458" s="274"/>
      <c r="O1458" s="94"/>
      <c r="P1458" s="94"/>
      <c r="Q1458" s="94"/>
      <c r="R1458" s="94"/>
      <c r="S1458" s="94"/>
      <c r="V1458" s="30"/>
      <c r="W1458" s="30"/>
      <c r="X1458" s="1"/>
      <c r="Y1458" s="95"/>
      <c r="Z1458" s="1"/>
      <c r="AA1458" s="94"/>
      <c r="AB1458" s="1"/>
      <c r="AC1458" s="1"/>
      <c r="AD1458" s="1"/>
      <c r="AE1458" s="30"/>
      <c r="AF1458" s="633"/>
      <c r="AG1458" s="94"/>
      <c r="AH1458" s="94"/>
      <c r="AI1458" s="94"/>
      <c r="AJ1458" s="94"/>
      <c r="AK1458" s="94"/>
      <c r="AL1458" s="94"/>
    </row>
    <row r="1459" spans="3:38">
      <c r="C1459" s="30"/>
      <c r="F1459" s="95"/>
      <c r="G1459" s="1"/>
      <c r="H1459" s="94"/>
      <c r="I1459" s="90"/>
      <c r="J1459" s="90"/>
      <c r="K1459" s="1"/>
      <c r="L1459" s="74"/>
      <c r="M1459" s="633"/>
      <c r="N1459" s="274"/>
      <c r="O1459" s="94"/>
      <c r="P1459" s="94"/>
      <c r="Q1459" s="94"/>
      <c r="R1459" s="94"/>
      <c r="S1459" s="94"/>
      <c r="V1459" s="30"/>
      <c r="W1459" s="30"/>
      <c r="X1459" s="1"/>
      <c r="Y1459" s="95"/>
      <c r="Z1459" s="1"/>
      <c r="AA1459" s="94"/>
      <c r="AB1459" s="1"/>
      <c r="AC1459" s="1"/>
      <c r="AD1459" s="1"/>
      <c r="AE1459" s="30"/>
      <c r="AF1459" s="633"/>
      <c r="AG1459" s="94"/>
      <c r="AH1459" s="94"/>
      <c r="AI1459" s="94"/>
      <c r="AJ1459" s="94"/>
      <c r="AK1459" s="94"/>
      <c r="AL1459" s="94"/>
    </row>
    <row r="1460" spans="3:38">
      <c r="C1460" s="30"/>
      <c r="F1460" s="95"/>
      <c r="G1460" s="1"/>
      <c r="H1460" s="94"/>
      <c r="I1460" s="90"/>
      <c r="J1460" s="90"/>
      <c r="K1460" s="1"/>
      <c r="L1460" s="74"/>
      <c r="M1460" s="633"/>
      <c r="N1460" s="274"/>
      <c r="O1460" s="94"/>
      <c r="P1460" s="94"/>
      <c r="Q1460" s="94"/>
      <c r="R1460" s="94"/>
      <c r="S1460" s="94"/>
      <c r="V1460" s="30"/>
      <c r="W1460" s="30"/>
      <c r="X1460" s="1"/>
      <c r="Y1460" s="95"/>
      <c r="Z1460" s="1"/>
      <c r="AA1460" s="94"/>
      <c r="AB1460" s="1"/>
      <c r="AC1460" s="1"/>
      <c r="AD1460" s="1"/>
      <c r="AE1460" s="30"/>
      <c r="AF1460" s="633"/>
      <c r="AG1460" s="94"/>
      <c r="AH1460" s="94"/>
      <c r="AI1460" s="94"/>
      <c r="AJ1460" s="94"/>
      <c r="AK1460" s="94"/>
      <c r="AL1460" s="94"/>
    </row>
    <row r="1461" spans="3:38">
      <c r="C1461" s="30"/>
      <c r="F1461" s="95"/>
      <c r="G1461" s="1"/>
      <c r="H1461" s="94"/>
      <c r="I1461" s="90"/>
      <c r="J1461" s="90"/>
      <c r="K1461" s="1"/>
      <c r="L1461" s="74"/>
      <c r="M1461" s="633"/>
      <c r="N1461" s="274"/>
      <c r="O1461" s="94"/>
      <c r="P1461" s="94"/>
      <c r="Q1461" s="94"/>
      <c r="R1461" s="94"/>
      <c r="S1461" s="94"/>
      <c r="V1461" s="30"/>
      <c r="W1461" s="30"/>
      <c r="X1461" s="1"/>
      <c r="Y1461" s="95"/>
      <c r="Z1461" s="1"/>
      <c r="AA1461" s="94"/>
      <c r="AB1461" s="1"/>
      <c r="AC1461" s="1"/>
      <c r="AD1461" s="1"/>
      <c r="AE1461" s="30"/>
      <c r="AF1461" s="633"/>
      <c r="AG1461" s="94"/>
      <c r="AH1461" s="94"/>
      <c r="AI1461" s="94"/>
      <c r="AJ1461" s="94"/>
      <c r="AK1461" s="94"/>
      <c r="AL1461" s="94"/>
    </row>
    <row r="1462" spans="3:38">
      <c r="C1462" s="30"/>
      <c r="F1462" s="95"/>
      <c r="G1462" s="1"/>
      <c r="H1462" s="94"/>
      <c r="I1462" s="90"/>
      <c r="J1462" s="90"/>
      <c r="K1462" s="1"/>
      <c r="L1462" s="74"/>
      <c r="M1462" s="633"/>
      <c r="N1462" s="274"/>
      <c r="O1462" s="94"/>
      <c r="P1462" s="94"/>
      <c r="Q1462" s="94"/>
      <c r="R1462" s="94"/>
      <c r="S1462" s="94"/>
      <c r="V1462" s="30"/>
      <c r="W1462" s="30"/>
      <c r="X1462" s="1"/>
      <c r="Y1462" s="95"/>
      <c r="Z1462" s="1"/>
      <c r="AA1462" s="94"/>
      <c r="AB1462" s="1"/>
      <c r="AC1462" s="1"/>
      <c r="AD1462" s="1"/>
      <c r="AE1462" s="30"/>
      <c r="AF1462" s="633"/>
      <c r="AG1462" s="94"/>
      <c r="AH1462" s="94"/>
      <c r="AI1462" s="94"/>
      <c r="AJ1462" s="94"/>
      <c r="AK1462" s="94"/>
      <c r="AL1462" s="94"/>
    </row>
    <row r="1463" spans="3:38">
      <c r="C1463" s="30"/>
      <c r="F1463" s="95"/>
      <c r="G1463" s="1"/>
      <c r="H1463" s="94"/>
      <c r="I1463" s="90"/>
      <c r="J1463" s="90"/>
      <c r="K1463" s="1"/>
      <c r="L1463" s="74"/>
      <c r="M1463" s="633"/>
      <c r="N1463" s="274"/>
      <c r="O1463" s="94"/>
      <c r="P1463" s="94"/>
      <c r="Q1463" s="94"/>
      <c r="R1463" s="94"/>
      <c r="S1463" s="94"/>
      <c r="V1463" s="30"/>
      <c r="W1463" s="30"/>
      <c r="X1463" s="1"/>
      <c r="Y1463" s="95"/>
      <c r="Z1463" s="1"/>
      <c r="AA1463" s="94"/>
      <c r="AB1463" s="1"/>
      <c r="AC1463" s="1"/>
      <c r="AD1463" s="1"/>
      <c r="AE1463" s="30"/>
      <c r="AF1463" s="633"/>
      <c r="AG1463" s="94"/>
      <c r="AH1463" s="94"/>
      <c r="AI1463" s="94"/>
      <c r="AJ1463" s="94"/>
      <c r="AK1463" s="94"/>
      <c r="AL1463" s="94"/>
    </row>
    <row r="1464" spans="3:38">
      <c r="C1464" s="30"/>
      <c r="F1464" s="95"/>
      <c r="G1464" s="1"/>
      <c r="H1464" s="94"/>
      <c r="I1464" s="90"/>
      <c r="J1464" s="90"/>
      <c r="K1464" s="1"/>
      <c r="L1464" s="74"/>
      <c r="M1464" s="633"/>
      <c r="N1464" s="274"/>
      <c r="O1464" s="94"/>
      <c r="P1464" s="94"/>
      <c r="Q1464" s="94"/>
      <c r="R1464" s="94"/>
      <c r="S1464" s="94"/>
      <c r="V1464" s="30"/>
      <c r="W1464" s="30"/>
      <c r="X1464" s="1"/>
      <c r="Y1464" s="95"/>
      <c r="Z1464" s="1"/>
      <c r="AA1464" s="94"/>
      <c r="AB1464" s="1"/>
      <c r="AC1464" s="1"/>
      <c r="AD1464" s="1"/>
      <c r="AE1464" s="30"/>
      <c r="AF1464" s="633"/>
      <c r="AG1464" s="94"/>
      <c r="AH1464" s="94"/>
      <c r="AI1464" s="94"/>
      <c r="AJ1464" s="94"/>
      <c r="AK1464" s="94"/>
      <c r="AL1464" s="94"/>
    </row>
    <row r="1465" spans="3:38">
      <c r="C1465" s="30"/>
      <c r="F1465" s="95"/>
      <c r="G1465" s="1"/>
      <c r="H1465" s="94"/>
      <c r="I1465" s="90"/>
      <c r="J1465" s="90"/>
      <c r="K1465" s="1"/>
      <c r="L1465" s="74"/>
      <c r="M1465" s="633"/>
      <c r="N1465" s="274"/>
      <c r="O1465" s="94"/>
      <c r="P1465" s="94"/>
      <c r="Q1465" s="94"/>
      <c r="R1465" s="94"/>
      <c r="S1465" s="94"/>
      <c r="V1465" s="30"/>
      <c r="W1465" s="30"/>
      <c r="X1465" s="1"/>
      <c r="Y1465" s="95"/>
      <c r="Z1465" s="1"/>
      <c r="AA1465" s="94"/>
      <c r="AB1465" s="1"/>
      <c r="AC1465" s="1"/>
      <c r="AD1465" s="1"/>
      <c r="AE1465" s="30"/>
      <c r="AF1465" s="633"/>
      <c r="AG1465" s="94"/>
      <c r="AH1465" s="94"/>
      <c r="AI1465" s="94"/>
      <c r="AJ1465" s="94"/>
      <c r="AK1465" s="94"/>
      <c r="AL1465" s="94"/>
    </row>
    <row r="1466" spans="3:38">
      <c r="C1466" s="30"/>
      <c r="F1466" s="95"/>
      <c r="G1466" s="1"/>
      <c r="H1466" s="94"/>
      <c r="I1466" s="90"/>
      <c r="J1466" s="90"/>
      <c r="K1466" s="1"/>
      <c r="L1466" s="74"/>
      <c r="M1466" s="633"/>
      <c r="N1466" s="274"/>
      <c r="O1466" s="94"/>
      <c r="P1466" s="94"/>
      <c r="Q1466" s="94"/>
      <c r="R1466" s="94"/>
      <c r="S1466" s="94"/>
      <c r="V1466" s="30"/>
      <c r="W1466" s="30"/>
      <c r="X1466" s="1"/>
      <c r="Y1466" s="95"/>
      <c r="Z1466" s="1"/>
      <c r="AA1466" s="94"/>
      <c r="AB1466" s="1"/>
      <c r="AC1466" s="1"/>
      <c r="AD1466" s="1"/>
      <c r="AE1466" s="30"/>
      <c r="AF1466" s="633"/>
      <c r="AG1466" s="94"/>
      <c r="AH1466" s="94"/>
      <c r="AI1466" s="94"/>
      <c r="AJ1466" s="94"/>
      <c r="AK1466" s="94"/>
      <c r="AL1466" s="94"/>
    </row>
    <row r="1467" spans="3:38">
      <c r="C1467" s="30"/>
      <c r="F1467" s="95"/>
      <c r="G1467" s="1"/>
      <c r="H1467" s="94"/>
      <c r="I1467" s="90"/>
      <c r="J1467" s="90"/>
      <c r="K1467" s="1"/>
      <c r="L1467" s="74"/>
      <c r="M1467" s="633"/>
      <c r="N1467" s="274"/>
      <c r="O1467" s="94"/>
      <c r="P1467" s="94"/>
      <c r="Q1467" s="94"/>
      <c r="R1467" s="94"/>
      <c r="S1467" s="94"/>
      <c r="V1467" s="30"/>
      <c r="W1467" s="30"/>
      <c r="X1467" s="1"/>
      <c r="Y1467" s="95"/>
      <c r="Z1467" s="1"/>
      <c r="AA1467" s="94"/>
      <c r="AB1467" s="1"/>
      <c r="AC1467" s="1"/>
      <c r="AD1467" s="1"/>
      <c r="AE1467" s="30"/>
      <c r="AF1467" s="633"/>
      <c r="AG1467" s="94"/>
      <c r="AH1467" s="94"/>
      <c r="AI1467" s="94"/>
      <c r="AJ1467" s="94"/>
      <c r="AK1467" s="94"/>
      <c r="AL1467" s="94"/>
    </row>
    <row r="1468" spans="3:38">
      <c r="C1468" s="30"/>
      <c r="F1468" s="95"/>
      <c r="G1468" s="1"/>
      <c r="H1468" s="94"/>
      <c r="I1468" s="90"/>
      <c r="J1468" s="90"/>
      <c r="K1468" s="1"/>
      <c r="L1468" s="74"/>
      <c r="M1468" s="633"/>
      <c r="N1468" s="274"/>
      <c r="O1468" s="94"/>
      <c r="P1468" s="94"/>
      <c r="Q1468" s="94"/>
      <c r="R1468" s="94"/>
      <c r="S1468" s="94"/>
      <c r="V1468" s="30"/>
      <c r="W1468" s="30"/>
      <c r="X1468" s="1"/>
      <c r="Y1468" s="95"/>
      <c r="Z1468" s="1"/>
      <c r="AA1468" s="94"/>
      <c r="AB1468" s="1"/>
      <c r="AC1468" s="1"/>
      <c r="AD1468" s="1"/>
      <c r="AE1468" s="30"/>
      <c r="AF1468" s="633"/>
      <c r="AG1468" s="94"/>
      <c r="AH1468" s="94"/>
      <c r="AI1468" s="94"/>
      <c r="AJ1468" s="94"/>
      <c r="AK1468" s="94"/>
      <c r="AL1468" s="94"/>
    </row>
    <row r="1469" spans="3:38">
      <c r="C1469" s="30"/>
      <c r="F1469" s="95"/>
      <c r="G1469" s="1"/>
      <c r="H1469" s="94"/>
      <c r="I1469" s="90"/>
      <c r="J1469" s="90"/>
      <c r="K1469" s="1"/>
      <c r="L1469" s="74"/>
      <c r="M1469" s="633"/>
      <c r="N1469" s="274"/>
      <c r="O1469" s="94"/>
      <c r="P1469" s="94"/>
      <c r="Q1469" s="94"/>
      <c r="R1469" s="94"/>
      <c r="S1469" s="94"/>
      <c r="V1469" s="30"/>
      <c r="W1469" s="30"/>
      <c r="X1469" s="1"/>
      <c r="Y1469" s="95"/>
      <c r="Z1469" s="1"/>
      <c r="AA1469" s="94"/>
      <c r="AB1469" s="1"/>
      <c r="AC1469" s="1"/>
      <c r="AD1469" s="1"/>
      <c r="AE1469" s="30"/>
      <c r="AF1469" s="633"/>
      <c r="AG1469" s="94"/>
      <c r="AH1469" s="94"/>
      <c r="AI1469" s="94"/>
      <c r="AJ1469" s="94"/>
      <c r="AK1469" s="94"/>
      <c r="AL1469" s="94"/>
    </row>
    <row r="1470" spans="3:38">
      <c r="C1470" s="30"/>
      <c r="F1470" s="95"/>
      <c r="G1470" s="1"/>
      <c r="H1470" s="94"/>
      <c r="I1470" s="90"/>
      <c r="J1470" s="90"/>
      <c r="K1470" s="1"/>
      <c r="L1470" s="74"/>
      <c r="M1470" s="633"/>
      <c r="N1470" s="274"/>
      <c r="O1470" s="94"/>
      <c r="P1470" s="94"/>
      <c r="Q1470" s="94"/>
      <c r="R1470" s="94"/>
      <c r="S1470" s="94"/>
      <c r="V1470" s="30"/>
      <c r="W1470" s="30"/>
      <c r="X1470" s="1"/>
      <c r="Y1470" s="95"/>
      <c r="Z1470" s="1"/>
      <c r="AA1470" s="94"/>
      <c r="AB1470" s="1"/>
      <c r="AC1470" s="1"/>
      <c r="AD1470" s="1"/>
      <c r="AE1470" s="30"/>
      <c r="AF1470" s="633"/>
      <c r="AG1470" s="94"/>
      <c r="AH1470" s="94"/>
      <c r="AI1470" s="94"/>
      <c r="AJ1470" s="94"/>
      <c r="AK1470" s="94"/>
      <c r="AL1470" s="94"/>
    </row>
    <row r="1471" spans="3:38">
      <c r="C1471" s="30"/>
      <c r="F1471" s="95"/>
      <c r="G1471" s="1"/>
      <c r="H1471" s="94"/>
      <c r="I1471" s="90"/>
      <c r="J1471" s="90"/>
      <c r="K1471" s="1"/>
      <c r="L1471" s="74"/>
      <c r="M1471" s="633"/>
      <c r="N1471" s="274"/>
      <c r="O1471" s="94"/>
      <c r="P1471" s="94"/>
      <c r="Q1471" s="94"/>
      <c r="R1471" s="94"/>
      <c r="S1471" s="94"/>
      <c r="V1471" s="30"/>
      <c r="W1471" s="30"/>
      <c r="X1471" s="1"/>
      <c r="Y1471" s="95"/>
      <c r="Z1471" s="1"/>
      <c r="AA1471" s="94"/>
      <c r="AB1471" s="1"/>
      <c r="AC1471" s="1"/>
      <c r="AD1471" s="1"/>
      <c r="AE1471" s="30"/>
      <c r="AF1471" s="633"/>
      <c r="AG1471" s="94"/>
      <c r="AH1471" s="94"/>
      <c r="AI1471" s="94"/>
      <c r="AJ1471" s="94"/>
      <c r="AK1471" s="94"/>
      <c r="AL1471" s="94"/>
    </row>
    <row r="1472" spans="3:38">
      <c r="C1472" s="30"/>
      <c r="F1472" s="95"/>
      <c r="G1472" s="1"/>
      <c r="H1472" s="94"/>
      <c r="I1472" s="90"/>
      <c r="J1472" s="90"/>
      <c r="K1472" s="1"/>
      <c r="L1472" s="74"/>
      <c r="M1472" s="633"/>
      <c r="N1472" s="274"/>
      <c r="O1472" s="94"/>
      <c r="P1472" s="94"/>
      <c r="Q1472" s="94"/>
      <c r="R1472" s="94"/>
      <c r="S1472" s="94"/>
      <c r="V1472" s="30"/>
      <c r="W1472" s="30"/>
      <c r="X1472" s="1"/>
      <c r="Y1472" s="95"/>
      <c r="Z1472" s="1"/>
      <c r="AA1472" s="94"/>
      <c r="AB1472" s="1"/>
      <c r="AC1472" s="1"/>
      <c r="AD1472" s="1"/>
      <c r="AE1472" s="30"/>
      <c r="AF1472" s="633"/>
      <c r="AG1472" s="94"/>
      <c r="AH1472" s="94"/>
      <c r="AI1472" s="94"/>
      <c r="AJ1472" s="94"/>
      <c r="AK1472" s="94"/>
      <c r="AL1472" s="94"/>
    </row>
    <row r="1473" spans="3:38">
      <c r="C1473" s="30"/>
      <c r="F1473" s="95"/>
      <c r="G1473" s="1"/>
      <c r="H1473" s="94"/>
      <c r="I1473" s="90"/>
      <c r="J1473" s="90"/>
      <c r="K1473" s="1"/>
      <c r="L1473" s="74"/>
      <c r="M1473" s="633"/>
      <c r="N1473" s="274"/>
      <c r="O1473" s="94"/>
      <c r="P1473" s="94"/>
      <c r="Q1473" s="94"/>
      <c r="R1473" s="94"/>
      <c r="S1473" s="94"/>
      <c r="V1473" s="30"/>
      <c r="W1473" s="30"/>
      <c r="X1473" s="1"/>
      <c r="Y1473" s="95"/>
      <c r="Z1473" s="1"/>
      <c r="AA1473" s="94"/>
      <c r="AB1473" s="1"/>
      <c r="AC1473" s="1"/>
      <c r="AD1473" s="1"/>
      <c r="AE1473" s="30"/>
      <c r="AF1473" s="633"/>
      <c r="AG1473" s="94"/>
      <c r="AH1473" s="94"/>
      <c r="AI1473" s="94"/>
      <c r="AJ1473" s="94"/>
      <c r="AK1473" s="94"/>
      <c r="AL1473" s="94"/>
    </row>
    <row r="1474" spans="3:38">
      <c r="C1474" s="30"/>
      <c r="F1474" s="95"/>
      <c r="G1474" s="1"/>
      <c r="H1474" s="94"/>
      <c r="I1474" s="90"/>
      <c r="J1474" s="90"/>
      <c r="K1474" s="1"/>
      <c r="L1474" s="74"/>
      <c r="M1474" s="633"/>
      <c r="N1474" s="274"/>
      <c r="O1474" s="94"/>
      <c r="P1474" s="94"/>
      <c r="Q1474" s="94"/>
      <c r="R1474" s="94"/>
      <c r="S1474" s="94"/>
      <c r="V1474" s="30"/>
      <c r="W1474" s="30"/>
      <c r="X1474" s="1"/>
      <c r="Y1474" s="95"/>
      <c r="Z1474" s="1"/>
      <c r="AA1474" s="94"/>
      <c r="AB1474" s="1"/>
      <c r="AC1474" s="1"/>
      <c r="AD1474" s="1"/>
      <c r="AE1474" s="30"/>
      <c r="AF1474" s="633"/>
      <c r="AG1474" s="94"/>
      <c r="AH1474" s="94"/>
      <c r="AI1474" s="94"/>
      <c r="AJ1474" s="94"/>
      <c r="AK1474" s="94"/>
      <c r="AL1474" s="94"/>
    </row>
    <row r="1475" spans="3:38">
      <c r="C1475" s="30"/>
      <c r="F1475" s="95"/>
      <c r="G1475" s="1"/>
      <c r="H1475" s="94"/>
      <c r="I1475" s="90"/>
      <c r="J1475" s="90"/>
      <c r="K1475" s="1"/>
      <c r="L1475" s="74"/>
      <c r="M1475" s="633"/>
      <c r="N1475" s="274"/>
      <c r="O1475" s="94"/>
      <c r="P1475" s="94"/>
      <c r="Q1475" s="94"/>
      <c r="R1475" s="94"/>
      <c r="S1475" s="94"/>
      <c r="V1475" s="30"/>
      <c r="W1475" s="30"/>
      <c r="X1475" s="1"/>
      <c r="Y1475" s="95"/>
      <c r="Z1475" s="1"/>
      <c r="AA1475" s="94"/>
      <c r="AB1475" s="1"/>
      <c r="AC1475" s="1"/>
      <c r="AD1475" s="1"/>
      <c r="AE1475" s="30"/>
      <c r="AF1475" s="633"/>
      <c r="AG1475" s="94"/>
      <c r="AH1475" s="94"/>
      <c r="AI1475" s="94"/>
      <c r="AJ1475" s="94"/>
      <c r="AK1475" s="94"/>
      <c r="AL1475" s="94"/>
    </row>
    <row r="1476" spans="3:38">
      <c r="C1476" s="30"/>
      <c r="F1476" s="95"/>
      <c r="G1476" s="1"/>
      <c r="H1476" s="94"/>
      <c r="I1476" s="90"/>
      <c r="J1476" s="90"/>
      <c r="K1476" s="1"/>
      <c r="L1476" s="74"/>
      <c r="M1476" s="633"/>
      <c r="N1476" s="274"/>
      <c r="O1476" s="94"/>
      <c r="P1476" s="94"/>
      <c r="Q1476" s="94"/>
      <c r="R1476" s="94"/>
      <c r="S1476" s="94"/>
      <c r="V1476" s="30"/>
      <c r="W1476" s="30"/>
      <c r="X1476" s="1"/>
      <c r="Y1476" s="95"/>
      <c r="Z1476" s="1"/>
      <c r="AA1476" s="94"/>
      <c r="AB1476" s="1"/>
      <c r="AC1476" s="1"/>
      <c r="AD1476" s="1"/>
      <c r="AE1476" s="30"/>
      <c r="AF1476" s="633"/>
      <c r="AG1476" s="94"/>
      <c r="AH1476" s="94"/>
      <c r="AI1476" s="94"/>
      <c r="AJ1476" s="94"/>
      <c r="AK1476" s="94"/>
      <c r="AL1476" s="94"/>
    </row>
    <row r="1477" spans="3:38">
      <c r="C1477" s="30"/>
      <c r="F1477" s="95"/>
      <c r="G1477" s="1"/>
      <c r="H1477" s="94"/>
      <c r="I1477" s="90"/>
      <c r="J1477" s="90"/>
      <c r="K1477" s="1"/>
      <c r="L1477" s="74"/>
      <c r="M1477" s="633"/>
      <c r="N1477" s="274"/>
      <c r="O1477" s="94"/>
      <c r="P1477" s="94"/>
      <c r="Q1477" s="94"/>
      <c r="R1477" s="94"/>
      <c r="S1477" s="94"/>
      <c r="V1477" s="30"/>
      <c r="W1477" s="30"/>
      <c r="X1477" s="1"/>
      <c r="Y1477" s="95"/>
      <c r="Z1477" s="1"/>
      <c r="AA1477" s="94"/>
      <c r="AB1477" s="1"/>
      <c r="AC1477" s="1"/>
      <c r="AD1477" s="1"/>
      <c r="AE1477" s="30"/>
      <c r="AF1477" s="633"/>
      <c r="AG1477" s="94"/>
      <c r="AH1477" s="94"/>
      <c r="AI1477" s="94"/>
      <c r="AJ1477" s="94"/>
      <c r="AK1477" s="94"/>
      <c r="AL1477" s="94"/>
    </row>
    <row r="1478" spans="3:38">
      <c r="C1478" s="30"/>
      <c r="F1478" s="95"/>
      <c r="G1478" s="1"/>
      <c r="H1478" s="94"/>
      <c r="I1478" s="90"/>
      <c r="J1478" s="90"/>
      <c r="K1478" s="1"/>
      <c r="L1478" s="74"/>
      <c r="M1478" s="633"/>
      <c r="N1478" s="274"/>
      <c r="O1478" s="94"/>
      <c r="P1478" s="94"/>
      <c r="Q1478" s="94"/>
      <c r="R1478" s="94"/>
      <c r="S1478" s="94"/>
      <c r="V1478" s="30"/>
      <c r="W1478" s="30"/>
      <c r="X1478" s="1"/>
      <c r="Y1478" s="95"/>
      <c r="Z1478" s="1"/>
      <c r="AA1478" s="94"/>
      <c r="AB1478" s="1"/>
      <c r="AC1478" s="1"/>
      <c r="AD1478" s="1"/>
      <c r="AE1478" s="30"/>
      <c r="AF1478" s="633"/>
      <c r="AG1478" s="94"/>
      <c r="AH1478" s="94"/>
      <c r="AI1478" s="94"/>
      <c r="AJ1478" s="94"/>
      <c r="AK1478" s="94"/>
      <c r="AL1478" s="94"/>
    </row>
    <row r="1479" spans="3:38">
      <c r="C1479" s="30"/>
      <c r="F1479" s="95"/>
      <c r="G1479" s="1"/>
      <c r="H1479" s="94"/>
      <c r="I1479" s="90"/>
      <c r="J1479" s="90"/>
      <c r="K1479" s="1"/>
      <c r="L1479" s="74"/>
      <c r="M1479" s="633"/>
      <c r="N1479" s="274"/>
      <c r="O1479" s="94"/>
      <c r="P1479" s="94"/>
      <c r="Q1479" s="94"/>
      <c r="R1479" s="94"/>
      <c r="S1479" s="94"/>
      <c r="V1479" s="30"/>
      <c r="W1479" s="30"/>
      <c r="X1479" s="1"/>
      <c r="Y1479" s="95"/>
      <c r="Z1479" s="1"/>
      <c r="AA1479" s="94"/>
      <c r="AB1479" s="1"/>
      <c r="AC1479" s="1"/>
      <c r="AD1479" s="1"/>
      <c r="AE1479" s="30"/>
      <c r="AF1479" s="633"/>
      <c r="AG1479" s="94"/>
      <c r="AH1479" s="94"/>
      <c r="AI1479" s="94"/>
      <c r="AJ1479" s="94"/>
      <c r="AK1479" s="94"/>
      <c r="AL1479" s="94"/>
    </row>
    <row r="1480" spans="3:38">
      <c r="C1480" s="30"/>
      <c r="F1480" s="95"/>
      <c r="G1480" s="1"/>
      <c r="H1480" s="94"/>
      <c r="I1480" s="90"/>
      <c r="J1480" s="90"/>
      <c r="K1480" s="1"/>
      <c r="L1480" s="74"/>
      <c r="M1480" s="633"/>
      <c r="N1480" s="274"/>
      <c r="O1480" s="94"/>
      <c r="P1480" s="94"/>
      <c r="Q1480" s="94"/>
      <c r="R1480" s="94"/>
      <c r="S1480" s="94"/>
      <c r="V1480" s="30"/>
      <c r="W1480" s="30"/>
      <c r="X1480" s="1"/>
      <c r="Y1480" s="95"/>
      <c r="Z1480" s="1"/>
      <c r="AA1480" s="94"/>
      <c r="AB1480" s="1"/>
      <c r="AC1480" s="1"/>
      <c r="AD1480" s="1"/>
      <c r="AE1480" s="30"/>
      <c r="AF1480" s="633"/>
      <c r="AG1480" s="94"/>
      <c r="AH1480" s="94"/>
      <c r="AI1480" s="94"/>
      <c r="AJ1480" s="94"/>
      <c r="AK1480" s="94"/>
      <c r="AL1480" s="94"/>
    </row>
    <row r="1481" spans="3:38">
      <c r="C1481" s="30"/>
      <c r="F1481" s="95"/>
      <c r="G1481" s="1"/>
      <c r="H1481" s="94"/>
      <c r="I1481" s="90"/>
      <c r="J1481" s="90"/>
      <c r="K1481" s="1"/>
      <c r="L1481" s="74"/>
      <c r="M1481" s="633"/>
      <c r="N1481" s="274"/>
      <c r="O1481" s="94"/>
      <c r="P1481" s="94"/>
      <c r="Q1481" s="94"/>
      <c r="R1481" s="94"/>
      <c r="S1481" s="94"/>
      <c r="V1481" s="30"/>
      <c r="W1481" s="30"/>
      <c r="X1481" s="1"/>
      <c r="Y1481" s="95"/>
      <c r="Z1481" s="1"/>
      <c r="AA1481" s="94"/>
      <c r="AB1481" s="1"/>
      <c r="AC1481" s="1"/>
      <c r="AD1481" s="1"/>
      <c r="AE1481" s="30"/>
      <c r="AF1481" s="633"/>
      <c r="AG1481" s="94"/>
      <c r="AH1481" s="94"/>
      <c r="AI1481" s="94"/>
      <c r="AJ1481" s="94"/>
      <c r="AK1481" s="94"/>
      <c r="AL1481" s="94"/>
    </row>
    <row r="1482" spans="3:38">
      <c r="C1482" s="30"/>
      <c r="F1482" s="95"/>
      <c r="G1482" s="1"/>
      <c r="H1482" s="94"/>
      <c r="I1482" s="90"/>
      <c r="J1482" s="90"/>
      <c r="K1482" s="1"/>
      <c r="L1482" s="74"/>
      <c r="M1482" s="633"/>
      <c r="N1482" s="274"/>
      <c r="O1482" s="94"/>
      <c r="P1482" s="94"/>
      <c r="Q1482" s="94"/>
      <c r="R1482" s="94"/>
      <c r="S1482" s="94"/>
      <c r="V1482" s="30"/>
      <c r="W1482" s="30"/>
      <c r="X1482" s="1"/>
      <c r="Y1482" s="95"/>
      <c r="Z1482" s="1"/>
      <c r="AA1482" s="94"/>
      <c r="AB1482" s="1"/>
      <c r="AC1482" s="1"/>
      <c r="AD1482" s="1"/>
      <c r="AE1482" s="30"/>
      <c r="AF1482" s="633"/>
      <c r="AG1482" s="94"/>
      <c r="AH1482" s="94"/>
      <c r="AI1482" s="94"/>
      <c r="AJ1482" s="94"/>
      <c r="AK1482" s="94"/>
      <c r="AL1482" s="94"/>
    </row>
    <row r="1483" spans="3:38">
      <c r="C1483" s="30"/>
      <c r="F1483" s="95"/>
      <c r="G1483" s="1"/>
      <c r="H1483" s="94"/>
      <c r="I1483" s="90"/>
      <c r="J1483" s="90"/>
      <c r="K1483" s="1"/>
      <c r="L1483" s="74"/>
      <c r="M1483" s="633"/>
      <c r="N1483" s="274"/>
      <c r="O1483" s="94"/>
      <c r="P1483" s="94"/>
      <c r="Q1483" s="94"/>
      <c r="R1483" s="94"/>
      <c r="S1483" s="94"/>
      <c r="V1483" s="30"/>
      <c r="W1483" s="30"/>
      <c r="X1483" s="1"/>
      <c r="Y1483" s="95"/>
      <c r="Z1483" s="1"/>
      <c r="AA1483" s="94"/>
      <c r="AB1483" s="1"/>
      <c r="AC1483" s="1"/>
      <c r="AD1483" s="1"/>
      <c r="AE1483" s="30"/>
      <c r="AF1483" s="633"/>
      <c r="AG1483" s="94"/>
      <c r="AH1483" s="94"/>
      <c r="AI1483" s="94"/>
      <c r="AJ1483" s="94"/>
      <c r="AK1483" s="94"/>
      <c r="AL1483" s="94"/>
    </row>
    <row r="1484" spans="3:38">
      <c r="C1484" s="30"/>
      <c r="F1484" s="95"/>
      <c r="G1484" s="1"/>
      <c r="H1484" s="94"/>
      <c r="I1484" s="90"/>
      <c r="J1484" s="90"/>
      <c r="K1484" s="1"/>
      <c r="L1484" s="74"/>
      <c r="M1484" s="633"/>
      <c r="N1484" s="274"/>
      <c r="O1484" s="94"/>
      <c r="P1484" s="94"/>
      <c r="Q1484" s="94"/>
      <c r="R1484" s="94"/>
      <c r="S1484" s="94"/>
      <c r="V1484" s="30"/>
      <c r="W1484" s="30"/>
      <c r="X1484" s="1"/>
      <c r="Y1484" s="95"/>
      <c r="Z1484" s="1"/>
      <c r="AA1484" s="94"/>
      <c r="AB1484" s="1"/>
      <c r="AC1484" s="1"/>
      <c r="AD1484" s="1"/>
      <c r="AE1484" s="30"/>
      <c r="AF1484" s="633"/>
      <c r="AG1484" s="94"/>
      <c r="AH1484" s="94"/>
      <c r="AI1484" s="94"/>
      <c r="AJ1484" s="94"/>
      <c r="AK1484" s="94"/>
      <c r="AL1484" s="94"/>
    </row>
    <row r="1485" spans="3:38">
      <c r="C1485" s="30"/>
      <c r="F1485" s="95"/>
      <c r="G1485" s="1"/>
      <c r="H1485" s="94"/>
      <c r="I1485" s="90"/>
      <c r="J1485" s="90"/>
      <c r="K1485" s="1"/>
      <c r="L1485" s="74"/>
      <c r="M1485" s="633"/>
      <c r="N1485" s="274"/>
      <c r="O1485" s="94"/>
      <c r="P1485" s="94"/>
      <c r="Q1485" s="94"/>
      <c r="R1485" s="94"/>
      <c r="S1485" s="94"/>
      <c r="V1485" s="30"/>
      <c r="W1485" s="30"/>
      <c r="X1485" s="1"/>
      <c r="Y1485" s="95"/>
      <c r="Z1485" s="1"/>
      <c r="AA1485" s="94"/>
      <c r="AB1485" s="1"/>
      <c r="AC1485" s="1"/>
      <c r="AD1485" s="1"/>
      <c r="AE1485" s="30"/>
      <c r="AF1485" s="633"/>
      <c r="AG1485" s="94"/>
      <c r="AH1485" s="94"/>
      <c r="AI1485" s="94"/>
      <c r="AJ1485" s="94"/>
      <c r="AK1485" s="94"/>
      <c r="AL1485" s="94"/>
    </row>
    <row r="1486" spans="3:38">
      <c r="C1486" s="30"/>
      <c r="F1486" s="95"/>
      <c r="G1486" s="1"/>
      <c r="H1486" s="94"/>
      <c r="I1486" s="90"/>
      <c r="J1486" s="90"/>
      <c r="K1486" s="1"/>
      <c r="L1486" s="74"/>
      <c r="M1486" s="633"/>
      <c r="N1486" s="274"/>
      <c r="O1486" s="94"/>
      <c r="P1486" s="94"/>
      <c r="Q1486" s="94"/>
      <c r="R1486" s="94"/>
      <c r="S1486" s="94"/>
      <c r="V1486" s="30"/>
      <c r="W1486" s="30"/>
      <c r="X1486" s="1"/>
      <c r="Y1486" s="95"/>
      <c r="Z1486" s="1"/>
      <c r="AA1486" s="94"/>
      <c r="AB1486" s="1"/>
      <c r="AC1486" s="1"/>
      <c r="AD1486" s="1"/>
      <c r="AE1486" s="30"/>
      <c r="AF1486" s="633"/>
      <c r="AG1486" s="94"/>
      <c r="AH1486" s="94"/>
      <c r="AI1486" s="94"/>
      <c r="AJ1486" s="94"/>
      <c r="AK1486" s="94"/>
      <c r="AL1486" s="94"/>
    </row>
    <row r="1487" spans="3:38">
      <c r="C1487" s="30"/>
      <c r="F1487" s="95"/>
      <c r="G1487" s="1"/>
      <c r="H1487" s="94"/>
      <c r="I1487" s="90"/>
      <c r="J1487" s="90"/>
      <c r="K1487" s="1"/>
      <c r="L1487" s="74"/>
      <c r="M1487" s="633"/>
      <c r="N1487" s="274"/>
      <c r="O1487" s="94"/>
      <c r="P1487" s="94"/>
      <c r="Q1487" s="94"/>
      <c r="R1487" s="94"/>
      <c r="S1487" s="94"/>
      <c r="V1487" s="30"/>
      <c r="W1487" s="30"/>
      <c r="X1487" s="1"/>
      <c r="Y1487" s="95"/>
      <c r="Z1487" s="1"/>
      <c r="AA1487" s="94"/>
      <c r="AB1487" s="1"/>
      <c r="AC1487" s="1"/>
      <c r="AD1487" s="1"/>
      <c r="AE1487" s="30"/>
      <c r="AF1487" s="633"/>
      <c r="AG1487" s="94"/>
      <c r="AH1487" s="94"/>
      <c r="AI1487" s="94"/>
      <c r="AJ1487" s="94"/>
      <c r="AK1487" s="94"/>
      <c r="AL1487" s="94"/>
    </row>
    <row r="1488" spans="3:38">
      <c r="C1488" s="30"/>
      <c r="F1488" s="95"/>
      <c r="G1488" s="1"/>
      <c r="H1488" s="94"/>
      <c r="I1488" s="90"/>
      <c r="J1488" s="90"/>
      <c r="K1488" s="1"/>
      <c r="L1488" s="74"/>
      <c r="M1488" s="633"/>
      <c r="N1488" s="274"/>
      <c r="O1488" s="94"/>
      <c r="P1488" s="94"/>
      <c r="Q1488" s="94"/>
      <c r="R1488" s="94"/>
      <c r="S1488" s="94"/>
      <c r="V1488" s="30"/>
      <c r="W1488" s="30"/>
      <c r="X1488" s="1"/>
      <c r="Y1488" s="95"/>
      <c r="Z1488" s="1"/>
      <c r="AA1488" s="94"/>
      <c r="AB1488" s="1"/>
      <c r="AC1488" s="1"/>
      <c r="AD1488" s="1"/>
      <c r="AE1488" s="30"/>
      <c r="AF1488" s="633"/>
      <c r="AG1488" s="94"/>
      <c r="AH1488" s="94"/>
      <c r="AI1488" s="94"/>
      <c r="AJ1488" s="94"/>
      <c r="AK1488" s="94"/>
      <c r="AL1488" s="94"/>
    </row>
    <row r="1489" spans="3:38">
      <c r="C1489" s="30"/>
      <c r="F1489" s="95"/>
      <c r="G1489" s="1"/>
      <c r="H1489" s="94"/>
      <c r="I1489" s="90"/>
      <c r="J1489" s="90"/>
      <c r="K1489" s="1"/>
      <c r="L1489" s="74"/>
      <c r="M1489" s="633"/>
      <c r="N1489" s="274"/>
      <c r="O1489" s="94"/>
      <c r="P1489" s="94"/>
      <c r="Q1489" s="94"/>
      <c r="R1489" s="94"/>
      <c r="S1489" s="94"/>
      <c r="V1489" s="30"/>
      <c r="W1489" s="30"/>
      <c r="X1489" s="1"/>
      <c r="Y1489" s="95"/>
      <c r="Z1489" s="1"/>
      <c r="AA1489" s="94"/>
      <c r="AB1489" s="1"/>
      <c r="AC1489" s="1"/>
      <c r="AD1489" s="1"/>
      <c r="AE1489" s="30"/>
      <c r="AF1489" s="633"/>
      <c r="AG1489" s="94"/>
      <c r="AH1489" s="94"/>
      <c r="AI1489" s="94"/>
      <c r="AJ1489" s="94"/>
      <c r="AK1489" s="94"/>
      <c r="AL1489" s="94"/>
    </row>
    <row r="1490" spans="3:38">
      <c r="C1490" s="30"/>
      <c r="F1490" s="95"/>
      <c r="G1490" s="1"/>
      <c r="H1490" s="94"/>
      <c r="I1490" s="90"/>
      <c r="J1490" s="90"/>
      <c r="K1490" s="1"/>
      <c r="L1490" s="74"/>
      <c r="M1490" s="633"/>
      <c r="N1490" s="274"/>
      <c r="O1490" s="94"/>
      <c r="P1490" s="94"/>
      <c r="Q1490" s="94"/>
      <c r="R1490" s="94"/>
      <c r="S1490" s="94"/>
      <c r="V1490" s="30"/>
      <c r="W1490" s="30"/>
      <c r="X1490" s="1"/>
      <c r="Y1490" s="95"/>
      <c r="Z1490" s="1"/>
      <c r="AA1490" s="94"/>
      <c r="AB1490" s="1"/>
      <c r="AC1490" s="1"/>
      <c r="AD1490" s="1"/>
      <c r="AE1490" s="30"/>
      <c r="AF1490" s="633"/>
      <c r="AG1490" s="94"/>
      <c r="AH1490" s="94"/>
      <c r="AI1490" s="94"/>
      <c r="AJ1490" s="94"/>
      <c r="AK1490" s="94"/>
      <c r="AL1490" s="94"/>
    </row>
    <row r="1491" spans="3:38">
      <c r="C1491" s="30"/>
      <c r="F1491" s="95"/>
      <c r="G1491" s="1"/>
      <c r="H1491" s="94"/>
      <c r="I1491" s="90"/>
      <c r="J1491" s="90"/>
      <c r="K1491" s="1"/>
      <c r="L1491" s="74"/>
      <c r="M1491" s="633"/>
      <c r="N1491" s="274"/>
      <c r="O1491" s="94"/>
      <c r="P1491" s="94"/>
      <c r="Q1491" s="94"/>
      <c r="R1491" s="94"/>
      <c r="S1491" s="94"/>
      <c r="V1491" s="30"/>
      <c r="W1491" s="30"/>
      <c r="X1491" s="1"/>
      <c r="Y1491" s="95"/>
      <c r="Z1491" s="1"/>
      <c r="AA1491" s="94"/>
      <c r="AB1491" s="1"/>
      <c r="AC1491" s="1"/>
      <c r="AD1491" s="1"/>
      <c r="AE1491" s="30"/>
      <c r="AF1491" s="633"/>
      <c r="AG1491" s="94"/>
      <c r="AH1491" s="94"/>
      <c r="AI1491" s="94"/>
      <c r="AJ1491" s="94"/>
      <c r="AK1491" s="94"/>
      <c r="AL1491" s="94"/>
    </row>
    <row r="1492" spans="3:38">
      <c r="C1492" s="30"/>
      <c r="F1492" s="95"/>
      <c r="G1492" s="1"/>
      <c r="H1492" s="94"/>
      <c r="I1492" s="90"/>
      <c r="J1492" s="90"/>
      <c r="K1492" s="1"/>
      <c r="L1492" s="74"/>
      <c r="M1492" s="633"/>
      <c r="N1492" s="274"/>
      <c r="O1492" s="94"/>
      <c r="P1492" s="94"/>
      <c r="Q1492" s="94"/>
      <c r="R1492" s="94"/>
      <c r="S1492" s="94"/>
      <c r="V1492" s="30"/>
      <c r="W1492" s="30"/>
      <c r="X1492" s="1"/>
      <c r="Y1492" s="95"/>
      <c r="Z1492" s="1"/>
      <c r="AA1492" s="94"/>
      <c r="AB1492" s="1"/>
      <c r="AC1492" s="1"/>
      <c r="AD1492" s="1"/>
      <c r="AE1492" s="30"/>
      <c r="AF1492" s="633"/>
      <c r="AG1492" s="94"/>
      <c r="AH1492" s="94"/>
      <c r="AI1492" s="94"/>
      <c r="AJ1492" s="94"/>
      <c r="AK1492" s="94"/>
      <c r="AL1492" s="94"/>
    </row>
    <row r="1493" spans="3:38">
      <c r="C1493" s="30"/>
      <c r="F1493" s="95"/>
      <c r="G1493" s="1"/>
      <c r="H1493" s="94"/>
      <c r="I1493" s="90"/>
      <c r="J1493" s="90"/>
      <c r="K1493" s="1"/>
      <c r="L1493" s="74"/>
      <c r="M1493" s="633"/>
      <c r="N1493" s="274"/>
      <c r="O1493" s="94"/>
      <c r="P1493" s="94"/>
      <c r="Q1493" s="94"/>
      <c r="R1493" s="94"/>
      <c r="S1493" s="94"/>
      <c r="V1493" s="30"/>
      <c r="W1493" s="30"/>
      <c r="X1493" s="1"/>
      <c r="Y1493" s="95"/>
      <c r="Z1493" s="1"/>
      <c r="AA1493" s="94"/>
      <c r="AB1493" s="1"/>
      <c r="AC1493" s="1"/>
      <c r="AD1493" s="1"/>
      <c r="AE1493" s="30"/>
      <c r="AF1493" s="633"/>
      <c r="AG1493" s="94"/>
      <c r="AH1493" s="94"/>
      <c r="AI1493" s="94"/>
      <c r="AJ1493" s="94"/>
      <c r="AK1493" s="94"/>
      <c r="AL1493" s="94"/>
    </row>
    <row r="1494" spans="3:38">
      <c r="C1494" s="30"/>
      <c r="F1494" s="95"/>
      <c r="G1494" s="1"/>
      <c r="H1494" s="94"/>
      <c r="I1494" s="90"/>
      <c r="J1494" s="90"/>
      <c r="K1494" s="1"/>
      <c r="L1494" s="74"/>
      <c r="M1494" s="633"/>
      <c r="N1494" s="274"/>
      <c r="O1494" s="94"/>
      <c r="P1494" s="94"/>
      <c r="Q1494" s="94"/>
      <c r="R1494" s="94"/>
      <c r="S1494" s="94"/>
      <c r="V1494" s="30"/>
      <c r="W1494" s="30"/>
      <c r="X1494" s="1"/>
      <c r="Y1494" s="95"/>
      <c r="Z1494" s="1"/>
      <c r="AA1494" s="94"/>
      <c r="AB1494" s="1"/>
      <c r="AC1494" s="1"/>
      <c r="AD1494" s="1"/>
      <c r="AE1494" s="30"/>
      <c r="AF1494" s="633"/>
      <c r="AG1494" s="94"/>
      <c r="AH1494" s="94"/>
      <c r="AI1494" s="94"/>
      <c r="AJ1494" s="94"/>
      <c r="AK1494" s="94"/>
      <c r="AL1494" s="94"/>
    </row>
    <row r="1495" spans="3:38">
      <c r="C1495" s="30"/>
      <c r="F1495" s="95"/>
      <c r="G1495" s="1"/>
      <c r="H1495" s="94"/>
      <c r="I1495" s="90"/>
      <c r="J1495" s="90"/>
      <c r="K1495" s="1"/>
      <c r="L1495" s="74"/>
      <c r="M1495" s="633"/>
      <c r="N1495" s="274"/>
      <c r="O1495" s="94"/>
      <c r="P1495" s="94"/>
      <c r="Q1495" s="94"/>
      <c r="R1495" s="94"/>
      <c r="S1495" s="94"/>
      <c r="V1495" s="30"/>
      <c r="W1495" s="30"/>
      <c r="X1495" s="1"/>
      <c r="Y1495" s="95"/>
      <c r="Z1495" s="1"/>
      <c r="AA1495" s="94"/>
      <c r="AB1495" s="1"/>
      <c r="AC1495" s="1"/>
      <c r="AD1495" s="1"/>
      <c r="AE1495" s="30"/>
      <c r="AF1495" s="633"/>
      <c r="AG1495" s="94"/>
      <c r="AH1495" s="94"/>
      <c r="AI1495" s="94"/>
      <c r="AJ1495" s="94"/>
      <c r="AK1495" s="94"/>
      <c r="AL1495" s="94"/>
    </row>
    <row r="1496" spans="3:38">
      <c r="C1496" s="30"/>
      <c r="F1496" s="95"/>
      <c r="G1496" s="1"/>
      <c r="H1496" s="94"/>
      <c r="I1496" s="90"/>
      <c r="J1496" s="90"/>
      <c r="K1496" s="1"/>
      <c r="L1496" s="74"/>
      <c r="M1496" s="633"/>
      <c r="N1496" s="274"/>
      <c r="O1496" s="94"/>
      <c r="P1496" s="94"/>
      <c r="Q1496" s="94"/>
      <c r="R1496" s="94"/>
      <c r="S1496" s="94"/>
      <c r="V1496" s="30"/>
      <c r="W1496" s="30"/>
      <c r="X1496" s="1"/>
      <c r="Y1496" s="95"/>
      <c r="Z1496" s="1"/>
      <c r="AA1496" s="94"/>
      <c r="AB1496" s="1"/>
      <c r="AC1496" s="1"/>
      <c r="AD1496" s="1"/>
      <c r="AE1496" s="30"/>
      <c r="AF1496" s="633"/>
      <c r="AG1496" s="94"/>
      <c r="AH1496" s="94"/>
      <c r="AI1496" s="94"/>
      <c r="AJ1496" s="94"/>
      <c r="AK1496" s="94"/>
      <c r="AL1496" s="94"/>
    </row>
    <row r="1497" spans="3:38">
      <c r="C1497" s="30"/>
      <c r="F1497" s="95"/>
      <c r="G1497" s="1"/>
      <c r="H1497" s="94"/>
      <c r="I1497" s="90"/>
      <c r="J1497" s="90"/>
      <c r="K1497" s="1"/>
      <c r="L1497" s="74"/>
      <c r="M1497" s="633"/>
      <c r="N1497" s="274"/>
      <c r="O1497" s="94"/>
      <c r="P1497" s="94"/>
      <c r="Q1497" s="94"/>
      <c r="R1497" s="94"/>
      <c r="S1497" s="94"/>
      <c r="V1497" s="30"/>
      <c r="W1497" s="30"/>
      <c r="X1497" s="1"/>
      <c r="Y1497" s="95"/>
      <c r="Z1497" s="1"/>
      <c r="AA1497" s="94"/>
      <c r="AB1497" s="1"/>
      <c r="AC1497" s="1"/>
      <c r="AD1497" s="1"/>
      <c r="AE1497" s="30"/>
      <c r="AF1497" s="633"/>
      <c r="AG1497" s="94"/>
      <c r="AH1497" s="94"/>
      <c r="AI1497" s="94"/>
      <c r="AJ1497" s="94"/>
      <c r="AK1497" s="94"/>
      <c r="AL1497" s="94"/>
    </row>
    <row r="1498" spans="3:38">
      <c r="C1498" s="30"/>
      <c r="F1498" s="95"/>
      <c r="G1498" s="1"/>
      <c r="H1498" s="94"/>
      <c r="I1498" s="90"/>
      <c r="J1498" s="90"/>
      <c r="K1498" s="1"/>
      <c r="L1498" s="74"/>
      <c r="M1498" s="633"/>
      <c r="N1498" s="274"/>
      <c r="O1498" s="94"/>
      <c r="P1498" s="94"/>
      <c r="Q1498" s="94"/>
      <c r="R1498" s="94"/>
      <c r="S1498" s="94"/>
      <c r="V1498" s="30"/>
      <c r="W1498" s="30"/>
      <c r="X1498" s="1"/>
      <c r="Y1498" s="95"/>
      <c r="Z1498" s="1"/>
      <c r="AA1498" s="94"/>
      <c r="AB1498" s="1"/>
      <c r="AC1498" s="1"/>
      <c r="AD1498" s="1"/>
      <c r="AE1498" s="30"/>
      <c r="AF1498" s="633"/>
      <c r="AG1498" s="94"/>
      <c r="AH1498" s="94"/>
      <c r="AI1498" s="94"/>
      <c r="AJ1498" s="94"/>
      <c r="AK1498" s="94"/>
      <c r="AL1498" s="94"/>
    </row>
    <row r="1499" spans="3:38">
      <c r="C1499" s="30"/>
      <c r="F1499" s="95"/>
      <c r="G1499" s="1"/>
      <c r="H1499" s="94"/>
      <c r="I1499" s="90"/>
      <c r="J1499" s="90"/>
      <c r="K1499" s="1"/>
      <c r="L1499" s="74"/>
      <c r="M1499" s="633"/>
      <c r="N1499" s="274"/>
      <c r="O1499" s="94"/>
      <c r="P1499" s="94"/>
      <c r="Q1499" s="94"/>
      <c r="R1499" s="94"/>
      <c r="S1499" s="94"/>
      <c r="V1499" s="30"/>
      <c r="W1499" s="30"/>
      <c r="X1499" s="1"/>
      <c r="Y1499" s="95"/>
      <c r="Z1499" s="1"/>
      <c r="AA1499" s="94"/>
      <c r="AB1499" s="1"/>
      <c r="AC1499" s="1"/>
      <c r="AD1499" s="1"/>
      <c r="AE1499" s="30"/>
      <c r="AF1499" s="633"/>
      <c r="AG1499" s="94"/>
      <c r="AH1499" s="94"/>
      <c r="AI1499" s="94"/>
      <c r="AJ1499" s="94"/>
      <c r="AK1499" s="94"/>
      <c r="AL1499" s="94"/>
    </row>
    <row r="1500" spans="3:38">
      <c r="C1500" s="30"/>
      <c r="F1500" s="95"/>
      <c r="G1500" s="1"/>
      <c r="H1500" s="94"/>
      <c r="I1500" s="90"/>
      <c r="J1500" s="90"/>
      <c r="K1500" s="1"/>
      <c r="L1500" s="74"/>
      <c r="M1500" s="633"/>
      <c r="N1500" s="274"/>
      <c r="O1500" s="94"/>
      <c r="P1500" s="94"/>
      <c r="Q1500" s="94"/>
      <c r="R1500" s="94"/>
      <c r="S1500" s="94"/>
      <c r="V1500" s="30"/>
      <c r="W1500" s="30"/>
      <c r="X1500" s="1"/>
      <c r="Y1500" s="95"/>
      <c r="Z1500" s="1"/>
      <c r="AA1500" s="94"/>
      <c r="AB1500" s="1"/>
      <c r="AC1500" s="1"/>
      <c r="AD1500" s="1"/>
      <c r="AE1500" s="30"/>
      <c r="AF1500" s="633"/>
      <c r="AG1500" s="94"/>
      <c r="AH1500" s="94"/>
      <c r="AI1500" s="94"/>
      <c r="AJ1500" s="94"/>
      <c r="AK1500" s="94"/>
      <c r="AL1500" s="94"/>
    </row>
    <row r="1501" spans="3:38">
      <c r="C1501" s="30"/>
      <c r="F1501" s="95"/>
      <c r="G1501" s="1"/>
      <c r="H1501" s="94"/>
      <c r="I1501" s="90"/>
      <c r="J1501" s="90"/>
      <c r="K1501" s="1"/>
      <c r="L1501" s="74"/>
      <c r="M1501" s="633"/>
      <c r="N1501" s="274"/>
      <c r="O1501" s="94"/>
      <c r="P1501" s="94"/>
      <c r="Q1501" s="94"/>
      <c r="R1501" s="94"/>
      <c r="S1501" s="94"/>
      <c r="V1501" s="30"/>
      <c r="W1501" s="30"/>
      <c r="X1501" s="1"/>
      <c r="Y1501" s="95"/>
      <c r="Z1501" s="1"/>
      <c r="AA1501" s="94"/>
      <c r="AB1501" s="1"/>
      <c r="AC1501" s="1"/>
      <c r="AD1501" s="1"/>
      <c r="AE1501" s="30"/>
      <c r="AF1501" s="633"/>
      <c r="AG1501" s="94"/>
      <c r="AH1501" s="94"/>
      <c r="AI1501" s="94"/>
      <c r="AJ1501" s="94"/>
      <c r="AK1501" s="94"/>
      <c r="AL1501" s="94"/>
    </row>
    <row r="1502" spans="3:38">
      <c r="C1502" s="30"/>
      <c r="F1502" s="95"/>
      <c r="G1502" s="1"/>
      <c r="H1502" s="94"/>
      <c r="I1502" s="90"/>
      <c r="J1502" s="90"/>
      <c r="K1502" s="1"/>
      <c r="L1502" s="74"/>
      <c r="M1502" s="633"/>
      <c r="N1502" s="274"/>
      <c r="O1502" s="94"/>
      <c r="P1502" s="94"/>
      <c r="Q1502" s="94"/>
      <c r="R1502" s="94"/>
      <c r="S1502" s="94"/>
      <c r="V1502" s="30"/>
      <c r="W1502" s="30"/>
      <c r="X1502" s="1"/>
      <c r="Y1502" s="95"/>
      <c r="Z1502" s="1"/>
      <c r="AA1502" s="94"/>
      <c r="AB1502" s="1"/>
      <c r="AC1502" s="1"/>
      <c r="AD1502" s="1"/>
      <c r="AE1502" s="30"/>
      <c r="AF1502" s="633"/>
      <c r="AG1502" s="94"/>
      <c r="AH1502" s="94"/>
      <c r="AI1502" s="94"/>
      <c r="AJ1502" s="94"/>
      <c r="AK1502" s="94"/>
      <c r="AL1502" s="94"/>
    </row>
    <row r="1503" spans="3:38">
      <c r="C1503" s="30"/>
      <c r="F1503" s="95"/>
      <c r="G1503" s="1"/>
      <c r="H1503" s="94"/>
      <c r="I1503" s="90"/>
      <c r="J1503" s="90"/>
      <c r="K1503" s="1"/>
      <c r="L1503" s="74"/>
      <c r="M1503" s="633"/>
      <c r="N1503" s="274"/>
      <c r="O1503" s="94"/>
      <c r="P1503" s="94"/>
      <c r="Q1503" s="94"/>
      <c r="R1503" s="94"/>
      <c r="S1503" s="94"/>
      <c r="V1503" s="30"/>
      <c r="W1503" s="30"/>
      <c r="X1503" s="1"/>
      <c r="Y1503" s="95"/>
      <c r="Z1503" s="1"/>
      <c r="AA1503" s="94"/>
      <c r="AB1503" s="1"/>
      <c r="AC1503" s="1"/>
      <c r="AD1503" s="1"/>
      <c r="AE1503" s="30"/>
      <c r="AF1503" s="633"/>
      <c r="AG1503" s="94"/>
      <c r="AH1503" s="94"/>
      <c r="AI1503" s="94"/>
      <c r="AJ1503" s="94"/>
      <c r="AK1503" s="94"/>
      <c r="AL1503" s="94"/>
    </row>
    <row r="1504" spans="3:38">
      <c r="C1504" s="30"/>
      <c r="F1504" s="95"/>
      <c r="G1504" s="1"/>
      <c r="H1504" s="94"/>
      <c r="I1504" s="90"/>
      <c r="J1504" s="90"/>
      <c r="K1504" s="1"/>
      <c r="L1504" s="74"/>
      <c r="M1504" s="633"/>
      <c r="N1504" s="274"/>
      <c r="O1504" s="94"/>
      <c r="P1504" s="94"/>
      <c r="Q1504" s="94"/>
      <c r="R1504" s="94"/>
      <c r="S1504" s="94"/>
      <c r="V1504" s="30"/>
      <c r="W1504" s="30"/>
      <c r="X1504" s="1"/>
      <c r="Y1504" s="95"/>
      <c r="Z1504" s="1"/>
      <c r="AA1504" s="94"/>
      <c r="AB1504" s="1"/>
      <c r="AC1504" s="1"/>
      <c r="AD1504" s="1"/>
      <c r="AE1504" s="30"/>
      <c r="AF1504" s="633"/>
      <c r="AG1504" s="94"/>
      <c r="AH1504" s="94"/>
      <c r="AI1504" s="94"/>
      <c r="AJ1504" s="94"/>
      <c r="AK1504" s="94"/>
      <c r="AL1504" s="94"/>
    </row>
    <row r="1505" spans="3:38">
      <c r="C1505" s="30"/>
      <c r="F1505" s="95"/>
      <c r="G1505" s="1"/>
      <c r="H1505" s="94"/>
      <c r="I1505" s="90"/>
      <c r="J1505" s="90"/>
      <c r="K1505" s="1"/>
      <c r="L1505" s="74"/>
      <c r="M1505" s="633"/>
      <c r="N1505" s="274"/>
      <c r="O1505" s="94"/>
      <c r="P1505" s="94"/>
      <c r="Q1505" s="94"/>
      <c r="R1505" s="94"/>
      <c r="S1505" s="94"/>
      <c r="V1505" s="30"/>
      <c r="W1505" s="30"/>
      <c r="X1505" s="1"/>
      <c r="Y1505" s="95"/>
      <c r="Z1505" s="1"/>
      <c r="AA1505" s="94"/>
      <c r="AB1505" s="1"/>
      <c r="AC1505" s="1"/>
      <c r="AD1505" s="1"/>
      <c r="AE1505" s="30"/>
      <c r="AF1505" s="633"/>
      <c r="AG1505" s="94"/>
      <c r="AH1505" s="94"/>
      <c r="AI1505" s="94"/>
      <c r="AJ1505" s="94"/>
      <c r="AK1505" s="94"/>
      <c r="AL1505" s="94"/>
    </row>
    <row r="1506" spans="3:38">
      <c r="C1506" s="30"/>
      <c r="F1506" s="95"/>
      <c r="G1506" s="1"/>
      <c r="H1506" s="94"/>
      <c r="I1506" s="90"/>
      <c r="J1506" s="90"/>
      <c r="K1506" s="1"/>
      <c r="L1506" s="74"/>
      <c r="M1506" s="633"/>
      <c r="N1506" s="274"/>
      <c r="O1506" s="94"/>
      <c r="P1506" s="94"/>
      <c r="Q1506" s="94"/>
      <c r="R1506" s="94"/>
      <c r="S1506" s="94"/>
      <c r="V1506" s="30"/>
      <c r="W1506" s="30"/>
      <c r="X1506" s="1"/>
      <c r="Y1506" s="95"/>
      <c r="Z1506" s="1"/>
      <c r="AA1506" s="94"/>
      <c r="AB1506" s="1"/>
      <c r="AC1506" s="1"/>
      <c r="AD1506" s="1"/>
      <c r="AE1506" s="30"/>
      <c r="AF1506" s="633"/>
      <c r="AG1506" s="94"/>
      <c r="AH1506" s="94"/>
      <c r="AI1506" s="94"/>
      <c r="AJ1506" s="94"/>
      <c r="AK1506" s="94"/>
      <c r="AL1506" s="94"/>
    </row>
    <row r="1507" spans="3:38">
      <c r="C1507" s="30"/>
      <c r="F1507" s="95"/>
      <c r="G1507" s="1"/>
      <c r="H1507" s="94"/>
      <c r="I1507" s="90"/>
      <c r="J1507" s="90"/>
      <c r="K1507" s="1"/>
      <c r="L1507" s="74"/>
      <c r="M1507" s="633"/>
      <c r="N1507" s="274"/>
      <c r="O1507" s="94"/>
      <c r="P1507" s="94"/>
      <c r="Q1507" s="94"/>
      <c r="R1507" s="94"/>
      <c r="S1507" s="94"/>
      <c r="V1507" s="30"/>
      <c r="W1507" s="30"/>
      <c r="X1507" s="1"/>
      <c r="Y1507" s="95"/>
      <c r="Z1507" s="1"/>
      <c r="AA1507" s="94"/>
      <c r="AB1507" s="1"/>
      <c r="AC1507" s="1"/>
      <c r="AD1507" s="1"/>
      <c r="AE1507" s="30"/>
      <c r="AF1507" s="633"/>
      <c r="AG1507" s="94"/>
      <c r="AH1507" s="94"/>
      <c r="AI1507" s="94"/>
      <c r="AJ1507" s="94"/>
      <c r="AK1507" s="94"/>
      <c r="AL1507" s="94"/>
    </row>
    <row r="1508" spans="3:38">
      <c r="C1508" s="30"/>
      <c r="F1508" s="95"/>
      <c r="G1508" s="1"/>
      <c r="H1508" s="94"/>
      <c r="I1508" s="90"/>
      <c r="J1508" s="90"/>
      <c r="K1508" s="1"/>
      <c r="L1508" s="74"/>
      <c r="M1508" s="633"/>
      <c r="N1508" s="274"/>
      <c r="O1508" s="94"/>
      <c r="P1508" s="94"/>
      <c r="Q1508" s="94"/>
      <c r="R1508" s="94"/>
      <c r="S1508" s="94"/>
      <c r="V1508" s="30"/>
      <c r="W1508" s="30"/>
      <c r="X1508" s="1"/>
      <c r="Y1508" s="95"/>
      <c r="Z1508" s="1"/>
      <c r="AA1508" s="94"/>
      <c r="AB1508" s="1"/>
      <c r="AC1508" s="1"/>
      <c r="AD1508" s="1"/>
      <c r="AE1508" s="30"/>
      <c r="AF1508" s="633"/>
      <c r="AG1508" s="94"/>
      <c r="AH1508" s="94"/>
      <c r="AI1508" s="94"/>
      <c r="AJ1508" s="94"/>
      <c r="AK1508" s="94"/>
      <c r="AL1508" s="94"/>
    </row>
    <row r="1509" spans="3:38">
      <c r="C1509" s="30"/>
      <c r="F1509" s="95"/>
      <c r="G1509" s="1"/>
      <c r="H1509" s="94"/>
      <c r="I1509" s="90"/>
      <c r="J1509" s="90"/>
      <c r="K1509" s="1"/>
      <c r="L1509" s="74"/>
      <c r="M1509" s="633"/>
      <c r="N1509" s="274"/>
      <c r="O1509" s="94"/>
      <c r="P1509" s="94"/>
      <c r="Q1509" s="94"/>
      <c r="R1509" s="94"/>
      <c r="S1509" s="94"/>
      <c r="V1509" s="30"/>
      <c r="W1509" s="30"/>
      <c r="X1509" s="1"/>
      <c r="Y1509" s="95"/>
      <c r="Z1509" s="1"/>
      <c r="AA1509" s="94"/>
      <c r="AB1509" s="1"/>
      <c r="AC1509" s="1"/>
      <c r="AD1509" s="1"/>
      <c r="AE1509" s="30"/>
      <c r="AF1509" s="633"/>
      <c r="AG1509" s="94"/>
      <c r="AH1509" s="94"/>
      <c r="AI1509" s="94"/>
      <c r="AJ1509" s="94"/>
      <c r="AK1509" s="94"/>
      <c r="AL1509" s="94"/>
    </row>
    <row r="1510" spans="3:38">
      <c r="C1510" s="30"/>
      <c r="F1510" s="95"/>
      <c r="G1510" s="1"/>
      <c r="H1510" s="94"/>
      <c r="I1510" s="90"/>
      <c r="J1510" s="90"/>
      <c r="K1510" s="1"/>
      <c r="L1510" s="74"/>
      <c r="M1510" s="633"/>
      <c r="N1510" s="274"/>
      <c r="O1510" s="94"/>
      <c r="P1510" s="94"/>
      <c r="Q1510" s="94"/>
      <c r="R1510" s="94"/>
      <c r="S1510" s="94"/>
      <c r="V1510" s="30"/>
      <c r="W1510" s="30"/>
      <c r="X1510" s="1"/>
      <c r="Y1510" s="95"/>
      <c r="Z1510" s="1"/>
      <c r="AA1510" s="94"/>
      <c r="AB1510" s="1"/>
      <c r="AC1510" s="1"/>
      <c r="AD1510" s="1"/>
      <c r="AE1510" s="30"/>
      <c r="AF1510" s="633"/>
      <c r="AG1510" s="94"/>
      <c r="AH1510" s="94"/>
      <c r="AI1510" s="94"/>
      <c r="AJ1510" s="94"/>
      <c r="AK1510" s="94"/>
      <c r="AL1510" s="94"/>
    </row>
    <row r="1511" spans="3:38">
      <c r="C1511" s="30"/>
      <c r="F1511" s="95"/>
      <c r="G1511" s="1"/>
      <c r="H1511" s="94"/>
      <c r="I1511" s="90"/>
      <c r="J1511" s="90"/>
      <c r="K1511" s="1"/>
      <c r="L1511" s="74"/>
      <c r="M1511" s="633"/>
      <c r="N1511" s="274"/>
      <c r="O1511" s="94"/>
      <c r="P1511" s="94"/>
      <c r="Q1511" s="94"/>
      <c r="R1511" s="94"/>
      <c r="S1511" s="94"/>
      <c r="V1511" s="30"/>
      <c r="W1511" s="30"/>
      <c r="X1511" s="1"/>
      <c r="Y1511" s="95"/>
      <c r="Z1511" s="1"/>
      <c r="AA1511" s="94"/>
      <c r="AB1511" s="1"/>
      <c r="AC1511" s="1"/>
      <c r="AD1511" s="1"/>
      <c r="AE1511" s="30"/>
      <c r="AF1511" s="633"/>
      <c r="AG1511" s="94"/>
      <c r="AH1511" s="94"/>
      <c r="AI1511" s="94"/>
      <c r="AJ1511" s="94"/>
      <c r="AK1511" s="94"/>
      <c r="AL1511" s="94"/>
    </row>
    <row r="1512" spans="3:38">
      <c r="C1512" s="30"/>
      <c r="F1512" s="95"/>
      <c r="G1512" s="1"/>
      <c r="H1512" s="94"/>
      <c r="I1512" s="90"/>
      <c r="J1512" s="90"/>
      <c r="K1512" s="1"/>
      <c r="L1512" s="74"/>
      <c r="M1512" s="633"/>
      <c r="N1512" s="274"/>
      <c r="O1512" s="94"/>
      <c r="P1512" s="94"/>
      <c r="Q1512" s="94"/>
      <c r="R1512" s="94"/>
      <c r="S1512" s="94"/>
      <c r="V1512" s="30"/>
      <c r="W1512" s="30"/>
      <c r="X1512" s="1"/>
      <c r="Y1512" s="95"/>
      <c r="Z1512" s="1"/>
      <c r="AA1512" s="94"/>
      <c r="AB1512" s="1"/>
      <c r="AC1512" s="1"/>
      <c r="AD1512" s="1"/>
      <c r="AE1512" s="30"/>
      <c r="AF1512" s="633"/>
      <c r="AG1512" s="94"/>
      <c r="AH1512" s="94"/>
      <c r="AI1512" s="94"/>
      <c r="AJ1512" s="94"/>
      <c r="AK1512" s="94"/>
      <c r="AL1512" s="94"/>
    </row>
    <row r="1513" spans="3:38">
      <c r="C1513" s="30"/>
      <c r="F1513" s="95"/>
      <c r="G1513" s="1"/>
      <c r="H1513" s="94"/>
      <c r="I1513" s="90"/>
      <c r="J1513" s="90"/>
      <c r="K1513" s="1"/>
      <c r="L1513" s="74"/>
      <c r="M1513" s="633"/>
      <c r="N1513" s="274"/>
      <c r="O1513" s="94"/>
      <c r="P1513" s="94"/>
      <c r="Q1513" s="94"/>
      <c r="R1513" s="94"/>
      <c r="S1513" s="94"/>
      <c r="V1513" s="30"/>
      <c r="W1513" s="30"/>
      <c r="X1513" s="1"/>
      <c r="Y1513" s="95"/>
      <c r="Z1513" s="1"/>
      <c r="AA1513" s="94"/>
      <c r="AB1513" s="1"/>
      <c r="AC1513" s="1"/>
      <c r="AD1513" s="1"/>
      <c r="AE1513" s="30"/>
      <c r="AF1513" s="633"/>
      <c r="AG1513" s="94"/>
      <c r="AH1513" s="94"/>
      <c r="AI1513" s="94"/>
      <c r="AJ1513" s="94"/>
      <c r="AK1513" s="94"/>
      <c r="AL1513" s="94"/>
    </row>
    <row r="1514" spans="3:38">
      <c r="C1514" s="30"/>
      <c r="F1514" s="95"/>
      <c r="G1514" s="1"/>
      <c r="H1514" s="94"/>
      <c r="I1514" s="90"/>
      <c r="J1514" s="90"/>
      <c r="K1514" s="1"/>
      <c r="L1514" s="74"/>
      <c r="M1514" s="633"/>
      <c r="N1514" s="274"/>
      <c r="O1514" s="94"/>
      <c r="P1514" s="94"/>
      <c r="Q1514" s="94"/>
      <c r="R1514" s="94"/>
      <c r="S1514" s="94"/>
      <c r="V1514" s="30"/>
      <c r="W1514" s="30"/>
      <c r="X1514" s="1"/>
      <c r="Y1514" s="95"/>
      <c r="Z1514" s="1"/>
      <c r="AA1514" s="94"/>
      <c r="AB1514" s="1"/>
      <c r="AC1514" s="1"/>
      <c r="AD1514" s="1"/>
      <c r="AE1514" s="30"/>
      <c r="AF1514" s="633"/>
      <c r="AG1514" s="94"/>
      <c r="AH1514" s="94"/>
      <c r="AI1514" s="94"/>
      <c r="AJ1514" s="94"/>
      <c r="AK1514" s="94"/>
      <c r="AL1514" s="94"/>
    </row>
    <row r="1515" spans="3:38">
      <c r="C1515" s="30"/>
      <c r="F1515" s="95"/>
      <c r="G1515" s="1"/>
      <c r="H1515" s="94"/>
      <c r="I1515" s="90"/>
      <c r="J1515" s="90"/>
      <c r="K1515" s="1"/>
      <c r="L1515" s="74"/>
      <c r="M1515" s="633"/>
      <c r="N1515" s="274"/>
      <c r="O1515" s="94"/>
      <c r="P1515" s="94"/>
      <c r="Q1515" s="94"/>
      <c r="R1515" s="94"/>
      <c r="S1515" s="94"/>
      <c r="V1515" s="30"/>
      <c r="W1515" s="30"/>
      <c r="X1515" s="1"/>
      <c r="Y1515" s="95"/>
      <c r="Z1515" s="1"/>
      <c r="AA1515" s="94"/>
      <c r="AB1515" s="1"/>
      <c r="AC1515" s="1"/>
      <c r="AD1515" s="1"/>
      <c r="AE1515" s="30"/>
      <c r="AF1515" s="633"/>
      <c r="AG1515" s="94"/>
      <c r="AH1515" s="94"/>
      <c r="AI1515" s="94"/>
      <c r="AJ1515" s="94"/>
      <c r="AK1515" s="94"/>
      <c r="AL1515" s="94"/>
    </row>
    <row r="1516" spans="3:38">
      <c r="C1516" s="30"/>
      <c r="F1516" s="95"/>
      <c r="G1516" s="1"/>
      <c r="H1516" s="94"/>
      <c r="I1516" s="90"/>
      <c r="J1516" s="90"/>
      <c r="K1516" s="1"/>
      <c r="L1516" s="74"/>
      <c r="M1516" s="633"/>
      <c r="N1516" s="274"/>
      <c r="O1516" s="94"/>
      <c r="P1516" s="94"/>
      <c r="Q1516" s="94"/>
      <c r="R1516" s="94"/>
      <c r="S1516" s="94"/>
      <c r="V1516" s="30"/>
      <c r="W1516" s="30"/>
      <c r="X1516" s="1"/>
      <c r="Y1516" s="95"/>
      <c r="Z1516" s="1"/>
      <c r="AA1516" s="94"/>
      <c r="AB1516" s="1"/>
      <c r="AC1516" s="1"/>
      <c r="AD1516" s="1"/>
      <c r="AE1516" s="30"/>
      <c r="AF1516" s="633"/>
      <c r="AG1516" s="94"/>
      <c r="AH1516" s="94"/>
      <c r="AI1516" s="94"/>
      <c r="AJ1516" s="94"/>
      <c r="AK1516" s="94"/>
      <c r="AL1516" s="94"/>
    </row>
    <row r="1517" spans="3:38">
      <c r="C1517" s="30"/>
      <c r="F1517" s="95"/>
      <c r="G1517" s="1"/>
      <c r="H1517" s="94"/>
      <c r="I1517" s="90"/>
      <c r="J1517" s="90"/>
      <c r="K1517" s="1"/>
      <c r="L1517" s="74"/>
      <c r="M1517" s="633"/>
      <c r="N1517" s="274"/>
      <c r="O1517" s="94"/>
      <c r="P1517" s="94"/>
      <c r="Q1517" s="94"/>
      <c r="R1517" s="94"/>
      <c r="S1517" s="94"/>
      <c r="V1517" s="30"/>
      <c r="W1517" s="30"/>
      <c r="X1517" s="1"/>
      <c r="Y1517" s="95"/>
      <c r="Z1517" s="1"/>
      <c r="AA1517" s="94"/>
      <c r="AB1517" s="1"/>
      <c r="AC1517" s="1"/>
      <c r="AD1517" s="1"/>
      <c r="AE1517" s="30"/>
      <c r="AF1517" s="633"/>
      <c r="AG1517" s="94"/>
      <c r="AH1517" s="94"/>
      <c r="AI1517" s="94"/>
      <c r="AJ1517" s="94"/>
      <c r="AK1517" s="94"/>
      <c r="AL1517" s="94"/>
    </row>
    <row r="1518" spans="3:38">
      <c r="C1518" s="30"/>
      <c r="F1518" s="95"/>
      <c r="G1518" s="1"/>
      <c r="H1518" s="94"/>
      <c r="I1518" s="90"/>
      <c r="J1518" s="90"/>
      <c r="K1518" s="1"/>
      <c r="L1518" s="74"/>
      <c r="M1518" s="633"/>
      <c r="N1518" s="274"/>
      <c r="O1518" s="94"/>
      <c r="P1518" s="94"/>
      <c r="Q1518" s="94"/>
      <c r="R1518" s="94"/>
      <c r="S1518" s="94"/>
      <c r="V1518" s="30"/>
      <c r="W1518" s="30"/>
      <c r="X1518" s="1"/>
      <c r="Y1518" s="95"/>
      <c r="Z1518" s="1"/>
      <c r="AA1518" s="94"/>
      <c r="AB1518" s="1"/>
      <c r="AC1518" s="1"/>
      <c r="AD1518" s="1"/>
      <c r="AE1518" s="30"/>
      <c r="AF1518" s="633"/>
      <c r="AG1518" s="94"/>
      <c r="AH1518" s="94"/>
      <c r="AI1518" s="94"/>
      <c r="AJ1518" s="94"/>
      <c r="AK1518" s="94"/>
      <c r="AL1518" s="94"/>
    </row>
    <row r="1519" spans="3:38">
      <c r="C1519" s="30"/>
      <c r="F1519" s="95"/>
      <c r="G1519" s="1"/>
      <c r="H1519" s="94"/>
      <c r="I1519" s="90"/>
      <c r="J1519" s="90"/>
      <c r="K1519" s="1"/>
      <c r="L1519" s="74"/>
      <c r="M1519" s="633"/>
      <c r="N1519" s="274"/>
      <c r="O1519" s="94"/>
      <c r="P1519" s="94"/>
      <c r="Q1519" s="94"/>
      <c r="R1519" s="94"/>
      <c r="S1519" s="94"/>
      <c r="V1519" s="30"/>
      <c r="W1519" s="30"/>
      <c r="X1519" s="1"/>
      <c r="Y1519" s="95"/>
      <c r="Z1519" s="1"/>
      <c r="AA1519" s="94"/>
      <c r="AB1519" s="1"/>
      <c r="AC1519" s="1"/>
      <c r="AD1519" s="1"/>
      <c r="AE1519" s="30"/>
      <c r="AF1519" s="633"/>
      <c r="AG1519" s="94"/>
      <c r="AH1519" s="94"/>
      <c r="AI1519" s="94"/>
      <c r="AJ1519" s="94"/>
      <c r="AK1519" s="94"/>
      <c r="AL1519" s="94"/>
    </row>
    <row r="1520" spans="3:38">
      <c r="C1520" s="30"/>
      <c r="F1520" s="95"/>
      <c r="G1520" s="1"/>
      <c r="H1520" s="94"/>
      <c r="I1520" s="90"/>
      <c r="J1520" s="90"/>
      <c r="K1520" s="1"/>
      <c r="L1520" s="74"/>
      <c r="M1520" s="633"/>
      <c r="N1520" s="274"/>
      <c r="O1520" s="94"/>
      <c r="P1520" s="94"/>
      <c r="Q1520" s="94"/>
      <c r="R1520" s="94"/>
      <c r="S1520" s="94"/>
      <c r="V1520" s="30"/>
      <c r="W1520" s="30"/>
      <c r="X1520" s="1"/>
      <c r="Y1520" s="95"/>
      <c r="Z1520" s="1"/>
      <c r="AA1520" s="94"/>
      <c r="AB1520" s="1"/>
      <c r="AC1520" s="1"/>
      <c r="AD1520" s="1"/>
      <c r="AE1520" s="30"/>
      <c r="AF1520" s="633"/>
      <c r="AG1520" s="94"/>
      <c r="AH1520" s="94"/>
      <c r="AI1520" s="94"/>
      <c r="AJ1520" s="94"/>
      <c r="AK1520" s="94"/>
      <c r="AL1520" s="94"/>
    </row>
    <row r="1521" spans="3:38">
      <c r="C1521" s="30"/>
      <c r="F1521" s="95"/>
      <c r="G1521" s="1"/>
      <c r="H1521" s="94"/>
      <c r="I1521" s="90"/>
      <c r="J1521" s="90"/>
      <c r="K1521" s="1"/>
      <c r="L1521" s="74"/>
      <c r="M1521" s="633"/>
      <c r="N1521" s="274"/>
      <c r="O1521" s="94"/>
      <c r="P1521" s="94"/>
      <c r="Q1521" s="94"/>
      <c r="R1521" s="94"/>
      <c r="S1521" s="94"/>
      <c r="V1521" s="30"/>
      <c r="W1521" s="30"/>
      <c r="X1521" s="1"/>
      <c r="Y1521" s="95"/>
      <c r="Z1521" s="1"/>
      <c r="AA1521" s="94"/>
      <c r="AB1521" s="1"/>
      <c r="AC1521" s="1"/>
      <c r="AD1521" s="1"/>
      <c r="AE1521" s="30"/>
      <c r="AF1521" s="633"/>
      <c r="AG1521" s="94"/>
      <c r="AH1521" s="94"/>
      <c r="AI1521" s="94"/>
      <c r="AJ1521" s="94"/>
      <c r="AK1521" s="94"/>
      <c r="AL1521" s="94"/>
    </row>
    <row r="1522" spans="3:38">
      <c r="C1522" s="30"/>
      <c r="F1522" s="95"/>
      <c r="G1522" s="1"/>
      <c r="H1522" s="94"/>
      <c r="I1522" s="90"/>
      <c r="J1522" s="90"/>
      <c r="K1522" s="1"/>
      <c r="L1522" s="74"/>
      <c r="M1522" s="633"/>
      <c r="N1522" s="274"/>
      <c r="O1522" s="94"/>
      <c r="P1522" s="94"/>
      <c r="Q1522" s="94"/>
      <c r="R1522" s="94"/>
      <c r="S1522" s="94"/>
      <c r="V1522" s="30"/>
      <c r="W1522" s="30"/>
      <c r="X1522" s="1"/>
      <c r="Y1522" s="95"/>
      <c r="Z1522" s="1"/>
      <c r="AA1522" s="94"/>
      <c r="AB1522" s="1"/>
      <c r="AC1522" s="1"/>
      <c r="AD1522" s="1"/>
      <c r="AE1522" s="30"/>
      <c r="AF1522" s="633"/>
      <c r="AG1522" s="94"/>
      <c r="AH1522" s="94"/>
      <c r="AI1522" s="94"/>
      <c r="AJ1522" s="94"/>
      <c r="AK1522" s="94"/>
      <c r="AL1522" s="94"/>
    </row>
    <row r="1523" spans="3:38">
      <c r="C1523" s="30"/>
      <c r="F1523" s="95"/>
      <c r="G1523" s="1"/>
      <c r="H1523" s="94"/>
      <c r="I1523" s="90"/>
      <c r="J1523" s="90"/>
      <c r="K1523" s="1"/>
      <c r="L1523" s="74"/>
      <c r="M1523" s="633"/>
      <c r="N1523" s="274"/>
      <c r="O1523" s="94"/>
      <c r="P1523" s="94"/>
      <c r="Q1523" s="94"/>
      <c r="R1523" s="94"/>
      <c r="S1523" s="94"/>
      <c r="V1523" s="30"/>
      <c r="W1523" s="30"/>
      <c r="X1523" s="1"/>
      <c r="Y1523" s="95"/>
      <c r="Z1523" s="1"/>
      <c r="AA1523" s="94"/>
      <c r="AB1523" s="1"/>
      <c r="AC1523" s="1"/>
      <c r="AD1523" s="1"/>
      <c r="AE1523" s="30"/>
      <c r="AF1523" s="633"/>
      <c r="AG1523" s="94"/>
      <c r="AH1523" s="94"/>
      <c r="AI1523" s="94"/>
      <c r="AJ1523" s="94"/>
      <c r="AK1523" s="94"/>
      <c r="AL1523" s="94"/>
    </row>
    <row r="1524" spans="3:38">
      <c r="C1524" s="30"/>
      <c r="F1524" s="95"/>
      <c r="G1524" s="1"/>
      <c r="H1524" s="94"/>
      <c r="I1524" s="90"/>
      <c r="J1524" s="90"/>
      <c r="K1524" s="1"/>
      <c r="L1524" s="74"/>
      <c r="M1524" s="633"/>
      <c r="N1524" s="274"/>
      <c r="O1524" s="94"/>
      <c r="P1524" s="94"/>
      <c r="Q1524" s="94"/>
      <c r="R1524" s="94"/>
      <c r="S1524" s="94"/>
      <c r="V1524" s="30"/>
      <c r="W1524" s="30"/>
      <c r="X1524" s="1"/>
      <c r="Y1524" s="95"/>
      <c r="Z1524" s="1"/>
      <c r="AA1524" s="94"/>
      <c r="AB1524" s="1"/>
      <c r="AC1524" s="1"/>
      <c r="AD1524" s="1"/>
      <c r="AE1524" s="30"/>
      <c r="AF1524" s="633"/>
      <c r="AG1524" s="94"/>
      <c r="AH1524" s="94"/>
      <c r="AI1524" s="94"/>
      <c r="AJ1524" s="94"/>
      <c r="AK1524" s="94"/>
      <c r="AL1524" s="94"/>
    </row>
    <row r="1525" spans="3:38">
      <c r="C1525" s="30"/>
      <c r="F1525" s="95"/>
      <c r="G1525" s="1"/>
      <c r="H1525" s="94"/>
      <c r="I1525" s="90"/>
      <c r="J1525" s="90"/>
      <c r="K1525" s="1"/>
      <c r="L1525" s="74"/>
      <c r="M1525" s="633"/>
      <c r="N1525" s="274"/>
      <c r="O1525" s="94"/>
      <c r="P1525" s="94"/>
      <c r="Q1525" s="94"/>
      <c r="R1525" s="94"/>
      <c r="S1525" s="94"/>
      <c r="V1525" s="30"/>
      <c r="W1525" s="30"/>
      <c r="X1525" s="1"/>
      <c r="Y1525" s="95"/>
      <c r="Z1525" s="1"/>
      <c r="AA1525" s="94"/>
      <c r="AB1525" s="1"/>
      <c r="AC1525" s="1"/>
      <c r="AD1525" s="1"/>
      <c r="AE1525" s="30"/>
      <c r="AF1525" s="633"/>
      <c r="AG1525" s="94"/>
      <c r="AH1525" s="94"/>
      <c r="AI1525" s="94"/>
      <c r="AJ1525" s="94"/>
      <c r="AK1525" s="94"/>
      <c r="AL1525" s="94"/>
    </row>
    <row r="1526" spans="3:38">
      <c r="C1526" s="30"/>
      <c r="F1526" s="95"/>
      <c r="G1526" s="1"/>
      <c r="H1526" s="94"/>
      <c r="I1526" s="90"/>
      <c r="J1526" s="90"/>
      <c r="K1526" s="1"/>
      <c r="L1526" s="74"/>
      <c r="M1526" s="633"/>
      <c r="N1526" s="274"/>
      <c r="O1526" s="94"/>
      <c r="P1526" s="94"/>
      <c r="Q1526" s="94"/>
      <c r="R1526" s="94"/>
      <c r="S1526" s="94"/>
      <c r="V1526" s="30"/>
      <c r="W1526" s="30"/>
      <c r="X1526" s="1"/>
      <c r="Y1526" s="95"/>
      <c r="Z1526" s="1"/>
      <c r="AA1526" s="94"/>
      <c r="AB1526" s="1"/>
      <c r="AC1526" s="1"/>
      <c r="AD1526" s="1"/>
      <c r="AE1526" s="30"/>
      <c r="AF1526" s="633"/>
      <c r="AG1526" s="94"/>
      <c r="AH1526" s="94"/>
      <c r="AI1526" s="94"/>
      <c r="AJ1526" s="94"/>
      <c r="AK1526" s="94"/>
      <c r="AL1526" s="94"/>
    </row>
    <row r="1527" spans="3:38">
      <c r="C1527" s="30"/>
      <c r="F1527" s="95"/>
      <c r="G1527" s="1"/>
      <c r="H1527" s="94"/>
      <c r="I1527" s="90"/>
      <c r="J1527" s="90"/>
      <c r="K1527" s="1"/>
      <c r="L1527" s="74"/>
      <c r="M1527" s="633"/>
      <c r="N1527" s="274"/>
      <c r="O1527" s="94"/>
      <c r="P1527" s="94"/>
      <c r="Q1527" s="94"/>
      <c r="R1527" s="94"/>
      <c r="S1527" s="94"/>
      <c r="V1527" s="30"/>
      <c r="W1527" s="30"/>
      <c r="X1527" s="1"/>
      <c r="Y1527" s="95"/>
      <c r="Z1527" s="1"/>
      <c r="AA1527" s="94"/>
      <c r="AB1527" s="1"/>
      <c r="AC1527" s="1"/>
      <c r="AD1527" s="1"/>
      <c r="AE1527" s="30"/>
      <c r="AF1527" s="633"/>
      <c r="AG1527" s="94"/>
      <c r="AH1527" s="94"/>
      <c r="AI1527" s="94"/>
      <c r="AJ1527" s="94"/>
      <c r="AK1527" s="94"/>
      <c r="AL1527" s="94"/>
    </row>
    <row r="1528" spans="3:38">
      <c r="C1528" s="30"/>
      <c r="F1528" s="95"/>
      <c r="G1528" s="1"/>
      <c r="H1528" s="94"/>
      <c r="I1528" s="90"/>
      <c r="J1528" s="90"/>
      <c r="K1528" s="1"/>
      <c r="L1528" s="74"/>
      <c r="M1528" s="633"/>
      <c r="N1528" s="274"/>
      <c r="O1528" s="94"/>
      <c r="P1528" s="94"/>
      <c r="Q1528" s="94"/>
      <c r="R1528" s="94"/>
      <c r="S1528" s="94"/>
      <c r="V1528" s="30"/>
      <c r="W1528" s="30"/>
      <c r="X1528" s="1"/>
      <c r="Y1528" s="95"/>
      <c r="Z1528" s="1"/>
      <c r="AA1528" s="94"/>
      <c r="AB1528" s="1"/>
      <c r="AC1528" s="1"/>
      <c r="AD1528" s="1"/>
      <c r="AE1528" s="30"/>
      <c r="AF1528" s="633"/>
      <c r="AG1528" s="94"/>
      <c r="AH1528" s="94"/>
      <c r="AI1528" s="94"/>
      <c r="AJ1528" s="94"/>
      <c r="AK1528" s="94"/>
      <c r="AL1528" s="94"/>
    </row>
    <row r="1529" spans="3:38">
      <c r="C1529" s="30"/>
      <c r="F1529" s="95"/>
      <c r="G1529" s="1"/>
      <c r="H1529" s="94"/>
      <c r="I1529" s="90"/>
      <c r="J1529" s="90"/>
      <c r="K1529" s="1"/>
      <c r="L1529" s="74"/>
      <c r="M1529" s="633"/>
      <c r="N1529" s="274"/>
      <c r="O1529" s="94"/>
      <c r="P1529" s="94"/>
      <c r="Q1529" s="94"/>
      <c r="R1529" s="94"/>
      <c r="S1529" s="94"/>
      <c r="V1529" s="30"/>
      <c r="W1529" s="30"/>
      <c r="X1529" s="1"/>
      <c r="Y1529" s="95"/>
      <c r="Z1529" s="1"/>
      <c r="AA1529" s="94"/>
      <c r="AB1529" s="1"/>
      <c r="AC1529" s="1"/>
      <c r="AD1529" s="1"/>
      <c r="AE1529" s="30"/>
      <c r="AF1529" s="633"/>
      <c r="AG1529" s="94"/>
      <c r="AH1529" s="94"/>
      <c r="AI1529" s="94"/>
      <c r="AJ1529" s="94"/>
      <c r="AK1529" s="94"/>
      <c r="AL1529" s="94"/>
    </row>
    <row r="1530" spans="3:38">
      <c r="C1530" s="30"/>
      <c r="F1530" s="95"/>
      <c r="G1530" s="1"/>
      <c r="H1530" s="94"/>
      <c r="I1530" s="90"/>
      <c r="J1530" s="90"/>
      <c r="K1530" s="1"/>
      <c r="L1530" s="74"/>
      <c r="M1530" s="633"/>
      <c r="N1530" s="274"/>
      <c r="O1530" s="94"/>
      <c r="P1530" s="94"/>
      <c r="Q1530" s="94"/>
      <c r="R1530" s="94"/>
      <c r="S1530" s="94"/>
      <c r="V1530" s="30"/>
      <c r="W1530" s="30"/>
      <c r="X1530" s="1"/>
      <c r="Y1530" s="95"/>
      <c r="Z1530" s="1"/>
      <c r="AA1530" s="94"/>
      <c r="AB1530" s="1"/>
      <c r="AC1530" s="1"/>
      <c r="AD1530" s="1"/>
      <c r="AE1530" s="30"/>
      <c r="AF1530" s="633"/>
      <c r="AG1530" s="94"/>
      <c r="AH1530" s="94"/>
      <c r="AI1530" s="94"/>
      <c r="AJ1530" s="94"/>
      <c r="AK1530" s="94"/>
      <c r="AL1530" s="94"/>
    </row>
    <row r="1531" spans="3:38">
      <c r="C1531" s="30"/>
      <c r="F1531" s="95"/>
      <c r="G1531" s="1"/>
      <c r="H1531" s="94"/>
      <c r="I1531" s="90"/>
      <c r="J1531" s="90"/>
      <c r="K1531" s="1"/>
      <c r="L1531" s="74"/>
      <c r="M1531" s="633"/>
      <c r="N1531" s="274"/>
      <c r="O1531" s="94"/>
      <c r="P1531" s="94"/>
      <c r="Q1531" s="94"/>
      <c r="R1531" s="94"/>
      <c r="S1531" s="94"/>
      <c r="V1531" s="30"/>
      <c r="W1531" s="30"/>
      <c r="X1531" s="1"/>
      <c r="Y1531" s="95"/>
      <c r="Z1531" s="1"/>
      <c r="AA1531" s="94"/>
      <c r="AB1531" s="1"/>
      <c r="AC1531" s="1"/>
      <c r="AD1531" s="1"/>
      <c r="AE1531" s="30"/>
      <c r="AF1531" s="633"/>
      <c r="AG1531" s="94"/>
      <c r="AH1531" s="94"/>
      <c r="AI1531" s="94"/>
      <c r="AJ1531" s="94"/>
      <c r="AK1531" s="94"/>
      <c r="AL1531" s="94"/>
    </row>
    <row r="1532" spans="3:38">
      <c r="C1532" s="30"/>
      <c r="F1532" s="95"/>
      <c r="G1532" s="1"/>
      <c r="H1532" s="94"/>
      <c r="I1532" s="90"/>
      <c r="J1532" s="90"/>
      <c r="K1532" s="1"/>
      <c r="L1532" s="74"/>
      <c r="M1532" s="633"/>
      <c r="N1532" s="274"/>
      <c r="O1532" s="94"/>
      <c r="P1532" s="94"/>
      <c r="Q1532" s="94"/>
      <c r="R1532" s="94"/>
      <c r="S1532" s="94"/>
      <c r="V1532" s="30"/>
      <c r="W1532" s="30"/>
      <c r="X1532" s="1"/>
      <c r="Y1532" s="95"/>
      <c r="Z1532" s="1"/>
      <c r="AA1532" s="94"/>
      <c r="AB1532" s="1"/>
      <c r="AC1532" s="1"/>
      <c r="AD1532" s="1"/>
      <c r="AE1532" s="30"/>
      <c r="AF1532" s="633"/>
      <c r="AG1532" s="94"/>
      <c r="AH1532" s="94"/>
      <c r="AI1532" s="94"/>
      <c r="AJ1532" s="94"/>
      <c r="AK1532" s="94"/>
      <c r="AL1532" s="94"/>
    </row>
    <row r="1533" spans="3:38">
      <c r="C1533" s="30"/>
      <c r="F1533" s="95"/>
      <c r="G1533" s="1"/>
      <c r="H1533" s="94"/>
      <c r="I1533" s="90"/>
      <c r="J1533" s="90"/>
      <c r="K1533" s="1"/>
      <c r="L1533" s="74"/>
      <c r="M1533" s="633"/>
      <c r="N1533" s="274"/>
      <c r="O1533" s="94"/>
      <c r="P1533" s="94"/>
      <c r="Q1533" s="94"/>
      <c r="R1533" s="94"/>
      <c r="S1533" s="94"/>
      <c r="V1533" s="30"/>
      <c r="W1533" s="30"/>
      <c r="X1533" s="1"/>
      <c r="Y1533" s="95"/>
      <c r="Z1533" s="1"/>
      <c r="AA1533" s="94"/>
      <c r="AB1533" s="1"/>
      <c r="AC1533" s="1"/>
      <c r="AD1533" s="1"/>
      <c r="AE1533" s="30"/>
      <c r="AF1533" s="633"/>
      <c r="AG1533" s="94"/>
      <c r="AH1533" s="94"/>
      <c r="AI1533" s="94"/>
      <c r="AJ1533" s="94"/>
      <c r="AK1533" s="94"/>
      <c r="AL1533" s="94"/>
    </row>
    <row r="1534" spans="3:38">
      <c r="C1534" s="30"/>
      <c r="F1534" s="95"/>
      <c r="G1534" s="1"/>
      <c r="H1534" s="94"/>
      <c r="I1534" s="90"/>
      <c r="J1534" s="90"/>
      <c r="K1534" s="1"/>
      <c r="L1534" s="74"/>
      <c r="M1534" s="633"/>
      <c r="N1534" s="274"/>
      <c r="O1534" s="94"/>
      <c r="P1534" s="94"/>
      <c r="Q1534" s="94"/>
      <c r="R1534" s="94"/>
      <c r="S1534" s="94"/>
      <c r="V1534" s="30"/>
      <c r="W1534" s="30"/>
      <c r="X1534" s="1"/>
      <c r="Y1534" s="95"/>
      <c r="Z1534" s="1"/>
      <c r="AA1534" s="94"/>
      <c r="AB1534" s="1"/>
      <c r="AC1534" s="1"/>
      <c r="AD1534" s="1"/>
      <c r="AE1534" s="30"/>
      <c r="AF1534" s="633"/>
      <c r="AG1534" s="94"/>
      <c r="AH1534" s="94"/>
      <c r="AI1534" s="94"/>
      <c r="AJ1534" s="94"/>
      <c r="AK1534" s="94"/>
      <c r="AL1534" s="94"/>
    </row>
    <row r="1535" spans="3:38">
      <c r="C1535" s="30"/>
      <c r="F1535" s="95"/>
      <c r="G1535" s="1"/>
      <c r="H1535" s="94"/>
      <c r="I1535" s="90"/>
      <c r="J1535" s="90"/>
      <c r="K1535" s="1"/>
      <c r="L1535" s="74"/>
      <c r="M1535" s="633"/>
      <c r="N1535" s="274"/>
      <c r="O1535" s="94"/>
      <c r="P1535" s="94"/>
      <c r="Q1535" s="94"/>
      <c r="R1535" s="94"/>
      <c r="S1535" s="94"/>
      <c r="V1535" s="30"/>
      <c r="W1535" s="30"/>
      <c r="X1535" s="1"/>
      <c r="Y1535" s="95"/>
      <c r="Z1535" s="1"/>
      <c r="AA1535" s="94"/>
      <c r="AB1535" s="1"/>
      <c r="AC1535" s="1"/>
      <c r="AD1535" s="1"/>
      <c r="AE1535" s="30"/>
      <c r="AF1535" s="633"/>
      <c r="AG1535" s="94"/>
      <c r="AH1535" s="94"/>
      <c r="AI1535" s="94"/>
      <c r="AJ1535" s="94"/>
      <c r="AK1535" s="94"/>
      <c r="AL1535" s="94"/>
    </row>
    <row r="1536" spans="3:38">
      <c r="C1536" s="30"/>
      <c r="F1536" s="95"/>
      <c r="G1536" s="1"/>
      <c r="H1536" s="94"/>
      <c r="I1536" s="90"/>
      <c r="J1536" s="90"/>
      <c r="K1536" s="1"/>
      <c r="L1536" s="74"/>
      <c r="M1536" s="633"/>
      <c r="N1536" s="274"/>
      <c r="O1536" s="94"/>
      <c r="P1536" s="94"/>
      <c r="Q1536" s="94"/>
      <c r="R1536" s="94"/>
      <c r="S1536" s="94"/>
      <c r="V1536" s="30"/>
      <c r="W1536" s="30"/>
      <c r="X1536" s="1"/>
      <c r="Y1536" s="95"/>
      <c r="Z1536" s="1"/>
      <c r="AA1536" s="94"/>
      <c r="AB1536" s="1"/>
      <c r="AC1536" s="1"/>
      <c r="AD1536" s="1"/>
      <c r="AE1536" s="30"/>
      <c r="AF1536" s="633"/>
      <c r="AG1536" s="94"/>
      <c r="AH1536" s="94"/>
      <c r="AI1536" s="94"/>
      <c r="AJ1536" s="94"/>
      <c r="AK1536" s="94"/>
      <c r="AL1536" s="94"/>
    </row>
    <row r="1537" spans="3:38">
      <c r="C1537" s="30"/>
      <c r="F1537" s="95"/>
      <c r="G1537" s="1"/>
      <c r="H1537" s="94"/>
      <c r="I1537" s="90"/>
      <c r="J1537" s="90"/>
      <c r="K1537" s="1"/>
      <c r="L1537" s="74"/>
      <c r="M1537" s="633"/>
      <c r="N1537" s="274"/>
      <c r="O1537" s="94"/>
      <c r="P1537" s="94"/>
      <c r="Q1537" s="94"/>
      <c r="R1537" s="94"/>
      <c r="S1537" s="94"/>
      <c r="V1537" s="30"/>
      <c r="W1537" s="30"/>
      <c r="X1537" s="1"/>
      <c r="Y1537" s="95"/>
      <c r="Z1537" s="1"/>
      <c r="AA1537" s="94"/>
      <c r="AB1537" s="1"/>
      <c r="AC1537" s="1"/>
      <c r="AD1537" s="1"/>
      <c r="AE1537" s="30"/>
      <c r="AF1537" s="633"/>
      <c r="AG1537" s="94"/>
      <c r="AH1537" s="94"/>
      <c r="AI1537" s="94"/>
      <c r="AJ1537" s="94"/>
      <c r="AK1537" s="94"/>
      <c r="AL1537" s="94"/>
    </row>
    <row r="1538" spans="3:38">
      <c r="C1538" s="30"/>
      <c r="F1538" s="95"/>
      <c r="G1538" s="1"/>
      <c r="H1538" s="94"/>
      <c r="I1538" s="90"/>
      <c r="J1538" s="90"/>
      <c r="K1538" s="1"/>
      <c r="L1538" s="74"/>
      <c r="M1538" s="633"/>
      <c r="N1538" s="274"/>
      <c r="O1538" s="94"/>
      <c r="P1538" s="94"/>
      <c r="Q1538" s="94"/>
      <c r="R1538" s="94"/>
      <c r="S1538" s="94"/>
      <c r="V1538" s="30"/>
      <c r="W1538" s="30"/>
      <c r="X1538" s="1"/>
      <c r="Y1538" s="95"/>
      <c r="Z1538" s="1"/>
      <c r="AA1538" s="94"/>
      <c r="AB1538" s="1"/>
      <c r="AC1538" s="1"/>
      <c r="AD1538" s="1"/>
      <c r="AE1538" s="30"/>
      <c r="AF1538" s="633"/>
      <c r="AG1538" s="94"/>
      <c r="AH1538" s="94"/>
      <c r="AI1538" s="94"/>
      <c r="AJ1538" s="94"/>
      <c r="AK1538" s="94"/>
      <c r="AL1538" s="94"/>
    </row>
    <row r="1539" spans="3:38">
      <c r="C1539" s="30"/>
      <c r="F1539" s="95"/>
      <c r="G1539" s="1"/>
      <c r="H1539" s="94"/>
      <c r="I1539" s="90"/>
      <c r="J1539" s="90"/>
      <c r="K1539" s="1"/>
      <c r="L1539" s="74"/>
      <c r="M1539" s="633"/>
      <c r="N1539" s="274"/>
      <c r="O1539" s="94"/>
      <c r="P1539" s="94"/>
      <c r="Q1539" s="94"/>
      <c r="R1539" s="94"/>
      <c r="S1539" s="94"/>
      <c r="V1539" s="30"/>
      <c r="W1539" s="30"/>
      <c r="X1539" s="1"/>
      <c r="Y1539" s="95"/>
      <c r="Z1539" s="1"/>
      <c r="AA1539" s="94"/>
      <c r="AB1539" s="1"/>
      <c r="AC1539" s="1"/>
      <c r="AD1539" s="1"/>
      <c r="AE1539" s="30"/>
      <c r="AF1539" s="633"/>
      <c r="AG1539" s="94"/>
      <c r="AH1539" s="94"/>
      <c r="AI1539" s="94"/>
      <c r="AJ1539" s="94"/>
      <c r="AK1539" s="94"/>
      <c r="AL1539" s="94"/>
    </row>
    <row r="1540" spans="3:38">
      <c r="C1540" s="30"/>
      <c r="F1540" s="95"/>
      <c r="G1540" s="1"/>
      <c r="H1540" s="94"/>
      <c r="I1540" s="90"/>
      <c r="J1540" s="90"/>
      <c r="K1540" s="1"/>
      <c r="L1540" s="74"/>
      <c r="M1540" s="633"/>
      <c r="N1540" s="274"/>
      <c r="O1540" s="94"/>
      <c r="P1540" s="94"/>
      <c r="Q1540" s="94"/>
      <c r="R1540" s="94"/>
      <c r="S1540" s="94"/>
      <c r="V1540" s="30"/>
      <c r="W1540" s="30"/>
      <c r="X1540" s="1"/>
      <c r="Y1540" s="95"/>
      <c r="Z1540" s="1"/>
      <c r="AA1540" s="94"/>
      <c r="AB1540" s="1"/>
      <c r="AC1540" s="1"/>
      <c r="AD1540" s="1"/>
      <c r="AE1540" s="30"/>
      <c r="AF1540" s="633"/>
      <c r="AG1540" s="94"/>
      <c r="AH1540" s="94"/>
      <c r="AI1540" s="94"/>
      <c r="AJ1540" s="94"/>
      <c r="AK1540" s="94"/>
      <c r="AL1540" s="94"/>
    </row>
    <row r="1541" spans="3:38">
      <c r="C1541" s="30"/>
      <c r="F1541" s="95"/>
      <c r="G1541" s="1"/>
      <c r="H1541" s="94"/>
      <c r="I1541" s="90"/>
      <c r="J1541" s="90"/>
      <c r="K1541" s="1"/>
      <c r="L1541" s="74"/>
      <c r="M1541" s="633"/>
      <c r="N1541" s="274"/>
      <c r="O1541" s="94"/>
      <c r="P1541" s="94"/>
      <c r="Q1541" s="94"/>
      <c r="R1541" s="94"/>
      <c r="S1541" s="94"/>
      <c r="V1541" s="30"/>
      <c r="W1541" s="30"/>
      <c r="X1541" s="1"/>
      <c r="Y1541" s="95"/>
      <c r="Z1541" s="1"/>
      <c r="AA1541" s="94"/>
      <c r="AB1541" s="1"/>
      <c r="AC1541" s="1"/>
      <c r="AD1541" s="1"/>
      <c r="AE1541" s="30"/>
      <c r="AF1541" s="633"/>
      <c r="AG1541" s="94"/>
      <c r="AH1541" s="94"/>
      <c r="AI1541" s="94"/>
      <c r="AJ1541" s="94"/>
      <c r="AK1541" s="94"/>
      <c r="AL1541" s="94"/>
    </row>
    <row r="1542" spans="3:38">
      <c r="C1542" s="30"/>
      <c r="F1542" s="95"/>
      <c r="G1542" s="1"/>
      <c r="H1542" s="94"/>
      <c r="I1542" s="90"/>
      <c r="J1542" s="90"/>
      <c r="K1542" s="1"/>
      <c r="L1542" s="74"/>
      <c r="M1542" s="633"/>
      <c r="N1542" s="274"/>
      <c r="O1542" s="94"/>
      <c r="P1542" s="94"/>
      <c r="Q1542" s="94"/>
      <c r="R1542" s="94"/>
      <c r="S1542" s="94"/>
      <c r="V1542" s="30"/>
      <c r="W1542" s="30"/>
      <c r="X1542" s="1"/>
      <c r="Y1542" s="95"/>
      <c r="Z1542" s="1"/>
      <c r="AA1542" s="94"/>
      <c r="AB1542" s="1"/>
      <c r="AC1542" s="1"/>
      <c r="AD1542" s="1"/>
      <c r="AE1542" s="30"/>
      <c r="AF1542" s="633"/>
      <c r="AG1542" s="94"/>
      <c r="AH1542" s="94"/>
      <c r="AI1542" s="94"/>
      <c r="AJ1542" s="94"/>
      <c r="AK1542" s="94"/>
      <c r="AL1542" s="94"/>
    </row>
    <row r="1543" spans="3:38">
      <c r="C1543" s="30"/>
      <c r="F1543" s="95"/>
      <c r="G1543" s="1"/>
      <c r="H1543" s="94"/>
      <c r="I1543" s="90"/>
      <c r="J1543" s="90"/>
      <c r="K1543" s="1"/>
      <c r="L1543" s="74"/>
      <c r="M1543" s="633"/>
      <c r="N1543" s="274"/>
      <c r="O1543" s="94"/>
      <c r="P1543" s="94"/>
      <c r="Q1543" s="94"/>
      <c r="R1543" s="94"/>
      <c r="S1543" s="94"/>
      <c r="V1543" s="30"/>
      <c r="W1543" s="30"/>
      <c r="X1543" s="1"/>
      <c r="Y1543" s="95"/>
      <c r="Z1543" s="1"/>
      <c r="AA1543" s="94"/>
      <c r="AB1543" s="1"/>
      <c r="AC1543" s="1"/>
      <c r="AD1543" s="1"/>
      <c r="AE1543" s="30"/>
      <c r="AF1543" s="633"/>
      <c r="AG1543" s="94"/>
      <c r="AH1543" s="94"/>
      <c r="AI1543" s="94"/>
      <c r="AJ1543" s="94"/>
      <c r="AK1543" s="94"/>
      <c r="AL1543" s="94"/>
    </row>
    <row r="1544" spans="3:38">
      <c r="C1544" s="30"/>
      <c r="F1544" s="95"/>
      <c r="G1544" s="1"/>
      <c r="H1544" s="94"/>
      <c r="I1544" s="90"/>
      <c r="J1544" s="90"/>
      <c r="K1544" s="1"/>
      <c r="L1544" s="74"/>
      <c r="M1544" s="633"/>
      <c r="N1544" s="274"/>
      <c r="O1544" s="94"/>
      <c r="P1544" s="94"/>
      <c r="Q1544" s="94"/>
      <c r="R1544" s="94"/>
      <c r="S1544" s="94"/>
      <c r="V1544" s="30"/>
      <c r="W1544" s="30"/>
      <c r="X1544" s="1"/>
      <c r="Y1544" s="95"/>
      <c r="Z1544" s="1"/>
      <c r="AA1544" s="94"/>
      <c r="AB1544" s="1"/>
      <c r="AC1544" s="1"/>
      <c r="AD1544" s="1"/>
      <c r="AE1544" s="30"/>
      <c r="AF1544" s="633"/>
      <c r="AG1544" s="94"/>
      <c r="AH1544" s="94"/>
      <c r="AI1544" s="94"/>
      <c r="AJ1544" s="94"/>
      <c r="AK1544" s="94"/>
      <c r="AL1544" s="94"/>
    </row>
    <row r="1545" spans="3:38">
      <c r="C1545" s="30"/>
      <c r="F1545" s="95"/>
      <c r="G1545" s="1"/>
      <c r="H1545" s="94"/>
      <c r="I1545" s="90"/>
      <c r="J1545" s="90"/>
      <c r="K1545" s="1"/>
      <c r="L1545" s="74"/>
      <c r="M1545" s="633"/>
      <c r="N1545" s="274"/>
      <c r="O1545" s="94"/>
      <c r="P1545" s="94"/>
      <c r="Q1545" s="94"/>
      <c r="R1545" s="94"/>
      <c r="S1545" s="94"/>
      <c r="V1545" s="30"/>
      <c r="W1545" s="30"/>
      <c r="X1545" s="1"/>
      <c r="Y1545" s="95"/>
      <c r="Z1545" s="1"/>
      <c r="AA1545" s="94"/>
      <c r="AB1545" s="1"/>
      <c r="AC1545" s="1"/>
      <c r="AD1545" s="1"/>
      <c r="AE1545" s="30"/>
      <c r="AF1545" s="633"/>
      <c r="AG1545" s="94"/>
      <c r="AH1545" s="94"/>
      <c r="AI1545" s="94"/>
      <c r="AJ1545" s="94"/>
      <c r="AK1545" s="94"/>
      <c r="AL1545" s="94"/>
    </row>
    <row r="1546" spans="3:38">
      <c r="C1546" s="30"/>
      <c r="F1546" s="95"/>
      <c r="G1546" s="1"/>
      <c r="H1546" s="94"/>
      <c r="I1546" s="90"/>
      <c r="J1546" s="90"/>
      <c r="K1546" s="1"/>
      <c r="L1546" s="74"/>
      <c r="M1546" s="633"/>
      <c r="N1546" s="274"/>
      <c r="O1546" s="94"/>
      <c r="P1546" s="94"/>
      <c r="Q1546" s="94"/>
      <c r="R1546" s="94"/>
      <c r="S1546" s="94"/>
      <c r="V1546" s="30"/>
      <c r="W1546" s="30"/>
      <c r="X1546" s="1"/>
      <c r="Y1546" s="95"/>
      <c r="Z1546" s="1"/>
      <c r="AA1546" s="94"/>
      <c r="AB1546" s="1"/>
      <c r="AC1546" s="1"/>
      <c r="AD1546" s="1"/>
      <c r="AE1546" s="30"/>
      <c r="AF1546" s="633"/>
      <c r="AG1546" s="94"/>
      <c r="AH1546" s="94"/>
      <c r="AI1546" s="94"/>
      <c r="AJ1546" s="94"/>
      <c r="AK1546" s="94"/>
      <c r="AL1546" s="94"/>
    </row>
    <row r="1547" spans="3:38">
      <c r="C1547" s="30"/>
      <c r="F1547" s="95"/>
      <c r="G1547" s="1"/>
      <c r="H1547" s="94"/>
      <c r="I1547" s="90"/>
      <c r="J1547" s="90"/>
      <c r="K1547" s="1"/>
      <c r="L1547" s="74"/>
      <c r="M1547" s="633"/>
      <c r="N1547" s="274"/>
      <c r="O1547" s="94"/>
      <c r="P1547" s="94"/>
      <c r="Q1547" s="94"/>
      <c r="R1547" s="94"/>
      <c r="S1547" s="94"/>
      <c r="V1547" s="30"/>
      <c r="W1547" s="30"/>
      <c r="X1547" s="1"/>
      <c r="Y1547" s="95"/>
      <c r="Z1547" s="1"/>
      <c r="AA1547" s="94"/>
      <c r="AB1547" s="1"/>
      <c r="AC1547" s="1"/>
      <c r="AD1547" s="1"/>
      <c r="AE1547" s="30"/>
      <c r="AF1547" s="633"/>
      <c r="AG1547" s="94"/>
      <c r="AH1547" s="94"/>
      <c r="AI1547" s="94"/>
      <c r="AJ1547" s="94"/>
      <c r="AK1547" s="94"/>
      <c r="AL1547" s="94"/>
    </row>
    <row r="1548" spans="3:38">
      <c r="C1548" s="30"/>
      <c r="F1548" s="95"/>
      <c r="G1548" s="1"/>
      <c r="H1548" s="94"/>
      <c r="I1548" s="90"/>
      <c r="J1548" s="90"/>
      <c r="K1548" s="1"/>
      <c r="L1548" s="74"/>
      <c r="M1548" s="633"/>
      <c r="N1548" s="274"/>
      <c r="O1548" s="94"/>
      <c r="P1548" s="94"/>
      <c r="Q1548" s="94"/>
      <c r="R1548" s="94"/>
      <c r="S1548" s="94"/>
      <c r="V1548" s="30"/>
      <c r="W1548" s="30"/>
      <c r="X1548" s="1"/>
      <c r="Y1548" s="95"/>
      <c r="Z1548" s="1"/>
      <c r="AA1548" s="94"/>
      <c r="AB1548" s="1"/>
      <c r="AC1548" s="1"/>
      <c r="AD1548" s="1"/>
      <c r="AE1548" s="30"/>
      <c r="AF1548" s="633"/>
      <c r="AG1548" s="94"/>
      <c r="AH1548" s="94"/>
      <c r="AI1548" s="94"/>
      <c r="AJ1548" s="94"/>
      <c r="AK1548" s="94"/>
      <c r="AL1548" s="94"/>
    </row>
    <row r="1549" spans="3:38">
      <c r="C1549" s="30"/>
      <c r="F1549" s="95"/>
      <c r="G1549" s="1"/>
      <c r="H1549" s="94"/>
      <c r="I1549" s="90"/>
      <c r="J1549" s="90"/>
      <c r="K1549" s="1"/>
      <c r="L1549" s="74"/>
      <c r="M1549" s="633"/>
      <c r="N1549" s="274"/>
      <c r="O1549" s="94"/>
      <c r="P1549" s="94"/>
      <c r="Q1549" s="94"/>
      <c r="R1549" s="94"/>
      <c r="S1549" s="94"/>
      <c r="V1549" s="30"/>
      <c r="W1549" s="30"/>
      <c r="X1549" s="1"/>
      <c r="Y1549" s="95"/>
      <c r="Z1549" s="1"/>
      <c r="AA1549" s="94"/>
      <c r="AB1549" s="1"/>
      <c r="AC1549" s="1"/>
      <c r="AD1549" s="1"/>
      <c r="AE1549" s="30"/>
      <c r="AF1549" s="633"/>
      <c r="AG1549" s="94"/>
      <c r="AH1549" s="94"/>
      <c r="AI1549" s="94"/>
      <c r="AJ1549" s="94"/>
      <c r="AK1549" s="94"/>
      <c r="AL1549" s="94"/>
    </row>
    <row r="1550" spans="3:38">
      <c r="C1550" s="30"/>
      <c r="F1550" s="95"/>
      <c r="G1550" s="1"/>
      <c r="H1550" s="94"/>
      <c r="I1550" s="90"/>
      <c r="J1550" s="90"/>
      <c r="K1550" s="1"/>
      <c r="L1550" s="74"/>
      <c r="M1550" s="633"/>
      <c r="N1550" s="274"/>
      <c r="O1550" s="94"/>
      <c r="P1550" s="94"/>
      <c r="Q1550" s="94"/>
      <c r="R1550" s="94"/>
      <c r="S1550" s="94"/>
      <c r="V1550" s="30"/>
      <c r="W1550" s="30"/>
      <c r="X1550" s="1"/>
      <c r="Y1550" s="95"/>
      <c r="Z1550" s="1"/>
      <c r="AA1550" s="94"/>
      <c r="AB1550" s="1"/>
      <c r="AC1550" s="1"/>
      <c r="AD1550" s="1"/>
      <c r="AE1550" s="30"/>
      <c r="AF1550" s="633"/>
      <c r="AG1550" s="94"/>
      <c r="AH1550" s="94"/>
      <c r="AI1550" s="94"/>
      <c r="AJ1550" s="94"/>
      <c r="AK1550" s="94"/>
      <c r="AL1550" s="94"/>
    </row>
    <row r="1551" spans="3:38">
      <c r="C1551" s="30"/>
      <c r="F1551" s="95"/>
      <c r="G1551" s="1"/>
      <c r="H1551" s="94"/>
      <c r="I1551" s="90"/>
      <c r="J1551" s="90"/>
      <c r="K1551" s="1"/>
      <c r="L1551" s="74"/>
      <c r="M1551" s="633"/>
      <c r="N1551" s="274"/>
      <c r="O1551" s="94"/>
      <c r="P1551" s="94"/>
      <c r="Q1551" s="94"/>
      <c r="R1551" s="94"/>
      <c r="S1551" s="94"/>
      <c r="V1551" s="30"/>
      <c r="W1551" s="30"/>
      <c r="X1551" s="1"/>
      <c r="Y1551" s="95"/>
      <c r="Z1551" s="1"/>
      <c r="AA1551" s="94"/>
      <c r="AB1551" s="1"/>
      <c r="AC1551" s="1"/>
      <c r="AD1551" s="1"/>
      <c r="AE1551" s="30"/>
      <c r="AF1551" s="633"/>
      <c r="AG1551" s="94"/>
      <c r="AH1551" s="94"/>
      <c r="AI1551" s="94"/>
      <c r="AJ1551" s="94"/>
      <c r="AK1551" s="94"/>
      <c r="AL1551" s="94"/>
    </row>
    <row r="1552" spans="3:38">
      <c r="C1552" s="30"/>
      <c r="F1552" s="95"/>
      <c r="G1552" s="1"/>
      <c r="H1552" s="94"/>
      <c r="I1552" s="90"/>
      <c r="J1552" s="90"/>
      <c r="K1552" s="1"/>
      <c r="L1552" s="74"/>
      <c r="M1552" s="633"/>
      <c r="N1552" s="274"/>
      <c r="O1552" s="94"/>
      <c r="P1552" s="94"/>
      <c r="Q1552" s="94"/>
      <c r="R1552" s="94"/>
      <c r="S1552" s="94"/>
      <c r="V1552" s="30"/>
      <c r="W1552" s="30"/>
      <c r="X1552" s="1"/>
      <c r="Y1552" s="95"/>
      <c r="Z1552" s="1"/>
      <c r="AA1552" s="94"/>
      <c r="AB1552" s="1"/>
      <c r="AC1552" s="1"/>
      <c r="AD1552" s="1"/>
      <c r="AE1552" s="30"/>
      <c r="AF1552" s="633"/>
      <c r="AG1552" s="94"/>
      <c r="AH1552" s="94"/>
      <c r="AI1552" s="94"/>
      <c r="AJ1552" s="94"/>
      <c r="AK1552" s="94"/>
      <c r="AL1552" s="94"/>
    </row>
    <row r="1553" spans="3:38">
      <c r="C1553" s="30"/>
      <c r="F1553" s="95"/>
      <c r="G1553" s="1"/>
      <c r="H1553" s="94"/>
      <c r="I1553" s="90"/>
      <c r="J1553" s="90"/>
      <c r="K1553" s="1"/>
      <c r="L1553" s="74"/>
      <c r="M1553" s="633"/>
      <c r="N1553" s="274"/>
      <c r="O1553" s="94"/>
      <c r="P1553" s="94"/>
      <c r="Q1553" s="94"/>
      <c r="R1553" s="94"/>
      <c r="S1553" s="94"/>
      <c r="V1553" s="30"/>
      <c r="W1553" s="30"/>
      <c r="X1553" s="1"/>
      <c r="Y1553" s="95"/>
      <c r="Z1553" s="1"/>
      <c r="AA1553" s="94"/>
      <c r="AB1553" s="1"/>
      <c r="AC1553" s="1"/>
      <c r="AD1553" s="1"/>
      <c r="AE1553" s="30"/>
      <c r="AF1553" s="633"/>
      <c r="AG1553" s="94"/>
      <c r="AH1553" s="94"/>
      <c r="AI1553" s="94"/>
      <c r="AJ1553" s="94"/>
      <c r="AK1553" s="94"/>
      <c r="AL1553" s="94"/>
    </row>
    <row r="1554" spans="3:38">
      <c r="C1554" s="30"/>
      <c r="F1554" s="95"/>
      <c r="G1554" s="1"/>
      <c r="H1554" s="94"/>
      <c r="I1554" s="90"/>
      <c r="J1554" s="90"/>
      <c r="K1554" s="1"/>
      <c r="L1554" s="74"/>
      <c r="M1554" s="633"/>
      <c r="N1554" s="274"/>
      <c r="O1554" s="94"/>
      <c r="P1554" s="94"/>
      <c r="Q1554" s="94"/>
      <c r="R1554" s="94"/>
      <c r="S1554" s="94"/>
      <c r="V1554" s="30"/>
      <c r="W1554" s="30"/>
      <c r="X1554" s="1"/>
      <c r="Y1554" s="95"/>
      <c r="Z1554" s="1"/>
      <c r="AA1554" s="94"/>
      <c r="AB1554" s="1"/>
      <c r="AC1554" s="1"/>
      <c r="AD1554" s="1"/>
      <c r="AE1554" s="30"/>
      <c r="AF1554" s="633"/>
      <c r="AG1554" s="94"/>
      <c r="AH1554" s="94"/>
      <c r="AI1554" s="94"/>
      <c r="AJ1554" s="94"/>
      <c r="AK1554" s="94"/>
      <c r="AL1554" s="94"/>
    </row>
    <row r="1555" spans="3:38">
      <c r="C1555" s="30"/>
      <c r="F1555" s="95"/>
      <c r="G1555" s="1"/>
      <c r="H1555" s="94"/>
      <c r="I1555" s="90"/>
      <c r="J1555" s="90"/>
      <c r="K1555" s="1"/>
      <c r="L1555" s="74"/>
      <c r="M1555" s="633"/>
      <c r="N1555" s="274"/>
      <c r="O1555" s="94"/>
      <c r="P1555" s="94"/>
      <c r="Q1555" s="94"/>
      <c r="R1555" s="94"/>
      <c r="S1555" s="94"/>
      <c r="V1555" s="30"/>
      <c r="W1555" s="30"/>
      <c r="X1555" s="1"/>
      <c r="Y1555" s="95"/>
      <c r="Z1555" s="1"/>
      <c r="AA1555" s="94"/>
      <c r="AB1555" s="1"/>
      <c r="AC1555" s="1"/>
      <c r="AD1555" s="1"/>
      <c r="AE1555" s="30"/>
      <c r="AF1555" s="633"/>
      <c r="AG1555" s="94"/>
      <c r="AH1555" s="94"/>
      <c r="AI1555" s="94"/>
      <c r="AJ1555" s="94"/>
      <c r="AK1555" s="94"/>
      <c r="AL1555" s="94"/>
    </row>
    <row r="1556" spans="3:38">
      <c r="C1556" s="30"/>
      <c r="F1556" s="95"/>
      <c r="G1556" s="1"/>
      <c r="H1556" s="94"/>
      <c r="I1556" s="90"/>
      <c r="J1556" s="90"/>
      <c r="K1556" s="1"/>
      <c r="L1556" s="74"/>
      <c r="M1556" s="633"/>
      <c r="N1556" s="274"/>
      <c r="O1556" s="94"/>
      <c r="P1556" s="94"/>
      <c r="Q1556" s="94"/>
      <c r="R1556" s="94"/>
      <c r="S1556" s="94"/>
      <c r="V1556" s="30"/>
      <c r="W1556" s="30"/>
      <c r="X1556" s="1"/>
      <c r="Y1556" s="95"/>
      <c r="Z1556" s="1"/>
      <c r="AA1556" s="94"/>
      <c r="AB1556" s="1"/>
      <c r="AC1556" s="1"/>
      <c r="AD1556" s="1"/>
      <c r="AE1556" s="30"/>
      <c r="AF1556" s="633"/>
      <c r="AG1556" s="94"/>
      <c r="AH1556" s="94"/>
      <c r="AI1556" s="94"/>
      <c r="AJ1556" s="94"/>
      <c r="AK1556" s="94"/>
      <c r="AL1556" s="94"/>
    </row>
    <row r="1557" spans="3:38">
      <c r="C1557" s="30"/>
      <c r="F1557" s="95"/>
      <c r="G1557" s="1"/>
      <c r="H1557" s="94"/>
      <c r="I1557" s="90"/>
      <c r="J1557" s="90"/>
      <c r="K1557" s="1"/>
      <c r="L1557" s="74"/>
      <c r="M1557" s="633"/>
      <c r="N1557" s="274"/>
      <c r="O1557" s="94"/>
      <c r="P1557" s="94"/>
      <c r="Q1557" s="94"/>
      <c r="R1557" s="94"/>
      <c r="S1557" s="94"/>
      <c r="V1557" s="30"/>
      <c r="W1557" s="30"/>
      <c r="X1557" s="1"/>
      <c r="Y1557" s="95"/>
      <c r="Z1557" s="1"/>
      <c r="AA1557" s="94"/>
      <c r="AB1557" s="1"/>
      <c r="AC1557" s="1"/>
      <c r="AD1557" s="1"/>
      <c r="AE1557" s="30"/>
      <c r="AF1557" s="633"/>
      <c r="AG1557" s="94"/>
      <c r="AH1557" s="94"/>
      <c r="AI1557" s="94"/>
      <c r="AJ1557" s="94"/>
      <c r="AK1557" s="94"/>
      <c r="AL1557" s="94"/>
    </row>
    <row r="1558" spans="3:38">
      <c r="C1558" s="30"/>
      <c r="F1558" s="95"/>
      <c r="G1558" s="1"/>
      <c r="H1558" s="94"/>
      <c r="I1558" s="90"/>
      <c r="J1558" s="90"/>
      <c r="K1558" s="1"/>
      <c r="L1558" s="74"/>
      <c r="M1558" s="633"/>
      <c r="N1558" s="274"/>
      <c r="O1558" s="94"/>
      <c r="P1558" s="94"/>
      <c r="Q1558" s="94"/>
      <c r="R1558" s="94"/>
      <c r="S1558" s="94"/>
      <c r="V1558" s="30"/>
      <c r="W1558" s="30"/>
      <c r="X1558" s="1"/>
      <c r="Y1558" s="95"/>
      <c r="Z1558" s="1"/>
      <c r="AA1558" s="94"/>
      <c r="AB1558" s="1"/>
      <c r="AC1558" s="1"/>
      <c r="AD1558" s="1"/>
      <c r="AE1558" s="30"/>
      <c r="AF1558" s="633"/>
      <c r="AG1558" s="94"/>
      <c r="AH1558" s="94"/>
      <c r="AI1558" s="94"/>
      <c r="AJ1558" s="94"/>
      <c r="AK1558" s="94"/>
      <c r="AL1558" s="94"/>
    </row>
    <row r="1559" spans="3:38">
      <c r="C1559" s="30"/>
      <c r="F1559" s="95"/>
      <c r="G1559" s="1"/>
      <c r="H1559" s="94"/>
      <c r="I1559" s="90"/>
      <c r="J1559" s="90"/>
      <c r="K1559" s="1"/>
      <c r="L1559" s="74"/>
      <c r="M1559" s="633"/>
      <c r="N1559" s="274"/>
      <c r="O1559" s="94"/>
      <c r="P1559" s="94"/>
      <c r="Q1559" s="94"/>
      <c r="R1559" s="94"/>
      <c r="S1559" s="94"/>
      <c r="V1559" s="30"/>
      <c r="W1559" s="30"/>
      <c r="X1559" s="1"/>
      <c r="Y1559" s="95"/>
      <c r="Z1559" s="1"/>
      <c r="AA1559" s="94"/>
      <c r="AB1559" s="1"/>
      <c r="AC1559" s="1"/>
      <c r="AD1559" s="1"/>
      <c r="AE1559" s="30"/>
      <c r="AF1559" s="633"/>
      <c r="AG1559" s="94"/>
      <c r="AH1559" s="94"/>
      <c r="AI1559" s="94"/>
      <c r="AJ1559" s="94"/>
      <c r="AK1559" s="94"/>
      <c r="AL1559" s="94"/>
    </row>
    <row r="1560" spans="3:38">
      <c r="C1560" s="30"/>
      <c r="F1560" s="95"/>
      <c r="G1560" s="1"/>
      <c r="H1560" s="94"/>
      <c r="I1560" s="90"/>
      <c r="J1560" s="90"/>
      <c r="K1560" s="1"/>
      <c r="L1560" s="74"/>
      <c r="M1560" s="633"/>
      <c r="N1560" s="274"/>
      <c r="O1560" s="94"/>
      <c r="P1560" s="94"/>
      <c r="Q1560" s="94"/>
      <c r="R1560" s="94"/>
      <c r="S1560" s="94"/>
      <c r="V1560" s="30"/>
      <c r="W1560" s="30"/>
      <c r="X1560" s="1"/>
      <c r="Y1560" s="95"/>
      <c r="Z1560" s="1"/>
      <c r="AA1560" s="94"/>
      <c r="AB1560" s="1"/>
      <c r="AC1560" s="1"/>
      <c r="AD1560" s="1"/>
      <c r="AE1560" s="30"/>
      <c r="AF1560" s="633"/>
      <c r="AG1560" s="94"/>
      <c r="AH1560" s="94"/>
      <c r="AI1560" s="94"/>
      <c r="AJ1560" s="94"/>
      <c r="AK1560" s="94"/>
      <c r="AL1560" s="94"/>
    </row>
    <row r="1561" spans="3:38">
      <c r="C1561" s="30"/>
      <c r="F1561" s="95"/>
      <c r="G1561" s="1"/>
      <c r="H1561" s="94"/>
      <c r="I1561" s="90"/>
      <c r="J1561" s="90"/>
      <c r="K1561" s="1"/>
      <c r="L1561" s="74"/>
      <c r="M1561" s="633"/>
      <c r="N1561" s="274"/>
      <c r="O1561" s="94"/>
      <c r="P1561" s="94"/>
      <c r="Q1561" s="94"/>
      <c r="R1561" s="94"/>
      <c r="S1561" s="94"/>
      <c r="V1561" s="30"/>
      <c r="W1561" s="30"/>
      <c r="X1561" s="1"/>
      <c r="Y1561" s="95"/>
      <c r="Z1561" s="1"/>
      <c r="AA1561" s="94"/>
      <c r="AB1561" s="1"/>
      <c r="AC1561" s="1"/>
      <c r="AD1561" s="1"/>
      <c r="AE1561" s="30"/>
      <c r="AF1561" s="633"/>
      <c r="AG1561" s="94"/>
      <c r="AH1561" s="94"/>
      <c r="AI1561" s="94"/>
      <c r="AJ1561" s="94"/>
      <c r="AK1561" s="94"/>
      <c r="AL1561" s="94"/>
    </row>
    <row r="1562" spans="3:38">
      <c r="C1562" s="30"/>
      <c r="F1562" s="95"/>
      <c r="G1562" s="1"/>
      <c r="H1562" s="94"/>
      <c r="I1562" s="90"/>
      <c r="J1562" s="90"/>
      <c r="K1562" s="1"/>
      <c r="L1562" s="74"/>
      <c r="M1562" s="633"/>
      <c r="N1562" s="274"/>
      <c r="O1562" s="94"/>
      <c r="P1562" s="94"/>
      <c r="Q1562" s="94"/>
      <c r="R1562" s="94"/>
      <c r="S1562" s="94"/>
      <c r="V1562" s="30"/>
      <c r="W1562" s="30"/>
      <c r="X1562" s="1"/>
      <c r="Y1562" s="95"/>
      <c r="Z1562" s="1"/>
      <c r="AA1562" s="94"/>
      <c r="AB1562" s="1"/>
      <c r="AC1562" s="1"/>
      <c r="AD1562" s="1"/>
      <c r="AE1562" s="30"/>
      <c r="AF1562" s="633"/>
      <c r="AG1562" s="94"/>
      <c r="AH1562" s="94"/>
      <c r="AI1562" s="94"/>
      <c r="AJ1562" s="94"/>
      <c r="AK1562" s="94"/>
      <c r="AL1562" s="94"/>
    </row>
    <row r="1563" spans="3:38">
      <c r="C1563" s="30"/>
      <c r="F1563" s="95"/>
      <c r="G1563" s="1"/>
      <c r="H1563" s="94"/>
      <c r="I1563" s="90"/>
      <c r="J1563" s="90"/>
      <c r="K1563" s="1"/>
      <c r="L1563" s="74"/>
      <c r="M1563" s="633"/>
      <c r="N1563" s="274"/>
      <c r="O1563" s="94"/>
      <c r="P1563" s="94"/>
      <c r="Q1563" s="94"/>
      <c r="R1563" s="94"/>
      <c r="S1563" s="94"/>
      <c r="V1563" s="30"/>
      <c r="W1563" s="30"/>
      <c r="X1563" s="1"/>
      <c r="Y1563" s="95"/>
      <c r="Z1563" s="1"/>
      <c r="AA1563" s="94"/>
      <c r="AB1563" s="1"/>
      <c r="AC1563" s="1"/>
      <c r="AD1563" s="1"/>
      <c r="AE1563" s="30"/>
      <c r="AF1563" s="633"/>
      <c r="AG1563" s="94"/>
      <c r="AH1563" s="94"/>
      <c r="AI1563" s="94"/>
      <c r="AJ1563" s="94"/>
      <c r="AK1563" s="94"/>
      <c r="AL1563" s="94"/>
    </row>
    <row r="1564" spans="3:38">
      <c r="C1564" s="30"/>
      <c r="F1564" s="95"/>
      <c r="G1564" s="1"/>
      <c r="H1564" s="94"/>
      <c r="I1564" s="90"/>
      <c r="J1564" s="90"/>
      <c r="K1564" s="1"/>
      <c r="L1564" s="74"/>
      <c r="M1564" s="633"/>
      <c r="N1564" s="274"/>
      <c r="O1564" s="94"/>
      <c r="P1564" s="94"/>
      <c r="Q1564" s="94"/>
      <c r="R1564" s="94"/>
      <c r="S1564" s="94"/>
      <c r="V1564" s="30"/>
      <c r="W1564" s="30"/>
      <c r="X1564" s="1"/>
      <c r="Y1564" s="95"/>
      <c r="Z1564" s="1"/>
      <c r="AA1564" s="94"/>
      <c r="AB1564" s="1"/>
      <c r="AC1564" s="1"/>
      <c r="AD1564" s="1"/>
      <c r="AE1564" s="30"/>
      <c r="AF1564" s="633"/>
      <c r="AG1564" s="94"/>
      <c r="AH1564" s="94"/>
      <c r="AI1564" s="94"/>
      <c r="AJ1564" s="94"/>
      <c r="AK1564" s="94"/>
      <c r="AL1564" s="94"/>
    </row>
    <row r="1565" spans="3:38">
      <c r="C1565" s="30"/>
      <c r="F1565" s="95"/>
      <c r="G1565" s="1"/>
      <c r="H1565" s="94"/>
      <c r="I1565" s="90"/>
      <c r="J1565" s="90"/>
      <c r="K1565" s="1"/>
      <c r="L1565" s="74"/>
      <c r="M1565" s="633"/>
      <c r="N1565" s="274"/>
      <c r="O1565" s="94"/>
      <c r="P1565" s="94"/>
      <c r="Q1565" s="94"/>
      <c r="R1565" s="94"/>
      <c r="S1565" s="94"/>
      <c r="V1565" s="30"/>
      <c r="W1565" s="30"/>
      <c r="X1565" s="1"/>
      <c r="Y1565" s="95"/>
      <c r="Z1565" s="1"/>
      <c r="AA1565" s="94"/>
      <c r="AB1565" s="1"/>
      <c r="AC1565" s="1"/>
      <c r="AD1565" s="1"/>
      <c r="AE1565" s="30"/>
      <c r="AF1565" s="633"/>
      <c r="AG1565" s="94"/>
      <c r="AH1565" s="94"/>
      <c r="AI1565" s="94"/>
      <c r="AJ1565" s="94"/>
      <c r="AK1565" s="94"/>
      <c r="AL1565" s="94"/>
    </row>
    <row r="1566" spans="3:38">
      <c r="C1566" s="30"/>
      <c r="F1566" s="95"/>
      <c r="G1566" s="1"/>
      <c r="H1566" s="94"/>
      <c r="I1566" s="90"/>
      <c r="J1566" s="90"/>
      <c r="K1566" s="1"/>
      <c r="L1566" s="74"/>
      <c r="M1566" s="633"/>
      <c r="N1566" s="274"/>
      <c r="O1566" s="94"/>
      <c r="P1566" s="94"/>
      <c r="Q1566" s="94"/>
      <c r="R1566" s="94"/>
      <c r="S1566" s="94"/>
      <c r="V1566" s="30"/>
      <c r="W1566" s="30"/>
      <c r="X1566" s="1"/>
      <c r="Y1566" s="95"/>
      <c r="Z1566" s="1"/>
      <c r="AA1566" s="94"/>
      <c r="AB1566" s="1"/>
      <c r="AC1566" s="1"/>
      <c r="AD1566" s="1"/>
      <c r="AE1566" s="30"/>
      <c r="AF1566" s="633"/>
      <c r="AG1566" s="94"/>
      <c r="AH1566" s="94"/>
      <c r="AI1566" s="94"/>
      <c r="AJ1566" s="94"/>
      <c r="AK1566" s="94"/>
      <c r="AL1566" s="94"/>
    </row>
    <row r="1567" spans="3:38">
      <c r="C1567" s="30"/>
      <c r="F1567" s="95"/>
      <c r="G1567" s="1"/>
      <c r="H1567" s="94"/>
      <c r="I1567" s="90"/>
      <c r="J1567" s="90"/>
      <c r="K1567" s="1"/>
      <c r="L1567" s="74"/>
      <c r="M1567" s="633"/>
      <c r="N1567" s="274"/>
      <c r="O1567" s="94"/>
      <c r="P1567" s="94"/>
      <c r="Q1567" s="94"/>
      <c r="R1567" s="94"/>
      <c r="S1567" s="94"/>
      <c r="V1567" s="30"/>
      <c r="W1567" s="30"/>
      <c r="X1567" s="1"/>
      <c r="Y1567" s="95"/>
      <c r="Z1567" s="1"/>
      <c r="AA1567" s="94"/>
      <c r="AB1567" s="1"/>
      <c r="AC1567" s="1"/>
      <c r="AD1567" s="1"/>
      <c r="AE1567" s="30"/>
      <c r="AF1567" s="633"/>
      <c r="AG1567" s="94"/>
      <c r="AH1567" s="94"/>
      <c r="AI1567" s="94"/>
      <c r="AJ1567" s="94"/>
      <c r="AK1567" s="94"/>
      <c r="AL1567" s="94"/>
    </row>
    <row r="1568" spans="3:38">
      <c r="C1568" s="30"/>
      <c r="F1568" s="95"/>
      <c r="G1568" s="1"/>
      <c r="H1568" s="94"/>
      <c r="I1568" s="90"/>
      <c r="J1568" s="90"/>
      <c r="K1568" s="1"/>
      <c r="L1568" s="74"/>
      <c r="M1568" s="633"/>
      <c r="N1568" s="274"/>
      <c r="O1568" s="94"/>
      <c r="P1568" s="94"/>
      <c r="Q1568" s="94"/>
      <c r="R1568" s="94"/>
      <c r="S1568" s="94"/>
      <c r="V1568" s="30"/>
      <c r="W1568" s="30"/>
      <c r="X1568" s="1"/>
      <c r="Y1568" s="95"/>
      <c r="Z1568" s="1"/>
      <c r="AA1568" s="94"/>
      <c r="AB1568" s="1"/>
      <c r="AC1568" s="1"/>
      <c r="AD1568" s="1"/>
      <c r="AE1568" s="30"/>
      <c r="AF1568" s="633"/>
      <c r="AG1568" s="94"/>
      <c r="AH1568" s="94"/>
      <c r="AI1568" s="94"/>
      <c r="AJ1568" s="94"/>
      <c r="AK1568" s="94"/>
      <c r="AL1568" s="94"/>
    </row>
    <row r="1569" spans="3:38">
      <c r="C1569" s="30"/>
      <c r="F1569" s="95"/>
      <c r="G1569" s="1"/>
      <c r="H1569" s="94"/>
      <c r="I1569" s="90"/>
      <c r="J1569" s="90"/>
      <c r="K1569" s="1"/>
      <c r="L1569" s="74"/>
      <c r="M1569" s="633"/>
      <c r="N1569" s="274"/>
      <c r="O1569" s="94"/>
      <c r="P1569" s="94"/>
      <c r="Q1569" s="94"/>
      <c r="R1569" s="94"/>
      <c r="S1569" s="94"/>
      <c r="V1569" s="30"/>
      <c r="W1569" s="30"/>
      <c r="X1569" s="1"/>
      <c r="Y1569" s="95"/>
      <c r="Z1569" s="1"/>
      <c r="AA1569" s="94"/>
      <c r="AB1569" s="1"/>
      <c r="AC1569" s="1"/>
      <c r="AD1569" s="1"/>
      <c r="AE1569" s="30"/>
      <c r="AF1569" s="633"/>
      <c r="AG1569" s="94"/>
      <c r="AH1569" s="94"/>
      <c r="AI1569" s="94"/>
      <c r="AJ1569" s="94"/>
      <c r="AK1569" s="94"/>
      <c r="AL1569" s="94"/>
    </row>
    <row r="1570" spans="3:38">
      <c r="C1570" s="30"/>
      <c r="F1570" s="95"/>
      <c r="G1570" s="1"/>
      <c r="H1570" s="94"/>
      <c r="I1570" s="90"/>
      <c r="J1570" s="90"/>
      <c r="K1570" s="1"/>
      <c r="L1570" s="74"/>
      <c r="M1570" s="633"/>
      <c r="N1570" s="274"/>
      <c r="O1570" s="94"/>
      <c r="P1570" s="94"/>
      <c r="Q1570" s="94"/>
      <c r="R1570" s="94"/>
      <c r="S1570" s="94"/>
      <c r="V1570" s="30"/>
      <c r="W1570" s="30"/>
      <c r="X1570" s="1"/>
      <c r="Y1570" s="95"/>
      <c r="Z1570" s="1"/>
      <c r="AA1570" s="94"/>
      <c r="AB1570" s="1"/>
      <c r="AC1570" s="1"/>
      <c r="AD1570" s="1"/>
      <c r="AE1570" s="30"/>
      <c r="AF1570" s="633"/>
      <c r="AG1570" s="94"/>
      <c r="AH1570" s="94"/>
      <c r="AI1570" s="94"/>
      <c r="AJ1570" s="94"/>
      <c r="AK1570" s="94"/>
      <c r="AL1570" s="94"/>
    </row>
    <row r="1571" spans="3:38">
      <c r="C1571" s="30"/>
      <c r="F1571" s="95"/>
      <c r="G1571" s="1"/>
      <c r="H1571" s="94"/>
      <c r="I1571" s="90"/>
      <c r="J1571" s="90"/>
      <c r="K1571" s="1"/>
      <c r="L1571" s="74"/>
      <c r="M1571" s="633"/>
      <c r="N1571" s="274"/>
      <c r="O1571" s="94"/>
      <c r="P1571" s="94"/>
      <c r="Q1571" s="94"/>
      <c r="R1571" s="94"/>
      <c r="S1571" s="94"/>
      <c r="V1571" s="30"/>
      <c r="W1571" s="30"/>
      <c r="X1571" s="1"/>
      <c r="Y1571" s="95"/>
      <c r="Z1571" s="1"/>
      <c r="AA1571" s="94"/>
      <c r="AB1571" s="1"/>
      <c r="AC1571" s="1"/>
      <c r="AD1571" s="1"/>
      <c r="AE1571" s="30"/>
      <c r="AF1571" s="633"/>
      <c r="AG1571" s="94"/>
      <c r="AH1571" s="94"/>
      <c r="AI1571" s="94"/>
      <c r="AJ1571" s="94"/>
      <c r="AK1571" s="94"/>
      <c r="AL1571" s="94"/>
    </row>
    <row r="1572" spans="3:38">
      <c r="C1572" s="30"/>
      <c r="F1572" s="95"/>
      <c r="G1572" s="1"/>
      <c r="H1572" s="94"/>
      <c r="I1572" s="90"/>
      <c r="J1572" s="90"/>
      <c r="K1572" s="1"/>
      <c r="L1572" s="74"/>
      <c r="M1572" s="633"/>
      <c r="N1572" s="274"/>
      <c r="O1572" s="94"/>
      <c r="P1572" s="94"/>
      <c r="Q1572" s="94"/>
      <c r="R1572" s="94"/>
      <c r="S1572" s="94"/>
      <c r="V1572" s="30"/>
      <c r="W1572" s="30"/>
      <c r="X1572" s="1"/>
      <c r="Y1572" s="95"/>
      <c r="Z1572" s="1"/>
      <c r="AA1572" s="94"/>
      <c r="AB1572" s="1"/>
      <c r="AC1572" s="1"/>
      <c r="AD1572" s="1"/>
      <c r="AE1572" s="30"/>
      <c r="AF1572" s="633"/>
      <c r="AG1572" s="94"/>
      <c r="AH1572" s="94"/>
      <c r="AI1572" s="94"/>
      <c r="AJ1572" s="94"/>
      <c r="AK1572" s="94"/>
      <c r="AL1572" s="94"/>
    </row>
    <row r="1573" spans="3:38">
      <c r="C1573" s="30"/>
      <c r="F1573" s="95"/>
      <c r="G1573" s="1"/>
      <c r="H1573" s="94"/>
      <c r="I1573" s="90"/>
      <c r="J1573" s="90"/>
      <c r="K1573" s="1"/>
      <c r="L1573" s="74"/>
      <c r="M1573" s="633"/>
      <c r="N1573" s="274"/>
      <c r="O1573" s="94"/>
      <c r="P1573" s="94"/>
      <c r="Q1573" s="94"/>
      <c r="R1573" s="94"/>
      <c r="S1573" s="94"/>
      <c r="V1573" s="30"/>
      <c r="W1573" s="30"/>
      <c r="X1573" s="1"/>
      <c r="Y1573" s="95"/>
      <c r="Z1573" s="1"/>
      <c r="AA1573" s="94"/>
      <c r="AB1573" s="1"/>
      <c r="AC1573" s="1"/>
      <c r="AD1573" s="1"/>
      <c r="AE1573" s="30"/>
      <c r="AF1573" s="633"/>
      <c r="AG1573" s="94"/>
      <c r="AH1573" s="94"/>
      <c r="AI1573" s="94"/>
      <c r="AJ1573" s="94"/>
      <c r="AK1573" s="94"/>
      <c r="AL1573" s="94"/>
    </row>
    <row r="1574" spans="3:38">
      <c r="C1574" s="30"/>
      <c r="F1574" s="95"/>
      <c r="G1574" s="1"/>
      <c r="H1574" s="94"/>
      <c r="I1574" s="90"/>
      <c r="J1574" s="90"/>
      <c r="K1574" s="1"/>
      <c r="L1574" s="74"/>
      <c r="M1574" s="633"/>
      <c r="N1574" s="274"/>
      <c r="O1574" s="94"/>
      <c r="P1574" s="94"/>
      <c r="Q1574" s="94"/>
      <c r="R1574" s="94"/>
      <c r="S1574" s="94"/>
      <c r="V1574" s="30"/>
      <c r="W1574" s="30"/>
      <c r="X1574" s="1"/>
      <c r="Y1574" s="95"/>
      <c r="Z1574" s="1"/>
      <c r="AA1574" s="94"/>
      <c r="AB1574" s="1"/>
      <c r="AC1574" s="1"/>
      <c r="AD1574" s="1"/>
      <c r="AE1574" s="30"/>
      <c r="AF1574" s="633"/>
      <c r="AG1574" s="94"/>
      <c r="AH1574" s="94"/>
      <c r="AI1574" s="94"/>
      <c r="AJ1574" s="94"/>
      <c r="AK1574" s="94"/>
      <c r="AL1574" s="94"/>
    </row>
    <row r="1575" spans="3:38">
      <c r="C1575" s="30"/>
      <c r="F1575" s="95"/>
      <c r="G1575" s="1"/>
      <c r="H1575" s="94"/>
      <c r="I1575" s="90"/>
      <c r="J1575" s="90"/>
      <c r="K1575" s="1"/>
      <c r="L1575" s="74"/>
      <c r="M1575" s="633"/>
      <c r="N1575" s="274"/>
      <c r="O1575" s="94"/>
      <c r="P1575" s="94"/>
      <c r="Q1575" s="94"/>
      <c r="R1575" s="94"/>
      <c r="S1575" s="94"/>
      <c r="V1575" s="30"/>
      <c r="W1575" s="30"/>
      <c r="X1575" s="1"/>
      <c r="Y1575" s="95"/>
      <c r="Z1575" s="1"/>
      <c r="AA1575" s="94"/>
      <c r="AB1575" s="1"/>
      <c r="AC1575" s="1"/>
      <c r="AD1575" s="1"/>
      <c r="AE1575" s="30"/>
      <c r="AF1575" s="633"/>
      <c r="AG1575" s="94"/>
      <c r="AH1575" s="94"/>
      <c r="AI1575" s="94"/>
      <c r="AJ1575" s="94"/>
      <c r="AK1575" s="94"/>
      <c r="AL1575" s="94"/>
    </row>
    <row r="1576" spans="3:38">
      <c r="C1576" s="30"/>
      <c r="F1576" s="95"/>
      <c r="G1576" s="1"/>
      <c r="H1576" s="94"/>
      <c r="I1576" s="90"/>
      <c r="J1576" s="90"/>
      <c r="K1576" s="1"/>
      <c r="L1576" s="74"/>
      <c r="M1576" s="633"/>
      <c r="N1576" s="274"/>
      <c r="O1576" s="94"/>
      <c r="P1576" s="94"/>
      <c r="Q1576" s="94"/>
      <c r="R1576" s="94"/>
      <c r="S1576" s="94"/>
      <c r="V1576" s="30"/>
      <c r="W1576" s="30"/>
      <c r="X1576" s="1"/>
      <c r="Y1576" s="95"/>
      <c r="Z1576" s="1"/>
      <c r="AA1576" s="94"/>
      <c r="AB1576" s="1"/>
      <c r="AC1576" s="1"/>
      <c r="AD1576" s="1"/>
      <c r="AE1576" s="30"/>
      <c r="AF1576" s="633"/>
      <c r="AG1576" s="94"/>
      <c r="AH1576" s="94"/>
      <c r="AI1576" s="94"/>
      <c r="AJ1576" s="94"/>
      <c r="AK1576" s="94"/>
      <c r="AL1576" s="94"/>
    </row>
    <row r="1577" spans="3:38">
      <c r="C1577" s="30"/>
      <c r="F1577" s="95"/>
      <c r="G1577" s="1"/>
      <c r="H1577" s="94"/>
      <c r="I1577" s="90"/>
      <c r="J1577" s="90"/>
      <c r="K1577" s="1"/>
      <c r="L1577" s="74"/>
      <c r="M1577" s="633"/>
      <c r="N1577" s="274"/>
      <c r="O1577" s="94"/>
      <c r="P1577" s="94"/>
      <c r="Q1577" s="94"/>
      <c r="R1577" s="94"/>
      <c r="S1577" s="94"/>
      <c r="V1577" s="30"/>
      <c r="W1577" s="30"/>
      <c r="X1577" s="1"/>
      <c r="Y1577" s="95"/>
      <c r="Z1577" s="1"/>
      <c r="AA1577" s="94"/>
      <c r="AB1577" s="1"/>
      <c r="AC1577" s="1"/>
      <c r="AD1577" s="1"/>
      <c r="AE1577" s="30"/>
      <c r="AF1577" s="633"/>
      <c r="AG1577" s="94"/>
      <c r="AH1577" s="94"/>
      <c r="AI1577" s="94"/>
      <c r="AJ1577" s="94"/>
      <c r="AK1577" s="94"/>
      <c r="AL1577" s="94"/>
    </row>
    <row r="1578" spans="3:38">
      <c r="C1578" s="30"/>
      <c r="F1578" s="95"/>
      <c r="G1578" s="1"/>
      <c r="H1578" s="94"/>
      <c r="I1578" s="90"/>
      <c r="J1578" s="90"/>
      <c r="K1578" s="1"/>
      <c r="L1578" s="74"/>
      <c r="M1578" s="633"/>
      <c r="N1578" s="274"/>
      <c r="O1578" s="94"/>
      <c r="P1578" s="94"/>
      <c r="Q1578" s="94"/>
      <c r="R1578" s="94"/>
      <c r="S1578" s="94"/>
      <c r="V1578" s="30"/>
      <c r="W1578" s="30"/>
      <c r="X1578" s="1"/>
      <c r="Y1578" s="95"/>
      <c r="Z1578" s="1"/>
      <c r="AA1578" s="94"/>
      <c r="AB1578" s="1"/>
      <c r="AC1578" s="1"/>
      <c r="AD1578" s="1"/>
      <c r="AE1578" s="30"/>
      <c r="AF1578" s="633"/>
      <c r="AG1578" s="94"/>
      <c r="AH1578" s="94"/>
      <c r="AI1578" s="94"/>
      <c r="AJ1578" s="94"/>
      <c r="AK1578" s="94"/>
      <c r="AL1578" s="94"/>
    </row>
    <row r="1579" spans="3:38">
      <c r="C1579" s="30"/>
      <c r="F1579" s="95"/>
      <c r="G1579" s="1"/>
      <c r="H1579" s="94"/>
      <c r="I1579" s="90"/>
      <c r="J1579" s="90"/>
      <c r="K1579" s="1"/>
      <c r="L1579" s="74"/>
      <c r="M1579" s="633"/>
      <c r="N1579" s="274"/>
      <c r="O1579" s="94"/>
      <c r="P1579" s="94"/>
      <c r="Q1579" s="94"/>
      <c r="R1579" s="94"/>
      <c r="S1579" s="94"/>
      <c r="V1579" s="30"/>
      <c r="W1579" s="30"/>
      <c r="X1579" s="1"/>
      <c r="Y1579" s="95"/>
      <c r="Z1579" s="1"/>
      <c r="AA1579" s="94"/>
      <c r="AB1579" s="1"/>
      <c r="AC1579" s="1"/>
      <c r="AD1579" s="1"/>
      <c r="AE1579" s="30"/>
      <c r="AF1579" s="633"/>
      <c r="AG1579" s="94"/>
      <c r="AH1579" s="94"/>
      <c r="AI1579" s="94"/>
      <c r="AJ1579" s="94"/>
      <c r="AK1579" s="94"/>
      <c r="AL1579" s="94"/>
    </row>
    <row r="1580" spans="3:38">
      <c r="C1580" s="30"/>
      <c r="F1580" s="95"/>
      <c r="G1580" s="1"/>
      <c r="H1580" s="94"/>
      <c r="I1580" s="90"/>
      <c r="J1580" s="90"/>
      <c r="K1580" s="1"/>
      <c r="L1580" s="74"/>
      <c r="M1580" s="633"/>
      <c r="N1580" s="274"/>
      <c r="O1580" s="94"/>
      <c r="P1580" s="94"/>
      <c r="Q1580" s="94"/>
      <c r="R1580" s="94"/>
      <c r="S1580" s="94"/>
      <c r="V1580" s="30"/>
      <c r="W1580" s="30"/>
      <c r="X1580" s="1"/>
      <c r="Y1580" s="95"/>
      <c r="Z1580" s="1"/>
      <c r="AA1580" s="94"/>
      <c r="AB1580" s="1"/>
      <c r="AC1580" s="1"/>
      <c r="AD1580" s="1"/>
      <c r="AE1580" s="30"/>
      <c r="AF1580" s="633"/>
      <c r="AG1580" s="94"/>
      <c r="AH1580" s="94"/>
      <c r="AI1580" s="94"/>
      <c r="AJ1580" s="94"/>
      <c r="AK1580" s="94"/>
      <c r="AL1580" s="94"/>
    </row>
    <row r="1581" spans="3:38">
      <c r="C1581" s="30"/>
      <c r="F1581" s="95"/>
      <c r="G1581" s="1"/>
      <c r="H1581" s="94"/>
      <c r="I1581" s="90"/>
      <c r="J1581" s="90"/>
      <c r="K1581" s="1"/>
      <c r="L1581" s="74"/>
      <c r="M1581" s="633"/>
      <c r="N1581" s="274"/>
      <c r="O1581" s="94"/>
      <c r="P1581" s="94"/>
      <c r="Q1581" s="94"/>
      <c r="R1581" s="94"/>
      <c r="S1581" s="94"/>
      <c r="V1581" s="30"/>
      <c r="W1581" s="30"/>
      <c r="X1581" s="1"/>
      <c r="Y1581" s="95"/>
      <c r="Z1581" s="1"/>
      <c r="AA1581" s="94"/>
      <c r="AB1581" s="1"/>
      <c r="AC1581" s="1"/>
      <c r="AD1581" s="1"/>
      <c r="AE1581" s="30"/>
      <c r="AF1581" s="633"/>
      <c r="AG1581" s="94"/>
      <c r="AH1581" s="94"/>
      <c r="AI1581" s="94"/>
      <c r="AJ1581" s="94"/>
      <c r="AK1581" s="94"/>
      <c r="AL1581" s="94"/>
    </row>
    <row r="1582" spans="3:38">
      <c r="C1582" s="30"/>
      <c r="F1582" s="95"/>
      <c r="G1582" s="1"/>
      <c r="H1582" s="94"/>
      <c r="I1582" s="90"/>
      <c r="J1582" s="90"/>
      <c r="K1582" s="1"/>
      <c r="L1582" s="74"/>
      <c r="M1582" s="633"/>
      <c r="N1582" s="274"/>
      <c r="O1582" s="94"/>
      <c r="P1582" s="94"/>
      <c r="Q1582" s="94"/>
      <c r="R1582" s="94"/>
      <c r="S1582" s="94"/>
      <c r="V1582" s="30"/>
      <c r="W1582" s="30"/>
      <c r="X1582" s="1"/>
      <c r="Y1582" s="95"/>
      <c r="Z1582" s="1"/>
      <c r="AA1582" s="94"/>
      <c r="AB1582" s="1"/>
      <c r="AC1582" s="1"/>
      <c r="AD1582" s="1"/>
      <c r="AE1582" s="30"/>
      <c r="AF1582" s="633"/>
      <c r="AG1582" s="94"/>
      <c r="AH1582" s="94"/>
      <c r="AI1582" s="94"/>
      <c r="AJ1582" s="94"/>
      <c r="AK1582" s="94"/>
      <c r="AL1582" s="94"/>
    </row>
    <row r="1583" spans="3:38">
      <c r="C1583" s="30"/>
      <c r="F1583" s="95"/>
      <c r="G1583" s="1"/>
      <c r="H1583" s="94"/>
      <c r="I1583" s="90"/>
      <c r="J1583" s="90"/>
      <c r="K1583" s="1"/>
      <c r="L1583" s="74"/>
      <c r="M1583" s="633"/>
      <c r="N1583" s="274"/>
      <c r="O1583" s="94"/>
      <c r="P1583" s="94"/>
      <c r="Q1583" s="94"/>
      <c r="R1583" s="94"/>
      <c r="S1583" s="94"/>
      <c r="V1583" s="30"/>
      <c r="W1583" s="30"/>
      <c r="X1583" s="1"/>
      <c r="Y1583" s="95"/>
      <c r="Z1583" s="1"/>
      <c r="AA1583" s="94"/>
      <c r="AB1583" s="1"/>
      <c r="AC1583" s="1"/>
      <c r="AD1583" s="1"/>
      <c r="AE1583" s="30"/>
      <c r="AF1583" s="633"/>
      <c r="AG1583" s="94"/>
      <c r="AH1583" s="94"/>
      <c r="AI1583" s="94"/>
      <c r="AJ1583" s="94"/>
      <c r="AK1583" s="94"/>
      <c r="AL1583" s="94"/>
    </row>
    <row r="1584" spans="3:38">
      <c r="C1584" s="30"/>
      <c r="F1584" s="95"/>
      <c r="G1584" s="1"/>
      <c r="H1584" s="94"/>
      <c r="I1584" s="90"/>
      <c r="J1584" s="90"/>
      <c r="K1584" s="1"/>
      <c r="L1584" s="74"/>
      <c r="M1584" s="633"/>
      <c r="N1584" s="274"/>
      <c r="O1584" s="94"/>
      <c r="P1584" s="94"/>
      <c r="Q1584" s="94"/>
      <c r="R1584" s="94"/>
      <c r="S1584" s="94"/>
      <c r="V1584" s="30"/>
      <c r="W1584" s="30"/>
      <c r="X1584" s="1"/>
      <c r="Y1584" s="95"/>
      <c r="Z1584" s="1"/>
      <c r="AA1584" s="94"/>
      <c r="AB1584" s="1"/>
      <c r="AC1584" s="1"/>
      <c r="AD1584" s="1"/>
      <c r="AE1584" s="30"/>
      <c r="AF1584" s="633"/>
      <c r="AG1584" s="94"/>
      <c r="AH1584" s="94"/>
      <c r="AI1584" s="94"/>
      <c r="AJ1584" s="94"/>
      <c r="AK1584" s="94"/>
      <c r="AL1584" s="94"/>
    </row>
    <row r="1585" spans="3:38">
      <c r="C1585" s="30"/>
      <c r="F1585" s="95"/>
      <c r="G1585" s="1"/>
      <c r="H1585" s="94"/>
      <c r="I1585" s="90"/>
      <c r="J1585" s="90"/>
      <c r="K1585" s="1"/>
      <c r="L1585" s="74"/>
      <c r="M1585" s="633"/>
      <c r="N1585" s="274"/>
      <c r="O1585" s="94"/>
      <c r="P1585" s="94"/>
      <c r="Q1585" s="94"/>
      <c r="R1585" s="94"/>
      <c r="S1585" s="94"/>
      <c r="V1585" s="30"/>
      <c r="W1585" s="30"/>
      <c r="X1585" s="1"/>
      <c r="Y1585" s="95"/>
      <c r="Z1585" s="1"/>
      <c r="AA1585" s="94"/>
      <c r="AB1585" s="1"/>
      <c r="AC1585" s="1"/>
      <c r="AD1585" s="1"/>
      <c r="AE1585" s="30"/>
      <c r="AF1585" s="633"/>
      <c r="AG1585" s="94"/>
      <c r="AH1585" s="94"/>
      <c r="AI1585" s="94"/>
      <c r="AJ1585" s="94"/>
      <c r="AK1585" s="94"/>
      <c r="AL1585" s="94"/>
    </row>
    <row r="1586" spans="3:38">
      <c r="C1586" s="30"/>
      <c r="F1586" s="95"/>
      <c r="G1586" s="1"/>
      <c r="H1586" s="94"/>
      <c r="I1586" s="90"/>
      <c r="J1586" s="90"/>
      <c r="K1586" s="1"/>
      <c r="L1586" s="74"/>
      <c r="M1586" s="633"/>
      <c r="N1586" s="274"/>
      <c r="O1586" s="94"/>
      <c r="P1586" s="94"/>
      <c r="Q1586" s="94"/>
      <c r="R1586" s="94"/>
      <c r="S1586" s="94"/>
      <c r="V1586" s="30"/>
      <c r="W1586" s="30"/>
      <c r="X1586" s="1"/>
      <c r="Y1586" s="95"/>
      <c r="Z1586" s="1"/>
      <c r="AA1586" s="94"/>
      <c r="AB1586" s="1"/>
      <c r="AC1586" s="1"/>
      <c r="AD1586" s="1"/>
      <c r="AE1586" s="30"/>
      <c r="AF1586" s="633"/>
      <c r="AG1586" s="94"/>
      <c r="AH1586" s="94"/>
      <c r="AI1586" s="94"/>
      <c r="AJ1586" s="94"/>
      <c r="AK1586" s="94"/>
      <c r="AL1586" s="94"/>
    </row>
    <row r="1587" spans="3:38">
      <c r="C1587" s="30"/>
      <c r="F1587" s="95"/>
      <c r="G1587" s="1"/>
      <c r="H1587" s="94"/>
      <c r="I1587" s="90"/>
      <c r="J1587" s="90"/>
      <c r="K1587" s="1"/>
      <c r="L1587" s="74"/>
      <c r="M1587" s="633"/>
      <c r="N1587" s="274"/>
      <c r="O1587" s="94"/>
      <c r="P1587" s="94"/>
      <c r="Q1587" s="94"/>
      <c r="R1587" s="94"/>
      <c r="S1587" s="94"/>
      <c r="V1587" s="30"/>
      <c r="W1587" s="30"/>
      <c r="X1587" s="1"/>
      <c r="Y1587" s="95"/>
      <c r="Z1587" s="1"/>
      <c r="AA1587" s="94"/>
      <c r="AB1587" s="1"/>
      <c r="AC1587" s="1"/>
      <c r="AD1587" s="1"/>
      <c r="AE1587" s="30"/>
      <c r="AF1587" s="633"/>
      <c r="AG1587" s="94"/>
      <c r="AH1587" s="94"/>
      <c r="AI1587" s="94"/>
      <c r="AJ1587" s="94"/>
      <c r="AK1587" s="94"/>
      <c r="AL1587" s="94"/>
    </row>
    <row r="1588" spans="3:38">
      <c r="C1588" s="30"/>
      <c r="F1588" s="95"/>
      <c r="G1588" s="1"/>
      <c r="H1588" s="94"/>
      <c r="I1588" s="90"/>
      <c r="J1588" s="90"/>
      <c r="K1588" s="1"/>
      <c r="L1588" s="74"/>
      <c r="M1588" s="633"/>
      <c r="N1588" s="274"/>
      <c r="O1588" s="94"/>
      <c r="P1588" s="94"/>
      <c r="Q1588" s="94"/>
      <c r="R1588" s="94"/>
      <c r="S1588" s="94"/>
      <c r="V1588" s="30"/>
      <c r="W1588" s="30"/>
      <c r="X1588" s="1"/>
      <c r="Y1588" s="95"/>
      <c r="Z1588" s="1"/>
      <c r="AA1588" s="94"/>
      <c r="AB1588" s="1"/>
      <c r="AC1588" s="1"/>
      <c r="AD1588" s="1"/>
      <c r="AE1588" s="30"/>
      <c r="AF1588" s="633"/>
      <c r="AG1588" s="94"/>
      <c r="AH1588" s="94"/>
      <c r="AI1588" s="94"/>
      <c r="AJ1588" s="94"/>
      <c r="AK1588" s="94"/>
      <c r="AL1588" s="94"/>
    </row>
    <row r="1589" spans="3:38">
      <c r="C1589" s="30"/>
      <c r="F1589" s="95"/>
      <c r="G1589" s="1"/>
      <c r="H1589" s="94"/>
      <c r="I1589" s="90"/>
      <c r="J1589" s="90"/>
      <c r="K1589" s="1"/>
      <c r="L1589" s="74"/>
      <c r="M1589" s="633"/>
      <c r="N1589" s="274"/>
      <c r="O1589" s="94"/>
      <c r="P1589" s="94"/>
      <c r="Q1589" s="94"/>
      <c r="R1589" s="94"/>
      <c r="S1589" s="94"/>
      <c r="V1589" s="30"/>
      <c r="W1589" s="30"/>
      <c r="X1589" s="1"/>
      <c r="Y1589" s="95"/>
      <c r="Z1589" s="1"/>
      <c r="AA1589" s="94"/>
      <c r="AB1589" s="1"/>
      <c r="AC1589" s="1"/>
      <c r="AD1589" s="1"/>
      <c r="AE1589" s="30"/>
      <c r="AF1589" s="633"/>
      <c r="AG1589" s="94"/>
      <c r="AH1589" s="94"/>
      <c r="AI1589" s="94"/>
      <c r="AJ1589" s="94"/>
      <c r="AK1589" s="94"/>
      <c r="AL1589" s="94"/>
    </row>
    <row r="1590" spans="3:38">
      <c r="C1590" s="30"/>
      <c r="F1590" s="95"/>
      <c r="G1590" s="1"/>
      <c r="H1590" s="94"/>
      <c r="I1590" s="90"/>
      <c r="J1590" s="90"/>
      <c r="K1590" s="1"/>
      <c r="L1590" s="74"/>
      <c r="M1590" s="633"/>
      <c r="N1590" s="274"/>
      <c r="O1590" s="94"/>
      <c r="P1590" s="94"/>
      <c r="Q1590" s="94"/>
      <c r="R1590" s="94"/>
      <c r="S1590" s="94"/>
      <c r="V1590" s="30"/>
      <c r="W1590" s="30"/>
      <c r="X1590" s="1"/>
      <c r="Y1590" s="95"/>
      <c r="Z1590" s="1"/>
      <c r="AA1590" s="94"/>
      <c r="AB1590" s="1"/>
      <c r="AC1590" s="1"/>
      <c r="AD1590" s="1"/>
      <c r="AE1590" s="30"/>
      <c r="AF1590" s="633"/>
      <c r="AG1590" s="94"/>
      <c r="AH1590" s="94"/>
      <c r="AI1590" s="94"/>
      <c r="AJ1590" s="94"/>
      <c r="AK1590" s="94"/>
      <c r="AL1590" s="94"/>
    </row>
    <row r="1591" spans="3:38">
      <c r="C1591" s="30"/>
      <c r="F1591" s="95"/>
      <c r="G1591" s="1"/>
      <c r="H1591" s="94"/>
      <c r="I1591" s="90"/>
      <c r="J1591" s="90"/>
      <c r="K1591" s="1"/>
      <c r="L1591" s="74"/>
      <c r="M1591" s="633"/>
      <c r="N1591" s="274"/>
      <c r="O1591" s="94"/>
      <c r="P1591" s="94"/>
      <c r="Q1591" s="94"/>
      <c r="R1591" s="94"/>
      <c r="S1591" s="94"/>
      <c r="V1591" s="30"/>
      <c r="W1591" s="30"/>
      <c r="X1591" s="1"/>
      <c r="Y1591" s="95"/>
      <c r="Z1591" s="1"/>
      <c r="AA1591" s="94"/>
      <c r="AB1591" s="1"/>
      <c r="AC1591" s="1"/>
      <c r="AD1591" s="1"/>
      <c r="AE1591" s="30"/>
      <c r="AF1591" s="633"/>
      <c r="AG1591" s="94"/>
      <c r="AH1591" s="94"/>
      <c r="AI1591" s="94"/>
      <c r="AJ1591" s="94"/>
      <c r="AK1591" s="94"/>
      <c r="AL1591" s="94"/>
    </row>
    <row r="1592" spans="3:38">
      <c r="C1592" s="30"/>
      <c r="F1592" s="95"/>
      <c r="G1592" s="1"/>
      <c r="H1592" s="94"/>
      <c r="I1592" s="90"/>
      <c r="J1592" s="90"/>
      <c r="K1592" s="1"/>
      <c r="L1592" s="74"/>
      <c r="M1592" s="633"/>
      <c r="N1592" s="274"/>
      <c r="O1592" s="94"/>
      <c r="P1592" s="94"/>
      <c r="Q1592" s="94"/>
      <c r="R1592" s="94"/>
      <c r="S1592" s="94"/>
      <c r="V1592" s="30"/>
      <c r="W1592" s="30"/>
      <c r="X1592" s="1"/>
      <c r="Y1592" s="95"/>
      <c r="Z1592" s="1"/>
      <c r="AA1592" s="94"/>
      <c r="AB1592" s="1"/>
      <c r="AC1592" s="1"/>
      <c r="AD1592" s="1"/>
      <c r="AE1592" s="30"/>
      <c r="AF1592" s="633"/>
      <c r="AG1592" s="94"/>
      <c r="AH1592" s="94"/>
      <c r="AI1592" s="94"/>
      <c r="AJ1592" s="94"/>
      <c r="AK1592" s="94"/>
      <c r="AL1592" s="94"/>
    </row>
    <row r="1593" spans="3:38">
      <c r="C1593" s="30"/>
      <c r="F1593" s="95"/>
      <c r="G1593" s="1"/>
      <c r="H1593" s="94"/>
      <c r="I1593" s="90"/>
      <c r="J1593" s="90"/>
      <c r="K1593" s="1"/>
      <c r="L1593" s="74"/>
      <c r="M1593" s="633"/>
      <c r="N1593" s="274"/>
      <c r="O1593" s="94"/>
      <c r="P1593" s="94"/>
      <c r="Q1593" s="94"/>
      <c r="R1593" s="94"/>
      <c r="S1593" s="94"/>
      <c r="V1593" s="30"/>
      <c r="W1593" s="30"/>
      <c r="X1593" s="1"/>
      <c r="Y1593" s="95"/>
      <c r="Z1593" s="1"/>
      <c r="AA1593" s="94"/>
      <c r="AB1593" s="1"/>
      <c r="AC1593" s="1"/>
      <c r="AD1593" s="1"/>
      <c r="AE1593" s="30"/>
      <c r="AF1593" s="633"/>
      <c r="AG1593" s="94"/>
      <c r="AH1593" s="94"/>
      <c r="AI1593" s="94"/>
      <c r="AJ1593" s="94"/>
      <c r="AK1593" s="94"/>
      <c r="AL1593" s="94"/>
    </row>
    <row r="1594" spans="3:38">
      <c r="C1594" s="30"/>
      <c r="F1594" s="95"/>
      <c r="G1594" s="1"/>
      <c r="H1594" s="94"/>
      <c r="I1594" s="90"/>
      <c r="J1594" s="90"/>
      <c r="K1594" s="1"/>
      <c r="L1594" s="74"/>
      <c r="M1594" s="633"/>
      <c r="N1594" s="274"/>
      <c r="O1594" s="94"/>
      <c r="P1594" s="94"/>
      <c r="Q1594" s="94"/>
      <c r="R1594" s="94"/>
      <c r="S1594" s="94"/>
      <c r="V1594" s="30"/>
      <c r="W1594" s="30"/>
      <c r="X1594" s="1"/>
      <c r="Y1594" s="95"/>
      <c r="Z1594" s="1"/>
      <c r="AA1594" s="94"/>
      <c r="AB1594" s="1"/>
      <c r="AC1594" s="1"/>
      <c r="AD1594" s="1"/>
      <c r="AE1594" s="30"/>
      <c r="AF1594" s="633"/>
      <c r="AG1594" s="94"/>
      <c r="AH1594" s="94"/>
      <c r="AI1594" s="94"/>
      <c r="AJ1594" s="94"/>
      <c r="AK1594" s="94"/>
      <c r="AL1594" s="94"/>
    </row>
    <row r="1595" spans="3:38">
      <c r="C1595" s="30"/>
      <c r="F1595" s="95"/>
      <c r="G1595" s="1"/>
      <c r="H1595" s="94"/>
      <c r="I1595" s="90"/>
      <c r="J1595" s="90"/>
      <c r="K1595" s="1"/>
      <c r="L1595" s="74"/>
      <c r="M1595" s="633"/>
      <c r="N1595" s="274"/>
      <c r="O1595" s="94"/>
      <c r="P1595" s="94"/>
      <c r="Q1595" s="94"/>
      <c r="R1595" s="94"/>
      <c r="S1595" s="94"/>
      <c r="V1595" s="30"/>
      <c r="W1595" s="30"/>
      <c r="X1595" s="1"/>
      <c r="Y1595" s="95"/>
      <c r="Z1595" s="1"/>
      <c r="AA1595" s="94"/>
      <c r="AB1595" s="1"/>
      <c r="AC1595" s="1"/>
      <c r="AD1595" s="1"/>
      <c r="AE1595" s="30"/>
      <c r="AF1595" s="633"/>
      <c r="AG1595" s="94"/>
      <c r="AH1595" s="94"/>
      <c r="AI1595" s="94"/>
      <c r="AJ1595" s="94"/>
      <c r="AK1595" s="94"/>
      <c r="AL1595" s="94"/>
    </row>
    <row r="1596" spans="3:38">
      <c r="C1596" s="30"/>
      <c r="F1596" s="95"/>
      <c r="G1596" s="1"/>
      <c r="H1596" s="94"/>
      <c r="I1596" s="90"/>
      <c r="J1596" s="90"/>
      <c r="K1596" s="1"/>
      <c r="L1596" s="74"/>
      <c r="M1596" s="633"/>
      <c r="N1596" s="274"/>
      <c r="O1596" s="94"/>
      <c r="P1596" s="94"/>
      <c r="Q1596" s="94"/>
      <c r="R1596" s="94"/>
      <c r="S1596" s="94"/>
      <c r="V1596" s="30"/>
      <c r="W1596" s="30"/>
      <c r="X1596" s="1"/>
      <c r="Y1596" s="95"/>
      <c r="Z1596" s="1"/>
      <c r="AA1596" s="94"/>
      <c r="AB1596" s="1"/>
      <c r="AC1596" s="1"/>
      <c r="AD1596" s="1"/>
      <c r="AE1596" s="30"/>
      <c r="AF1596" s="633"/>
      <c r="AG1596" s="94"/>
      <c r="AH1596" s="94"/>
      <c r="AI1596" s="94"/>
      <c r="AJ1596" s="94"/>
      <c r="AK1596" s="94"/>
      <c r="AL1596" s="94"/>
    </row>
    <row r="1597" spans="3:38">
      <c r="C1597" s="30"/>
      <c r="F1597" s="95"/>
      <c r="G1597" s="1"/>
      <c r="H1597" s="94"/>
      <c r="I1597" s="90"/>
      <c r="J1597" s="90"/>
      <c r="K1597" s="1"/>
      <c r="L1597" s="74"/>
      <c r="M1597" s="633"/>
      <c r="N1597" s="274"/>
      <c r="O1597" s="94"/>
      <c r="P1597" s="94"/>
      <c r="Q1597" s="94"/>
      <c r="R1597" s="94"/>
      <c r="S1597" s="94"/>
      <c r="V1597" s="30"/>
      <c r="W1597" s="30"/>
      <c r="X1597" s="1"/>
      <c r="Y1597" s="95"/>
      <c r="Z1597" s="1"/>
      <c r="AA1597" s="94"/>
      <c r="AB1597" s="1"/>
      <c r="AC1597" s="1"/>
      <c r="AD1597" s="1"/>
      <c r="AE1597" s="30"/>
      <c r="AF1597" s="633"/>
      <c r="AG1597" s="94"/>
      <c r="AH1597" s="94"/>
      <c r="AI1597" s="94"/>
      <c r="AJ1597" s="94"/>
      <c r="AK1597" s="94"/>
      <c r="AL1597" s="94"/>
    </row>
    <row r="1598" spans="3:38">
      <c r="C1598" s="30"/>
      <c r="F1598" s="95"/>
      <c r="G1598" s="1"/>
      <c r="H1598" s="94"/>
      <c r="I1598" s="90"/>
      <c r="J1598" s="90"/>
      <c r="K1598" s="1"/>
      <c r="L1598" s="74"/>
      <c r="M1598" s="633"/>
      <c r="N1598" s="274"/>
      <c r="O1598" s="94"/>
      <c r="P1598" s="94"/>
      <c r="Q1598" s="94"/>
      <c r="R1598" s="94"/>
      <c r="S1598" s="94"/>
      <c r="V1598" s="30"/>
      <c r="W1598" s="30"/>
      <c r="X1598" s="1"/>
      <c r="Y1598" s="95"/>
      <c r="Z1598" s="1"/>
      <c r="AA1598" s="94"/>
      <c r="AB1598" s="1"/>
      <c r="AC1598" s="1"/>
      <c r="AD1598" s="1"/>
      <c r="AE1598" s="30"/>
      <c r="AF1598" s="633"/>
      <c r="AG1598" s="94"/>
      <c r="AH1598" s="94"/>
      <c r="AI1598" s="94"/>
      <c r="AJ1598" s="94"/>
      <c r="AK1598" s="94"/>
      <c r="AL1598" s="94"/>
    </row>
    <row r="1599" spans="3:38">
      <c r="C1599" s="30"/>
      <c r="F1599" s="95"/>
      <c r="G1599" s="1"/>
      <c r="H1599" s="94"/>
      <c r="I1599" s="90"/>
      <c r="J1599" s="90"/>
      <c r="K1599" s="1"/>
      <c r="L1599" s="74"/>
      <c r="M1599" s="633"/>
      <c r="N1599" s="274"/>
      <c r="O1599" s="94"/>
      <c r="P1599" s="94"/>
      <c r="Q1599" s="94"/>
      <c r="R1599" s="94"/>
      <c r="S1599" s="94"/>
      <c r="V1599" s="30"/>
      <c r="W1599" s="30"/>
      <c r="X1599" s="1"/>
      <c r="Y1599" s="95"/>
      <c r="Z1599" s="1"/>
      <c r="AA1599" s="94"/>
      <c r="AB1599" s="1"/>
      <c r="AC1599" s="1"/>
      <c r="AD1599" s="1"/>
      <c r="AE1599" s="30"/>
      <c r="AF1599" s="633"/>
      <c r="AG1599" s="94"/>
      <c r="AH1599" s="94"/>
      <c r="AI1599" s="94"/>
      <c r="AJ1599" s="94"/>
      <c r="AK1599" s="94"/>
      <c r="AL1599" s="94"/>
    </row>
    <row r="1600" spans="3:38">
      <c r="C1600" s="30"/>
      <c r="F1600" s="95"/>
      <c r="G1600" s="1"/>
      <c r="H1600" s="94"/>
      <c r="I1600" s="90"/>
      <c r="J1600" s="90"/>
      <c r="K1600" s="1"/>
      <c r="L1600" s="74"/>
      <c r="M1600" s="633"/>
      <c r="N1600" s="274"/>
      <c r="O1600" s="94"/>
      <c r="P1600" s="94"/>
      <c r="Q1600" s="94"/>
      <c r="R1600" s="94"/>
      <c r="S1600" s="94"/>
      <c r="V1600" s="30"/>
      <c r="W1600" s="30"/>
      <c r="X1600" s="1"/>
      <c r="Y1600" s="95"/>
      <c r="Z1600" s="1"/>
      <c r="AA1600" s="94"/>
      <c r="AB1600" s="1"/>
      <c r="AC1600" s="1"/>
      <c r="AD1600" s="1"/>
      <c r="AE1600" s="30"/>
      <c r="AF1600" s="633"/>
      <c r="AG1600" s="94"/>
      <c r="AH1600" s="94"/>
      <c r="AI1600" s="94"/>
      <c r="AJ1600" s="94"/>
      <c r="AK1600" s="94"/>
      <c r="AL1600" s="94"/>
    </row>
    <row r="1601" spans="3:38">
      <c r="C1601" s="30"/>
      <c r="F1601" s="95"/>
      <c r="G1601" s="1"/>
      <c r="H1601" s="94"/>
      <c r="I1601" s="90"/>
      <c r="J1601" s="90"/>
      <c r="K1601" s="1"/>
      <c r="L1601" s="74"/>
      <c r="M1601" s="633"/>
      <c r="N1601" s="274"/>
      <c r="O1601" s="94"/>
      <c r="P1601" s="94"/>
      <c r="Q1601" s="94"/>
      <c r="R1601" s="94"/>
      <c r="S1601" s="94"/>
      <c r="V1601" s="30"/>
      <c r="W1601" s="30"/>
      <c r="X1601" s="1"/>
      <c r="Y1601" s="95"/>
      <c r="Z1601" s="1"/>
      <c r="AA1601" s="94"/>
      <c r="AB1601" s="1"/>
      <c r="AC1601" s="1"/>
      <c r="AD1601" s="1"/>
      <c r="AE1601" s="30"/>
      <c r="AF1601" s="633"/>
      <c r="AG1601" s="94"/>
      <c r="AH1601" s="94"/>
      <c r="AI1601" s="94"/>
      <c r="AJ1601" s="94"/>
      <c r="AK1601" s="94"/>
      <c r="AL1601" s="94"/>
    </row>
    <row r="1602" spans="3:38">
      <c r="C1602" s="30"/>
      <c r="F1602" s="95"/>
      <c r="G1602" s="1"/>
      <c r="H1602" s="94"/>
      <c r="I1602" s="90"/>
      <c r="J1602" s="90"/>
      <c r="K1602" s="1"/>
      <c r="L1602" s="74"/>
      <c r="M1602" s="633"/>
      <c r="N1602" s="274"/>
      <c r="O1602" s="94"/>
      <c r="P1602" s="94"/>
      <c r="Q1602" s="94"/>
      <c r="R1602" s="94"/>
      <c r="S1602" s="94"/>
      <c r="V1602" s="30"/>
      <c r="W1602" s="30"/>
      <c r="X1602" s="1"/>
      <c r="Y1602" s="95"/>
      <c r="Z1602" s="1"/>
      <c r="AA1602" s="94"/>
      <c r="AB1602" s="1"/>
      <c r="AC1602" s="1"/>
      <c r="AD1602" s="1"/>
      <c r="AE1602" s="30"/>
      <c r="AF1602" s="633"/>
      <c r="AG1602" s="94"/>
      <c r="AH1602" s="94"/>
      <c r="AI1602" s="94"/>
      <c r="AJ1602" s="94"/>
      <c r="AK1602" s="94"/>
      <c r="AL1602" s="94"/>
    </row>
    <row r="1603" spans="3:38">
      <c r="C1603" s="30"/>
      <c r="F1603" s="95"/>
      <c r="G1603" s="1"/>
      <c r="H1603" s="94"/>
      <c r="I1603" s="90"/>
      <c r="J1603" s="90"/>
      <c r="K1603" s="1"/>
      <c r="L1603" s="74"/>
      <c r="M1603" s="633"/>
      <c r="N1603" s="274"/>
      <c r="O1603" s="94"/>
      <c r="P1603" s="94"/>
      <c r="Q1603" s="94"/>
      <c r="R1603" s="94"/>
      <c r="S1603" s="94"/>
      <c r="V1603" s="30"/>
      <c r="W1603" s="30"/>
      <c r="X1603" s="1"/>
      <c r="Y1603" s="95"/>
      <c r="Z1603" s="1"/>
      <c r="AA1603" s="94"/>
      <c r="AB1603" s="1"/>
      <c r="AC1603" s="1"/>
      <c r="AD1603" s="1"/>
      <c r="AE1603" s="30"/>
      <c r="AF1603" s="633"/>
      <c r="AG1603" s="94"/>
      <c r="AH1603" s="94"/>
      <c r="AI1603" s="94"/>
      <c r="AJ1603" s="94"/>
      <c r="AK1603" s="94"/>
      <c r="AL1603" s="94"/>
    </row>
    <row r="1604" spans="3:38">
      <c r="C1604" s="30"/>
      <c r="F1604" s="95"/>
      <c r="G1604" s="1"/>
      <c r="H1604" s="94"/>
      <c r="I1604" s="90"/>
      <c r="J1604" s="90"/>
      <c r="K1604" s="1"/>
      <c r="L1604" s="74"/>
      <c r="M1604" s="633"/>
      <c r="N1604" s="274"/>
      <c r="O1604" s="94"/>
      <c r="P1604" s="94"/>
      <c r="Q1604" s="94"/>
      <c r="R1604" s="94"/>
      <c r="S1604" s="94"/>
      <c r="V1604" s="30"/>
      <c r="W1604" s="30"/>
      <c r="X1604" s="1"/>
      <c r="Y1604" s="95"/>
      <c r="Z1604" s="1"/>
      <c r="AA1604" s="94"/>
      <c r="AB1604" s="1"/>
      <c r="AC1604" s="1"/>
      <c r="AD1604" s="1"/>
      <c r="AE1604" s="30"/>
      <c r="AF1604" s="633"/>
      <c r="AG1604" s="94"/>
      <c r="AH1604" s="94"/>
      <c r="AI1604" s="94"/>
      <c r="AJ1604" s="94"/>
      <c r="AK1604" s="94"/>
      <c r="AL1604" s="94"/>
    </row>
    <row r="1605" spans="3:38">
      <c r="C1605" s="30"/>
      <c r="F1605" s="95"/>
      <c r="G1605" s="1"/>
      <c r="H1605" s="94"/>
      <c r="I1605" s="90"/>
      <c r="J1605" s="90"/>
      <c r="K1605" s="1"/>
      <c r="L1605" s="74"/>
      <c r="M1605" s="633"/>
      <c r="N1605" s="274"/>
      <c r="O1605" s="94"/>
      <c r="P1605" s="94"/>
      <c r="Q1605" s="94"/>
      <c r="R1605" s="94"/>
      <c r="S1605" s="94"/>
      <c r="V1605" s="30"/>
      <c r="W1605" s="30"/>
      <c r="X1605" s="1"/>
      <c r="Y1605" s="95"/>
      <c r="Z1605" s="1"/>
      <c r="AA1605" s="94"/>
      <c r="AB1605" s="1"/>
      <c r="AC1605" s="1"/>
      <c r="AD1605" s="1"/>
      <c r="AE1605" s="30"/>
      <c r="AF1605" s="633"/>
      <c r="AG1605" s="94"/>
      <c r="AH1605" s="94"/>
      <c r="AI1605" s="94"/>
      <c r="AJ1605" s="94"/>
      <c r="AK1605" s="94"/>
      <c r="AL1605" s="94"/>
    </row>
    <row r="1606" spans="3:38">
      <c r="C1606" s="30"/>
      <c r="F1606" s="95"/>
      <c r="G1606" s="1"/>
      <c r="H1606" s="94"/>
      <c r="I1606" s="90"/>
      <c r="J1606" s="90"/>
      <c r="K1606" s="1"/>
      <c r="L1606" s="74"/>
      <c r="M1606" s="633"/>
      <c r="N1606" s="274"/>
      <c r="O1606" s="94"/>
      <c r="P1606" s="94"/>
      <c r="Q1606" s="94"/>
      <c r="R1606" s="94"/>
      <c r="S1606" s="94"/>
      <c r="V1606" s="30"/>
      <c r="W1606" s="30"/>
      <c r="X1606" s="1"/>
      <c r="Y1606" s="95"/>
      <c r="Z1606" s="1"/>
      <c r="AA1606" s="94"/>
      <c r="AB1606" s="1"/>
      <c r="AC1606" s="1"/>
      <c r="AD1606" s="1"/>
      <c r="AE1606" s="30"/>
      <c r="AF1606" s="633"/>
      <c r="AG1606" s="94"/>
      <c r="AH1606" s="94"/>
      <c r="AI1606" s="94"/>
      <c r="AJ1606" s="94"/>
      <c r="AK1606" s="94"/>
      <c r="AL1606" s="94"/>
    </row>
    <row r="1607" spans="3:38">
      <c r="C1607" s="30"/>
      <c r="F1607" s="95"/>
      <c r="G1607" s="1"/>
      <c r="H1607" s="94"/>
      <c r="I1607" s="90"/>
      <c r="J1607" s="90"/>
      <c r="K1607" s="1"/>
      <c r="L1607" s="74"/>
      <c r="M1607" s="633"/>
      <c r="N1607" s="274"/>
      <c r="O1607" s="94"/>
      <c r="P1607" s="94"/>
      <c r="Q1607" s="94"/>
      <c r="R1607" s="94"/>
      <c r="S1607" s="94"/>
      <c r="V1607" s="30"/>
      <c r="W1607" s="30"/>
      <c r="X1607" s="1"/>
      <c r="Y1607" s="95"/>
      <c r="Z1607" s="1"/>
      <c r="AA1607" s="94"/>
      <c r="AB1607" s="1"/>
      <c r="AC1607" s="1"/>
      <c r="AD1607" s="1"/>
      <c r="AE1607" s="30"/>
      <c r="AF1607" s="633"/>
      <c r="AG1607" s="94"/>
      <c r="AH1607" s="94"/>
      <c r="AI1607" s="94"/>
      <c r="AJ1607" s="94"/>
      <c r="AK1607" s="94"/>
      <c r="AL1607" s="94"/>
    </row>
    <row r="1608" spans="3:38">
      <c r="C1608" s="30"/>
      <c r="F1608" s="95"/>
      <c r="G1608" s="1"/>
      <c r="H1608" s="94"/>
      <c r="I1608" s="90"/>
      <c r="J1608" s="90"/>
      <c r="K1608" s="1"/>
      <c r="L1608" s="74"/>
      <c r="M1608" s="633"/>
      <c r="N1608" s="274"/>
      <c r="O1608" s="94"/>
      <c r="P1608" s="94"/>
      <c r="Q1608" s="94"/>
      <c r="R1608" s="94"/>
      <c r="S1608" s="94"/>
      <c r="V1608" s="30"/>
      <c r="W1608" s="30"/>
      <c r="X1608" s="1"/>
      <c r="Y1608" s="95"/>
      <c r="Z1608" s="1"/>
      <c r="AA1608" s="94"/>
      <c r="AB1608" s="1"/>
      <c r="AC1608" s="1"/>
      <c r="AD1608" s="1"/>
      <c r="AE1608" s="30"/>
      <c r="AF1608" s="633"/>
      <c r="AG1608" s="94"/>
      <c r="AH1608" s="94"/>
      <c r="AI1608" s="94"/>
      <c r="AJ1608" s="94"/>
      <c r="AK1608" s="94"/>
      <c r="AL1608" s="94"/>
    </row>
    <row r="1609" spans="3:38">
      <c r="C1609" s="30"/>
      <c r="F1609" s="95"/>
      <c r="G1609" s="1"/>
      <c r="H1609" s="94"/>
      <c r="I1609" s="90"/>
      <c r="J1609" s="90"/>
      <c r="K1609" s="1"/>
      <c r="L1609" s="74"/>
      <c r="M1609" s="633"/>
      <c r="N1609" s="274"/>
      <c r="O1609" s="94"/>
      <c r="P1609" s="94"/>
      <c r="Q1609" s="94"/>
      <c r="R1609" s="94"/>
      <c r="S1609" s="94"/>
      <c r="V1609" s="30"/>
      <c r="W1609" s="30"/>
      <c r="X1609" s="1"/>
      <c r="Y1609" s="95"/>
      <c r="Z1609" s="1"/>
      <c r="AA1609" s="94"/>
      <c r="AB1609" s="1"/>
      <c r="AC1609" s="1"/>
      <c r="AD1609" s="1"/>
      <c r="AE1609" s="30"/>
      <c r="AF1609" s="633"/>
      <c r="AG1609" s="94"/>
      <c r="AH1609" s="94"/>
      <c r="AI1609" s="94"/>
      <c r="AJ1609" s="94"/>
      <c r="AK1609" s="94"/>
      <c r="AL1609" s="94"/>
    </row>
    <row r="1610" spans="3:38">
      <c r="C1610" s="30"/>
      <c r="F1610" s="95"/>
      <c r="G1610" s="1"/>
      <c r="H1610" s="94"/>
      <c r="I1610" s="90"/>
      <c r="J1610" s="90"/>
      <c r="K1610" s="1"/>
      <c r="L1610" s="74"/>
      <c r="M1610" s="633"/>
      <c r="N1610" s="274"/>
      <c r="O1610" s="94"/>
      <c r="P1610" s="94"/>
      <c r="Q1610" s="94"/>
      <c r="R1610" s="94"/>
      <c r="S1610" s="94"/>
      <c r="V1610" s="30"/>
      <c r="W1610" s="30"/>
      <c r="X1610" s="1"/>
      <c r="Y1610" s="95"/>
      <c r="Z1610" s="1"/>
      <c r="AA1610" s="94"/>
      <c r="AB1610" s="1"/>
      <c r="AC1610" s="1"/>
      <c r="AD1610" s="1"/>
      <c r="AE1610" s="30"/>
      <c r="AF1610" s="633"/>
      <c r="AG1610" s="94"/>
      <c r="AH1610" s="94"/>
      <c r="AI1610" s="94"/>
      <c r="AJ1610" s="94"/>
      <c r="AK1610" s="94"/>
      <c r="AL1610" s="94"/>
    </row>
    <row r="1611" spans="3:38">
      <c r="C1611" s="30"/>
      <c r="F1611" s="95"/>
      <c r="G1611" s="1"/>
      <c r="H1611" s="94"/>
      <c r="I1611" s="90"/>
      <c r="J1611" s="90"/>
      <c r="K1611" s="1"/>
      <c r="L1611" s="74"/>
      <c r="M1611" s="633"/>
      <c r="N1611" s="274"/>
      <c r="O1611" s="94"/>
      <c r="P1611" s="94"/>
      <c r="Q1611" s="94"/>
      <c r="R1611" s="94"/>
      <c r="S1611" s="94"/>
      <c r="V1611" s="30"/>
      <c r="W1611" s="30"/>
      <c r="X1611" s="1"/>
      <c r="Y1611" s="95"/>
      <c r="Z1611" s="1"/>
      <c r="AA1611" s="94"/>
      <c r="AB1611" s="1"/>
      <c r="AC1611" s="1"/>
      <c r="AD1611" s="1"/>
      <c r="AE1611" s="30"/>
      <c r="AF1611" s="633"/>
      <c r="AG1611" s="94"/>
      <c r="AH1611" s="94"/>
      <c r="AI1611" s="94"/>
      <c r="AJ1611" s="94"/>
      <c r="AK1611" s="94"/>
      <c r="AL1611" s="94"/>
    </row>
    <row r="1612" spans="3:38">
      <c r="C1612" s="30"/>
      <c r="F1612" s="95"/>
      <c r="G1612" s="1"/>
      <c r="H1612" s="94"/>
      <c r="I1612" s="90"/>
      <c r="J1612" s="90"/>
      <c r="K1612" s="1"/>
      <c r="L1612" s="74"/>
      <c r="M1612" s="633"/>
      <c r="N1612" s="274"/>
      <c r="O1612" s="94"/>
      <c r="P1612" s="94"/>
      <c r="Q1612" s="94"/>
      <c r="R1612" s="94"/>
      <c r="S1612" s="94"/>
      <c r="V1612" s="30"/>
      <c r="W1612" s="30"/>
      <c r="X1612" s="1"/>
      <c r="Y1612" s="95"/>
      <c r="Z1612" s="1"/>
      <c r="AA1612" s="94"/>
      <c r="AB1612" s="1"/>
      <c r="AC1612" s="1"/>
      <c r="AD1612" s="1"/>
      <c r="AE1612" s="30"/>
      <c r="AF1612" s="633"/>
      <c r="AG1612" s="94"/>
      <c r="AH1612" s="94"/>
      <c r="AI1612" s="94"/>
      <c r="AJ1612" s="94"/>
      <c r="AK1612" s="94"/>
      <c r="AL1612" s="94"/>
    </row>
    <row r="1613" spans="3:38">
      <c r="C1613" s="30"/>
      <c r="F1613" s="95"/>
      <c r="G1613" s="1"/>
      <c r="H1613" s="94"/>
      <c r="I1613" s="90"/>
      <c r="J1613" s="90"/>
      <c r="K1613" s="1"/>
      <c r="L1613" s="74"/>
      <c r="M1613" s="633"/>
      <c r="N1613" s="274"/>
      <c r="O1613" s="94"/>
      <c r="P1613" s="94"/>
      <c r="Q1613" s="94"/>
      <c r="R1613" s="94"/>
      <c r="S1613" s="94"/>
      <c r="V1613" s="30"/>
      <c r="W1613" s="30"/>
      <c r="X1613" s="1"/>
      <c r="Y1613" s="95"/>
      <c r="Z1613" s="1"/>
      <c r="AA1613" s="94"/>
      <c r="AB1613" s="1"/>
      <c r="AC1613" s="1"/>
      <c r="AD1613" s="1"/>
      <c r="AE1613" s="30"/>
      <c r="AF1613" s="633"/>
      <c r="AG1613" s="94"/>
      <c r="AH1613" s="94"/>
      <c r="AI1613" s="94"/>
      <c r="AJ1613" s="94"/>
      <c r="AK1613" s="94"/>
      <c r="AL1613" s="94"/>
    </row>
    <row r="1614" spans="3:38">
      <c r="C1614" s="30"/>
      <c r="F1614" s="95"/>
      <c r="G1614" s="1"/>
      <c r="H1614" s="94"/>
      <c r="I1614" s="90"/>
      <c r="J1614" s="90"/>
      <c r="K1614" s="1"/>
      <c r="L1614" s="74"/>
      <c r="M1614" s="633"/>
      <c r="N1614" s="274"/>
      <c r="O1614" s="94"/>
      <c r="P1614" s="94"/>
      <c r="Q1614" s="94"/>
      <c r="R1614" s="94"/>
      <c r="S1614" s="94"/>
      <c r="V1614" s="30"/>
      <c r="W1614" s="30"/>
      <c r="X1614" s="1"/>
      <c r="Y1614" s="95"/>
      <c r="Z1614" s="1"/>
      <c r="AA1614" s="94"/>
      <c r="AB1614" s="1"/>
      <c r="AC1614" s="1"/>
      <c r="AD1614" s="1"/>
      <c r="AE1614" s="30"/>
      <c r="AF1614" s="633"/>
      <c r="AG1614" s="94"/>
      <c r="AH1614" s="94"/>
      <c r="AI1614" s="94"/>
      <c r="AJ1614" s="94"/>
      <c r="AK1614" s="94"/>
      <c r="AL1614" s="94"/>
    </row>
    <row r="1615" spans="3:38">
      <c r="C1615" s="30"/>
      <c r="F1615" s="95"/>
      <c r="G1615" s="1"/>
      <c r="H1615" s="94"/>
      <c r="I1615" s="90"/>
      <c r="J1615" s="90"/>
      <c r="K1615" s="1"/>
      <c r="L1615" s="74"/>
      <c r="M1615" s="633"/>
      <c r="N1615" s="274"/>
      <c r="O1615" s="94"/>
      <c r="P1615" s="94"/>
      <c r="Q1615" s="94"/>
      <c r="R1615" s="94"/>
      <c r="S1615" s="94"/>
      <c r="V1615" s="30"/>
      <c r="W1615" s="30"/>
      <c r="X1615" s="1"/>
      <c r="Y1615" s="95"/>
      <c r="Z1615" s="1"/>
      <c r="AA1615" s="94"/>
      <c r="AB1615" s="1"/>
      <c r="AC1615" s="1"/>
      <c r="AD1615" s="1"/>
      <c r="AE1615" s="30"/>
      <c r="AF1615" s="633"/>
      <c r="AG1615" s="94"/>
      <c r="AH1615" s="94"/>
      <c r="AI1615" s="94"/>
      <c r="AJ1615" s="94"/>
      <c r="AK1615" s="94"/>
      <c r="AL1615" s="94"/>
    </row>
    <row r="1616" spans="3:38">
      <c r="C1616" s="30"/>
      <c r="F1616" s="95"/>
      <c r="G1616" s="1"/>
      <c r="H1616" s="94"/>
      <c r="I1616" s="90"/>
      <c r="J1616" s="90"/>
      <c r="K1616" s="1"/>
      <c r="L1616" s="74"/>
      <c r="M1616" s="633"/>
      <c r="N1616" s="274"/>
      <c r="O1616" s="94"/>
      <c r="P1616" s="94"/>
      <c r="Q1616" s="94"/>
      <c r="R1616" s="94"/>
      <c r="S1616" s="94"/>
      <c r="V1616" s="30"/>
      <c r="W1616" s="30"/>
      <c r="X1616" s="1"/>
      <c r="Y1616" s="95"/>
      <c r="Z1616" s="1"/>
      <c r="AA1616" s="94"/>
      <c r="AB1616" s="1"/>
      <c r="AC1616" s="1"/>
      <c r="AD1616" s="1"/>
      <c r="AE1616" s="30"/>
      <c r="AF1616" s="633"/>
      <c r="AG1616" s="94"/>
      <c r="AH1616" s="94"/>
      <c r="AI1616" s="94"/>
      <c r="AJ1616" s="94"/>
      <c r="AK1616" s="94"/>
      <c r="AL1616" s="94"/>
    </row>
    <row r="1617" spans="3:38">
      <c r="C1617" s="30"/>
      <c r="F1617" s="95"/>
      <c r="G1617" s="1"/>
      <c r="H1617" s="94"/>
      <c r="I1617" s="90"/>
      <c r="J1617" s="90"/>
      <c r="K1617" s="1"/>
      <c r="L1617" s="74"/>
      <c r="M1617" s="633"/>
      <c r="N1617" s="274"/>
      <c r="O1617" s="94"/>
      <c r="P1617" s="94"/>
      <c r="Q1617" s="94"/>
      <c r="R1617" s="94"/>
      <c r="S1617" s="94"/>
      <c r="V1617" s="30"/>
      <c r="W1617" s="30"/>
      <c r="X1617" s="1"/>
      <c r="Y1617" s="95"/>
      <c r="Z1617" s="1"/>
      <c r="AA1617" s="94"/>
      <c r="AB1617" s="1"/>
      <c r="AC1617" s="1"/>
      <c r="AD1617" s="1"/>
      <c r="AE1617" s="30"/>
      <c r="AF1617" s="633"/>
      <c r="AG1617" s="94"/>
      <c r="AH1617" s="94"/>
      <c r="AI1617" s="94"/>
      <c r="AJ1617" s="94"/>
      <c r="AK1617" s="94"/>
      <c r="AL1617" s="94"/>
    </row>
    <row r="1618" spans="3:38">
      <c r="C1618" s="30"/>
      <c r="F1618" s="95"/>
      <c r="G1618" s="1"/>
      <c r="H1618" s="94"/>
      <c r="I1618" s="90"/>
      <c r="J1618" s="90"/>
      <c r="K1618" s="1"/>
      <c r="L1618" s="74"/>
      <c r="M1618" s="633"/>
      <c r="N1618" s="274"/>
      <c r="O1618" s="94"/>
      <c r="P1618" s="94"/>
      <c r="Q1618" s="94"/>
      <c r="R1618" s="94"/>
      <c r="S1618" s="94"/>
      <c r="V1618" s="30"/>
      <c r="W1618" s="30"/>
      <c r="X1618" s="1"/>
      <c r="Y1618" s="95"/>
      <c r="Z1618" s="1"/>
      <c r="AA1618" s="94"/>
      <c r="AB1618" s="1"/>
      <c r="AC1618" s="1"/>
      <c r="AD1618" s="1"/>
      <c r="AE1618" s="30"/>
      <c r="AF1618" s="633"/>
      <c r="AG1618" s="94"/>
      <c r="AH1618" s="94"/>
      <c r="AI1618" s="94"/>
      <c r="AJ1618" s="94"/>
      <c r="AK1618" s="94"/>
      <c r="AL1618" s="94"/>
    </row>
    <row r="1619" spans="3:38">
      <c r="C1619" s="30"/>
      <c r="F1619" s="95"/>
      <c r="G1619" s="1"/>
      <c r="H1619" s="94"/>
      <c r="I1619" s="90"/>
      <c r="J1619" s="90"/>
      <c r="K1619" s="1"/>
      <c r="L1619" s="74"/>
      <c r="M1619" s="633"/>
      <c r="N1619" s="274"/>
      <c r="O1619" s="94"/>
      <c r="P1619" s="94"/>
      <c r="Q1619" s="94"/>
      <c r="R1619" s="94"/>
      <c r="S1619" s="94"/>
      <c r="V1619" s="30"/>
      <c r="W1619" s="30"/>
      <c r="X1619" s="1"/>
      <c r="Y1619" s="95"/>
      <c r="Z1619" s="1"/>
      <c r="AA1619" s="94"/>
      <c r="AB1619" s="1"/>
      <c r="AC1619" s="1"/>
      <c r="AD1619" s="1"/>
      <c r="AE1619" s="30"/>
      <c r="AF1619" s="633"/>
      <c r="AG1619" s="94"/>
      <c r="AH1619" s="94"/>
      <c r="AI1619" s="94"/>
      <c r="AJ1619" s="94"/>
      <c r="AK1619" s="94"/>
      <c r="AL1619" s="94"/>
    </row>
    <row r="1620" spans="3:38">
      <c r="C1620" s="30"/>
      <c r="F1620" s="95"/>
      <c r="G1620" s="1"/>
      <c r="H1620" s="94"/>
      <c r="I1620" s="90"/>
      <c r="J1620" s="90"/>
      <c r="K1620" s="1"/>
      <c r="L1620" s="74"/>
      <c r="M1620" s="633"/>
      <c r="N1620" s="274"/>
      <c r="O1620" s="94"/>
      <c r="P1620" s="94"/>
      <c r="Q1620" s="94"/>
      <c r="R1620" s="94"/>
      <c r="S1620" s="94"/>
      <c r="V1620" s="30"/>
      <c r="W1620" s="30"/>
      <c r="X1620" s="1"/>
      <c r="Y1620" s="95"/>
      <c r="Z1620" s="1"/>
      <c r="AA1620" s="94"/>
      <c r="AB1620" s="1"/>
      <c r="AC1620" s="1"/>
      <c r="AD1620" s="1"/>
      <c r="AE1620" s="30"/>
      <c r="AF1620" s="633"/>
      <c r="AG1620" s="94"/>
      <c r="AH1620" s="94"/>
      <c r="AI1620" s="94"/>
      <c r="AJ1620" s="94"/>
      <c r="AK1620" s="94"/>
      <c r="AL1620" s="94"/>
    </row>
    <row r="1621" spans="3:38">
      <c r="C1621" s="30"/>
      <c r="F1621" s="95"/>
      <c r="G1621" s="1"/>
      <c r="H1621" s="94"/>
      <c r="I1621" s="90"/>
      <c r="J1621" s="90"/>
      <c r="K1621" s="1"/>
      <c r="L1621" s="74"/>
      <c r="M1621" s="633"/>
      <c r="N1621" s="274"/>
      <c r="O1621" s="94"/>
      <c r="P1621" s="94"/>
      <c r="Q1621" s="94"/>
      <c r="R1621" s="94"/>
      <c r="S1621" s="94"/>
      <c r="V1621" s="30"/>
      <c r="W1621" s="30"/>
      <c r="X1621" s="1"/>
      <c r="Y1621" s="95"/>
      <c r="Z1621" s="1"/>
      <c r="AA1621" s="94"/>
      <c r="AB1621" s="1"/>
      <c r="AC1621" s="1"/>
      <c r="AD1621" s="1"/>
      <c r="AE1621" s="30"/>
      <c r="AF1621" s="633"/>
      <c r="AG1621" s="94"/>
      <c r="AH1621" s="94"/>
      <c r="AI1621" s="94"/>
      <c r="AJ1621" s="94"/>
      <c r="AK1621" s="94"/>
      <c r="AL1621" s="94"/>
    </row>
    <row r="1622" spans="3:38">
      <c r="C1622" s="30"/>
      <c r="F1622" s="95"/>
      <c r="G1622" s="1"/>
      <c r="H1622" s="94"/>
      <c r="I1622" s="90"/>
      <c r="J1622" s="90"/>
      <c r="K1622" s="1"/>
      <c r="L1622" s="74"/>
      <c r="M1622" s="633"/>
      <c r="N1622" s="274"/>
      <c r="O1622" s="94"/>
      <c r="P1622" s="94"/>
      <c r="Q1622" s="94"/>
      <c r="R1622" s="94"/>
      <c r="S1622" s="94"/>
      <c r="V1622" s="30"/>
      <c r="W1622" s="30"/>
      <c r="X1622" s="1"/>
      <c r="Y1622" s="95"/>
      <c r="Z1622" s="1"/>
      <c r="AA1622" s="94"/>
      <c r="AB1622" s="1"/>
      <c r="AC1622" s="1"/>
      <c r="AD1622" s="1"/>
      <c r="AE1622" s="30"/>
      <c r="AF1622" s="633"/>
      <c r="AG1622" s="94"/>
      <c r="AH1622" s="94"/>
      <c r="AI1622" s="94"/>
      <c r="AJ1622" s="94"/>
      <c r="AK1622" s="94"/>
      <c r="AL1622" s="94"/>
    </row>
    <row r="1623" spans="3:38">
      <c r="C1623" s="30"/>
      <c r="F1623" s="95"/>
      <c r="G1623" s="1"/>
      <c r="H1623" s="94"/>
      <c r="I1623" s="90"/>
      <c r="J1623" s="90"/>
      <c r="K1623" s="1"/>
      <c r="L1623" s="74"/>
      <c r="M1623" s="633"/>
      <c r="N1623" s="274"/>
      <c r="O1623" s="94"/>
      <c r="P1623" s="94"/>
      <c r="Q1623" s="94"/>
      <c r="R1623" s="94"/>
      <c r="S1623" s="94"/>
      <c r="V1623" s="30"/>
      <c r="W1623" s="30"/>
      <c r="X1623" s="1"/>
      <c r="Y1623" s="95"/>
      <c r="Z1623" s="1"/>
      <c r="AA1623" s="94"/>
      <c r="AB1623" s="1"/>
      <c r="AC1623" s="1"/>
      <c r="AD1623" s="1"/>
      <c r="AE1623" s="30"/>
      <c r="AF1623" s="633"/>
      <c r="AG1623" s="94"/>
      <c r="AH1623" s="94"/>
      <c r="AI1623" s="94"/>
      <c r="AJ1623" s="94"/>
      <c r="AK1623" s="94"/>
      <c r="AL1623" s="94"/>
    </row>
    <row r="1624" spans="3:38">
      <c r="C1624" s="30"/>
      <c r="F1624" s="95"/>
      <c r="G1624" s="1"/>
      <c r="H1624" s="94"/>
      <c r="I1624" s="90"/>
      <c r="J1624" s="90"/>
      <c r="K1624" s="1"/>
      <c r="L1624" s="74"/>
      <c r="M1624" s="633"/>
      <c r="N1624" s="274"/>
      <c r="O1624" s="94"/>
      <c r="P1624" s="94"/>
      <c r="Q1624" s="94"/>
      <c r="R1624" s="94"/>
      <c r="S1624" s="94"/>
      <c r="V1624" s="30"/>
      <c r="W1624" s="30"/>
      <c r="X1624" s="1"/>
      <c r="Y1624" s="95"/>
      <c r="Z1624" s="1"/>
      <c r="AA1624" s="94"/>
      <c r="AB1624" s="1"/>
      <c r="AC1624" s="1"/>
      <c r="AD1624" s="1"/>
      <c r="AE1624" s="30"/>
      <c r="AF1624" s="633"/>
      <c r="AG1624" s="94"/>
      <c r="AH1624" s="94"/>
      <c r="AI1624" s="94"/>
      <c r="AJ1624" s="94"/>
      <c r="AK1624" s="94"/>
      <c r="AL1624" s="94"/>
    </row>
    <row r="1625" spans="3:38">
      <c r="C1625" s="30"/>
      <c r="F1625" s="95"/>
      <c r="G1625" s="1"/>
      <c r="H1625" s="94"/>
      <c r="I1625" s="90"/>
      <c r="J1625" s="90"/>
      <c r="K1625" s="1"/>
      <c r="L1625" s="74"/>
      <c r="M1625" s="633"/>
      <c r="N1625" s="274"/>
      <c r="O1625" s="94"/>
      <c r="P1625" s="94"/>
      <c r="Q1625" s="94"/>
      <c r="R1625" s="94"/>
      <c r="S1625" s="94"/>
      <c r="V1625" s="30"/>
      <c r="W1625" s="30"/>
      <c r="X1625" s="1"/>
      <c r="Y1625" s="95"/>
      <c r="Z1625" s="1"/>
      <c r="AA1625" s="94"/>
      <c r="AB1625" s="1"/>
      <c r="AC1625" s="1"/>
      <c r="AD1625" s="1"/>
      <c r="AE1625" s="30"/>
      <c r="AF1625" s="633"/>
      <c r="AG1625" s="94"/>
      <c r="AH1625" s="94"/>
      <c r="AI1625" s="94"/>
      <c r="AJ1625" s="94"/>
      <c r="AK1625" s="94"/>
      <c r="AL1625" s="94"/>
    </row>
    <row r="1626" spans="3:38">
      <c r="C1626" s="30"/>
      <c r="F1626" s="95"/>
      <c r="G1626" s="1"/>
      <c r="H1626" s="94"/>
      <c r="I1626" s="90"/>
      <c r="J1626" s="90"/>
      <c r="K1626" s="1"/>
      <c r="L1626" s="74"/>
      <c r="M1626" s="633"/>
      <c r="N1626" s="274"/>
      <c r="O1626" s="94"/>
      <c r="P1626" s="94"/>
      <c r="Q1626" s="94"/>
      <c r="R1626" s="94"/>
      <c r="S1626" s="94"/>
      <c r="V1626" s="30"/>
      <c r="W1626" s="30"/>
      <c r="X1626" s="1"/>
      <c r="Y1626" s="95"/>
      <c r="Z1626" s="1"/>
      <c r="AA1626" s="94"/>
      <c r="AB1626" s="1"/>
      <c r="AC1626" s="1"/>
      <c r="AD1626" s="1"/>
      <c r="AE1626" s="30"/>
      <c r="AF1626" s="633"/>
      <c r="AG1626" s="94"/>
      <c r="AH1626" s="94"/>
      <c r="AI1626" s="94"/>
      <c r="AJ1626" s="94"/>
      <c r="AK1626" s="94"/>
      <c r="AL1626" s="94"/>
    </row>
    <row r="1627" spans="3:38">
      <c r="C1627" s="30"/>
      <c r="F1627" s="95"/>
      <c r="G1627" s="1"/>
      <c r="H1627" s="94"/>
      <c r="I1627" s="90"/>
      <c r="J1627" s="90"/>
      <c r="K1627" s="1"/>
      <c r="L1627" s="74"/>
      <c r="M1627" s="633"/>
      <c r="N1627" s="274"/>
      <c r="O1627" s="94"/>
      <c r="P1627" s="94"/>
      <c r="Q1627" s="94"/>
      <c r="R1627" s="94"/>
      <c r="S1627" s="94"/>
      <c r="V1627" s="30"/>
      <c r="W1627" s="30"/>
      <c r="X1627" s="1"/>
      <c r="Y1627" s="95"/>
      <c r="Z1627" s="1"/>
      <c r="AA1627" s="94"/>
      <c r="AB1627" s="1"/>
      <c r="AC1627" s="1"/>
      <c r="AD1627" s="1"/>
      <c r="AE1627" s="30"/>
      <c r="AF1627" s="633"/>
      <c r="AG1627" s="94"/>
      <c r="AH1627" s="94"/>
      <c r="AI1627" s="94"/>
      <c r="AJ1627" s="94"/>
      <c r="AK1627" s="94"/>
      <c r="AL1627" s="94"/>
    </row>
    <row r="1628" spans="3:38">
      <c r="C1628" s="30"/>
      <c r="F1628" s="95"/>
      <c r="G1628" s="1"/>
      <c r="H1628" s="94"/>
      <c r="I1628" s="90"/>
      <c r="J1628" s="90"/>
      <c r="K1628" s="1"/>
      <c r="L1628" s="74"/>
      <c r="M1628" s="633"/>
      <c r="N1628" s="274"/>
      <c r="O1628" s="94"/>
      <c r="P1628" s="94"/>
      <c r="Q1628" s="94"/>
      <c r="R1628" s="94"/>
      <c r="S1628" s="94"/>
      <c r="V1628" s="30"/>
      <c r="W1628" s="30"/>
      <c r="X1628" s="1"/>
      <c r="Y1628" s="95"/>
      <c r="Z1628" s="1"/>
      <c r="AA1628" s="94"/>
      <c r="AB1628" s="1"/>
      <c r="AC1628" s="1"/>
      <c r="AD1628" s="1"/>
      <c r="AE1628" s="30"/>
      <c r="AF1628" s="633"/>
      <c r="AG1628" s="94"/>
      <c r="AH1628" s="94"/>
      <c r="AI1628" s="94"/>
      <c r="AJ1628" s="94"/>
      <c r="AK1628" s="94"/>
      <c r="AL1628" s="94"/>
    </row>
    <row r="1629" spans="3:38">
      <c r="C1629" s="30"/>
      <c r="F1629" s="95"/>
      <c r="G1629" s="1"/>
      <c r="H1629" s="94"/>
      <c r="I1629" s="90"/>
      <c r="J1629" s="90"/>
      <c r="K1629" s="1"/>
      <c r="L1629" s="74"/>
      <c r="M1629" s="633"/>
      <c r="N1629" s="274"/>
      <c r="O1629" s="94"/>
      <c r="P1629" s="94"/>
      <c r="Q1629" s="94"/>
      <c r="R1629" s="94"/>
      <c r="S1629" s="94"/>
      <c r="V1629" s="30"/>
      <c r="W1629" s="30"/>
      <c r="X1629" s="1"/>
      <c r="Y1629" s="95"/>
      <c r="Z1629" s="1"/>
      <c r="AA1629" s="94"/>
      <c r="AB1629" s="1"/>
      <c r="AC1629" s="1"/>
      <c r="AD1629" s="1"/>
      <c r="AE1629" s="30"/>
      <c r="AF1629" s="633"/>
      <c r="AG1629" s="94"/>
      <c r="AH1629" s="94"/>
      <c r="AI1629" s="94"/>
      <c r="AJ1629" s="94"/>
      <c r="AK1629" s="94"/>
      <c r="AL1629" s="94"/>
    </row>
    <row r="1630" spans="3:38">
      <c r="C1630" s="30"/>
      <c r="F1630" s="95"/>
      <c r="G1630" s="1"/>
      <c r="H1630" s="94"/>
      <c r="I1630" s="90"/>
      <c r="J1630" s="90"/>
      <c r="K1630" s="1"/>
      <c r="L1630" s="74"/>
      <c r="M1630" s="633"/>
      <c r="N1630" s="274"/>
      <c r="O1630" s="94"/>
      <c r="P1630" s="94"/>
      <c r="Q1630" s="94"/>
      <c r="R1630" s="94"/>
      <c r="S1630" s="94"/>
      <c r="V1630" s="30"/>
      <c r="W1630" s="30"/>
      <c r="X1630" s="1"/>
      <c r="Y1630" s="95"/>
      <c r="Z1630" s="1"/>
      <c r="AA1630" s="94"/>
      <c r="AB1630" s="1"/>
      <c r="AC1630" s="1"/>
      <c r="AD1630" s="1"/>
      <c r="AE1630" s="30"/>
      <c r="AF1630" s="633"/>
      <c r="AG1630" s="94"/>
      <c r="AH1630" s="94"/>
      <c r="AI1630" s="94"/>
      <c r="AJ1630" s="94"/>
      <c r="AK1630" s="94"/>
      <c r="AL1630" s="94"/>
    </row>
    <row r="1631" spans="3:38">
      <c r="C1631" s="30"/>
      <c r="F1631" s="95"/>
      <c r="G1631" s="1"/>
      <c r="H1631" s="94"/>
      <c r="I1631" s="90"/>
      <c r="J1631" s="90"/>
      <c r="K1631" s="1"/>
      <c r="L1631" s="74"/>
      <c r="M1631" s="633"/>
      <c r="N1631" s="274"/>
      <c r="O1631" s="94"/>
      <c r="P1631" s="94"/>
      <c r="Q1631" s="94"/>
      <c r="R1631" s="94"/>
      <c r="S1631" s="94"/>
      <c r="V1631" s="30"/>
      <c r="W1631" s="30"/>
      <c r="X1631" s="1"/>
      <c r="Y1631" s="95"/>
      <c r="Z1631" s="1"/>
      <c r="AA1631" s="94"/>
      <c r="AB1631" s="1"/>
      <c r="AC1631" s="1"/>
      <c r="AD1631" s="1"/>
      <c r="AE1631" s="30"/>
      <c r="AF1631" s="633"/>
      <c r="AG1631" s="94"/>
      <c r="AH1631" s="94"/>
      <c r="AI1631" s="94"/>
      <c r="AJ1631" s="94"/>
      <c r="AK1631" s="94"/>
      <c r="AL1631" s="94"/>
    </row>
    <row r="1632" spans="3:38">
      <c r="C1632" s="30"/>
      <c r="F1632" s="95"/>
      <c r="G1632" s="1"/>
      <c r="H1632" s="94"/>
      <c r="I1632" s="90"/>
      <c r="J1632" s="90"/>
      <c r="K1632" s="1"/>
      <c r="L1632" s="74"/>
      <c r="M1632" s="633"/>
      <c r="N1632" s="274"/>
      <c r="O1632" s="94"/>
      <c r="P1632" s="94"/>
      <c r="Q1632" s="94"/>
      <c r="R1632" s="94"/>
      <c r="S1632" s="94"/>
      <c r="V1632" s="30"/>
      <c r="W1632" s="30"/>
      <c r="X1632" s="1"/>
      <c r="Y1632" s="95"/>
      <c r="Z1632" s="1"/>
      <c r="AA1632" s="94"/>
      <c r="AB1632" s="1"/>
      <c r="AC1632" s="1"/>
      <c r="AD1632" s="1"/>
      <c r="AE1632" s="30"/>
      <c r="AF1632" s="633"/>
      <c r="AG1632" s="94"/>
      <c r="AH1632" s="94"/>
      <c r="AI1632" s="94"/>
      <c r="AJ1632" s="94"/>
      <c r="AK1632" s="94"/>
      <c r="AL1632" s="94"/>
    </row>
    <row r="1633" spans="3:38">
      <c r="C1633" s="30"/>
      <c r="F1633" s="95"/>
      <c r="G1633" s="1"/>
      <c r="H1633" s="94"/>
      <c r="I1633" s="90"/>
      <c r="J1633" s="90"/>
      <c r="K1633" s="1"/>
      <c r="L1633" s="74"/>
      <c r="M1633" s="633"/>
      <c r="N1633" s="274"/>
      <c r="O1633" s="94"/>
      <c r="P1633" s="94"/>
      <c r="Q1633" s="94"/>
      <c r="R1633" s="94"/>
      <c r="S1633" s="94"/>
      <c r="V1633" s="30"/>
      <c r="W1633" s="30"/>
      <c r="X1633" s="1"/>
      <c r="Y1633" s="95"/>
      <c r="Z1633" s="1"/>
      <c r="AA1633" s="94"/>
      <c r="AB1633" s="1"/>
      <c r="AC1633" s="1"/>
      <c r="AD1633" s="1"/>
      <c r="AE1633" s="30"/>
      <c r="AF1633" s="633"/>
      <c r="AG1633" s="94"/>
      <c r="AH1633" s="94"/>
      <c r="AI1633" s="94"/>
      <c r="AJ1633" s="94"/>
      <c r="AK1633" s="94"/>
      <c r="AL1633" s="94"/>
    </row>
    <row r="1634" spans="3:38">
      <c r="C1634" s="30"/>
      <c r="F1634" s="95"/>
      <c r="G1634" s="1"/>
      <c r="H1634" s="94"/>
      <c r="I1634" s="90"/>
      <c r="J1634" s="90"/>
      <c r="K1634" s="1"/>
      <c r="L1634" s="74"/>
      <c r="M1634" s="633"/>
      <c r="N1634" s="274"/>
      <c r="O1634" s="94"/>
      <c r="P1634" s="94"/>
      <c r="Q1634" s="94"/>
      <c r="R1634" s="94"/>
      <c r="S1634" s="94"/>
      <c r="V1634" s="30"/>
      <c r="W1634" s="30"/>
      <c r="X1634" s="1"/>
      <c r="Y1634" s="95"/>
      <c r="Z1634" s="1"/>
      <c r="AA1634" s="94"/>
      <c r="AB1634" s="1"/>
      <c r="AC1634" s="1"/>
      <c r="AD1634" s="1"/>
      <c r="AE1634" s="30"/>
      <c r="AF1634" s="633"/>
      <c r="AG1634" s="94"/>
      <c r="AH1634" s="94"/>
      <c r="AI1634" s="94"/>
      <c r="AJ1634" s="94"/>
      <c r="AK1634" s="94"/>
      <c r="AL1634" s="94"/>
    </row>
    <row r="1635" spans="3:38">
      <c r="C1635" s="30"/>
      <c r="F1635" s="95"/>
      <c r="G1635" s="1"/>
      <c r="H1635" s="94"/>
      <c r="I1635" s="90"/>
      <c r="J1635" s="90"/>
      <c r="K1635" s="1"/>
      <c r="L1635" s="74"/>
      <c r="M1635" s="633"/>
      <c r="N1635" s="274"/>
      <c r="O1635" s="94"/>
      <c r="P1635" s="94"/>
      <c r="Q1635" s="94"/>
      <c r="R1635" s="94"/>
      <c r="S1635" s="94"/>
      <c r="V1635" s="30"/>
      <c r="W1635" s="30"/>
      <c r="X1635" s="1"/>
      <c r="Y1635" s="95"/>
      <c r="Z1635" s="1"/>
      <c r="AA1635" s="94"/>
      <c r="AB1635" s="1"/>
      <c r="AC1635" s="1"/>
      <c r="AD1635" s="1"/>
      <c r="AE1635" s="30"/>
      <c r="AF1635" s="633"/>
      <c r="AG1635" s="94"/>
      <c r="AH1635" s="94"/>
      <c r="AI1635" s="94"/>
      <c r="AJ1635" s="94"/>
      <c r="AK1635" s="94"/>
      <c r="AL1635" s="94"/>
    </row>
    <row r="1636" spans="3:38">
      <c r="C1636" s="30"/>
      <c r="F1636" s="95"/>
      <c r="G1636" s="1"/>
      <c r="H1636" s="94"/>
      <c r="I1636" s="90"/>
      <c r="J1636" s="90"/>
      <c r="K1636" s="1"/>
      <c r="L1636" s="74"/>
      <c r="M1636" s="633"/>
      <c r="N1636" s="274"/>
      <c r="O1636" s="94"/>
      <c r="P1636" s="94"/>
      <c r="Q1636" s="94"/>
      <c r="R1636" s="94"/>
      <c r="S1636" s="94"/>
      <c r="V1636" s="30"/>
      <c r="W1636" s="30"/>
      <c r="X1636" s="1"/>
      <c r="Y1636" s="95"/>
      <c r="Z1636" s="1"/>
      <c r="AA1636" s="94"/>
      <c r="AB1636" s="1"/>
      <c r="AC1636" s="1"/>
      <c r="AD1636" s="1"/>
      <c r="AE1636" s="30"/>
      <c r="AF1636" s="633"/>
      <c r="AG1636" s="94"/>
      <c r="AH1636" s="94"/>
      <c r="AI1636" s="94"/>
      <c r="AJ1636" s="94"/>
      <c r="AK1636" s="94"/>
      <c r="AL1636" s="94"/>
    </row>
    <row r="1637" spans="3:38">
      <c r="C1637" s="30"/>
      <c r="F1637" s="95"/>
      <c r="G1637" s="1"/>
      <c r="H1637" s="94"/>
      <c r="I1637" s="90"/>
      <c r="J1637" s="90"/>
      <c r="K1637" s="1"/>
      <c r="L1637" s="74"/>
      <c r="M1637" s="633"/>
      <c r="N1637" s="274"/>
      <c r="O1637" s="94"/>
      <c r="P1637" s="94"/>
      <c r="Q1637" s="94"/>
      <c r="R1637" s="94"/>
      <c r="S1637" s="94"/>
      <c r="V1637" s="30"/>
      <c r="W1637" s="30"/>
      <c r="X1637" s="1"/>
      <c r="Y1637" s="95"/>
      <c r="Z1637" s="1"/>
      <c r="AA1637" s="94"/>
      <c r="AB1637" s="1"/>
      <c r="AC1637" s="1"/>
      <c r="AD1637" s="1"/>
      <c r="AE1637" s="30"/>
      <c r="AF1637" s="633"/>
      <c r="AG1637" s="94"/>
      <c r="AH1637" s="94"/>
      <c r="AI1637" s="94"/>
      <c r="AJ1637" s="94"/>
      <c r="AK1637" s="94"/>
      <c r="AL1637" s="94"/>
    </row>
    <row r="1638" spans="3:38">
      <c r="C1638" s="30"/>
      <c r="F1638" s="95"/>
      <c r="G1638" s="1"/>
      <c r="H1638" s="94"/>
      <c r="I1638" s="90"/>
      <c r="J1638" s="90"/>
      <c r="K1638" s="1"/>
      <c r="L1638" s="74"/>
      <c r="M1638" s="633"/>
      <c r="N1638" s="274"/>
      <c r="O1638" s="94"/>
      <c r="P1638" s="94"/>
      <c r="Q1638" s="94"/>
      <c r="R1638" s="94"/>
      <c r="S1638" s="94"/>
      <c r="V1638" s="30"/>
      <c r="W1638" s="30"/>
      <c r="X1638" s="1"/>
      <c r="Y1638" s="95"/>
      <c r="Z1638" s="1"/>
      <c r="AA1638" s="94"/>
      <c r="AB1638" s="1"/>
      <c r="AC1638" s="1"/>
      <c r="AD1638" s="1"/>
      <c r="AE1638" s="30"/>
      <c r="AF1638" s="633"/>
      <c r="AG1638" s="94"/>
      <c r="AH1638" s="94"/>
      <c r="AI1638" s="94"/>
      <c r="AJ1638" s="94"/>
      <c r="AK1638" s="94"/>
      <c r="AL1638" s="94"/>
    </row>
    <row r="1639" spans="3:38">
      <c r="C1639" s="30"/>
      <c r="F1639" s="95"/>
      <c r="G1639" s="1"/>
      <c r="H1639" s="94"/>
      <c r="I1639" s="90"/>
      <c r="J1639" s="90"/>
      <c r="K1639" s="1"/>
      <c r="L1639" s="74"/>
      <c r="M1639" s="633"/>
      <c r="N1639" s="274"/>
      <c r="O1639" s="94"/>
      <c r="P1639" s="94"/>
      <c r="Q1639" s="94"/>
      <c r="R1639" s="94"/>
      <c r="S1639" s="94"/>
      <c r="V1639" s="30"/>
      <c r="W1639" s="30"/>
      <c r="X1639" s="1"/>
      <c r="Y1639" s="95"/>
      <c r="Z1639" s="1"/>
      <c r="AA1639" s="94"/>
      <c r="AB1639" s="1"/>
      <c r="AC1639" s="1"/>
      <c r="AD1639" s="1"/>
      <c r="AE1639" s="30"/>
      <c r="AF1639" s="633"/>
      <c r="AG1639" s="94"/>
      <c r="AH1639" s="94"/>
      <c r="AI1639" s="94"/>
      <c r="AJ1639" s="94"/>
      <c r="AK1639" s="94"/>
      <c r="AL1639" s="94"/>
    </row>
    <row r="1640" spans="3:38">
      <c r="C1640" s="30"/>
      <c r="F1640" s="95"/>
      <c r="G1640" s="1"/>
      <c r="H1640" s="94"/>
      <c r="I1640" s="90"/>
      <c r="J1640" s="90"/>
      <c r="K1640" s="1"/>
      <c r="L1640" s="74"/>
      <c r="M1640" s="633"/>
      <c r="N1640" s="274"/>
      <c r="O1640" s="94"/>
      <c r="P1640" s="94"/>
      <c r="Q1640" s="94"/>
      <c r="R1640" s="94"/>
      <c r="S1640" s="94"/>
      <c r="V1640" s="30"/>
      <c r="W1640" s="30"/>
      <c r="X1640" s="1"/>
      <c r="Y1640" s="95"/>
      <c r="Z1640" s="1"/>
      <c r="AA1640" s="94"/>
      <c r="AB1640" s="1"/>
      <c r="AC1640" s="1"/>
      <c r="AD1640" s="1"/>
      <c r="AE1640" s="30"/>
      <c r="AF1640" s="633"/>
      <c r="AG1640" s="94"/>
      <c r="AH1640" s="94"/>
      <c r="AI1640" s="94"/>
      <c r="AJ1640" s="94"/>
      <c r="AK1640" s="94"/>
      <c r="AL1640" s="94"/>
    </row>
    <row r="1641" spans="3:38">
      <c r="C1641" s="30"/>
      <c r="F1641" s="95"/>
      <c r="G1641" s="1"/>
      <c r="H1641" s="94"/>
      <c r="I1641" s="90"/>
      <c r="J1641" s="90"/>
      <c r="K1641" s="1"/>
      <c r="L1641" s="74"/>
      <c r="M1641" s="633"/>
      <c r="N1641" s="274"/>
      <c r="O1641" s="94"/>
      <c r="P1641" s="94"/>
      <c r="Q1641" s="94"/>
      <c r="R1641" s="94"/>
      <c r="S1641" s="94"/>
      <c r="V1641" s="30"/>
      <c r="W1641" s="30"/>
      <c r="X1641" s="1"/>
      <c r="Y1641" s="95"/>
      <c r="Z1641" s="1"/>
      <c r="AA1641" s="94"/>
      <c r="AB1641" s="1"/>
      <c r="AC1641" s="1"/>
      <c r="AD1641" s="1"/>
      <c r="AE1641" s="30"/>
      <c r="AF1641" s="633"/>
      <c r="AG1641" s="94"/>
      <c r="AH1641" s="94"/>
      <c r="AI1641" s="94"/>
      <c r="AJ1641" s="94"/>
      <c r="AK1641" s="94"/>
      <c r="AL1641" s="94"/>
    </row>
    <row r="1642" spans="3:38">
      <c r="C1642" s="30"/>
      <c r="F1642" s="95"/>
      <c r="G1642" s="1"/>
      <c r="H1642" s="94"/>
      <c r="I1642" s="90"/>
      <c r="J1642" s="90"/>
      <c r="K1642" s="1"/>
      <c r="L1642" s="74"/>
      <c r="M1642" s="633"/>
      <c r="N1642" s="274"/>
      <c r="O1642" s="94"/>
      <c r="P1642" s="94"/>
      <c r="Q1642" s="94"/>
      <c r="R1642" s="94"/>
      <c r="S1642" s="94"/>
      <c r="V1642" s="30"/>
      <c r="W1642" s="30"/>
      <c r="X1642" s="1"/>
      <c r="Y1642" s="95"/>
      <c r="Z1642" s="1"/>
      <c r="AA1642" s="94"/>
      <c r="AB1642" s="1"/>
      <c r="AC1642" s="1"/>
      <c r="AD1642" s="1"/>
      <c r="AE1642" s="30"/>
      <c r="AF1642" s="633"/>
      <c r="AG1642" s="94"/>
      <c r="AH1642" s="94"/>
      <c r="AI1642" s="94"/>
      <c r="AJ1642" s="94"/>
      <c r="AK1642" s="94"/>
      <c r="AL1642" s="94"/>
    </row>
    <row r="1643" spans="3:38">
      <c r="C1643" s="30"/>
      <c r="F1643" s="95"/>
      <c r="G1643" s="1"/>
      <c r="H1643" s="94"/>
      <c r="I1643" s="90"/>
      <c r="J1643" s="90"/>
      <c r="K1643" s="1"/>
      <c r="L1643" s="74"/>
      <c r="M1643" s="633"/>
      <c r="N1643" s="274"/>
      <c r="O1643" s="94"/>
      <c r="P1643" s="94"/>
      <c r="Q1643" s="94"/>
      <c r="R1643" s="94"/>
      <c r="S1643" s="94"/>
      <c r="V1643" s="30"/>
      <c r="W1643" s="30"/>
      <c r="X1643" s="1"/>
      <c r="Y1643" s="95"/>
      <c r="Z1643" s="1"/>
      <c r="AA1643" s="94"/>
      <c r="AB1643" s="1"/>
      <c r="AC1643" s="1"/>
      <c r="AD1643" s="1"/>
      <c r="AE1643" s="30"/>
      <c r="AF1643" s="633"/>
      <c r="AG1643" s="94"/>
      <c r="AH1643" s="94"/>
      <c r="AI1643" s="94"/>
      <c r="AJ1643" s="94"/>
      <c r="AK1643" s="94"/>
      <c r="AL1643" s="94"/>
    </row>
    <row r="1644" spans="3:38">
      <c r="C1644" s="30"/>
      <c r="F1644" s="95"/>
      <c r="G1644" s="1"/>
      <c r="H1644" s="94"/>
      <c r="I1644" s="90"/>
      <c r="J1644" s="90"/>
      <c r="K1644" s="1"/>
      <c r="L1644" s="74"/>
      <c r="M1644" s="633"/>
      <c r="N1644" s="274"/>
      <c r="O1644" s="94"/>
      <c r="P1644" s="94"/>
      <c r="Q1644" s="94"/>
      <c r="R1644" s="94"/>
      <c r="S1644" s="94"/>
      <c r="V1644" s="30"/>
      <c r="W1644" s="30"/>
      <c r="X1644" s="1"/>
      <c r="Y1644" s="95"/>
      <c r="Z1644" s="1"/>
      <c r="AA1644" s="94"/>
      <c r="AB1644" s="1"/>
      <c r="AC1644" s="1"/>
      <c r="AD1644" s="1"/>
      <c r="AE1644" s="30"/>
      <c r="AF1644" s="633"/>
      <c r="AG1644" s="94"/>
      <c r="AH1644" s="94"/>
      <c r="AI1644" s="94"/>
      <c r="AJ1644" s="94"/>
      <c r="AK1644" s="94"/>
      <c r="AL1644" s="94"/>
    </row>
    <row r="1645" spans="3:38">
      <c r="C1645" s="30"/>
      <c r="F1645" s="95"/>
      <c r="G1645" s="1"/>
      <c r="H1645" s="94"/>
      <c r="I1645" s="90"/>
      <c r="J1645" s="90"/>
      <c r="K1645" s="1"/>
      <c r="L1645" s="74"/>
      <c r="M1645" s="633"/>
      <c r="N1645" s="274"/>
      <c r="O1645" s="94"/>
      <c r="P1645" s="94"/>
      <c r="Q1645" s="94"/>
      <c r="R1645" s="94"/>
      <c r="S1645" s="94"/>
      <c r="V1645" s="30"/>
      <c r="W1645" s="30"/>
      <c r="X1645" s="1"/>
      <c r="Y1645" s="95"/>
      <c r="Z1645" s="1"/>
      <c r="AA1645" s="94"/>
      <c r="AB1645" s="1"/>
      <c r="AC1645" s="1"/>
      <c r="AD1645" s="1"/>
      <c r="AE1645" s="30"/>
      <c r="AF1645" s="633"/>
      <c r="AG1645" s="94"/>
      <c r="AH1645" s="94"/>
      <c r="AI1645" s="94"/>
      <c r="AJ1645" s="94"/>
      <c r="AK1645" s="94"/>
      <c r="AL1645" s="94"/>
    </row>
    <row r="1646" spans="3:38">
      <c r="C1646" s="30"/>
      <c r="F1646" s="95"/>
      <c r="G1646" s="1"/>
      <c r="H1646" s="94"/>
      <c r="I1646" s="90"/>
      <c r="J1646" s="90"/>
      <c r="K1646" s="1"/>
      <c r="L1646" s="74"/>
      <c r="M1646" s="633"/>
      <c r="N1646" s="274"/>
      <c r="O1646" s="94"/>
      <c r="P1646" s="94"/>
      <c r="Q1646" s="94"/>
      <c r="R1646" s="94"/>
      <c r="S1646" s="94"/>
      <c r="V1646" s="30"/>
      <c r="W1646" s="30"/>
      <c r="X1646" s="1"/>
      <c r="Y1646" s="95"/>
      <c r="Z1646" s="1"/>
      <c r="AA1646" s="94"/>
      <c r="AB1646" s="1"/>
      <c r="AC1646" s="1"/>
      <c r="AD1646" s="1"/>
      <c r="AE1646" s="30"/>
      <c r="AF1646" s="633"/>
      <c r="AG1646" s="94"/>
      <c r="AH1646" s="94"/>
      <c r="AI1646" s="94"/>
      <c r="AJ1646" s="94"/>
      <c r="AK1646" s="94"/>
      <c r="AL1646" s="94"/>
    </row>
    <row r="1647" spans="3:38">
      <c r="C1647" s="30"/>
      <c r="F1647" s="95"/>
      <c r="G1647" s="1"/>
      <c r="H1647" s="94"/>
      <c r="I1647" s="90"/>
      <c r="J1647" s="90"/>
      <c r="K1647" s="1"/>
      <c r="L1647" s="74"/>
      <c r="M1647" s="633"/>
      <c r="N1647" s="274"/>
      <c r="O1647" s="94"/>
      <c r="P1647" s="94"/>
      <c r="Q1647" s="94"/>
      <c r="R1647" s="94"/>
      <c r="S1647" s="94"/>
      <c r="V1647" s="30"/>
      <c r="W1647" s="30"/>
      <c r="X1647" s="1"/>
      <c r="Y1647" s="95"/>
      <c r="Z1647" s="1"/>
      <c r="AA1647" s="94"/>
      <c r="AB1647" s="1"/>
      <c r="AC1647" s="1"/>
      <c r="AD1647" s="1"/>
      <c r="AE1647" s="30"/>
      <c r="AF1647" s="633"/>
      <c r="AG1647" s="94"/>
      <c r="AH1647" s="94"/>
      <c r="AI1647" s="94"/>
      <c r="AJ1647" s="94"/>
      <c r="AK1647" s="94"/>
      <c r="AL1647" s="94"/>
    </row>
    <row r="1648" spans="3:38">
      <c r="C1648" s="30"/>
      <c r="F1648" s="95"/>
      <c r="G1648" s="1"/>
      <c r="H1648" s="94"/>
      <c r="I1648" s="90"/>
      <c r="J1648" s="90"/>
      <c r="K1648" s="1"/>
      <c r="L1648" s="74"/>
      <c r="M1648" s="633"/>
      <c r="N1648" s="274"/>
      <c r="O1648" s="94"/>
      <c r="P1648" s="94"/>
      <c r="Q1648" s="94"/>
      <c r="R1648" s="94"/>
      <c r="S1648" s="94"/>
      <c r="V1648" s="30"/>
      <c r="W1648" s="30"/>
      <c r="X1648" s="1"/>
      <c r="Y1648" s="95"/>
      <c r="Z1648" s="1"/>
      <c r="AA1648" s="94"/>
      <c r="AB1648" s="1"/>
      <c r="AC1648" s="1"/>
      <c r="AD1648" s="1"/>
      <c r="AE1648" s="30"/>
      <c r="AF1648" s="633"/>
      <c r="AG1648" s="94"/>
      <c r="AH1648" s="94"/>
      <c r="AI1648" s="94"/>
      <c r="AJ1648" s="94"/>
      <c r="AK1648" s="94"/>
      <c r="AL1648" s="94"/>
    </row>
    <row r="1649" spans="3:38">
      <c r="C1649" s="30"/>
      <c r="F1649" s="95"/>
      <c r="G1649" s="1"/>
      <c r="H1649" s="94"/>
      <c r="I1649" s="90"/>
      <c r="J1649" s="90"/>
      <c r="K1649" s="1"/>
      <c r="L1649" s="74"/>
      <c r="M1649" s="633"/>
      <c r="N1649" s="274"/>
      <c r="O1649" s="94"/>
      <c r="P1649" s="94"/>
      <c r="Q1649" s="94"/>
      <c r="R1649" s="94"/>
      <c r="S1649" s="94"/>
      <c r="V1649" s="30"/>
      <c r="W1649" s="30"/>
      <c r="X1649" s="1"/>
      <c r="Y1649" s="95"/>
      <c r="Z1649" s="1"/>
      <c r="AA1649" s="94"/>
      <c r="AB1649" s="1"/>
      <c r="AC1649" s="1"/>
      <c r="AD1649" s="1"/>
      <c r="AE1649" s="30"/>
      <c r="AF1649" s="633"/>
      <c r="AG1649" s="94"/>
      <c r="AH1649" s="94"/>
      <c r="AI1649" s="94"/>
      <c r="AJ1649" s="94"/>
      <c r="AK1649" s="94"/>
      <c r="AL1649" s="94"/>
    </row>
    <row r="1650" spans="3:38">
      <c r="C1650" s="30"/>
      <c r="F1650" s="95"/>
      <c r="G1650" s="1"/>
      <c r="H1650" s="94"/>
      <c r="I1650" s="90"/>
      <c r="J1650" s="90"/>
      <c r="K1650" s="1"/>
      <c r="L1650" s="74"/>
      <c r="M1650" s="633"/>
      <c r="N1650" s="274"/>
      <c r="O1650" s="94"/>
      <c r="P1650" s="94"/>
      <c r="Q1650" s="94"/>
      <c r="R1650" s="94"/>
      <c r="S1650" s="94"/>
      <c r="V1650" s="30"/>
      <c r="W1650" s="30"/>
      <c r="X1650" s="1"/>
      <c r="Y1650" s="95"/>
      <c r="Z1650" s="1"/>
      <c r="AA1650" s="94"/>
      <c r="AB1650" s="1"/>
      <c r="AC1650" s="1"/>
      <c r="AD1650" s="1"/>
      <c r="AE1650" s="30"/>
      <c r="AF1650" s="633"/>
      <c r="AG1650" s="94"/>
      <c r="AH1650" s="94"/>
      <c r="AI1650" s="94"/>
      <c r="AJ1650" s="94"/>
      <c r="AK1650" s="94"/>
      <c r="AL1650" s="94"/>
    </row>
    <row r="1651" spans="3:38">
      <c r="C1651" s="30"/>
      <c r="F1651" s="95"/>
      <c r="G1651" s="1"/>
      <c r="H1651" s="94"/>
      <c r="I1651" s="90"/>
      <c r="J1651" s="90"/>
      <c r="K1651" s="1"/>
      <c r="L1651" s="74"/>
      <c r="M1651" s="633"/>
      <c r="N1651" s="274"/>
      <c r="O1651" s="94"/>
      <c r="P1651" s="94"/>
      <c r="Q1651" s="94"/>
      <c r="R1651" s="94"/>
      <c r="S1651" s="94"/>
      <c r="V1651" s="30"/>
      <c r="W1651" s="30"/>
      <c r="X1651" s="1"/>
      <c r="Y1651" s="95"/>
      <c r="Z1651" s="1"/>
      <c r="AA1651" s="94"/>
      <c r="AB1651" s="1"/>
      <c r="AC1651" s="1"/>
      <c r="AD1651" s="1"/>
      <c r="AE1651" s="30"/>
      <c r="AF1651" s="633"/>
      <c r="AG1651" s="94"/>
      <c r="AH1651" s="94"/>
      <c r="AI1651" s="94"/>
      <c r="AJ1651" s="94"/>
      <c r="AK1651" s="94"/>
      <c r="AL1651" s="94"/>
    </row>
    <row r="1652" spans="3:38">
      <c r="C1652" s="30"/>
      <c r="F1652" s="95"/>
      <c r="G1652" s="1"/>
      <c r="H1652" s="94"/>
      <c r="I1652" s="90"/>
      <c r="J1652" s="90"/>
      <c r="K1652" s="1"/>
      <c r="L1652" s="74"/>
      <c r="M1652" s="633"/>
      <c r="N1652" s="274"/>
      <c r="O1652" s="94"/>
      <c r="P1652" s="94"/>
      <c r="Q1652" s="94"/>
      <c r="R1652" s="94"/>
      <c r="S1652" s="94"/>
      <c r="V1652" s="30"/>
      <c r="W1652" s="30"/>
      <c r="X1652" s="1"/>
      <c r="Y1652" s="95"/>
      <c r="Z1652" s="1"/>
      <c r="AA1652" s="94"/>
      <c r="AB1652" s="1"/>
      <c r="AC1652" s="1"/>
      <c r="AD1652" s="1"/>
      <c r="AE1652" s="30"/>
      <c r="AF1652" s="633"/>
      <c r="AG1652" s="94"/>
      <c r="AH1652" s="94"/>
      <c r="AI1652" s="94"/>
      <c r="AJ1652" s="94"/>
      <c r="AK1652" s="94"/>
      <c r="AL1652" s="94"/>
    </row>
    <row r="1653" spans="3:38">
      <c r="C1653" s="30"/>
      <c r="F1653" s="95"/>
      <c r="G1653" s="1"/>
      <c r="H1653" s="94"/>
      <c r="I1653" s="90"/>
      <c r="J1653" s="90"/>
      <c r="K1653" s="1"/>
      <c r="L1653" s="74"/>
      <c r="M1653" s="633"/>
      <c r="N1653" s="274"/>
      <c r="O1653" s="94"/>
      <c r="P1653" s="94"/>
      <c r="Q1653" s="94"/>
      <c r="R1653" s="94"/>
      <c r="S1653" s="94"/>
      <c r="V1653" s="30"/>
      <c r="W1653" s="30"/>
      <c r="X1653" s="1"/>
      <c r="Y1653" s="95"/>
      <c r="Z1653" s="1"/>
      <c r="AA1653" s="94"/>
      <c r="AB1653" s="1"/>
      <c r="AC1653" s="1"/>
      <c r="AD1653" s="1"/>
      <c r="AE1653" s="30"/>
      <c r="AF1653" s="633"/>
      <c r="AG1653" s="94"/>
      <c r="AH1653" s="94"/>
      <c r="AI1653" s="94"/>
      <c r="AJ1653" s="94"/>
      <c r="AK1653" s="94"/>
      <c r="AL1653" s="94"/>
    </row>
    <row r="1654" spans="3:38">
      <c r="C1654" s="30"/>
      <c r="F1654" s="95"/>
      <c r="G1654" s="1"/>
      <c r="H1654" s="94"/>
      <c r="I1654" s="90"/>
      <c r="J1654" s="90"/>
      <c r="K1654" s="1"/>
      <c r="L1654" s="74"/>
      <c r="M1654" s="633"/>
      <c r="N1654" s="274"/>
      <c r="O1654" s="94"/>
      <c r="P1654" s="94"/>
      <c r="Q1654" s="94"/>
      <c r="R1654" s="94"/>
      <c r="S1654" s="94"/>
      <c r="V1654" s="30"/>
      <c r="W1654" s="30"/>
      <c r="X1654" s="1"/>
      <c r="Y1654" s="95"/>
      <c r="Z1654" s="1"/>
      <c r="AA1654" s="94"/>
      <c r="AB1654" s="1"/>
      <c r="AC1654" s="1"/>
      <c r="AD1654" s="1"/>
      <c r="AE1654" s="30"/>
      <c r="AF1654" s="633"/>
      <c r="AG1654" s="94"/>
      <c r="AH1654" s="94"/>
      <c r="AI1654" s="94"/>
      <c r="AJ1654" s="94"/>
      <c r="AK1654" s="94"/>
      <c r="AL1654" s="94"/>
    </row>
    <row r="1655" spans="3:38">
      <c r="C1655" s="30"/>
      <c r="F1655" s="95"/>
      <c r="G1655" s="1"/>
      <c r="H1655" s="94"/>
      <c r="I1655" s="90"/>
      <c r="J1655" s="90"/>
      <c r="K1655" s="1"/>
      <c r="L1655" s="74"/>
      <c r="M1655" s="633"/>
      <c r="N1655" s="274"/>
      <c r="O1655" s="94"/>
      <c r="P1655" s="94"/>
      <c r="Q1655" s="94"/>
      <c r="R1655" s="94"/>
      <c r="S1655" s="94"/>
      <c r="V1655" s="30"/>
      <c r="W1655" s="30"/>
      <c r="X1655" s="1"/>
      <c r="Y1655" s="95"/>
      <c r="Z1655" s="1"/>
      <c r="AA1655" s="94"/>
      <c r="AB1655" s="1"/>
      <c r="AC1655" s="1"/>
      <c r="AD1655" s="1"/>
      <c r="AE1655" s="30"/>
      <c r="AF1655" s="633"/>
      <c r="AG1655" s="94"/>
      <c r="AH1655" s="94"/>
      <c r="AI1655" s="94"/>
      <c r="AJ1655" s="94"/>
      <c r="AK1655" s="94"/>
      <c r="AL1655" s="94"/>
    </row>
    <row r="1656" spans="3:38">
      <c r="C1656" s="30"/>
      <c r="F1656" s="95"/>
      <c r="G1656" s="1"/>
      <c r="H1656" s="94"/>
      <c r="I1656" s="90"/>
      <c r="J1656" s="90"/>
      <c r="K1656" s="1"/>
      <c r="L1656" s="74"/>
      <c r="M1656" s="633"/>
      <c r="N1656" s="274"/>
      <c r="O1656" s="94"/>
      <c r="P1656" s="94"/>
      <c r="Q1656" s="94"/>
      <c r="R1656" s="94"/>
      <c r="S1656" s="94"/>
      <c r="V1656" s="30"/>
      <c r="W1656" s="30"/>
      <c r="X1656" s="1"/>
      <c r="Y1656" s="95"/>
      <c r="Z1656" s="1"/>
      <c r="AA1656" s="94"/>
      <c r="AB1656" s="1"/>
      <c r="AC1656" s="1"/>
      <c r="AD1656" s="1"/>
      <c r="AE1656" s="30"/>
      <c r="AF1656" s="633"/>
      <c r="AG1656" s="94"/>
      <c r="AH1656" s="94"/>
      <c r="AI1656" s="94"/>
      <c r="AJ1656" s="94"/>
      <c r="AK1656" s="94"/>
      <c r="AL1656" s="94"/>
    </row>
    <row r="1657" spans="3:38">
      <c r="C1657" s="30"/>
      <c r="F1657" s="95"/>
      <c r="G1657" s="1"/>
      <c r="H1657" s="94"/>
      <c r="I1657" s="90"/>
      <c r="J1657" s="90"/>
      <c r="K1657" s="1"/>
      <c r="L1657" s="74"/>
      <c r="M1657" s="633"/>
      <c r="N1657" s="274"/>
      <c r="O1657" s="94"/>
      <c r="P1657" s="94"/>
      <c r="Q1657" s="94"/>
      <c r="R1657" s="94"/>
      <c r="S1657" s="94"/>
      <c r="V1657" s="30"/>
      <c r="W1657" s="30"/>
      <c r="X1657" s="1"/>
      <c r="Y1657" s="95"/>
      <c r="Z1657" s="1"/>
      <c r="AA1657" s="94"/>
      <c r="AB1657" s="1"/>
      <c r="AC1657" s="1"/>
      <c r="AD1657" s="1"/>
      <c r="AE1657" s="30"/>
      <c r="AF1657" s="633"/>
      <c r="AG1657" s="94"/>
      <c r="AH1657" s="94"/>
      <c r="AI1657" s="94"/>
      <c r="AJ1657" s="94"/>
      <c r="AK1657" s="94"/>
      <c r="AL1657" s="94"/>
    </row>
    <row r="1658" spans="3:38">
      <c r="C1658" s="30"/>
      <c r="F1658" s="95"/>
      <c r="G1658" s="1"/>
      <c r="H1658" s="94"/>
      <c r="I1658" s="90"/>
      <c r="J1658" s="90"/>
      <c r="K1658" s="1"/>
      <c r="L1658" s="74"/>
      <c r="M1658" s="633"/>
      <c r="N1658" s="274"/>
      <c r="O1658" s="94"/>
      <c r="P1658" s="94"/>
      <c r="Q1658" s="94"/>
      <c r="R1658" s="94"/>
      <c r="S1658" s="94"/>
      <c r="V1658" s="30"/>
      <c r="W1658" s="30"/>
      <c r="X1658" s="1"/>
      <c r="Y1658" s="95"/>
      <c r="Z1658" s="1"/>
      <c r="AA1658" s="94"/>
      <c r="AB1658" s="1"/>
      <c r="AC1658" s="1"/>
      <c r="AD1658" s="1"/>
      <c r="AE1658" s="30"/>
      <c r="AF1658" s="633"/>
      <c r="AG1658" s="94"/>
      <c r="AH1658" s="94"/>
      <c r="AI1658" s="94"/>
      <c r="AJ1658" s="94"/>
      <c r="AK1658" s="94"/>
      <c r="AL1658" s="94"/>
    </row>
    <row r="1659" spans="3:38">
      <c r="C1659" s="30"/>
      <c r="F1659" s="95"/>
      <c r="G1659" s="1"/>
      <c r="H1659" s="94"/>
      <c r="I1659" s="90"/>
      <c r="J1659" s="90"/>
      <c r="K1659" s="1"/>
      <c r="L1659" s="74"/>
      <c r="M1659" s="633"/>
      <c r="N1659" s="274"/>
      <c r="O1659" s="94"/>
      <c r="P1659" s="94"/>
      <c r="Q1659" s="94"/>
      <c r="R1659" s="94"/>
      <c r="S1659" s="94"/>
      <c r="V1659" s="30"/>
      <c r="W1659" s="30"/>
      <c r="X1659" s="1"/>
      <c r="Y1659" s="95"/>
      <c r="Z1659" s="1"/>
      <c r="AA1659" s="94"/>
      <c r="AB1659" s="1"/>
      <c r="AC1659" s="1"/>
      <c r="AD1659" s="1"/>
      <c r="AE1659" s="30"/>
      <c r="AF1659" s="633"/>
      <c r="AG1659" s="94"/>
      <c r="AH1659" s="94"/>
      <c r="AI1659" s="94"/>
      <c r="AJ1659" s="94"/>
      <c r="AK1659" s="94"/>
      <c r="AL1659" s="94"/>
    </row>
    <row r="1660" spans="3:38">
      <c r="C1660" s="30"/>
      <c r="F1660" s="95"/>
      <c r="G1660" s="1"/>
      <c r="H1660" s="94"/>
      <c r="I1660" s="90"/>
      <c r="J1660" s="90"/>
      <c r="K1660" s="1"/>
      <c r="L1660" s="74"/>
      <c r="M1660" s="633"/>
      <c r="N1660" s="274"/>
      <c r="O1660" s="94"/>
      <c r="P1660" s="94"/>
      <c r="Q1660" s="94"/>
      <c r="R1660" s="94"/>
      <c r="S1660" s="94"/>
      <c r="V1660" s="30"/>
      <c r="W1660" s="30"/>
      <c r="X1660" s="1"/>
      <c r="Y1660" s="95"/>
      <c r="Z1660" s="1"/>
      <c r="AA1660" s="94"/>
      <c r="AB1660" s="1"/>
      <c r="AC1660" s="1"/>
      <c r="AD1660" s="1"/>
      <c r="AE1660" s="30"/>
      <c r="AF1660" s="633"/>
      <c r="AG1660" s="94"/>
      <c r="AH1660" s="94"/>
      <c r="AI1660" s="94"/>
      <c r="AJ1660" s="94"/>
      <c r="AK1660" s="94"/>
      <c r="AL1660" s="94"/>
    </row>
    <row r="1661" spans="3:38">
      <c r="C1661" s="30"/>
      <c r="F1661" s="95"/>
      <c r="G1661" s="1"/>
      <c r="H1661" s="94"/>
      <c r="I1661" s="90"/>
      <c r="J1661" s="90"/>
      <c r="K1661" s="1"/>
      <c r="L1661" s="74"/>
      <c r="M1661" s="633"/>
      <c r="N1661" s="274"/>
      <c r="O1661" s="94"/>
      <c r="P1661" s="94"/>
      <c r="Q1661" s="94"/>
      <c r="R1661" s="94"/>
      <c r="S1661" s="94"/>
      <c r="V1661" s="30"/>
      <c r="W1661" s="30"/>
      <c r="X1661" s="1"/>
      <c r="Y1661" s="95"/>
      <c r="Z1661" s="1"/>
      <c r="AA1661" s="94"/>
      <c r="AB1661" s="1"/>
      <c r="AC1661" s="1"/>
      <c r="AD1661" s="1"/>
      <c r="AE1661" s="30"/>
      <c r="AF1661" s="633"/>
      <c r="AG1661" s="94"/>
      <c r="AH1661" s="94"/>
      <c r="AI1661" s="94"/>
      <c r="AJ1661" s="94"/>
      <c r="AK1661" s="94"/>
      <c r="AL1661" s="94"/>
    </row>
    <row r="1662" spans="3:38">
      <c r="C1662" s="30"/>
      <c r="F1662" s="95"/>
      <c r="G1662" s="1"/>
      <c r="H1662" s="94"/>
      <c r="I1662" s="90"/>
      <c r="J1662" s="90"/>
      <c r="K1662" s="1"/>
      <c r="L1662" s="74"/>
      <c r="M1662" s="633"/>
      <c r="N1662" s="274"/>
      <c r="O1662" s="94"/>
      <c r="P1662" s="94"/>
      <c r="Q1662" s="94"/>
      <c r="R1662" s="94"/>
      <c r="S1662" s="94"/>
      <c r="V1662" s="30"/>
      <c r="W1662" s="30"/>
      <c r="X1662" s="1"/>
      <c r="Y1662" s="95"/>
      <c r="Z1662" s="1"/>
      <c r="AA1662" s="94"/>
      <c r="AB1662" s="1"/>
      <c r="AC1662" s="1"/>
      <c r="AD1662" s="1"/>
      <c r="AE1662" s="30"/>
      <c r="AF1662" s="633"/>
      <c r="AG1662" s="94"/>
      <c r="AH1662" s="94"/>
      <c r="AI1662" s="94"/>
      <c r="AJ1662" s="94"/>
      <c r="AK1662" s="94"/>
      <c r="AL1662" s="94"/>
    </row>
    <row r="1663" spans="3:38">
      <c r="C1663" s="30"/>
      <c r="F1663" s="95"/>
      <c r="G1663" s="1"/>
      <c r="H1663" s="94"/>
      <c r="I1663" s="90"/>
      <c r="J1663" s="90"/>
      <c r="K1663" s="1"/>
      <c r="L1663" s="74"/>
      <c r="M1663" s="633"/>
      <c r="N1663" s="274"/>
      <c r="O1663" s="94"/>
      <c r="P1663" s="94"/>
      <c r="Q1663" s="94"/>
      <c r="R1663" s="94"/>
      <c r="S1663" s="94"/>
      <c r="V1663" s="30"/>
      <c r="W1663" s="30"/>
      <c r="X1663" s="1"/>
      <c r="Y1663" s="95"/>
      <c r="Z1663" s="1"/>
      <c r="AA1663" s="94"/>
      <c r="AB1663" s="1"/>
      <c r="AC1663" s="1"/>
      <c r="AD1663" s="1"/>
      <c r="AE1663" s="30"/>
      <c r="AF1663" s="633"/>
      <c r="AG1663" s="94"/>
      <c r="AH1663" s="94"/>
      <c r="AI1663" s="94"/>
      <c r="AJ1663" s="94"/>
      <c r="AK1663" s="94"/>
      <c r="AL1663" s="94"/>
    </row>
    <row r="1664" spans="3:38">
      <c r="C1664" s="30"/>
      <c r="F1664" s="95"/>
      <c r="G1664" s="1"/>
      <c r="H1664" s="94"/>
      <c r="I1664" s="90"/>
      <c r="J1664" s="90"/>
      <c r="K1664" s="1"/>
      <c r="L1664" s="74"/>
      <c r="M1664" s="633"/>
      <c r="N1664" s="274"/>
      <c r="O1664" s="94"/>
      <c r="P1664" s="94"/>
      <c r="Q1664" s="94"/>
      <c r="R1664" s="94"/>
      <c r="S1664" s="94"/>
      <c r="V1664" s="30"/>
      <c r="W1664" s="30"/>
      <c r="X1664" s="1"/>
      <c r="Y1664" s="95"/>
      <c r="Z1664" s="1"/>
      <c r="AA1664" s="94"/>
      <c r="AB1664" s="1"/>
      <c r="AC1664" s="1"/>
      <c r="AD1664" s="1"/>
      <c r="AE1664" s="30"/>
      <c r="AF1664" s="633"/>
      <c r="AG1664" s="94"/>
      <c r="AH1664" s="94"/>
      <c r="AI1664" s="94"/>
      <c r="AJ1664" s="94"/>
      <c r="AK1664" s="94"/>
      <c r="AL1664" s="94"/>
    </row>
    <row r="1665" spans="3:38">
      <c r="C1665" s="30"/>
      <c r="F1665" s="95"/>
      <c r="G1665" s="1"/>
      <c r="H1665" s="94"/>
      <c r="I1665" s="90"/>
      <c r="J1665" s="90"/>
      <c r="K1665" s="1"/>
      <c r="L1665" s="74"/>
      <c r="M1665" s="633"/>
      <c r="N1665" s="274"/>
      <c r="O1665" s="94"/>
      <c r="P1665" s="94"/>
      <c r="Q1665" s="94"/>
      <c r="R1665" s="94"/>
      <c r="S1665" s="94"/>
      <c r="V1665" s="30"/>
      <c r="W1665" s="30"/>
      <c r="X1665" s="1"/>
      <c r="Y1665" s="95"/>
      <c r="Z1665" s="1"/>
      <c r="AA1665" s="94"/>
      <c r="AB1665" s="1"/>
      <c r="AC1665" s="1"/>
      <c r="AD1665" s="1"/>
      <c r="AE1665" s="30"/>
      <c r="AF1665" s="633"/>
      <c r="AG1665" s="94"/>
      <c r="AH1665" s="94"/>
      <c r="AI1665" s="94"/>
      <c r="AJ1665" s="94"/>
      <c r="AK1665" s="94"/>
      <c r="AL1665" s="94"/>
    </row>
    <row r="1666" spans="3:38">
      <c r="C1666" s="30"/>
      <c r="F1666" s="95"/>
      <c r="G1666" s="1"/>
      <c r="H1666" s="94"/>
      <c r="I1666" s="90"/>
      <c r="J1666" s="90"/>
      <c r="K1666" s="1"/>
      <c r="L1666" s="74"/>
      <c r="M1666" s="633"/>
      <c r="N1666" s="274"/>
      <c r="O1666" s="94"/>
      <c r="P1666" s="94"/>
      <c r="Q1666" s="94"/>
      <c r="R1666" s="94"/>
      <c r="S1666" s="94"/>
      <c r="V1666" s="30"/>
      <c r="W1666" s="30"/>
      <c r="X1666" s="1"/>
      <c r="Y1666" s="95"/>
      <c r="Z1666" s="1"/>
      <c r="AA1666" s="94"/>
      <c r="AB1666" s="1"/>
      <c r="AC1666" s="1"/>
      <c r="AD1666" s="1"/>
      <c r="AE1666" s="30"/>
      <c r="AF1666" s="633"/>
      <c r="AG1666" s="94"/>
      <c r="AH1666" s="94"/>
      <c r="AI1666" s="94"/>
      <c r="AJ1666" s="94"/>
      <c r="AK1666" s="94"/>
      <c r="AL1666" s="94"/>
    </row>
    <row r="1667" spans="3:38">
      <c r="C1667" s="30"/>
      <c r="F1667" s="95"/>
      <c r="G1667" s="1"/>
      <c r="H1667" s="94"/>
      <c r="I1667" s="90"/>
      <c r="J1667" s="90"/>
      <c r="K1667" s="1"/>
      <c r="L1667" s="74"/>
      <c r="M1667" s="633"/>
      <c r="N1667" s="274"/>
      <c r="O1667" s="94"/>
      <c r="P1667" s="94"/>
      <c r="Q1667" s="94"/>
      <c r="R1667" s="94"/>
      <c r="S1667" s="94"/>
      <c r="V1667" s="30"/>
      <c r="W1667" s="30"/>
      <c r="X1667" s="1"/>
      <c r="Y1667" s="95"/>
      <c r="Z1667" s="1"/>
      <c r="AA1667" s="94"/>
      <c r="AB1667" s="1"/>
      <c r="AC1667" s="1"/>
      <c r="AD1667" s="1"/>
      <c r="AE1667" s="30"/>
      <c r="AF1667" s="633"/>
      <c r="AG1667" s="94"/>
      <c r="AH1667" s="94"/>
      <c r="AI1667" s="94"/>
      <c r="AJ1667" s="94"/>
      <c r="AK1667" s="94"/>
      <c r="AL1667" s="94"/>
    </row>
    <row r="1668" spans="3:38">
      <c r="C1668" s="30"/>
      <c r="F1668" s="95"/>
      <c r="G1668" s="1"/>
      <c r="H1668" s="94"/>
      <c r="I1668" s="90"/>
      <c r="J1668" s="90"/>
      <c r="K1668" s="1"/>
      <c r="L1668" s="74"/>
      <c r="M1668" s="633"/>
      <c r="N1668" s="274"/>
      <c r="O1668" s="94"/>
      <c r="P1668" s="94"/>
      <c r="Q1668" s="94"/>
      <c r="R1668" s="94"/>
      <c r="S1668" s="94"/>
      <c r="V1668" s="30"/>
      <c r="W1668" s="30"/>
      <c r="X1668" s="1"/>
      <c r="Y1668" s="95"/>
      <c r="Z1668" s="1"/>
      <c r="AA1668" s="94"/>
      <c r="AB1668" s="1"/>
      <c r="AC1668" s="1"/>
      <c r="AD1668" s="1"/>
      <c r="AE1668" s="30"/>
      <c r="AF1668" s="633"/>
      <c r="AG1668" s="94"/>
      <c r="AH1668" s="94"/>
      <c r="AI1668" s="94"/>
      <c r="AJ1668" s="94"/>
      <c r="AK1668" s="94"/>
      <c r="AL1668" s="94"/>
    </row>
    <row r="1669" spans="3:38">
      <c r="C1669" s="30"/>
      <c r="F1669" s="95"/>
      <c r="G1669" s="1"/>
      <c r="H1669" s="94"/>
      <c r="I1669" s="90"/>
      <c r="J1669" s="90"/>
      <c r="K1669" s="1"/>
      <c r="L1669" s="74"/>
      <c r="M1669" s="633"/>
      <c r="N1669" s="274"/>
      <c r="O1669" s="94"/>
      <c r="P1669" s="94"/>
      <c r="Q1669" s="94"/>
      <c r="R1669" s="94"/>
      <c r="S1669" s="94"/>
      <c r="V1669" s="30"/>
      <c r="W1669" s="30"/>
      <c r="X1669" s="1"/>
      <c r="Y1669" s="95"/>
      <c r="Z1669" s="1"/>
      <c r="AA1669" s="94"/>
      <c r="AB1669" s="1"/>
      <c r="AC1669" s="1"/>
      <c r="AD1669" s="1"/>
      <c r="AE1669" s="30"/>
      <c r="AF1669" s="633"/>
      <c r="AG1669" s="94"/>
      <c r="AH1669" s="94"/>
      <c r="AI1669" s="94"/>
      <c r="AJ1669" s="94"/>
      <c r="AK1669" s="94"/>
      <c r="AL1669" s="94"/>
    </row>
    <row r="1670" spans="3:38">
      <c r="C1670" s="30"/>
      <c r="F1670" s="95"/>
      <c r="G1670" s="1"/>
      <c r="H1670" s="94"/>
      <c r="I1670" s="90"/>
      <c r="J1670" s="90"/>
      <c r="K1670" s="1"/>
      <c r="L1670" s="74"/>
      <c r="M1670" s="633"/>
      <c r="N1670" s="274"/>
      <c r="O1670" s="94"/>
      <c r="P1670" s="94"/>
      <c r="Q1670" s="94"/>
      <c r="R1670" s="94"/>
      <c r="S1670" s="94"/>
      <c r="V1670" s="30"/>
      <c r="W1670" s="30"/>
      <c r="X1670" s="1"/>
      <c r="Y1670" s="95"/>
      <c r="Z1670" s="1"/>
      <c r="AA1670" s="94"/>
      <c r="AB1670" s="1"/>
      <c r="AC1670" s="1"/>
      <c r="AD1670" s="1"/>
      <c r="AE1670" s="30"/>
      <c r="AF1670" s="633"/>
      <c r="AG1670" s="94"/>
      <c r="AH1670" s="94"/>
      <c r="AI1670" s="94"/>
      <c r="AJ1670" s="94"/>
      <c r="AK1670" s="94"/>
      <c r="AL1670" s="94"/>
    </row>
    <row r="1671" spans="3:38">
      <c r="C1671" s="30"/>
      <c r="F1671" s="95"/>
      <c r="G1671" s="1"/>
      <c r="H1671" s="94"/>
      <c r="I1671" s="90"/>
      <c r="J1671" s="90"/>
      <c r="K1671" s="1"/>
      <c r="L1671" s="74"/>
      <c r="M1671" s="633"/>
      <c r="N1671" s="274"/>
      <c r="O1671" s="94"/>
      <c r="P1671" s="94"/>
      <c r="Q1671" s="94"/>
      <c r="R1671" s="94"/>
      <c r="S1671" s="94"/>
      <c r="V1671" s="30"/>
      <c r="W1671" s="30"/>
      <c r="X1671" s="1"/>
      <c r="Y1671" s="95"/>
      <c r="Z1671" s="1"/>
      <c r="AA1671" s="94"/>
      <c r="AB1671" s="1"/>
      <c r="AC1671" s="1"/>
      <c r="AD1671" s="1"/>
      <c r="AE1671" s="30"/>
      <c r="AF1671" s="633"/>
      <c r="AG1671" s="94"/>
      <c r="AH1671" s="94"/>
      <c r="AI1671" s="94"/>
      <c r="AJ1671" s="94"/>
      <c r="AK1671" s="94"/>
      <c r="AL1671" s="94"/>
    </row>
    <row r="1672" spans="3:38">
      <c r="C1672" s="30"/>
      <c r="F1672" s="95"/>
      <c r="G1672" s="1"/>
      <c r="H1672" s="94"/>
      <c r="I1672" s="90"/>
      <c r="J1672" s="90"/>
      <c r="K1672" s="1"/>
      <c r="L1672" s="74"/>
      <c r="M1672" s="633"/>
      <c r="N1672" s="274"/>
      <c r="O1672" s="94"/>
      <c r="P1672" s="94"/>
      <c r="Q1672" s="94"/>
      <c r="R1672" s="94"/>
      <c r="S1672" s="94"/>
      <c r="V1672" s="30"/>
      <c r="W1672" s="30"/>
      <c r="X1672" s="1"/>
      <c r="Y1672" s="95"/>
      <c r="Z1672" s="1"/>
      <c r="AA1672" s="94"/>
      <c r="AB1672" s="1"/>
      <c r="AC1672" s="1"/>
      <c r="AD1672" s="1"/>
      <c r="AE1672" s="30"/>
      <c r="AF1672" s="633"/>
      <c r="AG1672" s="94"/>
      <c r="AH1672" s="94"/>
      <c r="AI1672" s="94"/>
      <c r="AJ1672" s="94"/>
      <c r="AK1672" s="94"/>
      <c r="AL1672" s="94"/>
    </row>
    <row r="1673" spans="3:38">
      <c r="C1673" s="30"/>
      <c r="F1673" s="95"/>
      <c r="G1673" s="1"/>
      <c r="H1673" s="94"/>
      <c r="I1673" s="90"/>
      <c r="J1673" s="90"/>
      <c r="K1673" s="1"/>
      <c r="L1673" s="74"/>
      <c r="M1673" s="633"/>
      <c r="N1673" s="274"/>
      <c r="O1673" s="94"/>
      <c r="P1673" s="94"/>
      <c r="Q1673" s="94"/>
      <c r="R1673" s="94"/>
      <c r="S1673" s="94"/>
      <c r="V1673" s="30"/>
      <c r="W1673" s="30"/>
      <c r="X1673" s="1"/>
      <c r="Y1673" s="95"/>
      <c r="Z1673" s="1"/>
      <c r="AA1673" s="94"/>
      <c r="AB1673" s="1"/>
      <c r="AC1673" s="1"/>
      <c r="AD1673" s="1"/>
      <c r="AE1673" s="30"/>
      <c r="AF1673" s="633"/>
      <c r="AG1673" s="94"/>
      <c r="AH1673" s="94"/>
      <c r="AI1673" s="94"/>
      <c r="AJ1673" s="94"/>
      <c r="AK1673" s="94"/>
      <c r="AL1673" s="94"/>
    </row>
    <row r="1674" spans="3:38">
      <c r="C1674" s="30"/>
      <c r="F1674" s="95"/>
      <c r="G1674" s="1"/>
      <c r="H1674" s="94"/>
      <c r="I1674" s="90"/>
      <c r="J1674" s="90"/>
      <c r="K1674" s="1"/>
      <c r="L1674" s="74"/>
      <c r="M1674" s="633"/>
      <c r="N1674" s="274"/>
      <c r="O1674" s="94"/>
      <c r="P1674" s="94"/>
      <c r="Q1674" s="94"/>
      <c r="R1674" s="94"/>
      <c r="S1674" s="94"/>
      <c r="V1674" s="30"/>
      <c r="W1674" s="30"/>
      <c r="X1674" s="1"/>
      <c r="Y1674" s="95"/>
      <c r="Z1674" s="1"/>
      <c r="AA1674" s="94"/>
      <c r="AB1674" s="1"/>
      <c r="AC1674" s="1"/>
      <c r="AD1674" s="1"/>
      <c r="AE1674" s="30"/>
      <c r="AF1674" s="633"/>
      <c r="AG1674" s="94"/>
      <c r="AH1674" s="94"/>
      <c r="AI1674" s="94"/>
      <c r="AJ1674" s="94"/>
      <c r="AK1674" s="94"/>
      <c r="AL1674" s="94"/>
    </row>
    <row r="1675" spans="3:38">
      <c r="C1675" s="30"/>
      <c r="F1675" s="95"/>
      <c r="G1675" s="1"/>
      <c r="H1675" s="94"/>
      <c r="I1675" s="90"/>
      <c r="J1675" s="90"/>
      <c r="K1675" s="1"/>
      <c r="L1675" s="74"/>
      <c r="M1675" s="633"/>
      <c r="N1675" s="274"/>
      <c r="O1675" s="94"/>
      <c r="P1675" s="94"/>
      <c r="Q1675" s="94"/>
      <c r="R1675" s="94"/>
      <c r="S1675" s="94"/>
      <c r="V1675" s="30"/>
      <c r="W1675" s="30"/>
      <c r="X1675" s="1"/>
      <c r="Y1675" s="95"/>
      <c r="Z1675" s="1"/>
      <c r="AA1675" s="94"/>
      <c r="AB1675" s="1"/>
      <c r="AC1675" s="1"/>
      <c r="AD1675" s="1"/>
      <c r="AE1675" s="30"/>
      <c r="AF1675" s="633"/>
      <c r="AG1675" s="94"/>
      <c r="AH1675" s="94"/>
      <c r="AI1675" s="94"/>
      <c r="AJ1675" s="94"/>
      <c r="AK1675" s="94"/>
      <c r="AL1675" s="94"/>
    </row>
    <row r="1676" spans="3:38">
      <c r="C1676" s="30"/>
      <c r="F1676" s="95"/>
      <c r="G1676" s="1"/>
      <c r="H1676" s="94"/>
      <c r="I1676" s="90"/>
      <c r="J1676" s="90"/>
      <c r="K1676" s="1"/>
      <c r="L1676" s="74"/>
      <c r="M1676" s="633"/>
      <c r="N1676" s="274"/>
      <c r="O1676" s="94"/>
      <c r="P1676" s="94"/>
      <c r="Q1676" s="94"/>
      <c r="R1676" s="94"/>
      <c r="S1676" s="94"/>
      <c r="V1676" s="30"/>
      <c r="W1676" s="30"/>
      <c r="X1676" s="1"/>
      <c r="Y1676" s="95"/>
      <c r="Z1676" s="1"/>
      <c r="AA1676" s="94"/>
      <c r="AB1676" s="1"/>
      <c r="AC1676" s="1"/>
      <c r="AD1676" s="1"/>
      <c r="AE1676" s="30"/>
      <c r="AF1676" s="633"/>
      <c r="AG1676" s="94"/>
      <c r="AH1676" s="94"/>
      <c r="AI1676" s="94"/>
      <c r="AJ1676" s="94"/>
      <c r="AK1676" s="94"/>
      <c r="AL1676" s="94"/>
    </row>
    <row r="1677" spans="3:38">
      <c r="C1677" s="30"/>
      <c r="F1677" s="95"/>
      <c r="G1677" s="1"/>
      <c r="H1677" s="94"/>
      <c r="I1677" s="90"/>
      <c r="J1677" s="90"/>
      <c r="K1677" s="1"/>
      <c r="L1677" s="74"/>
      <c r="M1677" s="633"/>
      <c r="N1677" s="274"/>
      <c r="O1677" s="94"/>
      <c r="P1677" s="94"/>
      <c r="Q1677" s="94"/>
      <c r="R1677" s="94"/>
      <c r="S1677" s="94"/>
      <c r="V1677" s="30"/>
      <c r="W1677" s="30"/>
      <c r="X1677" s="1"/>
      <c r="Y1677" s="95"/>
      <c r="Z1677" s="1"/>
      <c r="AA1677" s="94"/>
      <c r="AB1677" s="1"/>
      <c r="AC1677" s="1"/>
      <c r="AD1677" s="1"/>
      <c r="AE1677" s="30"/>
      <c r="AF1677" s="633"/>
      <c r="AG1677" s="94"/>
      <c r="AH1677" s="94"/>
      <c r="AI1677" s="94"/>
      <c r="AJ1677" s="94"/>
      <c r="AK1677" s="94"/>
      <c r="AL1677" s="94"/>
    </row>
    <row r="1678" spans="3:38">
      <c r="C1678" s="30"/>
      <c r="F1678" s="95"/>
      <c r="G1678" s="1"/>
      <c r="H1678" s="94"/>
      <c r="I1678" s="90"/>
      <c r="J1678" s="90"/>
      <c r="K1678" s="1"/>
      <c r="L1678" s="74"/>
      <c r="M1678" s="633"/>
      <c r="N1678" s="274"/>
      <c r="O1678" s="94"/>
      <c r="P1678" s="94"/>
      <c r="Q1678" s="94"/>
      <c r="R1678" s="94"/>
      <c r="S1678" s="94"/>
      <c r="V1678" s="30"/>
      <c r="W1678" s="30"/>
      <c r="X1678" s="1"/>
      <c r="Y1678" s="95"/>
      <c r="Z1678" s="1"/>
      <c r="AA1678" s="94"/>
      <c r="AB1678" s="1"/>
      <c r="AC1678" s="1"/>
      <c r="AD1678" s="1"/>
      <c r="AE1678" s="30"/>
      <c r="AF1678" s="633"/>
      <c r="AG1678" s="94"/>
      <c r="AH1678" s="94"/>
      <c r="AI1678" s="94"/>
      <c r="AJ1678" s="94"/>
      <c r="AK1678" s="94"/>
      <c r="AL1678" s="94"/>
    </row>
    <row r="1679" spans="3:38">
      <c r="C1679" s="30"/>
      <c r="F1679" s="95"/>
      <c r="G1679" s="1"/>
      <c r="H1679" s="94"/>
      <c r="I1679" s="90"/>
      <c r="J1679" s="90"/>
      <c r="K1679" s="1"/>
      <c r="L1679" s="74"/>
      <c r="M1679" s="633"/>
      <c r="N1679" s="274"/>
      <c r="O1679" s="94"/>
      <c r="P1679" s="94"/>
      <c r="Q1679" s="94"/>
      <c r="R1679" s="94"/>
      <c r="S1679" s="94"/>
      <c r="V1679" s="30"/>
      <c r="W1679" s="30"/>
      <c r="X1679" s="1"/>
      <c r="Y1679" s="95"/>
      <c r="Z1679" s="1"/>
      <c r="AA1679" s="94"/>
      <c r="AB1679" s="1"/>
      <c r="AC1679" s="1"/>
      <c r="AD1679" s="1"/>
      <c r="AE1679" s="30"/>
      <c r="AF1679" s="633"/>
      <c r="AG1679" s="94"/>
      <c r="AH1679" s="94"/>
      <c r="AI1679" s="94"/>
      <c r="AJ1679" s="94"/>
      <c r="AK1679" s="94"/>
      <c r="AL1679" s="94"/>
    </row>
    <row r="1680" spans="3:38">
      <c r="C1680" s="30"/>
      <c r="F1680" s="95"/>
      <c r="G1680" s="1"/>
      <c r="H1680" s="94"/>
      <c r="I1680" s="90"/>
      <c r="J1680" s="90"/>
      <c r="K1680" s="1"/>
      <c r="L1680" s="74"/>
      <c r="M1680" s="633"/>
      <c r="N1680" s="274"/>
      <c r="O1680" s="94"/>
      <c r="P1680" s="94"/>
      <c r="Q1680" s="94"/>
      <c r="R1680" s="94"/>
      <c r="S1680" s="94"/>
      <c r="V1680" s="30"/>
      <c r="W1680" s="30"/>
      <c r="X1680" s="1"/>
      <c r="Y1680" s="95"/>
      <c r="Z1680" s="1"/>
      <c r="AA1680" s="94"/>
      <c r="AB1680" s="1"/>
      <c r="AC1680" s="1"/>
      <c r="AD1680" s="1"/>
      <c r="AE1680" s="30"/>
      <c r="AF1680" s="633"/>
      <c r="AG1680" s="94"/>
      <c r="AH1680" s="94"/>
      <c r="AI1680" s="94"/>
      <c r="AJ1680" s="94"/>
      <c r="AK1680" s="94"/>
      <c r="AL1680" s="94"/>
    </row>
    <row r="1681" spans="3:38">
      <c r="C1681" s="30"/>
      <c r="F1681" s="95"/>
      <c r="G1681" s="1"/>
      <c r="H1681" s="94"/>
      <c r="I1681" s="90"/>
      <c r="J1681" s="90"/>
      <c r="K1681" s="1"/>
      <c r="L1681" s="74"/>
      <c r="M1681" s="633"/>
      <c r="N1681" s="274"/>
      <c r="O1681" s="94"/>
      <c r="P1681" s="94"/>
      <c r="Q1681" s="94"/>
      <c r="R1681" s="94"/>
      <c r="S1681" s="94"/>
      <c r="V1681" s="30"/>
      <c r="W1681" s="30"/>
      <c r="X1681" s="1"/>
      <c r="Y1681" s="95"/>
      <c r="Z1681" s="1"/>
      <c r="AA1681" s="94"/>
      <c r="AB1681" s="1"/>
      <c r="AC1681" s="1"/>
      <c r="AD1681" s="1"/>
      <c r="AE1681" s="30"/>
      <c r="AF1681" s="633"/>
      <c r="AG1681" s="94"/>
      <c r="AH1681" s="94"/>
      <c r="AI1681" s="94"/>
      <c r="AJ1681" s="94"/>
      <c r="AK1681" s="94"/>
      <c r="AL1681" s="94"/>
    </row>
    <row r="1682" spans="3:38">
      <c r="C1682" s="30"/>
      <c r="F1682" s="95"/>
      <c r="G1682" s="1"/>
      <c r="H1682" s="94"/>
      <c r="I1682" s="90"/>
      <c r="J1682" s="90"/>
      <c r="K1682" s="1"/>
      <c r="L1682" s="74"/>
      <c r="M1682" s="633"/>
      <c r="N1682" s="274"/>
      <c r="O1682" s="94"/>
      <c r="P1682" s="94"/>
      <c r="Q1682" s="94"/>
      <c r="R1682" s="94"/>
      <c r="S1682" s="94"/>
      <c r="V1682" s="30"/>
      <c r="W1682" s="30"/>
      <c r="X1682" s="1"/>
      <c r="Y1682" s="95"/>
      <c r="Z1682" s="1"/>
      <c r="AA1682" s="94"/>
      <c r="AB1682" s="1"/>
      <c r="AC1682" s="1"/>
      <c r="AD1682" s="1"/>
      <c r="AE1682" s="30"/>
      <c r="AF1682" s="633"/>
      <c r="AG1682" s="94"/>
      <c r="AH1682" s="94"/>
      <c r="AI1682" s="94"/>
      <c r="AJ1682" s="94"/>
      <c r="AK1682" s="94"/>
      <c r="AL1682" s="94"/>
    </row>
    <row r="1683" spans="3:38">
      <c r="C1683" s="30"/>
      <c r="F1683" s="95"/>
      <c r="G1683" s="1"/>
      <c r="H1683" s="94"/>
      <c r="I1683" s="90"/>
      <c r="J1683" s="90"/>
      <c r="K1683" s="1"/>
      <c r="L1683" s="74"/>
      <c r="M1683" s="633"/>
      <c r="N1683" s="274"/>
      <c r="O1683" s="94"/>
      <c r="P1683" s="94"/>
      <c r="Q1683" s="94"/>
      <c r="R1683" s="94"/>
      <c r="S1683" s="94"/>
      <c r="V1683" s="30"/>
      <c r="W1683" s="30"/>
      <c r="X1683" s="1"/>
      <c r="Y1683" s="95"/>
      <c r="Z1683" s="1"/>
      <c r="AA1683" s="94"/>
      <c r="AB1683" s="1"/>
      <c r="AC1683" s="1"/>
      <c r="AD1683" s="1"/>
      <c r="AE1683" s="30"/>
      <c r="AF1683" s="633"/>
      <c r="AG1683" s="94"/>
      <c r="AH1683" s="94"/>
      <c r="AI1683" s="94"/>
      <c r="AJ1683" s="94"/>
      <c r="AK1683" s="94"/>
      <c r="AL1683" s="94"/>
    </row>
    <row r="1684" spans="3:38">
      <c r="C1684" s="30"/>
      <c r="F1684" s="95"/>
      <c r="G1684" s="1"/>
      <c r="H1684" s="94"/>
      <c r="I1684" s="90"/>
      <c r="J1684" s="90"/>
      <c r="K1684" s="1"/>
      <c r="L1684" s="74"/>
      <c r="M1684" s="633"/>
      <c r="N1684" s="274"/>
      <c r="O1684" s="94"/>
      <c r="P1684" s="94"/>
      <c r="Q1684" s="94"/>
      <c r="R1684" s="94"/>
      <c r="S1684" s="94"/>
      <c r="V1684" s="30"/>
      <c r="W1684" s="30"/>
      <c r="X1684" s="1"/>
      <c r="Y1684" s="95"/>
      <c r="Z1684" s="1"/>
      <c r="AA1684" s="94"/>
      <c r="AB1684" s="1"/>
      <c r="AC1684" s="1"/>
      <c r="AD1684" s="1"/>
      <c r="AE1684" s="30"/>
      <c r="AF1684" s="633"/>
      <c r="AG1684" s="94"/>
      <c r="AH1684" s="94"/>
      <c r="AI1684" s="94"/>
      <c r="AJ1684" s="94"/>
      <c r="AK1684" s="94"/>
      <c r="AL1684" s="94"/>
    </row>
    <row r="1685" spans="3:38">
      <c r="C1685" s="30"/>
      <c r="F1685" s="95"/>
      <c r="G1685" s="1"/>
      <c r="H1685" s="94"/>
      <c r="I1685" s="90"/>
      <c r="J1685" s="90"/>
      <c r="K1685" s="1"/>
      <c r="L1685" s="74"/>
      <c r="M1685" s="633"/>
      <c r="N1685" s="274"/>
      <c r="O1685" s="94"/>
      <c r="P1685" s="94"/>
      <c r="Q1685" s="94"/>
      <c r="R1685" s="94"/>
      <c r="S1685" s="94"/>
      <c r="V1685" s="30"/>
      <c r="W1685" s="30"/>
      <c r="X1685" s="1"/>
      <c r="Y1685" s="95"/>
      <c r="Z1685" s="1"/>
      <c r="AA1685" s="94"/>
      <c r="AB1685" s="1"/>
      <c r="AC1685" s="1"/>
      <c r="AD1685" s="1"/>
      <c r="AE1685" s="30"/>
      <c r="AF1685" s="633"/>
      <c r="AG1685" s="94"/>
      <c r="AH1685" s="94"/>
      <c r="AI1685" s="94"/>
      <c r="AJ1685" s="94"/>
      <c r="AK1685" s="94"/>
      <c r="AL1685" s="94"/>
    </row>
    <row r="1686" spans="3:38">
      <c r="C1686" s="30"/>
      <c r="F1686" s="95"/>
      <c r="G1686" s="1"/>
      <c r="H1686" s="94"/>
      <c r="I1686" s="90"/>
      <c r="J1686" s="90"/>
      <c r="K1686" s="1"/>
      <c r="L1686" s="74"/>
      <c r="M1686" s="633"/>
      <c r="N1686" s="274"/>
      <c r="O1686" s="94"/>
      <c r="P1686" s="94"/>
      <c r="Q1686" s="94"/>
      <c r="R1686" s="94"/>
      <c r="S1686" s="94"/>
      <c r="V1686" s="30"/>
      <c r="W1686" s="30"/>
      <c r="X1686" s="1"/>
      <c r="Y1686" s="95"/>
      <c r="Z1686" s="1"/>
      <c r="AA1686" s="94"/>
      <c r="AB1686" s="1"/>
      <c r="AC1686" s="1"/>
      <c r="AD1686" s="1"/>
      <c r="AE1686" s="30"/>
      <c r="AF1686" s="633"/>
      <c r="AG1686" s="94"/>
      <c r="AH1686" s="94"/>
      <c r="AI1686" s="94"/>
      <c r="AJ1686" s="94"/>
      <c r="AK1686" s="94"/>
      <c r="AL1686" s="94"/>
    </row>
    <row r="1687" spans="3:38">
      <c r="C1687" s="30"/>
      <c r="F1687" s="95"/>
      <c r="G1687" s="1"/>
      <c r="H1687" s="94"/>
      <c r="I1687" s="90"/>
      <c r="J1687" s="90"/>
      <c r="K1687" s="1"/>
      <c r="L1687" s="74"/>
      <c r="M1687" s="633"/>
      <c r="N1687" s="274"/>
      <c r="O1687" s="94"/>
      <c r="P1687" s="94"/>
      <c r="Q1687" s="94"/>
      <c r="R1687" s="94"/>
      <c r="S1687" s="94"/>
      <c r="V1687" s="30"/>
      <c r="W1687" s="30"/>
      <c r="X1687" s="1"/>
      <c r="Y1687" s="95"/>
      <c r="Z1687" s="1"/>
      <c r="AA1687" s="94"/>
      <c r="AB1687" s="1"/>
      <c r="AC1687" s="1"/>
      <c r="AD1687" s="1"/>
      <c r="AE1687" s="30"/>
      <c r="AF1687" s="633"/>
      <c r="AG1687" s="94"/>
      <c r="AH1687" s="94"/>
      <c r="AI1687" s="94"/>
      <c r="AJ1687" s="94"/>
      <c r="AK1687" s="94"/>
      <c r="AL1687" s="94"/>
    </row>
    <row r="1688" spans="3:38">
      <c r="C1688" s="30"/>
      <c r="F1688" s="95"/>
      <c r="G1688" s="1"/>
      <c r="H1688" s="94"/>
      <c r="I1688" s="90"/>
      <c r="J1688" s="90"/>
      <c r="K1688" s="1"/>
      <c r="L1688" s="74"/>
      <c r="M1688" s="633"/>
      <c r="N1688" s="274"/>
      <c r="O1688" s="94"/>
      <c r="P1688" s="94"/>
      <c r="Q1688" s="94"/>
      <c r="R1688" s="94"/>
      <c r="S1688" s="94"/>
      <c r="V1688" s="30"/>
      <c r="W1688" s="30"/>
      <c r="X1688" s="1"/>
      <c r="Y1688" s="95"/>
      <c r="Z1688" s="1"/>
      <c r="AA1688" s="94"/>
      <c r="AB1688" s="1"/>
      <c r="AC1688" s="1"/>
      <c r="AD1688" s="1"/>
      <c r="AE1688" s="30"/>
      <c r="AF1688" s="633"/>
      <c r="AG1688" s="94"/>
      <c r="AH1688" s="94"/>
      <c r="AI1688" s="94"/>
      <c r="AJ1688" s="94"/>
      <c r="AK1688" s="94"/>
      <c r="AL1688" s="94"/>
    </row>
    <row r="1689" spans="3:38">
      <c r="C1689" s="30"/>
      <c r="F1689" s="95"/>
      <c r="G1689" s="1"/>
      <c r="H1689" s="94"/>
      <c r="I1689" s="90"/>
      <c r="J1689" s="90"/>
      <c r="K1689" s="1"/>
      <c r="L1689" s="74"/>
      <c r="M1689" s="633"/>
      <c r="N1689" s="274"/>
      <c r="O1689" s="94"/>
      <c r="P1689" s="94"/>
      <c r="Q1689" s="94"/>
      <c r="R1689" s="94"/>
      <c r="S1689" s="94"/>
      <c r="V1689" s="30"/>
      <c r="W1689" s="30"/>
      <c r="X1689" s="1"/>
      <c r="Y1689" s="95"/>
      <c r="Z1689" s="1"/>
      <c r="AA1689" s="94"/>
      <c r="AB1689" s="1"/>
      <c r="AC1689" s="1"/>
      <c r="AD1689" s="1"/>
      <c r="AE1689" s="30"/>
      <c r="AF1689" s="633"/>
      <c r="AG1689" s="94"/>
      <c r="AH1689" s="94"/>
      <c r="AI1689" s="94"/>
      <c r="AJ1689" s="94"/>
      <c r="AK1689" s="94"/>
      <c r="AL1689" s="94"/>
    </row>
    <row r="1690" spans="3:38">
      <c r="C1690" s="30"/>
      <c r="F1690" s="95"/>
      <c r="G1690" s="1"/>
      <c r="H1690" s="94"/>
      <c r="I1690" s="90"/>
      <c r="J1690" s="90"/>
      <c r="K1690" s="1"/>
      <c r="L1690" s="74"/>
      <c r="M1690" s="633"/>
      <c r="N1690" s="274"/>
      <c r="O1690" s="94"/>
      <c r="P1690" s="94"/>
      <c r="Q1690" s="94"/>
      <c r="R1690" s="94"/>
      <c r="S1690" s="94"/>
      <c r="V1690" s="30"/>
      <c r="W1690" s="30"/>
      <c r="X1690" s="1"/>
      <c r="Y1690" s="95"/>
      <c r="Z1690" s="1"/>
      <c r="AA1690" s="94"/>
      <c r="AB1690" s="1"/>
      <c r="AC1690" s="1"/>
      <c r="AD1690" s="1"/>
      <c r="AE1690" s="30"/>
      <c r="AF1690" s="633"/>
      <c r="AG1690" s="94"/>
      <c r="AH1690" s="94"/>
      <c r="AI1690" s="94"/>
      <c r="AJ1690" s="94"/>
      <c r="AK1690" s="94"/>
      <c r="AL1690" s="94"/>
    </row>
    <row r="1691" spans="3:38">
      <c r="C1691" s="30"/>
      <c r="F1691" s="95"/>
      <c r="G1691" s="1"/>
      <c r="H1691" s="94"/>
      <c r="I1691" s="90"/>
      <c r="J1691" s="90"/>
      <c r="K1691" s="1"/>
      <c r="L1691" s="74"/>
      <c r="M1691" s="633"/>
      <c r="N1691" s="274"/>
      <c r="O1691" s="94"/>
      <c r="P1691" s="94"/>
      <c r="Q1691" s="94"/>
      <c r="R1691" s="94"/>
      <c r="S1691" s="94"/>
      <c r="V1691" s="30"/>
      <c r="W1691" s="30"/>
      <c r="X1691" s="1"/>
      <c r="Y1691" s="95"/>
      <c r="Z1691" s="1"/>
      <c r="AA1691" s="94"/>
      <c r="AB1691" s="1"/>
      <c r="AC1691" s="1"/>
      <c r="AD1691" s="1"/>
      <c r="AE1691" s="30"/>
      <c r="AF1691" s="633"/>
      <c r="AG1691" s="94"/>
      <c r="AH1691" s="94"/>
      <c r="AI1691" s="94"/>
      <c r="AJ1691" s="94"/>
      <c r="AK1691" s="94"/>
      <c r="AL1691" s="94"/>
    </row>
    <row r="1692" spans="3:38">
      <c r="C1692" s="30"/>
      <c r="F1692" s="95"/>
      <c r="G1692" s="1"/>
      <c r="H1692" s="94"/>
      <c r="I1692" s="90"/>
      <c r="J1692" s="90"/>
      <c r="K1692" s="1"/>
      <c r="L1692" s="74"/>
      <c r="M1692" s="633"/>
      <c r="N1692" s="274"/>
      <c r="O1692" s="94"/>
      <c r="P1692" s="94"/>
      <c r="Q1692" s="94"/>
      <c r="R1692" s="94"/>
      <c r="S1692" s="94"/>
      <c r="V1692" s="30"/>
      <c r="W1692" s="30"/>
      <c r="X1692" s="1"/>
      <c r="Y1692" s="95"/>
      <c r="Z1692" s="1"/>
      <c r="AA1692" s="94"/>
      <c r="AB1692" s="1"/>
      <c r="AC1692" s="1"/>
      <c r="AD1692" s="1"/>
      <c r="AE1692" s="30"/>
      <c r="AF1692" s="633"/>
      <c r="AG1692" s="94"/>
      <c r="AH1692" s="94"/>
      <c r="AI1692" s="94"/>
      <c r="AJ1692" s="94"/>
      <c r="AK1692" s="94"/>
      <c r="AL1692" s="94"/>
    </row>
    <row r="1693" spans="3:38">
      <c r="C1693" s="30"/>
      <c r="F1693" s="95"/>
      <c r="G1693" s="1"/>
      <c r="H1693" s="94"/>
      <c r="I1693" s="90"/>
      <c r="J1693" s="90"/>
      <c r="K1693" s="1"/>
      <c r="L1693" s="74"/>
      <c r="M1693" s="633"/>
      <c r="N1693" s="274"/>
      <c r="O1693" s="94"/>
      <c r="P1693" s="94"/>
      <c r="Q1693" s="94"/>
      <c r="R1693" s="94"/>
      <c r="S1693" s="94"/>
      <c r="V1693" s="30"/>
      <c r="W1693" s="30"/>
      <c r="X1693" s="1"/>
      <c r="Y1693" s="95"/>
      <c r="Z1693" s="1"/>
      <c r="AA1693" s="94"/>
      <c r="AB1693" s="1"/>
      <c r="AC1693" s="1"/>
      <c r="AD1693" s="1"/>
      <c r="AE1693" s="30"/>
      <c r="AF1693" s="633"/>
      <c r="AG1693" s="94"/>
      <c r="AH1693" s="94"/>
      <c r="AI1693" s="94"/>
      <c r="AJ1693" s="94"/>
      <c r="AK1693" s="94"/>
      <c r="AL1693" s="94"/>
    </row>
    <row r="1694" spans="3:38">
      <c r="C1694" s="30"/>
      <c r="F1694" s="95"/>
      <c r="G1694" s="1"/>
      <c r="H1694" s="94"/>
      <c r="I1694" s="90"/>
      <c r="J1694" s="90"/>
      <c r="K1694" s="1"/>
      <c r="L1694" s="74"/>
      <c r="M1694" s="633"/>
      <c r="N1694" s="274"/>
      <c r="O1694" s="94"/>
      <c r="P1694" s="94"/>
      <c r="Q1694" s="94"/>
      <c r="R1694" s="94"/>
      <c r="S1694" s="94"/>
      <c r="V1694" s="30"/>
      <c r="W1694" s="30"/>
      <c r="X1694" s="1"/>
      <c r="Y1694" s="95"/>
      <c r="Z1694" s="1"/>
      <c r="AA1694" s="94"/>
      <c r="AB1694" s="1"/>
      <c r="AC1694" s="1"/>
      <c r="AD1694" s="1"/>
      <c r="AE1694" s="30"/>
      <c r="AF1694" s="633"/>
      <c r="AG1694" s="94"/>
      <c r="AH1694" s="94"/>
      <c r="AI1694" s="94"/>
      <c r="AJ1694" s="94"/>
      <c r="AK1694" s="94"/>
      <c r="AL1694" s="94"/>
    </row>
    <row r="1695" spans="3:38">
      <c r="C1695" s="30"/>
      <c r="F1695" s="95"/>
      <c r="G1695" s="1"/>
      <c r="H1695" s="94"/>
      <c r="I1695" s="90"/>
      <c r="J1695" s="90"/>
      <c r="K1695" s="1"/>
      <c r="L1695" s="74"/>
      <c r="M1695" s="633"/>
      <c r="N1695" s="274"/>
      <c r="O1695" s="94"/>
      <c r="P1695" s="94"/>
      <c r="Q1695" s="94"/>
      <c r="R1695" s="94"/>
      <c r="S1695" s="94"/>
      <c r="V1695" s="30"/>
      <c r="W1695" s="30"/>
      <c r="X1695" s="1"/>
      <c r="Y1695" s="95"/>
      <c r="Z1695" s="1"/>
      <c r="AA1695" s="94"/>
      <c r="AB1695" s="1"/>
      <c r="AC1695" s="1"/>
      <c r="AD1695" s="1"/>
      <c r="AE1695" s="30"/>
      <c r="AF1695" s="633"/>
      <c r="AG1695" s="94"/>
      <c r="AH1695" s="94"/>
      <c r="AI1695" s="94"/>
      <c r="AJ1695" s="94"/>
      <c r="AK1695" s="94"/>
      <c r="AL1695" s="94"/>
    </row>
    <row r="1696" spans="3:38">
      <c r="C1696" s="30"/>
      <c r="F1696" s="95"/>
      <c r="G1696" s="1"/>
      <c r="H1696" s="94"/>
      <c r="I1696" s="90"/>
      <c r="J1696" s="90"/>
      <c r="K1696" s="1"/>
      <c r="L1696" s="74"/>
      <c r="M1696" s="633"/>
      <c r="N1696" s="274"/>
      <c r="O1696" s="94"/>
      <c r="P1696" s="94"/>
      <c r="Q1696" s="94"/>
      <c r="R1696" s="94"/>
      <c r="S1696" s="94"/>
      <c r="V1696" s="30"/>
      <c r="W1696" s="30"/>
      <c r="X1696" s="1"/>
      <c r="Y1696" s="95"/>
      <c r="Z1696" s="1"/>
      <c r="AA1696" s="94"/>
      <c r="AB1696" s="1"/>
      <c r="AC1696" s="1"/>
      <c r="AD1696" s="1"/>
      <c r="AE1696" s="30"/>
      <c r="AF1696" s="633"/>
      <c r="AG1696" s="94"/>
      <c r="AH1696" s="94"/>
      <c r="AI1696" s="94"/>
      <c r="AJ1696" s="94"/>
      <c r="AK1696" s="94"/>
      <c r="AL1696" s="94"/>
    </row>
    <row r="1697" spans="3:38">
      <c r="C1697" s="30"/>
      <c r="F1697" s="95"/>
      <c r="G1697" s="1"/>
      <c r="H1697" s="94"/>
      <c r="I1697" s="90"/>
      <c r="J1697" s="90"/>
      <c r="K1697" s="1"/>
      <c r="L1697" s="74"/>
      <c r="M1697" s="633"/>
      <c r="N1697" s="274"/>
      <c r="O1697" s="94"/>
      <c r="P1697" s="94"/>
      <c r="Q1697" s="94"/>
      <c r="R1697" s="94"/>
      <c r="S1697" s="94"/>
      <c r="V1697" s="30"/>
      <c r="W1697" s="30"/>
      <c r="X1697" s="1"/>
      <c r="Y1697" s="95"/>
      <c r="Z1697" s="1"/>
      <c r="AA1697" s="94"/>
      <c r="AB1697" s="1"/>
      <c r="AC1697" s="1"/>
      <c r="AD1697" s="1"/>
      <c r="AE1697" s="30"/>
      <c r="AF1697" s="633"/>
      <c r="AG1697" s="94"/>
      <c r="AH1697" s="94"/>
      <c r="AI1697" s="94"/>
      <c r="AJ1697" s="94"/>
      <c r="AK1697" s="94"/>
      <c r="AL1697" s="94"/>
    </row>
    <row r="1698" spans="3:38">
      <c r="C1698" s="30"/>
      <c r="F1698" s="95"/>
      <c r="G1698" s="1"/>
      <c r="H1698" s="94"/>
      <c r="I1698" s="90"/>
      <c r="J1698" s="90"/>
      <c r="K1698" s="1"/>
      <c r="L1698" s="74"/>
      <c r="M1698" s="633"/>
      <c r="N1698" s="274"/>
      <c r="O1698" s="94"/>
      <c r="P1698" s="94"/>
      <c r="Q1698" s="94"/>
      <c r="R1698" s="94"/>
      <c r="S1698" s="94"/>
      <c r="V1698" s="30"/>
      <c r="W1698" s="30"/>
      <c r="X1698" s="1"/>
      <c r="Y1698" s="95"/>
      <c r="Z1698" s="1"/>
      <c r="AA1698" s="94"/>
      <c r="AB1698" s="1"/>
      <c r="AC1698" s="1"/>
      <c r="AD1698" s="1"/>
      <c r="AE1698" s="30"/>
      <c r="AF1698" s="633"/>
      <c r="AG1698" s="94"/>
      <c r="AH1698" s="94"/>
      <c r="AI1698" s="94"/>
      <c r="AJ1698" s="94"/>
      <c r="AK1698" s="94"/>
      <c r="AL1698" s="94"/>
    </row>
    <row r="1699" spans="3:38">
      <c r="C1699" s="30"/>
      <c r="F1699" s="95"/>
      <c r="G1699" s="1"/>
      <c r="H1699" s="94"/>
      <c r="I1699" s="90"/>
      <c r="J1699" s="90"/>
      <c r="K1699" s="1"/>
      <c r="L1699" s="74"/>
      <c r="M1699" s="633"/>
      <c r="N1699" s="274"/>
      <c r="O1699" s="94"/>
      <c r="P1699" s="94"/>
      <c r="Q1699" s="94"/>
      <c r="R1699" s="94"/>
      <c r="S1699" s="94"/>
      <c r="V1699" s="30"/>
      <c r="W1699" s="30"/>
      <c r="X1699" s="1"/>
      <c r="Y1699" s="95"/>
      <c r="Z1699" s="1"/>
      <c r="AA1699" s="94"/>
      <c r="AB1699" s="1"/>
      <c r="AC1699" s="1"/>
      <c r="AD1699" s="1"/>
      <c r="AE1699" s="30"/>
      <c r="AF1699" s="633"/>
      <c r="AG1699" s="94"/>
      <c r="AH1699" s="94"/>
      <c r="AI1699" s="94"/>
      <c r="AJ1699" s="94"/>
      <c r="AK1699" s="94"/>
      <c r="AL1699" s="94"/>
    </row>
    <row r="1700" spans="3:38">
      <c r="C1700" s="30"/>
      <c r="F1700" s="95"/>
      <c r="G1700" s="1"/>
      <c r="H1700" s="94"/>
      <c r="I1700" s="90"/>
      <c r="J1700" s="90"/>
      <c r="K1700" s="1"/>
      <c r="L1700" s="74"/>
      <c r="M1700" s="633"/>
      <c r="N1700" s="274"/>
      <c r="O1700" s="94"/>
      <c r="P1700" s="94"/>
      <c r="Q1700" s="94"/>
      <c r="R1700" s="94"/>
      <c r="S1700" s="94"/>
      <c r="V1700" s="30"/>
      <c r="W1700" s="30"/>
      <c r="X1700" s="1"/>
      <c r="Y1700" s="95"/>
      <c r="Z1700" s="1"/>
      <c r="AA1700" s="94"/>
      <c r="AB1700" s="1"/>
      <c r="AC1700" s="1"/>
      <c r="AD1700" s="1"/>
      <c r="AE1700" s="30"/>
      <c r="AF1700" s="633"/>
      <c r="AG1700" s="94"/>
      <c r="AH1700" s="94"/>
      <c r="AI1700" s="94"/>
      <c r="AJ1700" s="94"/>
      <c r="AK1700" s="94"/>
      <c r="AL1700" s="94"/>
    </row>
    <row r="1701" spans="3:38">
      <c r="C1701" s="30"/>
      <c r="F1701" s="95"/>
      <c r="G1701" s="1"/>
      <c r="H1701" s="94"/>
      <c r="I1701" s="90"/>
      <c r="J1701" s="90"/>
      <c r="K1701" s="1"/>
      <c r="L1701" s="74"/>
      <c r="M1701" s="633"/>
      <c r="N1701" s="274"/>
      <c r="O1701" s="94"/>
      <c r="P1701" s="94"/>
      <c r="Q1701" s="94"/>
      <c r="R1701" s="94"/>
      <c r="S1701" s="94"/>
      <c r="V1701" s="30"/>
      <c r="W1701" s="30"/>
      <c r="X1701" s="1"/>
      <c r="Y1701" s="95"/>
      <c r="Z1701" s="1"/>
      <c r="AA1701" s="94"/>
      <c r="AB1701" s="1"/>
      <c r="AC1701" s="1"/>
      <c r="AD1701" s="1"/>
      <c r="AE1701" s="30"/>
      <c r="AF1701" s="633"/>
      <c r="AG1701" s="94"/>
      <c r="AH1701" s="94"/>
      <c r="AI1701" s="94"/>
      <c r="AJ1701" s="94"/>
      <c r="AK1701" s="94"/>
      <c r="AL1701" s="94"/>
    </row>
    <row r="1702" spans="3:38">
      <c r="C1702" s="30"/>
      <c r="F1702" s="95"/>
      <c r="G1702" s="1"/>
      <c r="H1702" s="94"/>
      <c r="I1702" s="90"/>
      <c r="J1702" s="90"/>
      <c r="K1702" s="1"/>
      <c r="L1702" s="74"/>
      <c r="M1702" s="633"/>
      <c r="N1702" s="274"/>
      <c r="O1702" s="94"/>
      <c r="P1702" s="94"/>
      <c r="Q1702" s="94"/>
      <c r="R1702" s="94"/>
      <c r="S1702" s="94"/>
      <c r="V1702" s="30"/>
      <c r="W1702" s="30"/>
      <c r="X1702" s="1"/>
      <c r="Y1702" s="95"/>
      <c r="Z1702" s="1"/>
      <c r="AA1702" s="94"/>
      <c r="AB1702" s="1"/>
      <c r="AC1702" s="1"/>
      <c r="AD1702" s="1"/>
      <c r="AE1702" s="30"/>
      <c r="AF1702" s="633"/>
      <c r="AG1702" s="94"/>
      <c r="AH1702" s="94"/>
      <c r="AI1702" s="94"/>
      <c r="AJ1702" s="94"/>
      <c r="AK1702" s="94"/>
      <c r="AL1702" s="94"/>
    </row>
    <row r="1703" spans="3:38">
      <c r="C1703" s="30"/>
      <c r="F1703" s="95"/>
      <c r="G1703" s="1"/>
      <c r="H1703" s="94"/>
      <c r="I1703" s="90"/>
      <c r="J1703" s="90"/>
      <c r="K1703" s="1"/>
      <c r="L1703" s="74"/>
      <c r="M1703" s="633"/>
      <c r="N1703" s="274"/>
      <c r="O1703" s="94"/>
      <c r="P1703" s="94"/>
      <c r="Q1703" s="94"/>
      <c r="R1703" s="94"/>
      <c r="S1703" s="94"/>
      <c r="V1703" s="30"/>
      <c r="W1703" s="30"/>
      <c r="X1703" s="1"/>
      <c r="Y1703" s="95"/>
      <c r="Z1703" s="1"/>
      <c r="AA1703" s="94"/>
      <c r="AB1703" s="1"/>
      <c r="AC1703" s="1"/>
      <c r="AD1703" s="1"/>
      <c r="AE1703" s="30"/>
      <c r="AF1703" s="633"/>
      <c r="AG1703" s="94"/>
      <c r="AH1703" s="94"/>
      <c r="AI1703" s="94"/>
      <c r="AJ1703" s="94"/>
      <c r="AK1703" s="94"/>
      <c r="AL1703" s="94"/>
    </row>
    <row r="1704" spans="3:38">
      <c r="C1704" s="30"/>
      <c r="F1704" s="95"/>
      <c r="G1704" s="1"/>
      <c r="H1704" s="94"/>
      <c r="I1704" s="90"/>
      <c r="J1704" s="90"/>
      <c r="K1704" s="1"/>
      <c r="L1704" s="74"/>
      <c r="M1704" s="633"/>
      <c r="N1704" s="274"/>
      <c r="O1704" s="94"/>
      <c r="P1704" s="94"/>
      <c r="Q1704" s="94"/>
      <c r="R1704" s="94"/>
      <c r="S1704" s="94"/>
      <c r="V1704" s="30"/>
      <c r="W1704" s="30"/>
      <c r="X1704" s="1"/>
      <c r="Y1704" s="95"/>
      <c r="Z1704" s="1"/>
      <c r="AA1704" s="94"/>
      <c r="AB1704" s="1"/>
      <c r="AC1704" s="1"/>
      <c r="AD1704" s="1"/>
      <c r="AE1704" s="30"/>
      <c r="AF1704" s="633"/>
      <c r="AG1704" s="94"/>
      <c r="AH1704" s="94"/>
      <c r="AI1704" s="94"/>
      <c r="AJ1704" s="94"/>
      <c r="AK1704" s="94"/>
      <c r="AL1704" s="94"/>
    </row>
    <row r="1705" spans="3:38">
      <c r="C1705" s="30"/>
      <c r="F1705" s="95"/>
      <c r="G1705" s="1"/>
      <c r="H1705" s="94"/>
      <c r="I1705" s="90"/>
      <c r="J1705" s="90"/>
      <c r="K1705" s="1"/>
      <c r="L1705" s="74"/>
      <c r="M1705" s="633"/>
      <c r="N1705" s="274"/>
      <c r="O1705" s="94"/>
      <c r="P1705" s="94"/>
      <c r="Q1705" s="94"/>
      <c r="R1705" s="94"/>
      <c r="S1705" s="94"/>
      <c r="V1705" s="30"/>
      <c r="W1705" s="30"/>
      <c r="X1705" s="1"/>
      <c r="Y1705" s="95"/>
      <c r="Z1705" s="1"/>
      <c r="AA1705" s="94"/>
      <c r="AB1705" s="1"/>
      <c r="AC1705" s="1"/>
      <c r="AD1705" s="1"/>
      <c r="AE1705" s="30"/>
      <c r="AF1705" s="633"/>
      <c r="AG1705" s="94"/>
      <c r="AH1705" s="94"/>
      <c r="AI1705" s="94"/>
      <c r="AJ1705" s="94"/>
      <c r="AK1705" s="94"/>
      <c r="AL1705" s="94"/>
    </row>
    <row r="1706" spans="3:38">
      <c r="C1706" s="30"/>
      <c r="F1706" s="95"/>
      <c r="G1706" s="1"/>
      <c r="H1706" s="94"/>
      <c r="I1706" s="90"/>
      <c r="J1706" s="90"/>
      <c r="K1706" s="1"/>
      <c r="L1706" s="74"/>
      <c r="M1706" s="633"/>
      <c r="N1706" s="274"/>
      <c r="O1706" s="94"/>
      <c r="P1706" s="94"/>
      <c r="Q1706" s="94"/>
      <c r="R1706" s="94"/>
      <c r="S1706" s="94"/>
      <c r="V1706" s="30"/>
      <c r="W1706" s="30"/>
      <c r="X1706" s="1"/>
      <c r="Y1706" s="95"/>
      <c r="Z1706" s="1"/>
      <c r="AA1706" s="94"/>
      <c r="AB1706" s="1"/>
      <c r="AC1706" s="1"/>
      <c r="AD1706" s="1"/>
      <c r="AE1706" s="30"/>
      <c r="AF1706" s="633"/>
      <c r="AG1706" s="94"/>
      <c r="AH1706" s="94"/>
      <c r="AI1706" s="94"/>
      <c r="AJ1706" s="94"/>
      <c r="AK1706" s="94"/>
      <c r="AL1706" s="94"/>
    </row>
    <row r="1707" spans="3:38">
      <c r="C1707" s="30"/>
      <c r="F1707" s="95"/>
      <c r="G1707" s="1"/>
      <c r="H1707" s="94"/>
      <c r="I1707" s="90"/>
      <c r="J1707" s="90"/>
      <c r="K1707" s="1"/>
      <c r="L1707" s="74"/>
      <c r="M1707" s="633"/>
      <c r="N1707" s="274"/>
      <c r="O1707" s="94"/>
      <c r="P1707" s="94"/>
      <c r="Q1707" s="94"/>
      <c r="R1707" s="94"/>
      <c r="S1707" s="94"/>
      <c r="V1707" s="30"/>
      <c r="W1707" s="30"/>
      <c r="X1707" s="1"/>
      <c r="Y1707" s="95"/>
      <c r="Z1707" s="1"/>
      <c r="AA1707" s="94"/>
      <c r="AB1707" s="1"/>
      <c r="AC1707" s="1"/>
      <c r="AD1707" s="1"/>
      <c r="AE1707" s="30"/>
      <c r="AF1707" s="633"/>
      <c r="AG1707" s="94"/>
      <c r="AH1707" s="94"/>
      <c r="AI1707" s="94"/>
      <c r="AJ1707" s="94"/>
      <c r="AK1707" s="94"/>
      <c r="AL1707" s="94"/>
    </row>
    <row r="1708" spans="3:38">
      <c r="C1708" s="30"/>
      <c r="F1708" s="95"/>
      <c r="G1708" s="1"/>
      <c r="H1708" s="94"/>
      <c r="I1708" s="90"/>
      <c r="J1708" s="90"/>
      <c r="K1708" s="1"/>
      <c r="L1708" s="74"/>
      <c r="M1708" s="633"/>
      <c r="N1708" s="274"/>
      <c r="O1708" s="94"/>
      <c r="P1708" s="94"/>
      <c r="Q1708" s="94"/>
      <c r="R1708" s="94"/>
      <c r="S1708" s="94"/>
      <c r="V1708" s="30"/>
      <c r="W1708" s="30"/>
      <c r="X1708" s="1"/>
      <c r="Y1708" s="95"/>
      <c r="Z1708" s="1"/>
      <c r="AA1708" s="94"/>
      <c r="AB1708" s="1"/>
      <c r="AC1708" s="1"/>
      <c r="AD1708" s="1"/>
      <c r="AE1708" s="30"/>
      <c r="AF1708" s="633"/>
      <c r="AG1708" s="94"/>
      <c r="AH1708" s="94"/>
      <c r="AI1708" s="94"/>
      <c r="AJ1708" s="94"/>
      <c r="AK1708" s="94"/>
      <c r="AL1708" s="94"/>
    </row>
    <row r="1709" spans="3:38">
      <c r="C1709" s="30"/>
      <c r="F1709" s="95"/>
      <c r="G1709" s="1"/>
      <c r="H1709" s="94"/>
      <c r="I1709" s="90"/>
      <c r="J1709" s="90"/>
      <c r="K1709" s="1"/>
      <c r="L1709" s="74"/>
      <c r="M1709" s="633"/>
      <c r="N1709" s="274"/>
      <c r="O1709" s="94"/>
      <c r="P1709" s="94"/>
      <c r="Q1709" s="94"/>
      <c r="R1709" s="94"/>
      <c r="S1709" s="94"/>
      <c r="V1709" s="30"/>
      <c r="W1709" s="30"/>
      <c r="X1709" s="1"/>
      <c r="Y1709" s="95"/>
      <c r="Z1709" s="1"/>
      <c r="AA1709" s="94"/>
      <c r="AB1709" s="1"/>
      <c r="AC1709" s="1"/>
      <c r="AD1709" s="1"/>
      <c r="AE1709" s="30"/>
      <c r="AF1709" s="633"/>
      <c r="AG1709" s="94"/>
      <c r="AH1709" s="94"/>
      <c r="AI1709" s="94"/>
      <c r="AJ1709" s="94"/>
      <c r="AK1709" s="94"/>
      <c r="AL1709" s="94"/>
    </row>
    <row r="1710" spans="3:38">
      <c r="C1710" s="30"/>
      <c r="F1710" s="95"/>
      <c r="G1710" s="1"/>
      <c r="H1710" s="94"/>
      <c r="I1710" s="90"/>
      <c r="J1710" s="90"/>
      <c r="K1710" s="1"/>
      <c r="L1710" s="74"/>
      <c r="M1710" s="633"/>
      <c r="N1710" s="274"/>
      <c r="O1710" s="94"/>
      <c r="P1710" s="94"/>
      <c r="Q1710" s="94"/>
      <c r="R1710" s="94"/>
      <c r="S1710" s="94"/>
      <c r="V1710" s="30"/>
      <c r="W1710" s="30"/>
      <c r="X1710" s="1"/>
      <c r="Y1710" s="95"/>
      <c r="Z1710" s="1"/>
      <c r="AA1710" s="94"/>
      <c r="AB1710" s="1"/>
      <c r="AC1710" s="1"/>
      <c r="AD1710" s="1"/>
      <c r="AE1710" s="30"/>
      <c r="AF1710" s="633"/>
      <c r="AG1710" s="94"/>
      <c r="AH1710" s="94"/>
      <c r="AI1710" s="94"/>
      <c r="AJ1710" s="94"/>
      <c r="AK1710" s="94"/>
      <c r="AL1710" s="94"/>
    </row>
    <row r="1711" spans="3:38">
      <c r="C1711" s="30"/>
      <c r="F1711" s="95"/>
      <c r="G1711" s="1"/>
      <c r="H1711" s="94"/>
      <c r="I1711" s="90"/>
      <c r="J1711" s="90"/>
      <c r="K1711" s="1"/>
      <c r="L1711" s="74"/>
      <c r="M1711" s="633"/>
      <c r="N1711" s="274"/>
      <c r="O1711" s="94"/>
      <c r="P1711" s="94"/>
      <c r="Q1711" s="94"/>
      <c r="R1711" s="94"/>
      <c r="S1711" s="94"/>
      <c r="V1711" s="30"/>
      <c r="W1711" s="30"/>
      <c r="X1711" s="1"/>
      <c r="Y1711" s="95"/>
      <c r="Z1711" s="1"/>
      <c r="AA1711" s="94"/>
      <c r="AB1711" s="1"/>
      <c r="AC1711" s="1"/>
      <c r="AD1711" s="1"/>
      <c r="AE1711" s="30"/>
      <c r="AF1711" s="633"/>
      <c r="AG1711" s="94"/>
      <c r="AH1711" s="94"/>
      <c r="AI1711" s="94"/>
      <c r="AJ1711" s="94"/>
      <c r="AK1711" s="94"/>
      <c r="AL1711" s="94"/>
    </row>
    <row r="1712" spans="3:38">
      <c r="C1712" s="30"/>
      <c r="F1712" s="95"/>
      <c r="G1712" s="1"/>
      <c r="H1712" s="94"/>
      <c r="I1712" s="90"/>
      <c r="J1712" s="90"/>
      <c r="K1712" s="1"/>
      <c r="L1712" s="74"/>
      <c r="M1712" s="633"/>
      <c r="N1712" s="274"/>
      <c r="O1712" s="94"/>
      <c r="P1712" s="94"/>
      <c r="Q1712" s="94"/>
      <c r="R1712" s="94"/>
      <c r="S1712" s="94"/>
      <c r="V1712" s="30"/>
      <c r="W1712" s="30"/>
      <c r="X1712" s="1"/>
      <c r="Y1712" s="95"/>
      <c r="Z1712" s="1"/>
      <c r="AA1712" s="94"/>
      <c r="AB1712" s="1"/>
      <c r="AC1712" s="1"/>
      <c r="AD1712" s="1"/>
      <c r="AE1712" s="30"/>
      <c r="AF1712" s="633"/>
      <c r="AG1712" s="94"/>
      <c r="AH1712" s="94"/>
      <c r="AI1712" s="94"/>
      <c r="AJ1712" s="94"/>
      <c r="AK1712" s="94"/>
      <c r="AL1712" s="94"/>
    </row>
    <row r="1713" spans="3:38">
      <c r="C1713" s="30"/>
      <c r="F1713" s="95"/>
      <c r="G1713" s="1"/>
      <c r="H1713" s="94"/>
      <c r="I1713" s="90"/>
      <c r="J1713" s="90"/>
      <c r="K1713" s="1"/>
      <c r="L1713" s="74"/>
      <c r="M1713" s="633"/>
      <c r="N1713" s="274"/>
      <c r="O1713" s="94"/>
      <c r="P1713" s="94"/>
      <c r="Q1713" s="94"/>
      <c r="R1713" s="94"/>
      <c r="S1713" s="94"/>
      <c r="V1713" s="30"/>
      <c r="W1713" s="30"/>
      <c r="X1713" s="1"/>
      <c r="Y1713" s="95"/>
      <c r="Z1713" s="1"/>
      <c r="AA1713" s="94"/>
      <c r="AB1713" s="1"/>
      <c r="AC1713" s="1"/>
      <c r="AD1713" s="1"/>
      <c r="AE1713" s="30"/>
      <c r="AF1713" s="633"/>
      <c r="AG1713" s="94"/>
      <c r="AH1713" s="94"/>
      <c r="AI1713" s="94"/>
      <c r="AJ1713" s="94"/>
      <c r="AK1713" s="94"/>
      <c r="AL1713" s="94"/>
    </row>
    <row r="1714" spans="3:38">
      <c r="C1714" s="30"/>
      <c r="F1714" s="95"/>
      <c r="G1714" s="1"/>
      <c r="H1714" s="94"/>
      <c r="I1714" s="90"/>
      <c r="J1714" s="90"/>
      <c r="K1714" s="1"/>
      <c r="L1714" s="74"/>
      <c r="M1714" s="633"/>
      <c r="N1714" s="274"/>
      <c r="O1714" s="94"/>
      <c r="P1714" s="94"/>
      <c r="Q1714" s="94"/>
      <c r="R1714" s="94"/>
      <c r="S1714" s="94"/>
      <c r="V1714" s="30"/>
      <c r="W1714" s="30"/>
      <c r="X1714" s="1"/>
      <c r="Y1714" s="95"/>
      <c r="Z1714" s="1"/>
      <c r="AA1714" s="94"/>
      <c r="AB1714" s="1"/>
      <c r="AC1714" s="1"/>
      <c r="AD1714" s="1"/>
      <c r="AE1714" s="30"/>
      <c r="AF1714" s="633"/>
      <c r="AG1714" s="94"/>
      <c r="AH1714" s="94"/>
      <c r="AI1714" s="94"/>
      <c r="AJ1714" s="94"/>
      <c r="AK1714" s="94"/>
      <c r="AL1714" s="94"/>
    </row>
    <row r="1715" spans="3:38">
      <c r="C1715" s="30"/>
      <c r="F1715" s="95"/>
      <c r="G1715" s="1"/>
      <c r="H1715" s="94"/>
      <c r="I1715" s="90"/>
      <c r="J1715" s="90"/>
      <c r="K1715" s="1"/>
      <c r="L1715" s="74"/>
      <c r="M1715" s="633"/>
      <c r="N1715" s="274"/>
      <c r="O1715" s="94"/>
      <c r="P1715" s="94"/>
      <c r="Q1715" s="94"/>
      <c r="R1715" s="94"/>
      <c r="S1715" s="94"/>
      <c r="V1715" s="30"/>
      <c r="W1715" s="30"/>
      <c r="X1715" s="1"/>
      <c r="Y1715" s="95"/>
      <c r="Z1715" s="1"/>
      <c r="AA1715" s="94"/>
      <c r="AB1715" s="1"/>
      <c r="AC1715" s="1"/>
      <c r="AD1715" s="1"/>
      <c r="AE1715" s="30"/>
      <c r="AF1715" s="633"/>
      <c r="AG1715" s="94"/>
      <c r="AH1715" s="94"/>
      <c r="AI1715" s="94"/>
      <c r="AJ1715" s="94"/>
      <c r="AK1715" s="94"/>
      <c r="AL1715" s="94"/>
    </row>
    <row r="1716" spans="3:38">
      <c r="C1716" s="30"/>
      <c r="F1716" s="95"/>
      <c r="G1716" s="1"/>
      <c r="H1716" s="94"/>
      <c r="I1716" s="90"/>
      <c r="J1716" s="90"/>
      <c r="K1716" s="1"/>
      <c r="L1716" s="74"/>
      <c r="M1716" s="633"/>
      <c r="N1716" s="274"/>
      <c r="O1716" s="94"/>
      <c r="P1716" s="94"/>
      <c r="Q1716" s="94"/>
      <c r="R1716" s="94"/>
      <c r="S1716" s="94"/>
      <c r="V1716" s="30"/>
      <c r="W1716" s="30"/>
      <c r="X1716" s="1"/>
      <c r="Y1716" s="95"/>
      <c r="Z1716" s="1"/>
      <c r="AA1716" s="94"/>
      <c r="AB1716" s="1"/>
      <c r="AC1716" s="1"/>
      <c r="AD1716" s="1"/>
      <c r="AE1716" s="30"/>
      <c r="AF1716" s="633"/>
      <c r="AG1716" s="94"/>
      <c r="AH1716" s="94"/>
      <c r="AI1716" s="94"/>
      <c r="AJ1716" s="94"/>
      <c r="AK1716" s="94"/>
      <c r="AL1716" s="94"/>
    </row>
    <row r="1717" spans="3:38">
      <c r="C1717" s="30"/>
      <c r="F1717" s="95"/>
      <c r="G1717" s="1"/>
      <c r="H1717" s="94"/>
      <c r="I1717" s="90"/>
      <c r="J1717" s="90"/>
      <c r="K1717" s="1"/>
      <c r="L1717" s="74"/>
      <c r="M1717" s="633"/>
      <c r="N1717" s="274"/>
      <c r="O1717" s="94"/>
      <c r="P1717" s="94"/>
      <c r="Q1717" s="94"/>
      <c r="R1717" s="94"/>
      <c r="S1717" s="94"/>
      <c r="V1717" s="30"/>
      <c r="W1717" s="30"/>
      <c r="X1717" s="1"/>
      <c r="Y1717" s="95"/>
      <c r="Z1717" s="1"/>
      <c r="AA1717" s="94"/>
      <c r="AB1717" s="1"/>
      <c r="AC1717" s="1"/>
      <c r="AD1717" s="1"/>
      <c r="AE1717" s="30"/>
      <c r="AF1717" s="633"/>
      <c r="AG1717" s="94"/>
      <c r="AH1717" s="94"/>
      <c r="AI1717" s="94"/>
      <c r="AJ1717" s="94"/>
      <c r="AK1717" s="94"/>
      <c r="AL1717" s="94"/>
    </row>
    <row r="1718" spans="3:38">
      <c r="C1718" s="30"/>
      <c r="F1718" s="95"/>
      <c r="G1718" s="1"/>
      <c r="H1718" s="94"/>
      <c r="I1718" s="90"/>
      <c r="J1718" s="90"/>
      <c r="K1718" s="1"/>
      <c r="L1718" s="74"/>
      <c r="M1718" s="633"/>
      <c r="N1718" s="274"/>
      <c r="O1718" s="94"/>
      <c r="P1718" s="94"/>
      <c r="Q1718" s="94"/>
      <c r="R1718" s="94"/>
      <c r="S1718" s="94"/>
      <c r="V1718" s="30"/>
      <c r="W1718" s="30"/>
      <c r="X1718" s="1"/>
      <c r="Y1718" s="95"/>
      <c r="Z1718" s="1"/>
      <c r="AA1718" s="94"/>
      <c r="AB1718" s="1"/>
      <c r="AC1718" s="1"/>
      <c r="AD1718" s="1"/>
      <c r="AE1718" s="30"/>
      <c r="AF1718" s="633"/>
      <c r="AG1718" s="94"/>
      <c r="AH1718" s="94"/>
      <c r="AI1718" s="94"/>
      <c r="AJ1718" s="94"/>
      <c r="AK1718" s="94"/>
      <c r="AL1718" s="94"/>
    </row>
    <row r="1719" spans="3:38">
      <c r="C1719" s="30"/>
      <c r="F1719" s="95"/>
      <c r="G1719" s="1"/>
      <c r="H1719" s="94"/>
      <c r="I1719" s="90"/>
      <c r="J1719" s="90"/>
      <c r="K1719" s="1"/>
      <c r="L1719" s="74"/>
      <c r="M1719" s="633"/>
      <c r="N1719" s="274"/>
      <c r="O1719" s="94"/>
      <c r="P1719" s="94"/>
      <c r="Q1719" s="94"/>
      <c r="R1719" s="94"/>
      <c r="S1719" s="94"/>
      <c r="V1719" s="30"/>
      <c r="W1719" s="30"/>
      <c r="X1719" s="1"/>
      <c r="Y1719" s="95"/>
      <c r="Z1719" s="1"/>
      <c r="AA1719" s="94"/>
      <c r="AB1719" s="1"/>
      <c r="AC1719" s="1"/>
      <c r="AD1719" s="1"/>
      <c r="AE1719" s="30"/>
      <c r="AF1719" s="633"/>
      <c r="AG1719" s="94"/>
      <c r="AH1719" s="94"/>
      <c r="AI1719" s="94"/>
      <c r="AJ1719" s="94"/>
      <c r="AK1719" s="94"/>
      <c r="AL1719" s="94"/>
    </row>
    <row r="1720" spans="3:38">
      <c r="C1720" s="30"/>
      <c r="F1720" s="95"/>
      <c r="G1720" s="1"/>
      <c r="H1720" s="94"/>
      <c r="I1720" s="90"/>
      <c r="J1720" s="90"/>
      <c r="K1720" s="1"/>
      <c r="L1720" s="74"/>
      <c r="M1720" s="633"/>
      <c r="N1720" s="274"/>
      <c r="O1720" s="94"/>
      <c r="P1720" s="94"/>
      <c r="Q1720" s="94"/>
      <c r="R1720" s="94"/>
      <c r="S1720" s="94"/>
      <c r="V1720" s="30"/>
      <c r="W1720" s="30"/>
      <c r="X1720" s="1"/>
      <c r="Y1720" s="95"/>
      <c r="Z1720" s="1"/>
      <c r="AA1720" s="94"/>
      <c r="AB1720" s="1"/>
      <c r="AC1720" s="1"/>
      <c r="AD1720" s="1"/>
      <c r="AE1720" s="30"/>
      <c r="AF1720" s="633"/>
      <c r="AG1720" s="94"/>
      <c r="AH1720" s="94"/>
      <c r="AI1720" s="94"/>
      <c r="AJ1720" s="94"/>
      <c r="AK1720" s="94"/>
      <c r="AL1720" s="94"/>
    </row>
    <row r="1721" spans="3:38">
      <c r="C1721" s="30"/>
      <c r="F1721" s="95"/>
      <c r="G1721" s="1"/>
      <c r="H1721" s="94"/>
      <c r="I1721" s="90"/>
      <c r="J1721" s="90"/>
      <c r="K1721" s="1"/>
      <c r="L1721" s="74"/>
      <c r="M1721" s="633"/>
      <c r="N1721" s="274"/>
      <c r="O1721" s="94"/>
      <c r="P1721" s="94"/>
      <c r="Q1721" s="94"/>
      <c r="R1721" s="94"/>
      <c r="S1721" s="94"/>
      <c r="V1721" s="30"/>
      <c r="W1721" s="30"/>
      <c r="X1721" s="1"/>
      <c r="Y1721" s="95"/>
      <c r="Z1721" s="1"/>
      <c r="AA1721" s="94"/>
      <c r="AB1721" s="1"/>
      <c r="AC1721" s="1"/>
      <c r="AD1721" s="1"/>
      <c r="AE1721" s="30"/>
      <c r="AF1721" s="633"/>
      <c r="AG1721" s="94"/>
      <c r="AH1721" s="94"/>
      <c r="AI1721" s="94"/>
      <c r="AJ1721" s="94"/>
      <c r="AK1721" s="94"/>
      <c r="AL1721" s="94"/>
    </row>
    <row r="1722" spans="3:38">
      <c r="C1722" s="30"/>
      <c r="F1722" s="95"/>
      <c r="G1722" s="1"/>
      <c r="H1722" s="94"/>
      <c r="I1722" s="90"/>
      <c r="J1722" s="90"/>
      <c r="K1722" s="1"/>
      <c r="L1722" s="74"/>
      <c r="M1722" s="633"/>
      <c r="N1722" s="274"/>
      <c r="O1722" s="94"/>
      <c r="P1722" s="94"/>
      <c r="Q1722" s="94"/>
      <c r="R1722" s="94"/>
      <c r="S1722" s="94"/>
      <c r="V1722" s="30"/>
      <c r="W1722" s="30"/>
      <c r="X1722" s="1"/>
      <c r="Y1722" s="95"/>
      <c r="Z1722" s="1"/>
      <c r="AA1722" s="94"/>
      <c r="AB1722" s="1"/>
      <c r="AC1722" s="1"/>
      <c r="AD1722" s="1"/>
      <c r="AE1722" s="30"/>
      <c r="AF1722" s="633"/>
      <c r="AG1722" s="94"/>
      <c r="AH1722" s="94"/>
      <c r="AI1722" s="94"/>
      <c r="AJ1722" s="94"/>
      <c r="AK1722" s="94"/>
      <c r="AL1722" s="94"/>
    </row>
    <row r="1723" spans="3:38">
      <c r="C1723" s="30"/>
      <c r="F1723" s="95"/>
      <c r="G1723" s="1"/>
      <c r="H1723" s="94"/>
      <c r="I1723" s="90"/>
      <c r="J1723" s="90"/>
      <c r="K1723" s="1"/>
      <c r="L1723" s="74"/>
      <c r="M1723" s="633"/>
      <c r="N1723" s="274"/>
      <c r="O1723" s="94"/>
      <c r="P1723" s="94"/>
      <c r="Q1723" s="94"/>
      <c r="R1723" s="94"/>
      <c r="S1723" s="94"/>
      <c r="V1723" s="30"/>
      <c r="W1723" s="30"/>
      <c r="X1723" s="1"/>
      <c r="Y1723" s="95"/>
      <c r="Z1723" s="1"/>
      <c r="AA1723" s="94"/>
      <c r="AB1723" s="1"/>
      <c r="AC1723" s="1"/>
      <c r="AD1723" s="1"/>
      <c r="AE1723" s="30"/>
      <c r="AF1723" s="633"/>
      <c r="AG1723" s="94"/>
      <c r="AH1723" s="94"/>
      <c r="AI1723" s="94"/>
      <c r="AJ1723" s="94"/>
      <c r="AK1723" s="94"/>
      <c r="AL1723" s="94"/>
    </row>
    <row r="1724" spans="3:38">
      <c r="C1724" s="30"/>
      <c r="F1724" s="95"/>
      <c r="G1724" s="1"/>
      <c r="H1724" s="94"/>
      <c r="I1724" s="90"/>
      <c r="J1724" s="90"/>
      <c r="K1724" s="1"/>
      <c r="L1724" s="74"/>
      <c r="M1724" s="633"/>
      <c r="N1724" s="274"/>
      <c r="O1724" s="94"/>
      <c r="P1724" s="94"/>
      <c r="Q1724" s="94"/>
      <c r="R1724" s="94"/>
      <c r="S1724" s="94"/>
      <c r="V1724" s="30"/>
      <c r="W1724" s="30"/>
      <c r="X1724" s="1"/>
      <c r="Y1724" s="95"/>
      <c r="Z1724" s="1"/>
      <c r="AA1724" s="94"/>
      <c r="AB1724" s="1"/>
      <c r="AC1724" s="1"/>
      <c r="AD1724" s="1"/>
      <c r="AE1724" s="30"/>
      <c r="AF1724" s="633"/>
      <c r="AG1724" s="94"/>
      <c r="AH1724" s="94"/>
      <c r="AI1724" s="94"/>
      <c r="AJ1724" s="94"/>
      <c r="AK1724" s="94"/>
      <c r="AL1724" s="94"/>
    </row>
    <row r="1725" spans="3:38">
      <c r="C1725" s="30"/>
      <c r="F1725" s="95"/>
      <c r="G1725" s="1"/>
      <c r="H1725" s="94"/>
      <c r="I1725" s="90"/>
      <c r="J1725" s="90"/>
      <c r="K1725" s="1"/>
      <c r="L1725" s="74"/>
      <c r="M1725" s="633"/>
      <c r="N1725" s="274"/>
      <c r="O1725" s="94"/>
      <c r="P1725" s="94"/>
      <c r="Q1725" s="94"/>
      <c r="R1725" s="94"/>
      <c r="S1725" s="94"/>
      <c r="V1725" s="30"/>
      <c r="W1725" s="30"/>
      <c r="X1725" s="1"/>
      <c r="Y1725" s="95"/>
      <c r="Z1725" s="1"/>
      <c r="AA1725" s="94"/>
      <c r="AB1725" s="1"/>
      <c r="AC1725" s="1"/>
      <c r="AD1725" s="1"/>
      <c r="AE1725" s="30"/>
      <c r="AF1725" s="633"/>
      <c r="AG1725" s="94"/>
      <c r="AH1725" s="94"/>
      <c r="AI1725" s="94"/>
      <c r="AJ1725" s="94"/>
      <c r="AK1725" s="94"/>
      <c r="AL1725" s="94"/>
    </row>
    <row r="1726" spans="3:38">
      <c r="C1726" s="30"/>
      <c r="F1726" s="95"/>
      <c r="G1726" s="1"/>
      <c r="H1726" s="94"/>
      <c r="I1726" s="90"/>
      <c r="J1726" s="90"/>
      <c r="K1726" s="1"/>
      <c r="L1726" s="74"/>
      <c r="M1726" s="633"/>
      <c r="N1726" s="274"/>
      <c r="O1726" s="94"/>
      <c r="P1726" s="94"/>
      <c r="Q1726" s="94"/>
      <c r="R1726" s="94"/>
      <c r="S1726" s="94"/>
      <c r="V1726" s="30"/>
      <c r="W1726" s="30"/>
      <c r="X1726" s="1"/>
      <c r="Y1726" s="95"/>
      <c r="Z1726" s="1"/>
      <c r="AA1726" s="94"/>
      <c r="AB1726" s="1"/>
      <c r="AC1726" s="1"/>
      <c r="AD1726" s="1"/>
      <c r="AE1726" s="30"/>
      <c r="AF1726" s="633"/>
      <c r="AG1726" s="94"/>
      <c r="AH1726" s="94"/>
      <c r="AI1726" s="94"/>
      <c r="AJ1726" s="94"/>
      <c r="AK1726" s="94"/>
      <c r="AL1726" s="94"/>
    </row>
    <row r="1727" spans="3:38">
      <c r="C1727" s="30"/>
      <c r="F1727" s="95"/>
      <c r="G1727" s="1"/>
      <c r="H1727" s="94"/>
      <c r="I1727" s="90"/>
      <c r="J1727" s="90"/>
      <c r="K1727" s="1"/>
      <c r="L1727" s="74"/>
      <c r="M1727" s="633"/>
      <c r="N1727" s="274"/>
      <c r="O1727" s="94"/>
      <c r="P1727" s="94"/>
      <c r="Q1727" s="94"/>
      <c r="R1727" s="94"/>
      <c r="S1727" s="94"/>
      <c r="V1727" s="30"/>
      <c r="W1727" s="30"/>
      <c r="X1727" s="1"/>
      <c r="Y1727" s="95"/>
      <c r="Z1727" s="1"/>
      <c r="AA1727" s="94"/>
      <c r="AB1727" s="1"/>
      <c r="AC1727" s="1"/>
      <c r="AD1727" s="1"/>
      <c r="AE1727" s="30"/>
      <c r="AF1727" s="633"/>
      <c r="AG1727" s="94"/>
      <c r="AH1727" s="94"/>
      <c r="AI1727" s="94"/>
      <c r="AJ1727" s="94"/>
      <c r="AK1727" s="94"/>
      <c r="AL1727" s="94"/>
    </row>
    <row r="1728" spans="3:38">
      <c r="C1728" s="30"/>
      <c r="F1728" s="95"/>
      <c r="G1728" s="1"/>
      <c r="H1728" s="94"/>
      <c r="I1728" s="90"/>
      <c r="J1728" s="90"/>
      <c r="K1728" s="1"/>
      <c r="L1728" s="74"/>
      <c r="M1728" s="633"/>
      <c r="N1728" s="274"/>
      <c r="O1728" s="94"/>
      <c r="P1728" s="94"/>
      <c r="Q1728" s="94"/>
      <c r="R1728" s="94"/>
      <c r="S1728" s="94"/>
      <c r="V1728" s="30"/>
      <c r="W1728" s="30"/>
      <c r="X1728" s="1"/>
      <c r="Y1728" s="95"/>
      <c r="Z1728" s="1"/>
      <c r="AA1728" s="94"/>
      <c r="AB1728" s="1"/>
      <c r="AC1728" s="1"/>
      <c r="AD1728" s="1"/>
      <c r="AE1728" s="30"/>
      <c r="AF1728" s="633"/>
      <c r="AG1728" s="94"/>
      <c r="AH1728" s="94"/>
      <c r="AI1728" s="94"/>
      <c r="AJ1728" s="94"/>
      <c r="AK1728" s="94"/>
      <c r="AL1728" s="94"/>
    </row>
    <row r="1729" spans="3:38">
      <c r="C1729" s="30"/>
      <c r="F1729" s="95"/>
      <c r="G1729" s="1"/>
      <c r="H1729" s="94"/>
      <c r="I1729" s="90"/>
      <c r="J1729" s="90"/>
      <c r="K1729" s="1"/>
      <c r="L1729" s="74"/>
      <c r="M1729" s="633"/>
      <c r="N1729" s="274"/>
      <c r="O1729" s="94"/>
      <c r="P1729" s="94"/>
      <c r="Q1729" s="94"/>
      <c r="R1729" s="94"/>
      <c r="S1729" s="94"/>
      <c r="V1729" s="30"/>
      <c r="W1729" s="30"/>
      <c r="X1729" s="1"/>
      <c r="Y1729" s="95"/>
      <c r="Z1729" s="1"/>
      <c r="AA1729" s="94"/>
      <c r="AB1729" s="1"/>
      <c r="AC1729" s="1"/>
      <c r="AD1729" s="1"/>
      <c r="AE1729" s="30"/>
      <c r="AF1729" s="633"/>
      <c r="AG1729" s="94"/>
      <c r="AH1729" s="94"/>
      <c r="AI1729" s="94"/>
      <c r="AJ1729" s="94"/>
      <c r="AK1729" s="94"/>
      <c r="AL1729" s="94"/>
    </row>
    <row r="1730" spans="3:38">
      <c r="C1730" s="30"/>
      <c r="F1730" s="95"/>
      <c r="G1730" s="1"/>
      <c r="H1730" s="94"/>
      <c r="I1730" s="90"/>
      <c r="J1730" s="90"/>
      <c r="K1730" s="1"/>
      <c r="L1730" s="74"/>
      <c r="M1730" s="633"/>
      <c r="N1730" s="274"/>
      <c r="O1730" s="94"/>
      <c r="P1730" s="94"/>
      <c r="Q1730" s="94"/>
      <c r="R1730" s="94"/>
      <c r="S1730" s="94"/>
      <c r="V1730" s="30"/>
      <c r="W1730" s="30"/>
      <c r="X1730" s="1"/>
      <c r="Y1730" s="95"/>
      <c r="Z1730" s="1"/>
      <c r="AA1730" s="94"/>
      <c r="AB1730" s="1"/>
      <c r="AC1730" s="1"/>
      <c r="AD1730" s="1"/>
      <c r="AE1730" s="30"/>
      <c r="AF1730" s="633"/>
      <c r="AG1730" s="94"/>
      <c r="AH1730" s="94"/>
      <c r="AI1730" s="94"/>
      <c r="AJ1730" s="94"/>
      <c r="AK1730" s="94"/>
      <c r="AL1730" s="94"/>
    </row>
    <row r="1731" spans="3:38">
      <c r="C1731" s="30"/>
      <c r="F1731" s="95"/>
      <c r="G1731" s="1"/>
      <c r="H1731" s="94"/>
      <c r="I1731" s="90"/>
      <c r="J1731" s="90"/>
      <c r="K1731" s="1"/>
      <c r="L1731" s="74"/>
      <c r="M1731" s="633"/>
      <c r="N1731" s="274"/>
      <c r="O1731" s="94"/>
      <c r="P1731" s="94"/>
      <c r="Q1731" s="94"/>
      <c r="R1731" s="94"/>
      <c r="S1731" s="94"/>
      <c r="V1731" s="30"/>
      <c r="W1731" s="30"/>
      <c r="X1731" s="1"/>
      <c r="Y1731" s="95"/>
      <c r="Z1731" s="1"/>
      <c r="AA1731" s="94"/>
      <c r="AB1731" s="1"/>
      <c r="AC1731" s="1"/>
      <c r="AD1731" s="1"/>
      <c r="AE1731" s="30"/>
      <c r="AF1731" s="633"/>
      <c r="AG1731" s="94"/>
      <c r="AH1731" s="94"/>
      <c r="AI1731" s="94"/>
      <c r="AJ1731" s="94"/>
      <c r="AK1731" s="94"/>
      <c r="AL1731" s="94"/>
    </row>
    <row r="1732" spans="3:38">
      <c r="C1732" s="30"/>
      <c r="F1732" s="95"/>
      <c r="G1732" s="1"/>
      <c r="H1732" s="94"/>
      <c r="I1732" s="90"/>
      <c r="J1732" s="90"/>
      <c r="K1732" s="1"/>
      <c r="L1732" s="74"/>
      <c r="M1732" s="633"/>
      <c r="N1732" s="274"/>
      <c r="O1732" s="94"/>
      <c r="P1732" s="94"/>
      <c r="Q1732" s="94"/>
      <c r="R1732" s="94"/>
      <c r="S1732" s="94"/>
      <c r="V1732" s="30"/>
      <c r="W1732" s="30"/>
      <c r="X1732" s="1"/>
      <c r="Y1732" s="95"/>
      <c r="Z1732" s="1"/>
      <c r="AA1732" s="94"/>
      <c r="AB1732" s="1"/>
      <c r="AC1732" s="1"/>
      <c r="AD1732" s="1"/>
      <c r="AE1732" s="30"/>
      <c r="AF1732" s="633"/>
      <c r="AG1732" s="94"/>
      <c r="AH1732" s="94"/>
      <c r="AI1732" s="94"/>
      <c r="AJ1732" s="94"/>
      <c r="AK1732" s="94"/>
      <c r="AL1732" s="94"/>
    </row>
    <row r="1733" spans="3:38">
      <c r="C1733" s="30"/>
      <c r="F1733" s="95"/>
      <c r="G1733" s="1"/>
      <c r="H1733" s="94"/>
      <c r="I1733" s="90"/>
      <c r="J1733" s="90"/>
      <c r="K1733" s="1"/>
      <c r="L1733" s="74"/>
      <c r="M1733" s="633"/>
      <c r="N1733" s="274"/>
      <c r="O1733" s="94"/>
      <c r="P1733" s="94"/>
      <c r="Q1733" s="94"/>
      <c r="R1733" s="94"/>
      <c r="S1733" s="94"/>
      <c r="V1733" s="30"/>
      <c r="W1733" s="30"/>
      <c r="X1733" s="1"/>
      <c r="Y1733" s="95"/>
      <c r="Z1733" s="1"/>
      <c r="AA1733" s="94"/>
      <c r="AB1733" s="1"/>
      <c r="AC1733" s="1"/>
      <c r="AD1733" s="1"/>
      <c r="AE1733" s="30"/>
      <c r="AF1733" s="633"/>
      <c r="AG1733" s="94"/>
      <c r="AH1733" s="94"/>
      <c r="AI1733" s="94"/>
      <c r="AJ1733" s="94"/>
      <c r="AK1733" s="94"/>
      <c r="AL1733" s="94"/>
    </row>
    <row r="1734" spans="3:38">
      <c r="C1734" s="30"/>
      <c r="F1734" s="95"/>
      <c r="G1734" s="1"/>
      <c r="H1734" s="94"/>
      <c r="I1734" s="90"/>
      <c r="J1734" s="90"/>
      <c r="K1734" s="1"/>
      <c r="L1734" s="74"/>
      <c r="M1734" s="633"/>
      <c r="N1734" s="274"/>
      <c r="O1734" s="94"/>
      <c r="P1734" s="94"/>
      <c r="Q1734" s="94"/>
      <c r="R1734" s="94"/>
      <c r="S1734" s="94"/>
      <c r="V1734" s="30"/>
      <c r="W1734" s="30"/>
      <c r="X1734" s="1"/>
      <c r="Y1734" s="95"/>
      <c r="Z1734" s="1"/>
      <c r="AA1734" s="94"/>
      <c r="AB1734" s="1"/>
      <c r="AC1734" s="1"/>
      <c r="AD1734" s="1"/>
      <c r="AE1734" s="30"/>
      <c r="AF1734" s="633"/>
      <c r="AG1734" s="94"/>
      <c r="AH1734" s="94"/>
      <c r="AI1734" s="94"/>
      <c r="AJ1734" s="94"/>
      <c r="AK1734" s="94"/>
      <c r="AL1734" s="94"/>
    </row>
    <row r="1735" spans="3:38">
      <c r="C1735" s="30"/>
      <c r="F1735" s="95"/>
      <c r="G1735" s="1"/>
      <c r="H1735" s="94"/>
      <c r="I1735" s="90"/>
      <c r="J1735" s="90"/>
      <c r="K1735" s="1"/>
      <c r="L1735" s="74"/>
      <c r="M1735" s="633"/>
      <c r="N1735" s="274"/>
      <c r="O1735" s="94"/>
      <c r="P1735" s="94"/>
      <c r="Q1735" s="94"/>
      <c r="R1735" s="94"/>
      <c r="S1735" s="94"/>
      <c r="V1735" s="30"/>
      <c r="W1735" s="30"/>
      <c r="X1735" s="1"/>
      <c r="Y1735" s="95"/>
      <c r="Z1735" s="1"/>
      <c r="AA1735" s="94"/>
      <c r="AB1735" s="1"/>
      <c r="AC1735" s="1"/>
      <c r="AD1735" s="1"/>
      <c r="AE1735" s="30"/>
      <c r="AF1735" s="633"/>
      <c r="AG1735" s="94"/>
      <c r="AH1735" s="94"/>
      <c r="AI1735" s="94"/>
      <c r="AJ1735" s="94"/>
      <c r="AK1735" s="94"/>
      <c r="AL1735" s="94"/>
    </row>
    <row r="1736" spans="3:38">
      <c r="C1736" s="30"/>
      <c r="F1736" s="95"/>
      <c r="G1736" s="1"/>
      <c r="H1736" s="94"/>
      <c r="I1736" s="90"/>
      <c r="J1736" s="90"/>
      <c r="K1736" s="1"/>
      <c r="L1736" s="74"/>
      <c r="M1736" s="633"/>
      <c r="N1736" s="274"/>
      <c r="O1736" s="94"/>
      <c r="P1736" s="94"/>
      <c r="Q1736" s="94"/>
      <c r="R1736" s="94"/>
      <c r="S1736" s="94"/>
      <c r="V1736" s="30"/>
      <c r="W1736" s="30"/>
      <c r="X1736" s="1"/>
      <c r="Y1736" s="95"/>
      <c r="Z1736" s="1"/>
      <c r="AA1736" s="94"/>
      <c r="AB1736" s="1"/>
      <c r="AC1736" s="1"/>
      <c r="AD1736" s="1"/>
      <c r="AE1736" s="30"/>
      <c r="AF1736" s="633"/>
      <c r="AG1736" s="94"/>
      <c r="AH1736" s="94"/>
      <c r="AI1736" s="94"/>
      <c r="AJ1736" s="94"/>
      <c r="AK1736" s="94"/>
      <c r="AL1736" s="94"/>
    </row>
    <row r="1737" spans="3:38">
      <c r="C1737" s="30"/>
      <c r="F1737" s="95"/>
      <c r="G1737" s="1"/>
      <c r="H1737" s="94"/>
      <c r="I1737" s="90"/>
      <c r="J1737" s="90"/>
      <c r="K1737" s="1"/>
      <c r="L1737" s="74"/>
      <c r="M1737" s="633"/>
      <c r="N1737" s="274"/>
      <c r="O1737" s="94"/>
      <c r="P1737" s="94"/>
      <c r="Q1737" s="94"/>
      <c r="R1737" s="94"/>
      <c r="S1737" s="94"/>
      <c r="V1737" s="30"/>
      <c r="W1737" s="30"/>
      <c r="X1737" s="1"/>
      <c r="Y1737" s="95"/>
      <c r="Z1737" s="1"/>
      <c r="AA1737" s="94"/>
      <c r="AB1737" s="1"/>
      <c r="AC1737" s="1"/>
      <c r="AD1737" s="1"/>
      <c r="AE1737" s="30"/>
      <c r="AF1737" s="633"/>
      <c r="AG1737" s="94"/>
      <c r="AH1737" s="94"/>
      <c r="AI1737" s="94"/>
      <c r="AJ1737" s="94"/>
      <c r="AK1737" s="94"/>
      <c r="AL1737" s="94"/>
    </row>
    <row r="1738" spans="3:38">
      <c r="C1738" s="30"/>
      <c r="F1738" s="95"/>
      <c r="G1738" s="1"/>
      <c r="H1738" s="94"/>
      <c r="I1738" s="90"/>
      <c r="J1738" s="90"/>
      <c r="K1738" s="1"/>
      <c r="L1738" s="74"/>
      <c r="M1738" s="633"/>
      <c r="N1738" s="274"/>
      <c r="O1738" s="94"/>
      <c r="P1738" s="94"/>
      <c r="Q1738" s="94"/>
      <c r="R1738" s="94"/>
      <c r="S1738" s="94"/>
      <c r="V1738" s="30"/>
      <c r="W1738" s="30"/>
      <c r="X1738" s="1"/>
      <c r="Y1738" s="95"/>
      <c r="Z1738" s="1"/>
      <c r="AA1738" s="94"/>
      <c r="AB1738" s="1"/>
      <c r="AC1738" s="1"/>
      <c r="AD1738" s="1"/>
      <c r="AE1738" s="30"/>
      <c r="AF1738" s="633"/>
      <c r="AG1738" s="94"/>
      <c r="AH1738" s="94"/>
      <c r="AI1738" s="94"/>
      <c r="AJ1738" s="94"/>
      <c r="AK1738" s="94"/>
      <c r="AL1738" s="94"/>
    </row>
    <row r="1739" spans="3:38">
      <c r="C1739" s="30"/>
      <c r="F1739" s="95"/>
      <c r="G1739" s="1"/>
      <c r="H1739" s="94"/>
      <c r="I1739" s="90"/>
      <c r="J1739" s="90"/>
      <c r="K1739" s="1"/>
      <c r="L1739" s="74"/>
      <c r="M1739" s="633"/>
      <c r="N1739" s="274"/>
      <c r="O1739" s="94"/>
      <c r="P1739" s="94"/>
      <c r="Q1739" s="94"/>
      <c r="R1739" s="94"/>
      <c r="S1739" s="94"/>
      <c r="V1739" s="30"/>
      <c r="W1739" s="30"/>
      <c r="X1739" s="1"/>
      <c r="Y1739" s="95"/>
      <c r="Z1739" s="1"/>
      <c r="AA1739" s="94"/>
      <c r="AB1739" s="1"/>
      <c r="AC1739" s="1"/>
      <c r="AD1739" s="1"/>
      <c r="AE1739" s="30"/>
      <c r="AF1739" s="633"/>
      <c r="AG1739" s="94"/>
      <c r="AH1739" s="94"/>
      <c r="AI1739" s="94"/>
      <c r="AJ1739" s="94"/>
      <c r="AK1739" s="94"/>
      <c r="AL1739" s="94"/>
    </row>
    <row r="1740" spans="3:38">
      <c r="C1740" s="30"/>
      <c r="F1740" s="95"/>
      <c r="G1740" s="1"/>
      <c r="H1740" s="94"/>
      <c r="I1740" s="90"/>
      <c r="J1740" s="90"/>
      <c r="K1740" s="1"/>
      <c r="L1740" s="74"/>
      <c r="M1740" s="633"/>
      <c r="N1740" s="274"/>
      <c r="O1740" s="94"/>
      <c r="P1740" s="94"/>
      <c r="Q1740" s="94"/>
      <c r="R1740" s="94"/>
      <c r="S1740" s="94"/>
      <c r="V1740" s="30"/>
      <c r="W1740" s="30"/>
      <c r="X1740" s="1"/>
      <c r="Y1740" s="95"/>
      <c r="Z1740" s="1"/>
      <c r="AA1740" s="94"/>
      <c r="AB1740" s="1"/>
      <c r="AC1740" s="1"/>
      <c r="AD1740" s="1"/>
      <c r="AE1740" s="30"/>
      <c r="AF1740" s="633"/>
      <c r="AG1740" s="94"/>
      <c r="AH1740" s="94"/>
      <c r="AI1740" s="94"/>
      <c r="AJ1740" s="94"/>
      <c r="AK1740" s="94"/>
      <c r="AL1740" s="94"/>
    </row>
    <row r="1741" spans="3:38">
      <c r="C1741" s="30"/>
      <c r="F1741" s="95"/>
      <c r="G1741" s="1"/>
      <c r="H1741" s="94"/>
      <c r="I1741" s="90"/>
      <c r="J1741" s="90"/>
      <c r="K1741" s="1"/>
      <c r="L1741" s="74"/>
      <c r="M1741" s="633"/>
      <c r="N1741" s="274"/>
      <c r="O1741" s="94"/>
      <c r="P1741" s="94"/>
      <c r="Q1741" s="94"/>
      <c r="R1741" s="94"/>
      <c r="S1741" s="94"/>
      <c r="V1741" s="30"/>
      <c r="W1741" s="30"/>
      <c r="X1741" s="1"/>
      <c r="Y1741" s="95"/>
      <c r="Z1741" s="1"/>
      <c r="AA1741" s="94"/>
      <c r="AB1741" s="1"/>
      <c r="AC1741" s="1"/>
      <c r="AD1741" s="1"/>
      <c r="AE1741" s="30"/>
      <c r="AF1741" s="633"/>
      <c r="AG1741" s="94"/>
      <c r="AH1741" s="94"/>
      <c r="AI1741" s="94"/>
      <c r="AJ1741" s="94"/>
      <c r="AK1741" s="94"/>
      <c r="AL1741" s="94"/>
    </row>
    <row r="1742" spans="3:38">
      <c r="C1742" s="30"/>
      <c r="F1742" s="95"/>
      <c r="G1742" s="1"/>
      <c r="H1742" s="94"/>
      <c r="I1742" s="90"/>
      <c r="J1742" s="90"/>
      <c r="K1742" s="1"/>
      <c r="L1742" s="74"/>
      <c r="M1742" s="633"/>
      <c r="N1742" s="274"/>
      <c r="O1742" s="94"/>
      <c r="P1742" s="94"/>
      <c r="Q1742" s="94"/>
      <c r="R1742" s="94"/>
      <c r="S1742" s="94"/>
      <c r="V1742" s="30"/>
      <c r="W1742" s="30"/>
      <c r="X1742" s="1"/>
      <c r="Y1742" s="95"/>
      <c r="Z1742" s="1"/>
      <c r="AA1742" s="94"/>
      <c r="AB1742" s="1"/>
      <c r="AC1742" s="1"/>
      <c r="AD1742" s="1"/>
      <c r="AE1742" s="30"/>
      <c r="AF1742" s="633"/>
      <c r="AG1742" s="94"/>
      <c r="AH1742" s="94"/>
      <c r="AI1742" s="94"/>
      <c r="AJ1742" s="94"/>
      <c r="AK1742" s="94"/>
      <c r="AL1742" s="94"/>
    </row>
    <row r="1743" spans="3:38">
      <c r="C1743" s="30"/>
      <c r="F1743" s="95"/>
      <c r="G1743" s="1"/>
      <c r="H1743" s="94"/>
      <c r="I1743" s="90"/>
      <c r="J1743" s="90"/>
      <c r="K1743" s="1"/>
      <c r="L1743" s="74"/>
      <c r="M1743" s="633"/>
      <c r="N1743" s="274"/>
      <c r="O1743" s="94"/>
      <c r="P1743" s="94"/>
      <c r="Q1743" s="94"/>
      <c r="R1743" s="94"/>
      <c r="S1743" s="94"/>
      <c r="V1743" s="30"/>
      <c r="W1743" s="30"/>
      <c r="X1743" s="1"/>
      <c r="Y1743" s="95"/>
      <c r="Z1743" s="1"/>
      <c r="AA1743" s="94"/>
      <c r="AB1743" s="1"/>
      <c r="AC1743" s="1"/>
      <c r="AD1743" s="1"/>
      <c r="AE1743" s="30"/>
      <c r="AF1743" s="633"/>
      <c r="AG1743" s="94"/>
      <c r="AH1743" s="94"/>
      <c r="AI1743" s="94"/>
      <c r="AJ1743" s="94"/>
      <c r="AK1743" s="94"/>
      <c r="AL1743" s="94"/>
    </row>
    <row r="1744" spans="3:38">
      <c r="C1744" s="30"/>
      <c r="F1744" s="95"/>
      <c r="G1744" s="1"/>
      <c r="H1744" s="94"/>
      <c r="I1744" s="90"/>
      <c r="J1744" s="90"/>
      <c r="K1744" s="1"/>
      <c r="L1744" s="74"/>
      <c r="M1744" s="633"/>
      <c r="N1744" s="274"/>
      <c r="O1744" s="94"/>
      <c r="P1744" s="94"/>
      <c r="Q1744" s="94"/>
      <c r="R1744" s="94"/>
      <c r="S1744" s="94"/>
      <c r="V1744" s="30"/>
      <c r="W1744" s="30"/>
      <c r="X1744" s="1"/>
      <c r="Y1744" s="95"/>
      <c r="Z1744" s="1"/>
      <c r="AA1744" s="94"/>
      <c r="AB1744" s="1"/>
      <c r="AC1744" s="1"/>
      <c r="AD1744" s="1"/>
      <c r="AE1744" s="30"/>
      <c r="AF1744" s="633"/>
      <c r="AG1744" s="94"/>
      <c r="AH1744" s="94"/>
      <c r="AI1744" s="94"/>
      <c r="AJ1744" s="94"/>
      <c r="AK1744" s="94"/>
      <c r="AL1744" s="94"/>
    </row>
    <row r="1745" spans="3:38">
      <c r="C1745" s="30"/>
      <c r="F1745" s="95"/>
      <c r="G1745" s="1"/>
      <c r="H1745" s="94"/>
      <c r="I1745" s="90"/>
      <c r="J1745" s="90"/>
      <c r="K1745" s="1"/>
      <c r="L1745" s="74"/>
      <c r="M1745" s="633"/>
      <c r="N1745" s="274"/>
      <c r="O1745" s="94"/>
      <c r="P1745" s="94"/>
      <c r="Q1745" s="94"/>
      <c r="R1745" s="94"/>
      <c r="S1745" s="94"/>
      <c r="V1745" s="30"/>
      <c r="W1745" s="30"/>
      <c r="X1745" s="1"/>
      <c r="Y1745" s="95"/>
      <c r="Z1745" s="1"/>
      <c r="AA1745" s="94"/>
      <c r="AB1745" s="1"/>
      <c r="AC1745" s="1"/>
      <c r="AD1745" s="1"/>
      <c r="AE1745" s="30"/>
      <c r="AF1745" s="633"/>
      <c r="AG1745" s="94"/>
      <c r="AH1745" s="94"/>
      <c r="AI1745" s="94"/>
      <c r="AJ1745" s="94"/>
      <c r="AK1745" s="94"/>
      <c r="AL1745" s="94"/>
    </row>
    <row r="1746" spans="3:38">
      <c r="C1746" s="30"/>
      <c r="F1746" s="95"/>
      <c r="G1746" s="1"/>
      <c r="H1746" s="94"/>
      <c r="I1746" s="90"/>
      <c r="J1746" s="90"/>
      <c r="K1746" s="1"/>
      <c r="L1746" s="74"/>
      <c r="M1746" s="633"/>
      <c r="N1746" s="274"/>
      <c r="O1746" s="94"/>
      <c r="P1746" s="94"/>
      <c r="Q1746" s="94"/>
      <c r="R1746" s="94"/>
      <c r="S1746" s="94"/>
      <c r="V1746" s="30"/>
      <c r="W1746" s="30"/>
      <c r="X1746" s="1"/>
      <c r="Y1746" s="95"/>
      <c r="Z1746" s="1"/>
      <c r="AA1746" s="94"/>
      <c r="AB1746" s="1"/>
      <c r="AC1746" s="1"/>
      <c r="AD1746" s="1"/>
      <c r="AE1746" s="30"/>
      <c r="AF1746" s="633"/>
      <c r="AG1746" s="94"/>
      <c r="AH1746" s="94"/>
      <c r="AI1746" s="94"/>
      <c r="AJ1746" s="94"/>
      <c r="AK1746" s="94"/>
      <c r="AL1746" s="94"/>
    </row>
    <row r="1747" spans="3:38">
      <c r="C1747" s="30"/>
      <c r="F1747" s="95"/>
      <c r="G1747" s="1"/>
      <c r="H1747" s="94"/>
      <c r="I1747" s="90"/>
      <c r="J1747" s="90"/>
      <c r="K1747" s="1"/>
      <c r="L1747" s="74"/>
      <c r="M1747" s="633"/>
      <c r="N1747" s="274"/>
      <c r="O1747" s="94"/>
      <c r="P1747" s="94"/>
      <c r="Q1747" s="94"/>
      <c r="R1747" s="94"/>
      <c r="S1747" s="94"/>
      <c r="V1747" s="30"/>
      <c r="W1747" s="30"/>
      <c r="X1747" s="1"/>
      <c r="Y1747" s="95"/>
      <c r="Z1747" s="1"/>
      <c r="AA1747" s="94"/>
      <c r="AB1747" s="1"/>
      <c r="AC1747" s="1"/>
      <c r="AD1747" s="1"/>
      <c r="AE1747" s="30"/>
      <c r="AF1747" s="633"/>
      <c r="AG1747" s="94"/>
      <c r="AH1747" s="94"/>
      <c r="AI1747" s="94"/>
      <c r="AJ1747" s="94"/>
      <c r="AK1747" s="94"/>
      <c r="AL1747" s="94"/>
    </row>
    <row r="1748" spans="3:38">
      <c r="C1748" s="30"/>
      <c r="F1748" s="95"/>
      <c r="G1748" s="1"/>
      <c r="H1748" s="94"/>
      <c r="I1748" s="90"/>
      <c r="J1748" s="90"/>
      <c r="K1748" s="1"/>
      <c r="L1748" s="74"/>
      <c r="M1748" s="633"/>
      <c r="N1748" s="274"/>
      <c r="O1748" s="94"/>
      <c r="P1748" s="94"/>
      <c r="Q1748" s="94"/>
      <c r="R1748" s="94"/>
      <c r="S1748" s="94"/>
      <c r="V1748" s="30"/>
      <c r="W1748" s="30"/>
      <c r="X1748" s="1"/>
      <c r="Y1748" s="95"/>
      <c r="Z1748" s="1"/>
      <c r="AA1748" s="94"/>
      <c r="AB1748" s="1"/>
      <c r="AC1748" s="1"/>
      <c r="AD1748" s="1"/>
      <c r="AE1748" s="30"/>
      <c r="AF1748" s="633"/>
      <c r="AG1748" s="94"/>
      <c r="AH1748" s="94"/>
      <c r="AI1748" s="94"/>
      <c r="AJ1748" s="94"/>
      <c r="AK1748" s="94"/>
      <c r="AL1748" s="94"/>
    </row>
    <row r="1749" spans="3:38">
      <c r="C1749" s="30"/>
      <c r="F1749" s="95"/>
      <c r="G1749" s="1"/>
      <c r="H1749" s="94"/>
      <c r="I1749" s="90"/>
      <c r="J1749" s="90"/>
      <c r="K1749" s="1"/>
      <c r="L1749" s="74"/>
      <c r="M1749" s="633"/>
      <c r="N1749" s="274"/>
      <c r="O1749" s="94"/>
      <c r="P1749" s="94"/>
      <c r="Q1749" s="94"/>
      <c r="R1749" s="94"/>
      <c r="S1749" s="94"/>
      <c r="V1749" s="30"/>
      <c r="W1749" s="30"/>
      <c r="X1749" s="1"/>
      <c r="Y1749" s="95"/>
      <c r="Z1749" s="1"/>
      <c r="AA1749" s="94"/>
      <c r="AB1749" s="1"/>
      <c r="AC1749" s="1"/>
      <c r="AD1749" s="1"/>
      <c r="AE1749" s="30"/>
      <c r="AF1749" s="633"/>
      <c r="AG1749" s="94"/>
      <c r="AH1749" s="94"/>
      <c r="AI1749" s="94"/>
      <c r="AJ1749" s="94"/>
      <c r="AK1749" s="94"/>
      <c r="AL1749" s="94"/>
    </row>
    <row r="1750" spans="3:38">
      <c r="C1750" s="30"/>
      <c r="F1750" s="95"/>
      <c r="G1750" s="1"/>
      <c r="H1750" s="94"/>
      <c r="I1750" s="90"/>
      <c r="J1750" s="90"/>
      <c r="K1750" s="1"/>
      <c r="L1750" s="74"/>
      <c r="M1750" s="633"/>
      <c r="N1750" s="274"/>
      <c r="O1750" s="94"/>
      <c r="P1750" s="94"/>
      <c r="Q1750" s="94"/>
      <c r="R1750" s="94"/>
      <c r="S1750" s="94"/>
      <c r="V1750" s="30"/>
      <c r="W1750" s="30"/>
      <c r="X1750" s="1"/>
      <c r="Y1750" s="95"/>
      <c r="Z1750" s="1"/>
      <c r="AA1750" s="94"/>
      <c r="AB1750" s="1"/>
      <c r="AC1750" s="1"/>
      <c r="AD1750" s="1"/>
      <c r="AE1750" s="30"/>
      <c r="AF1750" s="633"/>
      <c r="AG1750" s="94"/>
      <c r="AH1750" s="94"/>
      <c r="AI1750" s="94"/>
      <c r="AJ1750" s="94"/>
      <c r="AK1750" s="94"/>
      <c r="AL1750" s="94"/>
    </row>
    <row r="1751" spans="3:38">
      <c r="C1751" s="30"/>
      <c r="F1751" s="95"/>
      <c r="G1751" s="1"/>
      <c r="H1751" s="94"/>
      <c r="I1751" s="90"/>
      <c r="J1751" s="90"/>
      <c r="K1751" s="1"/>
      <c r="L1751" s="74"/>
      <c r="M1751" s="633"/>
      <c r="N1751" s="274"/>
      <c r="O1751" s="94"/>
      <c r="P1751" s="94"/>
      <c r="Q1751" s="94"/>
      <c r="R1751" s="94"/>
      <c r="S1751" s="94"/>
      <c r="V1751" s="30"/>
      <c r="W1751" s="30"/>
      <c r="X1751" s="1"/>
      <c r="Y1751" s="95"/>
      <c r="Z1751" s="1"/>
      <c r="AA1751" s="94"/>
      <c r="AB1751" s="1"/>
      <c r="AC1751" s="1"/>
      <c r="AD1751" s="1"/>
      <c r="AE1751" s="30"/>
      <c r="AF1751" s="633"/>
      <c r="AG1751" s="94"/>
      <c r="AH1751" s="94"/>
      <c r="AI1751" s="94"/>
      <c r="AJ1751" s="94"/>
      <c r="AK1751" s="94"/>
      <c r="AL1751" s="94"/>
    </row>
    <row r="1752" spans="3:38">
      <c r="C1752" s="30"/>
      <c r="F1752" s="95"/>
      <c r="G1752" s="1"/>
      <c r="H1752" s="94"/>
      <c r="I1752" s="90"/>
      <c r="J1752" s="90"/>
      <c r="K1752" s="1"/>
      <c r="L1752" s="74"/>
      <c r="M1752" s="633"/>
      <c r="N1752" s="274"/>
      <c r="O1752" s="94"/>
      <c r="P1752" s="94"/>
      <c r="Q1752" s="94"/>
      <c r="R1752" s="94"/>
      <c r="S1752" s="94"/>
      <c r="V1752" s="30"/>
      <c r="W1752" s="30"/>
      <c r="X1752" s="1"/>
      <c r="Y1752" s="95"/>
      <c r="Z1752" s="1"/>
      <c r="AA1752" s="94"/>
      <c r="AB1752" s="1"/>
      <c r="AC1752" s="1"/>
      <c r="AD1752" s="1"/>
      <c r="AE1752" s="30"/>
      <c r="AF1752" s="633"/>
      <c r="AG1752" s="94"/>
      <c r="AH1752" s="94"/>
      <c r="AI1752" s="94"/>
      <c r="AJ1752" s="94"/>
      <c r="AK1752" s="94"/>
      <c r="AL1752" s="94"/>
    </row>
    <row r="1753" spans="3:38">
      <c r="C1753" s="30"/>
      <c r="F1753" s="95"/>
      <c r="G1753" s="1"/>
      <c r="H1753" s="94"/>
      <c r="I1753" s="90"/>
      <c r="J1753" s="90"/>
      <c r="K1753" s="1"/>
      <c r="L1753" s="74"/>
      <c r="M1753" s="633"/>
      <c r="N1753" s="274"/>
      <c r="O1753" s="94"/>
      <c r="P1753" s="94"/>
      <c r="Q1753" s="94"/>
      <c r="R1753" s="94"/>
      <c r="S1753" s="94"/>
      <c r="V1753" s="30"/>
      <c r="W1753" s="30"/>
      <c r="X1753" s="1"/>
      <c r="Y1753" s="95"/>
      <c r="Z1753" s="1"/>
      <c r="AA1753" s="94"/>
      <c r="AB1753" s="1"/>
      <c r="AC1753" s="1"/>
      <c r="AD1753" s="1"/>
      <c r="AE1753" s="30"/>
      <c r="AF1753" s="633"/>
      <c r="AG1753" s="94"/>
      <c r="AH1753" s="94"/>
      <c r="AI1753" s="94"/>
      <c r="AJ1753" s="94"/>
      <c r="AK1753" s="94"/>
      <c r="AL1753" s="94"/>
    </row>
    <row r="1754" spans="3:38">
      <c r="C1754" s="30"/>
      <c r="F1754" s="95"/>
      <c r="G1754" s="1"/>
      <c r="H1754" s="94"/>
      <c r="I1754" s="90"/>
      <c r="J1754" s="90"/>
      <c r="K1754" s="1"/>
      <c r="L1754" s="74"/>
      <c r="M1754" s="633"/>
      <c r="N1754" s="274"/>
      <c r="O1754" s="94"/>
      <c r="P1754" s="94"/>
      <c r="Q1754" s="94"/>
      <c r="R1754" s="94"/>
      <c r="S1754" s="94"/>
      <c r="V1754" s="30"/>
      <c r="W1754" s="30"/>
      <c r="X1754" s="1"/>
      <c r="Y1754" s="95"/>
      <c r="Z1754" s="1"/>
      <c r="AA1754" s="94"/>
      <c r="AB1754" s="1"/>
      <c r="AC1754" s="1"/>
      <c r="AD1754" s="1"/>
      <c r="AE1754" s="30"/>
      <c r="AF1754" s="633"/>
      <c r="AG1754" s="94"/>
      <c r="AH1754" s="94"/>
      <c r="AI1754" s="94"/>
      <c r="AJ1754" s="94"/>
      <c r="AK1754" s="94"/>
      <c r="AL1754" s="94"/>
    </row>
    <row r="1755" spans="3:38">
      <c r="C1755" s="30"/>
      <c r="F1755" s="95"/>
      <c r="G1755" s="1"/>
      <c r="H1755" s="94"/>
      <c r="I1755" s="90"/>
      <c r="J1755" s="90"/>
      <c r="K1755" s="1"/>
      <c r="L1755" s="74"/>
      <c r="M1755" s="633"/>
      <c r="N1755" s="274"/>
      <c r="O1755" s="94"/>
      <c r="P1755" s="94"/>
      <c r="Q1755" s="94"/>
      <c r="R1755" s="94"/>
      <c r="S1755" s="94"/>
      <c r="V1755" s="30"/>
      <c r="W1755" s="30"/>
      <c r="X1755" s="1"/>
      <c r="Y1755" s="95"/>
      <c r="Z1755" s="1"/>
      <c r="AA1755" s="94"/>
      <c r="AB1755" s="1"/>
      <c r="AC1755" s="1"/>
      <c r="AD1755" s="1"/>
      <c r="AE1755" s="30"/>
      <c r="AF1755" s="633"/>
      <c r="AG1755" s="94"/>
      <c r="AH1755" s="94"/>
      <c r="AI1755" s="94"/>
      <c r="AJ1755" s="94"/>
      <c r="AK1755" s="94"/>
      <c r="AL1755" s="94"/>
    </row>
    <row r="1756" spans="3:38">
      <c r="C1756" s="30"/>
      <c r="F1756" s="95"/>
      <c r="G1756" s="1"/>
      <c r="H1756" s="94"/>
      <c r="I1756" s="90"/>
      <c r="J1756" s="90"/>
      <c r="K1756" s="1"/>
      <c r="L1756" s="74"/>
      <c r="M1756" s="633"/>
      <c r="N1756" s="274"/>
      <c r="O1756" s="94"/>
      <c r="P1756" s="94"/>
      <c r="Q1756" s="94"/>
      <c r="R1756" s="94"/>
      <c r="S1756" s="94"/>
      <c r="V1756" s="30"/>
      <c r="W1756" s="30"/>
      <c r="X1756" s="1"/>
      <c r="Y1756" s="95"/>
      <c r="Z1756" s="1"/>
      <c r="AA1756" s="94"/>
      <c r="AB1756" s="1"/>
      <c r="AC1756" s="1"/>
      <c r="AD1756" s="1"/>
      <c r="AE1756" s="30"/>
      <c r="AF1756" s="633"/>
      <c r="AG1756" s="94"/>
      <c r="AH1756" s="94"/>
      <c r="AI1756" s="94"/>
      <c r="AJ1756" s="94"/>
      <c r="AK1756" s="94"/>
      <c r="AL1756" s="94"/>
    </row>
    <row r="1757" spans="3:38">
      <c r="C1757" s="30"/>
      <c r="F1757" s="95"/>
      <c r="G1757" s="1"/>
      <c r="H1757" s="94"/>
      <c r="I1757" s="90"/>
      <c r="J1757" s="90"/>
      <c r="K1757" s="1"/>
      <c r="L1757" s="74"/>
      <c r="M1757" s="633"/>
      <c r="N1757" s="274"/>
      <c r="O1757" s="94"/>
      <c r="P1757" s="94"/>
      <c r="Q1757" s="94"/>
      <c r="R1757" s="94"/>
      <c r="S1757" s="94"/>
      <c r="V1757" s="30"/>
      <c r="W1757" s="30"/>
      <c r="X1757" s="1"/>
      <c r="Y1757" s="95"/>
      <c r="Z1757" s="1"/>
      <c r="AA1757" s="94"/>
      <c r="AB1757" s="1"/>
      <c r="AC1757" s="1"/>
      <c r="AD1757" s="1"/>
      <c r="AE1757" s="30"/>
      <c r="AF1757" s="633"/>
      <c r="AG1757" s="94"/>
      <c r="AH1757" s="94"/>
      <c r="AI1757" s="94"/>
      <c r="AJ1757" s="94"/>
      <c r="AK1757" s="94"/>
      <c r="AL1757" s="94"/>
    </row>
    <row r="1758" spans="3:38">
      <c r="C1758" s="30"/>
      <c r="F1758" s="95"/>
      <c r="G1758" s="1"/>
      <c r="H1758" s="94"/>
      <c r="I1758" s="90"/>
      <c r="J1758" s="90"/>
      <c r="K1758" s="1"/>
      <c r="L1758" s="74"/>
      <c r="M1758" s="633"/>
      <c r="N1758" s="274"/>
      <c r="O1758" s="94"/>
      <c r="P1758" s="94"/>
      <c r="Q1758" s="94"/>
      <c r="R1758" s="94"/>
      <c r="S1758" s="94"/>
      <c r="V1758" s="30"/>
      <c r="W1758" s="30"/>
      <c r="X1758" s="1"/>
      <c r="Y1758" s="95"/>
      <c r="Z1758" s="1"/>
      <c r="AA1758" s="94"/>
      <c r="AB1758" s="1"/>
      <c r="AC1758" s="1"/>
      <c r="AD1758" s="1"/>
      <c r="AE1758" s="30"/>
      <c r="AF1758" s="633"/>
      <c r="AG1758" s="94"/>
      <c r="AH1758" s="94"/>
      <c r="AI1758" s="94"/>
      <c r="AJ1758" s="94"/>
      <c r="AK1758" s="94"/>
      <c r="AL1758" s="94"/>
    </row>
    <row r="1759" spans="3:38">
      <c r="C1759" s="30"/>
      <c r="F1759" s="95"/>
      <c r="G1759" s="1"/>
      <c r="H1759" s="94"/>
      <c r="I1759" s="90"/>
      <c r="J1759" s="90"/>
      <c r="K1759" s="1"/>
      <c r="L1759" s="74"/>
      <c r="M1759" s="633"/>
      <c r="N1759" s="274"/>
      <c r="O1759" s="94"/>
      <c r="P1759" s="94"/>
      <c r="Q1759" s="94"/>
      <c r="R1759" s="94"/>
      <c r="S1759" s="94"/>
      <c r="V1759" s="30"/>
      <c r="W1759" s="30"/>
      <c r="X1759" s="1"/>
      <c r="Y1759" s="95"/>
      <c r="Z1759" s="1"/>
      <c r="AA1759" s="94"/>
      <c r="AB1759" s="1"/>
      <c r="AC1759" s="1"/>
      <c r="AD1759" s="1"/>
      <c r="AE1759" s="30"/>
      <c r="AF1759" s="633"/>
      <c r="AG1759" s="94"/>
      <c r="AH1759" s="94"/>
      <c r="AI1759" s="94"/>
      <c r="AJ1759" s="94"/>
      <c r="AK1759" s="94"/>
      <c r="AL1759" s="94"/>
    </row>
    <row r="1760" spans="3:38">
      <c r="C1760" s="30"/>
      <c r="F1760" s="95"/>
      <c r="G1760" s="1"/>
      <c r="H1760" s="94"/>
      <c r="I1760" s="90"/>
      <c r="J1760" s="90"/>
      <c r="K1760" s="1"/>
      <c r="L1760" s="74"/>
      <c r="M1760" s="633"/>
      <c r="N1760" s="274"/>
      <c r="O1760" s="94"/>
      <c r="P1760" s="94"/>
      <c r="Q1760" s="94"/>
      <c r="R1760" s="94"/>
      <c r="S1760" s="94"/>
      <c r="V1760" s="30"/>
      <c r="W1760" s="30"/>
      <c r="X1760" s="1"/>
      <c r="Y1760" s="95"/>
      <c r="Z1760" s="1"/>
      <c r="AA1760" s="94"/>
      <c r="AB1760" s="1"/>
      <c r="AC1760" s="1"/>
      <c r="AD1760" s="1"/>
      <c r="AE1760" s="30"/>
      <c r="AF1760" s="633"/>
      <c r="AG1760" s="94"/>
      <c r="AH1760" s="94"/>
      <c r="AI1760" s="94"/>
      <c r="AJ1760" s="94"/>
      <c r="AK1760" s="94"/>
      <c r="AL1760" s="94"/>
    </row>
    <row r="1761" spans="3:38">
      <c r="C1761" s="30"/>
      <c r="F1761" s="95"/>
      <c r="G1761" s="1"/>
      <c r="H1761" s="94"/>
      <c r="I1761" s="90"/>
      <c r="J1761" s="90"/>
      <c r="K1761" s="1"/>
      <c r="L1761" s="74"/>
      <c r="M1761" s="633"/>
      <c r="N1761" s="274"/>
      <c r="O1761" s="94"/>
      <c r="P1761" s="94"/>
      <c r="Q1761" s="94"/>
      <c r="R1761" s="94"/>
      <c r="S1761" s="94"/>
      <c r="V1761" s="30"/>
      <c r="W1761" s="30"/>
      <c r="X1761" s="1"/>
      <c r="Y1761" s="95"/>
      <c r="Z1761" s="1"/>
      <c r="AA1761" s="94"/>
      <c r="AB1761" s="1"/>
      <c r="AC1761" s="1"/>
      <c r="AD1761" s="1"/>
      <c r="AE1761" s="30"/>
      <c r="AF1761" s="633"/>
      <c r="AG1761" s="94"/>
      <c r="AH1761" s="94"/>
      <c r="AI1761" s="94"/>
      <c r="AJ1761" s="94"/>
      <c r="AK1761" s="94"/>
      <c r="AL1761" s="94"/>
    </row>
    <row r="1762" spans="3:38">
      <c r="C1762" s="30"/>
      <c r="F1762" s="95"/>
      <c r="G1762" s="1"/>
      <c r="H1762" s="94"/>
      <c r="I1762" s="90"/>
      <c r="J1762" s="90"/>
      <c r="K1762" s="1"/>
      <c r="L1762" s="74"/>
      <c r="M1762" s="633"/>
      <c r="N1762" s="274"/>
      <c r="O1762" s="94"/>
      <c r="P1762" s="94"/>
      <c r="Q1762" s="94"/>
      <c r="R1762" s="94"/>
      <c r="S1762" s="94"/>
      <c r="V1762" s="30"/>
      <c r="W1762" s="30"/>
      <c r="X1762" s="1"/>
      <c r="Y1762" s="95"/>
      <c r="Z1762" s="1"/>
      <c r="AA1762" s="94"/>
      <c r="AB1762" s="1"/>
      <c r="AC1762" s="1"/>
      <c r="AD1762" s="1"/>
      <c r="AE1762" s="30"/>
      <c r="AF1762" s="633"/>
      <c r="AG1762" s="94"/>
      <c r="AH1762" s="94"/>
      <c r="AI1762" s="94"/>
      <c r="AJ1762" s="94"/>
      <c r="AK1762" s="94"/>
      <c r="AL1762" s="94"/>
    </row>
    <row r="1763" spans="3:38">
      <c r="C1763" s="30"/>
      <c r="F1763" s="95"/>
      <c r="G1763" s="1"/>
      <c r="H1763" s="94"/>
      <c r="I1763" s="90"/>
      <c r="J1763" s="90"/>
      <c r="K1763" s="1"/>
      <c r="L1763" s="74"/>
      <c r="M1763" s="633"/>
      <c r="N1763" s="274"/>
      <c r="O1763" s="94"/>
      <c r="P1763" s="94"/>
      <c r="Q1763" s="94"/>
      <c r="R1763" s="94"/>
      <c r="S1763" s="94"/>
      <c r="V1763" s="30"/>
      <c r="W1763" s="30"/>
      <c r="X1763" s="1"/>
      <c r="Y1763" s="95"/>
      <c r="Z1763" s="1"/>
      <c r="AA1763" s="94"/>
      <c r="AB1763" s="1"/>
      <c r="AC1763" s="1"/>
      <c r="AD1763" s="1"/>
      <c r="AE1763" s="30"/>
      <c r="AF1763" s="633"/>
      <c r="AG1763" s="94"/>
      <c r="AH1763" s="94"/>
      <c r="AI1763" s="94"/>
      <c r="AJ1763" s="94"/>
      <c r="AK1763" s="94"/>
      <c r="AL1763" s="94"/>
    </row>
    <row r="1764" spans="3:38">
      <c r="C1764" s="30"/>
      <c r="F1764" s="95"/>
      <c r="G1764" s="1"/>
      <c r="H1764" s="94"/>
      <c r="I1764" s="90"/>
      <c r="J1764" s="90"/>
      <c r="K1764" s="1"/>
      <c r="L1764" s="74"/>
      <c r="M1764" s="633"/>
      <c r="N1764" s="274"/>
      <c r="O1764" s="94"/>
      <c r="P1764" s="94"/>
      <c r="Q1764" s="94"/>
      <c r="R1764" s="94"/>
      <c r="S1764" s="94"/>
      <c r="V1764" s="30"/>
      <c r="W1764" s="30"/>
      <c r="X1764" s="1"/>
      <c r="Y1764" s="95"/>
      <c r="Z1764" s="1"/>
      <c r="AA1764" s="94"/>
      <c r="AB1764" s="1"/>
      <c r="AC1764" s="1"/>
      <c r="AD1764" s="1"/>
      <c r="AE1764" s="30"/>
      <c r="AF1764" s="633"/>
      <c r="AG1764" s="94"/>
      <c r="AH1764" s="94"/>
      <c r="AI1764" s="94"/>
      <c r="AJ1764" s="94"/>
      <c r="AK1764" s="94"/>
      <c r="AL1764" s="94"/>
    </row>
    <row r="1765" spans="3:38">
      <c r="C1765" s="30"/>
      <c r="F1765" s="95"/>
      <c r="G1765" s="1"/>
      <c r="H1765" s="94"/>
      <c r="I1765" s="90"/>
      <c r="J1765" s="90"/>
      <c r="K1765" s="1"/>
      <c r="L1765" s="74"/>
      <c r="M1765" s="633"/>
      <c r="N1765" s="274"/>
      <c r="O1765" s="94"/>
      <c r="P1765" s="94"/>
      <c r="Q1765" s="94"/>
      <c r="R1765" s="94"/>
      <c r="S1765" s="94"/>
      <c r="V1765" s="30"/>
      <c r="W1765" s="30"/>
      <c r="X1765" s="1"/>
      <c r="Y1765" s="95"/>
      <c r="Z1765" s="1"/>
      <c r="AA1765" s="94"/>
      <c r="AB1765" s="1"/>
      <c r="AC1765" s="1"/>
      <c r="AD1765" s="1"/>
      <c r="AE1765" s="30"/>
      <c r="AF1765" s="633"/>
      <c r="AG1765" s="94"/>
      <c r="AH1765" s="94"/>
      <c r="AI1765" s="94"/>
      <c r="AJ1765" s="94"/>
      <c r="AK1765" s="94"/>
      <c r="AL1765" s="94"/>
    </row>
    <row r="1766" spans="3:38">
      <c r="C1766" s="30"/>
      <c r="F1766" s="95"/>
      <c r="G1766" s="1"/>
      <c r="H1766" s="94"/>
      <c r="I1766" s="90"/>
      <c r="J1766" s="90"/>
      <c r="K1766" s="1"/>
      <c r="L1766" s="74"/>
      <c r="M1766" s="633"/>
      <c r="N1766" s="274"/>
      <c r="O1766" s="94"/>
      <c r="P1766" s="94"/>
      <c r="Q1766" s="94"/>
      <c r="R1766" s="94"/>
      <c r="S1766" s="94"/>
      <c r="V1766" s="30"/>
      <c r="W1766" s="30"/>
      <c r="X1766" s="1"/>
      <c r="Y1766" s="95"/>
      <c r="Z1766" s="1"/>
      <c r="AA1766" s="94"/>
      <c r="AB1766" s="1"/>
      <c r="AC1766" s="1"/>
      <c r="AD1766" s="1"/>
      <c r="AE1766" s="30"/>
      <c r="AF1766" s="633"/>
      <c r="AG1766" s="94"/>
      <c r="AH1766" s="94"/>
      <c r="AI1766" s="94"/>
      <c r="AJ1766" s="94"/>
      <c r="AK1766" s="94"/>
      <c r="AL1766" s="94"/>
    </row>
    <row r="1767" spans="3:38">
      <c r="C1767" s="30"/>
      <c r="F1767" s="95"/>
      <c r="G1767" s="1"/>
      <c r="H1767" s="94"/>
      <c r="I1767" s="90"/>
      <c r="J1767" s="90"/>
      <c r="K1767" s="1"/>
      <c r="L1767" s="74"/>
      <c r="M1767" s="633"/>
      <c r="N1767" s="274"/>
      <c r="O1767" s="94"/>
      <c r="P1767" s="94"/>
      <c r="Q1767" s="94"/>
      <c r="R1767" s="94"/>
      <c r="S1767" s="94"/>
      <c r="V1767" s="30"/>
      <c r="W1767" s="30"/>
      <c r="X1767" s="1"/>
      <c r="Y1767" s="95"/>
      <c r="Z1767" s="1"/>
      <c r="AA1767" s="94"/>
      <c r="AB1767" s="1"/>
      <c r="AC1767" s="1"/>
      <c r="AD1767" s="1"/>
      <c r="AE1767" s="30"/>
      <c r="AF1767" s="633"/>
      <c r="AG1767" s="94"/>
      <c r="AH1767" s="94"/>
      <c r="AI1767" s="94"/>
      <c r="AJ1767" s="94"/>
      <c r="AK1767" s="94"/>
      <c r="AL1767" s="94"/>
    </row>
    <row r="1768" spans="3:38">
      <c r="C1768" s="30"/>
      <c r="F1768" s="95"/>
      <c r="G1768" s="1"/>
      <c r="H1768" s="94"/>
      <c r="I1768" s="90"/>
      <c r="J1768" s="90"/>
      <c r="K1768" s="1"/>
      <c r="L1768" s="74"/>
      <c r="M1768" s="633"/>
      <c r="N1768" s="274"/>
      <c r="O1768" s="94"/>
      <c r="P1768" s="94"/>
      <c r="Q1768" s="94"/>
      <c r="R1768" s="94"/>
      <c r="S1768" s="94"/>
      <c r="V1768" s="30"/>
      <c r="W1768" s="30"/>
      <c r="X1768" s="1"/>
      <c r="Y1768" s="95"/>
      <c r="Z1768" s="1"/>
      <c r="AA1768" s="94"/>
      <c r="AB1768" s="1"/>
      <c r="AC1768" s="1"/>
      <c r="AD1768" s="1"/>
      <c r="AE1768" s="30"/>
      <c r="AF1768" s="633"/>
      <c r="AG1768" s="94"/>
      <c r="AH1768" s="94"/>
      <c r="AI1768" s="94"/>
      <c r="AJ1768" s="94"/>
      <c r="AK1768" s="94"/>
      <c r="AL1768" s="94"/>
    </row>
    <row r="1769" spans="3:38">
      <c r="C1769" s="30"/>
      <c r="F1769" s="95"/>
      <c r="G1769" s="1"/>
      <c r="H1769" s="94"/>
      <c r="I1769" s="90"/>
      <c r="J1769" s="90"/>
      <c r="K1769" s="1"/>
      <c r="L1769" s="74"/>
      <c r="M1769" s="633"/>
      <c r="N1769" s="274"/>
      <c r="O1769" s="94"/>
      <c r="P1769" s="94"/>
      <c r="Q1769" s="94"/>
      <c r="R1769" s="94"/>
      <c r="S1769" s="94"/>
      <c r="V1769" s="30"/>
      <c r="W1769" s="30"/>
      <c r="X1769" s="1"/>
      <c r="Y1769" s="95"/>
      <c r="Z1769" s="1"/>
      <c r="AA1769" s="94"/>
      <c r="AB1769" s="1"/>
      <c r="AC1769" s="1"/>
      <c r="AD1769" s="1"/>
      <c r="AE1769" s="30"/>
      <c r="AF1769" s="633"/>
      <c r="AG1769" s="94"/>
      <c r="AH1769" s="94"/>
      <c r="AI1769" s="94"/>
      <c r="AJ1769" s="94"/>
      <c r="AK1769" s="94"/>
      <c r="AL1769" s="94"/>
    </row>
    <row r="1770" spans="3:38">
      <c r="C1770" s="30"/>
      <c r="F1770" s="95"/>
      <c r="G1770" s="1"/>
      <c r="H1770" s="94"/>
      <c r="I1770" s="90"/>
      <c r="J1770" s="90"/>
      <c r="K1770" s="1"/>
      <c r="L1770" s="74"/>
      <c r="M1770" s="633"/>
      <c r="N1770" s="274"/>
      <c r="O1770" s="94"/>
      <c r="P1770" s="94"/>
      <c r="Q1770" s="94"/>
      <c r="R1770" s="94"/>
      <c r="S1770" s="94"/>
      <c r="V1770" s="30"/>
      <c r="W1770" s="30"/>
      <c r="X1770" s="1"/>
      <c r="Y1770" s="95"/>
      <c r="Z1770" s="1"/>
      <c r="AA1770" s="94"/>
      <c r="AB1770" s="1"/>
      <c r="AC1770" s="1"/>
      <c r="AD1770" s="1"/>
      <c r="AE1770" s="30"/>
      <c r="AF1770" s="633"/>
      <c r="AG1770" s="94"/>
      <c r="AH1770" s="94"/>
      <c r="AI1770" s="94"/>
      <c r="AJ1770" s="94"/>
      <c r="AK1770" s="94"/>
      <c r="AL1770" s="94"/>
    </row>
    <row r="1771" spans="3:38">
      <c r="C1771" s="30"/>
      <c r="F1771" s="95"/>
      <c r="G1771" s="1"/>
      <c r="H1771" s="94"/>
      <c r="I1771" s="90"/>
      <c r="J1771" s="90"/>
      <c r="K1771" s="1"/>
      <c r="L1771" s="74"/>
      <c r="M1771" s="633"/>
      <c r="N1771" s="274"/>
      <c r="O1771" s="94"/>
      <c r="P1771" s="94"/>
      <c r="Q1771" s="94"/>
      <c r="R1771" s="94"/>
      <c r="S1771" s="94"/>
      <c r="V1771" s="30"/>
      <c r="W1771" s="30"/>
      <c r="X1771" s="1"/>
      <c r="Y1771" s="95"/>
      <c r="Z1771" s="1"/>
      <c r="AA1771" s="94"/>
      <c r="AB1771" s="1"/>
      <c r="AC1771" s="1"/>
      <c r="AD1771" s="1"/>
      <c r="AE1771" s="30"/>
      <c r="AF1771" s="633"/>
      <c r="AG1771" s="94"/>
      <c r="AH1771" s="94"/>
      <c r="AI1771" s="94"/>
      <c r="AJ1771" s="94"/>
      <c r="AK1771" s="94"/>
      <c r="AL1771" s="94"/>
    </row>
    <row r="1772" spans="3:38">
      <c r="C1772" s="30"/>
      <c r="F1772" s="95"/>
      <c r="G1772" s="1"/>
      <c r="H1772" s="94"/>
      <c r="I1772" s="90"/>
      <c r="J1772" s="90"/>
      <c r="K1772" s="1"/>
      <c r="L1772" s="74"/>
      <c r="M1772" s="633"/>
      <c r="N1772" s="274"/>
      <c r="O1772" s="94"/>
      <c r="P1772" s="94"/>
      <c r="Q1772" s="94"/>
      <c r="R1772" s="94"/>
      <c r="S1772" s="94"/>
      <c r="V1772" s="30"/>
      <c r="W1772" s="30"/>
      <c r="X1772" s="1"/>
      <c r="Y1772" s="95"/>
      <c r="Z1772" s="1"/>
      <c r="AA1772" s="94"/>
      <c r="AB1772" s="1"/>
      <c r="AC1772" s="1"/>
      <c r="AD1772" s="1"/>
      <c r="AE1772" s="30"/>
      <c r="AF1772" s="633"/>
      <c r="AG1772" s="94"/>
      <c r="AH1772" s="94"/>
      <c r="AI1772" s="94"/>
      <c r="AJ1772" s="94"/>
      <c r="AK1772" s="94"/>
      <c r="AL1772" s="94"/>
    </row>
    <row r="1773" spans="3:38">
      <c r="C1773" s="30"/>
      <c r="F1773" s="95"/>
      <c r="G1773" s="1"/>
      <c r="H1773" s="94"/>
      <c r="I1773" s="90"/>
      <c r="J1773" s="90"/>
      <c r="K1773" s="1"/>
      <c r="L1773" s="74"/>
      <c r="M1773" s="633"/>
      <c r="N1773" s="274"/>
      <c r="O1773" s="94"/>
      <c r="P1773" s="94"/>
      <c r="Q1773" s="94"/>
      <c r="R1773" s="94"/>
      <c r="S1773" s="94"/>
      <c r="V1773" s="30"/>
      <c r="W1773" s="30"/>
      <c r="X1773" s="1"/>
      <c r="Y1773" s="95"/>
      <c r="Z1773" s="1"/>
      <c r="AA1773" s="94"/>
      <c r="AB1773" s="1"/>
      <c r="AC1773" s="1"/>
      <c r="AD1773" s="1"/>
      <c r="AE1773" s="30"/>
      <c r="AF1773" s="633"/>
      <c r="AG1773" s="94"/>
      <c r="AH1773" s="94"/>
      <c r="AI1773" s="94"/>
      <c r="AJ1773" s="94"/>
      <c r="AK1773" s="94"/>
      <c r="AL1773" s="94"/>
    </row>
    <row r="1774" spans="3:38">
      <c r="C1774" s="30"/>
      <c r="F1774" s="95"/>
      <c r="G1774" s="1"/>
      <c r="H1774" s="94"/>
      <c r="I1774" s="90"/>
      <c r="J1774" s="90"/>
      <c r="K1774" s="1"/>
      <c r="L1774" s="74"/>
      <c r="M1774" s="633"/>
      <c r="N1774" s="274"/>
      <c r="O1774" s="94"/>
      <c r="P1774" s="94"/>
      <c r="Q1774" s="94"/>
      <c r="R1774" s="94"/>
      <c r="S1774" s="94"/>
      <c r="V1774" s="30"/>
      <c r="W1774" s="30"/>
      <c r="X1774" s="1"/>
      <c r="Y1774" s="95"/>
      <c r="Z1774" s="1"/>
      <c r="AA1774" s="94"/>
      <c r="AB1774" s="1"/>
      <c r="AC1774" s="1"/>
      <c r="AD1774" s="1"/>
      <c r="AE1774" s="30"/>
      <c r="AF1774" s="633"/>
      <c r="AG1774" s="94"/>
      <c r="AH1774" s="94"/>
      <c r="AI1774" s="94"/>
      <c r="AJ1774" s="94"/>
      <c r="AK1774" s="94"/>
      <c r="AL1774" s="94"/>
    </row>
    <row r="1775" spans="3:38">
      <c r="C1775" s="30"/>
      <c r="F1775" s="95"/>
      <c r="G1775" s="1"/>
      <c r="H1775" s="94"/>
      <c r="I1775" s="90"/>
      <c r="J1775" s="90"/>
      <c r="K1775" s="1"/>
      <c r="L1775" s="74"/>
      <c r="M1775" s="633"/>
      <c r="N1775" s="274"/>
      <c r="O1775" s="94"/>
      <c r="P1775" s="94"/>
      <c r="Q1775" s="94"/>
      <c r="R1775" s="94"/>
      <c r="S1775" s="94"/>
      <c r="V1775" s="30"/>
      <c r="W1775" s="30"/>
      <c r="X1775" s="1"/>
      <c r="Y1775" s="95"/>
      <c r="Z1775" s="1"/>
      <c r="AA1775" s="94"/>
      <c r="AB1775" s="1"/>
      <c r="AC1775" s="1"/>
      <c r="AD1775" s="1"/>
      <c r="AE1775" s="30"/>
      <c r="AF1775" s="633"/>
      <c r="AG1775" s="94"/>
      <c r="AH1775" s="94"/>
      <c r="AI1775" s="94"/>
      <c r="AJ1775" s="94"/>
      <c r="AK1775" s="94"/>
      <c r="AL1775" s="94"/>
    </row>
    <row r="1776" spans="3:38">
      <c r="C1776" s="30"/>
      <c r="F1776" s="95"/>
      <c r="G1776" s="1"/>
      <c r="H1776" s="94"/>
      <c r="I1776" s="90"/>
      <c r="J1776" s="90"/>
      <c r="K1776" s="1"/>
      <c r="L1776" s="74"/>
      <c r="M1776" s="633"/>
      <c r="N1776" s="274"/>
      <c r="O1776" s="94"/>
      <c r="P1776" s="94"/>
      <c r="Q1776" s="94"/>
      <c r="R1776" s="94"/>
      <c r="S1776" s="94"/>
      <c r="V1776" s="30"/>
      <c r="W1776" s="30"/>
      <c r="X1776" s="1"/>
      <c r="Y1776" s="95"/>
      <c r="Z1776" s="1"/>
      <c r="AA1776" s="94"/>
      <c r="AB1776" s="1"/>
      <c r="AC1776" s="1"/>
      <c r="AD1776" s="1"/>
      <c r="AE1776" s="30"/>
      <c r="AF1776" s="633"/>
      <c r="AG1776" s="94"/>
      <c r="AH1776" s="94"/>
      <c r="AI1776" s="94"/>
      <c r="AJ1776" s="94"/>
      <c r="AK1776" s="94"/>
      <c r="AL1776" s="94"/>
    </row>
    <row r="1777" spans="3:38">
      <c r="C1777" s="30"/>
      <c r="F1777" s="95"/>
      <c r="G1777" s="1"/>
      <c r="H1777" s="94"/>
      <c r="I1777" s="90"/>
      <c r="J1777" s="90"/>
      <c r="K1777" s="1"/>
      <c r="L1777" s="74"/>
      <c r="M1777" s="633"/>
      <c r="N1777" s="274"/>
      <c r="O1777" s="94"/>
      <c r="P1777" s="94"/>
      <c r="Q1777" s="94"/>
      <c r="R1777" s="94"/>
      <c r="S1777" s="94"/>
      <c r="V1777" s="30"/>
      <c r="W1777" s="30"/>
      <c r="X1777" s="1"/>
      <c r="Y1777" s="95"/>
      <c r="Z1777" s="1"/>
      <c r="AA1777" s="94"/>
      <c r="AB1777" s="1"/>
      <c r="AC1777" s="1"/>
      <c r="AD1777" s="1"/>
      <c r="AE1777" s="30"/>
      <c r="AF1777" s="633"/>
      <c r="AG1777" s="94"/>
      <c r="AH1777" s="94"/>
      <c r="AI1777" s="94"/>
      <c r="AJ1777" s="94"/>
      <c r="AK1777" s="94"/>
      <c r="AL1777" s="94"/>
    </row>
    <row r="1778" spans="3:38">
      <c r="C1778" s="30"/>
      <c r="F1778" s="95"/>
      <c r="G1778" s="1"/>
      <c r="H1778" s="94"/>
      <c r="I1778" s="90"/>
      <c r="J1778" s="90"/>
      <c r="K1778" s="1"/>
      <c r="L1778" s="74"/>
      <c r="M1778" s="633"/>
      <c r="N1778" s="274"/>
      <c r="O1778" s="94"/>
      <c r="P1778" s="94"/>
      <c r="Q1778" s="94"/>
      <c r="R1778" s="94"/>
      <c r="S1778" s="94"/>
      <c r="V1778" s="30"/>
      <c r="W1778" s="30"/>
      <c r="X1778" s="1"/>
      <c r="Y1778" s="95"/>
      <c r="Z1778" s="1"/>
      <c r="AA1778" s="94"/>
      <c r="AB1778" s="1"/>
      <c r="AC1778" s="1"/>
      <c r="AD1778" s="1"/>
      <c r="AE1778" s="30"/>
      <c r="AF1778" s="633"/>
      <c r="AG1778" s="94"/>
      <c r="AH1778" s="94"/>
      <c r="AI1778" s="94"/>
      <c r="AJ1778" s="94"/>
      <c r="AK1778" s="94"/>
      <c r="AL1778" s="94"/>
    </row>
    <row r="1779" spans="3:38">
      <c r="C1779" s="30"/>
      <c r="F1779" s="95"/>
      <c r="G1779" s="1"/>
      <c r="H1779" s="94"/>
      <c r="I1779" s="90"/>
      <c r="J1779" s="90"/>
      <c r="K1779" s="1"/>
      <c r="L1779" s="74"/>
      <c r="M1779" s="633"/>
      <c r="N1779" s="274"/>
      <c r="O1779" s="94"/>
      <c r="P1779" s="94"/>
      <c r="Q1779" s="94"/>
      <c r="R1779" s="94"/>
      <c r="S1779" s="94"/>
      <c r="V1779" s="30"/>
      <c r="W1779" s="30"/>
      <c r="X1779" s="1"/>
      <c r="Y1779" s="95"/>
      <c r="Z1779" s="1"/>
      <c r="AA1779" s="94"/>
      <c r="AB1779" s="1"/>
      <c r="AC1779" s="1"/>
      <c r="AD1779" s="1"/>
      <c r="AE1779" s="30"/>
      <c r="AF1779" s="633"/>
      <c r="AG1779" s="94"/>
      <c r="AH1779" s="94"/>
      <c r="AI1779" s="94"/>
      <c r="AJ1779" s="94"/>
      <c r="AK1779" s="94"/>
      <c r="AL1779" s="94"/>
    </row>
    <row r="1780" spans="3:38">
      <c r="C1780" s="30"/>
      <c r="F1780" s="95"/>
      <c r="G1780" s="1"/>
      <c r="H1780" s="94"/>
      <c r="I1780" s="90"/>
      <c r="J1780" s="90"/>
      <c r="K1780" s="1"/>
      <c r="L1780" s="74"/>
      <c r="M1780" s="633"/>
      <c r="N1780" s="274"/>
      <c r="O1780" s="94"/>
      <c r="P1780" s="94"/>
      <c r="Q1780" s="94"/>
      <c r="R1780" s="94"/>
      <c r="S1780" s="94"/>
      <c r="V1780" s="30"/>
      <c r="W1780" s="30"/>
      <c r="X1780" s="1"/>
      <c r="Y1780" s="95"/>
      <c r="Z1780" s="1"/>
      <c r="AA1780" s="94"/>
      <c r="AB1780" s="1"/>
      <c r="AC1780" s="1"/>
      <c r="AD1780" s="1"/>
      <c r="AE1780" s="30"/>
      <c r="AF1780" s="633"/>
      <c r="AG1780" s="94"/>
      <c r="AH1780" s="94"/>
      <c r="AI1780" s="94"/>
      <c r="AJ1780" s="94"/>
      <c r="AK1780" s="94"/>
      <c r="AL1780" s="94"/>
    </row>
    <row r="1781" spans="3:38">
      <c r="C1781" s="30"/>
      <c r="F1781" s="95"/>
      <c r="G1781" s="1"/>
      <c r="H1781" s="94"/>
      <c r="I1781" s="90"/>
      <c r="J1781" s="90"/>
      <c r="K1781" s="1"/>
      <c r="L1781" s="74"/>
      <c r="M1781" s="633"/>
      <c r="N1781" s="274"/>
      <c r="O1781" s="94"/>
      <c r="P1781" s="94"/>
      <c r="Q1781" s="94"/>
      <c r="R1781" s="94"/>
      <c r="S1781" s="94"/>
      <c r="V1781" s="30"/>
      <c r="W1781" s="30"/>
      <c r="X1781" s="1"/>
      <c r="Y1781" s="95"/>
      <c r="Z1781" s="1"/>
      <c r="AA1781" s="94"/>
      <c r="AB1781" s="1"/>
      <c r="AC1781" s="1"/>
      <c r="AD1781" s="1"/>
      <c r="AE1781" s="30"/>
      <c r="AF1781" s="633"/>
      <c r="AG1781" s="94"/>
      <c r="AH1781" s="94"/>
      <c r="AI1781" s="94"/>
      <c r="AJ1781" s="94"/>
      <c r="AK1781" s="94"/>
      <c r="AL1781" s="94"/>
    </row>
    <row r="1782" spans="3:38">
      <c r="C1782" s="30"/>
      <c r="F1782" s="95"/>
      <c r="G1782" s="1"/>
      <c r="H1782" s="94"/>
      <c r="I1782" s="90"/>
      <c r="J1782" s="90"/>
      <c r="K1782" s="1"/>
      <c r="L1782" s="74"/>
      <c r="M1782" s="633"/>
      <c r="N1782" s="274"/>
      <c r="O1782" s="94"/>
      <c r="P1782" s="94"/>
      <c r="Q1782" s="94"/>
      <c r="R1782" s="94"/>
      <c r="S1782" s="94"/>
      <c r="V1782" s="30"/>
      <c r="W1782" s="30"/>
      <c r="X1782" s="1"/>
      <c r="Y1782" s="95"/>
      <c r="Z1782" s="1"/>
      <c r="AA1782" s="94"/>
      <c r="AB1782" s="1"/>
      <c r="AC1782" s="1"/>
      <c r="AD1782" s="1"/>
      <c r="AE1782" s="30"/>
      <c r="AF1782" s="633"/>
      <c r="AG1782" s="94"/>
      <c r="AH1782" s="94"/>
      <c r="AI1782" s="94"/>
      <c r="AJ1782" s="94"/>
      <c r="AK1782" s="94"/>
      <c r="AL1782" s="94"/>
    </row>
    <row r="1783" spans="3:38">
      <c r="C1783" s="30"/>
      <c r="F1783" s="95"/>
      <c r="G1783" s="1"/>
      <c r="H1783" s="94"/>
      <c r="I1783" s="90"/>
      <c r="J1783" s="90"/>
      <c r="K1783" s="1"/>
      <c r="L1783" s="74"/>
      <c r="M1783" s="633"/>
      <c r="N1783" s="274"/>
      <c r="O1783" s="94"/>
      <c r="P1783" s="94"/>
      <c r="Q1783" s="94"/>
      <c r="R1783" s="94"/>
      <c r="S1783" s="94"/>
      <c r="V1783" s="30"/>
      <c r="W1783" s="30"/>
      <c r="X1783" s="1"/>
      <c r="Y1783" s="95"/>
      <c r="Z1783" s="1"/>
      <c r="AA1783" s="94"/>
      <c r="AB1783" s="1"/>
      <c r="AC1783" s="1"/>
      <c r="AD1783" s="1"/>
      <c r="AE1783" s="30"/>
      <c r="AF1783" s="633"/>
      <c r="AG1783" s="94"/>
      <c r="AH1783" s="94"/>
      <c r="AI1783" s="94"/>
      <c r="AJ1783" s="94"/>
      <c r="AK1783" s="94"/>
      <c r="AL1783" s="94"/>
    </row>
    <row r="1784" spans="3:38">
      <c r="C1784" s="30"/>
      <c r="F1784" s="95"/>
      <c r="G1784" s="1"/>
      <c r="H1784" s="94"/>
      <c r="I1784" s="90"/>
      <c r="J1784" s="90"/>
      <c r="K1784" s="1"/>
      <c r="L1784" s="74"/>
      <c r="M1784" s="633"/>
      <c r="N1784" s="274"/>
      <c r="O1784" s="94"/>
      <c r="P1784" s="94"/>
      <c r="Q1784" s="94"/>
      <c r="R1784" s="94"/>
      <c r="S1784" s="94"/>
      <c r="V1784" s="30"/>
      <c r="W1784" s="30"/>
      <c r="X1784" s="1"/>
      <c r="Y1784" s="95"/>
      <c r="Z1784" s="1"/>
      <c r="AA1784" s="94"/>
      <c r="AB1784" s="1"/>
      <c r="AC1784" s="1"/>
      <c r="AD1784" s="1"/>
      <c r="AE1784" s="30"/>
      <c r="AF1784" s="633"/>
      <c r="AG1784" s="94"/>
      <c r="AH1784" s="94"/>
      <c r="AI1784" s="94"/>
      <c r="AJ1784" s="94"/>
      <c r="AK1784" s="94"/>
      <c r="AL1784" s="94"/>
    </row>
    <row r="1785" spans="3:38">
      <c r="C1785" s="30"/>
      <c r="F1785" s="95"/>
      <c r="G1785" s="1"/>
      <c r="H1785" s="94"/>
      <c r="I1785" s="90"/>
      <c r="J1785" s="90"/>
      <c r="K1785" s="1"/>
      <c r="L1785" s="74"/>
      <c r="M1785" s="633"/>
      <c r="N1785" s="274"/>
      <c r="O1785" s="94"/>
      <c r="P1785" s="94"/>
      <c r="Q1785" s="94"/>
      <c r="R1785" s="94"/>
      <c r="S1785" s="94"/>
      <c r="V1785" s="30"/>
      <c r="W1785" s="30"/>
      <c r="X1785" s="1"/>
      <c r="Y1785" s="95"/>
      <c r="Z1785" s="1"/>
      <c r="AA1785" s="94"/>
      <c r="AB1785" s="1"/>
      <c r="AC1785" s="1"/>
      <c r="AD1785" s="1"/>
      <c r="AE1785" s="30"/>
      <c r="AF1785" s="633"/>
      <c r="AG1785" s="94"/>
      <c r="AH1785" s="94"/>
      <c r="AI1785" s="94"/>
      <c r="AJ1785" s="94"/>
      <c r="AK1785" s="94"/>
      <c r="AL1785" s="94"/>
    </row>
    <row r="1786" spans="3:38">
      <c r="C1786" s="30"/>
      <c r="F1786" s="95"/>
      <c r="G1786" s="1"/>
      <c r="H1786" s="94"/>
      <c r="I1786" s="90"/>
      <c r="J1786" s="90"/>
      <c r="K1786" s="1"/>
      <c r="L1786" s="74"/>
      <c r="M1786" s="633"/>
      <c r="N1786" s="274"/>
      <c r="O1786" s="94"/>
      <c r="P1786" s="94"/>
      <c r="Q1786" s="94"/>
      <c r="R1786" s="94"/>
      <c r="S1786" s="94"/>
      <c r="V1786" s="30"/>
      <c r="W1786" s="30"/>
      <c r="X1786" s="1"/>
      <c r="Y1786" s="95"/>
      <c r="Z1786" s="1"/>
      <c r="AA1786" s="94"/>
      <c r="AB1786" s="1"/>
      <c r="AC1786" s="1"/>
      <c r="AD1786" s="1"/>
      <c r="AE1786" s="30"/>
      <c r="AF1786" s="633"/>
      <c r="AG1786" s="94"/>
      <c r="AH1786" s="94"/>
      <c r="AI1786" s="94"/>
      <c r="AJ1786" s="94"/>
      <c r="AK1786" s="94"/>
      <c r="AL1786" s="94"/>
    </row>
    <row r="1787" spans="3:38">
      <c r="C1787" s="30"/>
      <c r="F1787" s="95"/>
      <c r="G1787" s="1"/>
      <c r="H1787" s="94"/>
      <c r="I1787" s="90"/>
      <c r="J1787" s="90"/>
      <c r="K1787" s="1"/>
      <c r="L1787" s="74"/>
      <c r="M1787" s="633"/>
      <c r="N1787" s="274"/>
      <c r="O1787" s="94"/>
      <c r="P1787" s="94"/>
      <c r="Q1787" s="94"/>
      <c r="R1787" s="94"/>
      <c r="S1787" s="94"/>
      <c r="V1787" s="30"/>
      <c r="W1787" s="30"/>
      <c r="X1787" s="1"/>
      <c r="Y1787" s="95"/>
      <c r="Z1787" s="1"/>
      <c r="AA1787" s="94"/>
      <c r="AB1787" s="1"/>
      <c r="AC1787" s="1"/>
      <c r="AD1787" s="1"/>
      <c r="AE1787" s="30"/>
      <c r="AF1787" s="633"/>
      <c r="AG1787" s="94"/>
      <c r="AH1787" s="94"/>
      <c r="AI1787" s="94"/>
      <c r="AJ1787" s="94"/>
      <c r="AK1787" s="94"/>
      <c r="AL1787" s="94"/>
    </row>
    <row r="1788" spans="3:38">
      <c r="C1788" s="30"/>
      <c r="F1788" s="95"/>
      <c r="G1788" s="1"/>
      <c r="H1788" s="94"/>
      <c r="I1788" s="90"/>
      <c r="J1788" s="90"/>
      <c r="K1788" s="1"/>
      <c r="L1788" s="74"/>
      <c r="M1788" s="633"/>
      <c r="N1788" s="274"/>
      <c r="O1788" s="94"/>
      <c r="P1788" s="94"/>
      <c r="Q1788" s="94"/>
      <c r="R1788" s="94"/>
      <c r="S1788" s="94"/>
      <c r="V1788" s="30"/>
      <c r="W1788" s="30"/>
      <c r="X1788" s="1"/>
      <c r="Y1788" s="95"/>
      <c r="Z1788" s="1"/>
      <c r="AA1788" s="94"/>
      <c r="AB1788" s="1"/>
      <c r="AC1788" s="1"/>
      <c r="AD1788" s="1"/>
      <c r="AE1788" s="30"/>
      <c r="AF1788" s="633"/>
      <c r="AG1788" s="94"/>
      <c r="AH1788" s="94"/>
      <c r="AI1788" s="94"/>
      <c r="AJ1788" s="94"/>
      <c r="AK1788" s="94"/>
      <c r="AL1788" s="94"/>
    </row>
    <row r="1789" spans="3:38">
      <c r="C1789" s="30"/>
      <c r="F1789" s="95"/>
      <c r="G1789" s="1"/>
      <c r="H1789" s="94"/>
      <c r="I1789" s="90"/>
      <c r="J1789" s="90"/>
      <c r="K1789" s="1"/>
      <c r="L1789" s="74"/>
      <c r="M1789" s="633"/>
      <c r="N1789" s="274"/>
      <c r="O1789" s="94"/>
      <c r="P1789" s="94"/>
      <c r="Q1789" s="94"/>
      <c r="R1789" s="94"/>
      <c r="S1789" s="94"/>
      <c r="V1789" s="30"/>
      <c r="W1789" s="30"/>
      <c r="X1789" s="1"/>
      <c r="Y1789" s="95"/>
      <c r="Z1789" s="1"/>
      <c r="AA1789" s="94"/>
      <c r="AB1789" s="1"/>
      <c r="AC1789" s="1"/>
      <c r="AD1789" s="1"/>
      <c r="AE1789" s="30"/>
      <c r="AF1789" s="633"/>
      <c r="AG1789" s="94"/>
      <c r="AH1789" s="94"/>
      <c r="AI1789" s="94"/>
      <c r="AJ1789" s="94"/>
      <c r="AK1789" s="94"/>
      <c r="AL1789" s="94"/>
    </row>
    <row r="1790" spans="3:38">
      <c r="C1790" s="30"/>
      <c r="F1790" s="95"/>
      <c r="G1790" s="1"/>
      <c r="H1790" s="94"/>
      <c r="I1790" s="90"/>
      <c r="J1790" s="90"/>
      <c r="K1790" s="1"/>
      <c r="L1790" s="74"/>
      <c r="M1790" s="633"/>
      <c r="N1790" s="274"/>
      <c r="O1790" s="94"/>
      <c r="P1790" s="94"/>
      <c r="Q1790" s="94"/>
      <c r="R1790" s="94"/>
      <c r="S1790" s="94"/>
      <c r="V1790" s="30"/>
      <c r="W1790" s="30"/>
      <c r="X1790" s="1"/>
      <c r="Y1790" s="95"/>
      <c r="Z1790" s="1"/>
      <c r="AA1790" s="94"/>
      <c r="AB1790" s="1"/>
      <c r="AC1790" s="1"/>
      <c r="AD1790" s="1"/>
      <c r="AE1790" s="30"/>
      <c r="AF1790" s="633"/>
      <c r="AG1790" s="94"/>
      <c r="AH1790" s="94"/>
      <c r="AI1790" s="94"/>
      <c r="AJ1790" s="94"/>
      <c r="AK1790" s="94"/>
      <c r="AL1790" s="94"/>
    </row>
    <row r="1791" spans="3:38">
      <c r="C1791" s="30"/>
      <c r="F1791" s="95"/>
      <c r="G1791" s="1"/>
      <c r="H1791" s="94"/>
      <c r="I1791" s="90"/>
      <c r="J1791" s="90"/>
      <c r="K1791" s="1"/>
      <c r="L1791" s="74"/>
      <c r="M1791" s="633"/>
      <c r="N1791" s="274"/>
      <c r="O1791" s="94"/>
      <c r="P1791" s="94"/>
      <c r="Q1791" s="94"/>
      <c r="R1791" s="94"/>
      <c r="S1791" s="94"/>
      <c r="V1791" s="30"/>
      <c r="W1791" s="30"/>
      <c r="X1791" s="1"/>
      <c r="Y1791" s="95"/>
      <c r="Z1791" s="1"/>
      <c r="AA1791" s="94"/>
      <c r="AB1791" s="1"/>
      <c r="AC1791" s="1"/>
      <c r="AD1791" s="1"/>
      <c r="AE1791" s="30"/>
      <c r="AF1791" s="633"/>
      <c r="AG1791" s="94"/>
      <c r="AH1791" s="94"/>
      <c r="AI1791" s="94"/>
      <c r="AJ1791" s="94"/>
      <c r="AK1791" s="94"/>
      <c r="AL1791" s="94"/>
    </row>
    <row r="1792" spans="3:38">
      <c r="C1792" s="30"/>
      <c r="F1792" s="95"/>
      <c r="G1792" s="1"/>
      <c r="H1792" s="94"/>
      <c r="I1792" s="90"/>
      <c r="J1792" s="90"/>
      <c r="K1792" s="1"/>
      <c r="L1792" s="74"/>
      <c r="M1792" s="633"/>
      <c r="N1792" s="274"/>
      <c r="O1792" s="94"/>
      <c r="P1792" s="94"/>
      <c r="Q1792" s="94"/>
      <c r="R1792" s="94"/>
      <c r="S1792" s="94"/>
      <c r="V1792" s="30"/>
      <c r="W1792" s="30"/>
      <c r="X1792" s="1"/>
      <c r="Y1792" s="95"/>
      <c r="Z1792" s="1"/>
      <c r="AA1792" s="94"/>
      <c r="AB1792" s="1"/>
      <c r="AC1792" s="1"/>
      <c r="AD1792" s="1"/>
      <c r="AE1792" s="30"/>
      <c r="AF1792" s="633"/>
      <c r="AG1792" s="94"/>
      <c r="AH1792" s="94"/>
      <c r="AI1792" s="94"/>
      <c r="AJ1792" s="94"/>
      <c r="AK1792" s="94"/>
      <c r="AL1792" s="94"/>
    </row>
    <row r="1793" spans="3:38">
      <c r="C1793" s="30"/>
      <c r="F1793" s="95"/>
      <c r="G1793" s="1"/>
      <c r="H1793" s="94"/>
      <c r="I1793" s="90"/>
      <c r="J1793" s="90"/>
      <c r="K1793" s="1"/>
      <c r="L1793" s="74"/>
      <c r="M1793" s="633"/>
      <c r="N1793" s="274"/>
      <c r="O1793" s="94"/>
      <c r="P1793" s="94"/>
      <c r="Q1793" s="94"/>
      <c r="R1793" s="94"/>
      <c r="S1793" s="94"/>
      <c r="V1793" s="30"/>
      <c r="W1793" s="30"/>
      <c r="X1793" s="1"/>
      <c r="Y1793" s="95"/>
      <c r="Z1793" s="1"/>
      <c r="AA1793" s="94"/>
      <c r="AB1793" s="1"/>
      <c r="AC1793" s="1"/>
      <c r="AD1793" s="1"/>
      <c r="AE1793" s="30"/>
      <c r="AF1793" s="633"/>
      <c r="AG1793" s="94"/>
      <c r="AH1793" s="94"/>
      <c r="AI1793" s="94"/>
      <c r="AJ1793" s="94"/>
      <c r="AK1793" s="94"/>
      <c r="AL1793" s="94"/>
    </row>
    <row r="1794" spans="3:38">
      <c r="C1794" s="30"/>
      <c r="F1794" s="95"/>
      <c r="G1794" s="1"/>
      <c r="H1794" s="94"/>
      <c r="I1794" s="90"/>
      <c r="J1794" s="90"/>
      <c r="K1794" s="1"/>
      <c r="L1794" s="74"/>
      <c r="M1794" s="633"/>
      <c r="N1794" s="274"/>
      <c r="O1794" s="94"/>
      <c r="P1794" s="94"/>
      <c r="Q1794" s="94"/>
      <c r="R1794" s="94"/>
      <c r="S1794" s="94"/>
      <c r="V1794" s="30"/>
      <c r="W1794" s="30"/>
      <c r="X1794" s="1"/>
      <c r="Y1794" s="95"/>
      <c r="Z1794" s="1"/>
      <c r="AA1794" s="94"/>
      <c r="AB1794" s="1"/>
      <c r="AC1794" s="1"/>
      <c r="AD1794" s="1"/>
      <c r="AE1794" s="30"/>
      <c r="AF1794" s="633"/>
      <c r="AG1794" s="94"/>
      <c r="AH1794" s="94"/>
      <c r="AI1794" s="94"/>
      <c r="AJ1794" s="94"/>
      <c r="AK1794" s="94"/>
      <c r="AL1794" s="94"/>
    </row>
    <row r="1795" spans="3:38">
      <c r="C1795" s="30"/>
      <c r="F1795" s="95"/>
      <c r="G1795" s="1"/>
      <c r="H1795" s="94"/>
      <c r="I1795" s="90"/>
      <c r="J1795" s="90"/>
      <c r="K1795" s="1"/>
      <c r="L1795" s="74"/>
      <c r="M1795" s="633"/>
      <c r="N1795" s="274"/>
      <c r="O1795" s="94"/>
      <c r="P1795" s="94"/>
      <c r="Q1795" s="94"/>
      <c r="R1795" s="94"/>
      <c r="S1795" s="94"/>
      <c r="V1795" s="30"/>
      <c r="W1795" s="30"/>
      <c r="X1795" s="1"/>
      <c r="Y1795" s="95"/>
      <c r="Z1795" s="1"/>
      <c r="AA1795" s="94"/>
      <c r="AB1795" s="1"/>
      <c r="AC1795" s="1"/>
      <c r="AD1795" s="1"/>
      <c r="AE1795" s="30"/>
      <c r="AF1795" s="633"/>
      <c r="AG1795" s="94"/>
      <c r="AH1795" s="94"/>
      <c r="AI1795" s="94"/>
      <c r="AJ1795" s="94"/>
      <c r="AK1795" s="94"/>
      <c r="AL1795" s="94"/>
    </row>
    <row r="1796" spans="3:38">
      <c r="C1796" s="30"/>
      <c r="F1796" s="95"/>
      <c r="G1796" s="1"/>
      <c r="H1796" s="94"/>
      <c r="I1796" s="90"/>
      <c r="J1796" s="90"/>
      <c r="K1796" s="1"/>
      <c r="L1796" s="74"/>
      <c r="M1796" s="633"/>
      <c r="N1796" s="274"/>
      <c r="O1796" s="94"/>
      <c r="P1796" s="94"/>
      <c r="Q1796" s="94"/>
      <c r="R1796" s="94"/>
      <c r="S1796" s="94"/>
      <c r="V1796" s="30"/>
      <c r="W1796" s="30"/>
      <c r="X1796" s="1"/>
      <c r="Y1796" s="95"/>
      <c r="Z1796" s="1"/>
      <c r="AA1796" s="94"/>
      <c r="AB1796" s="1"/>
      <c r="AC1796" s="1"/>
      <c r="AD1796" s="1"/>
      <c r="AE1796" s="30"/>
      <c r="AF1796" s="633"/>
      <c r="AG1796" s="94"/>
      <c r="AH1796" s="94"/>
      <c r="AI1796" s="94"/>
      <c r="AJ1796" s="94"/>
      <c r="AK1796" s="94"/>
      <c r="AL1796" s="94"/>
    </row>
    <row r="1797" spans="3:38">
      <c r="C1797" s="30"/>
      <c r="F1797" s="95"/>
      <c r="G1797" s="1"/>
      <c r="H1797" s="94"/>
      <c r="I1797" s="90"/>
      <c r="J1797" s="90"/>
      <c r="K1797" s="1"/>
      <c r="L1797" s="74"/>
      <c r="M1797" s="633"/>
      <c r="N1797" s="274"/>
      <c r="O1797" s="94"/>
      <c r="P1797" s="94"/>
      <c r="Q1797" s="94"/>
      <c r="R1797" s="94"/>
      <c r="S1797" s="94"/>
      <c r="V1797" s="30"/>
      <c r="W1797" s="30"/>
      <c r="X1797" s="1"/>
      <c r="Y1797" s="95"/>
      <c r="Z1797" s="1"/>
      <c r="AA1797" s="94"/>
      <c r="AB1797" s="1"/>
      <c r="AC1797" s="1"/>
      <c r="AD1797" s="1"/>
      <c r="AE1797" s="30"/>
      <c r="AF1797" s="633"/>
      <c r="AG1797" s="94"/>
      <c r="AH1797" s="94"/>
      <c r="AI1797" s="94"/>
      <c r="AJ1797" s="94"/>
      <c r="AK1797" s="94"/>
      <c r="AL1797" s="94"/>
    </row>
    <row r="1798" spans="3:38">
      <c r="C1798" s="30"/>
      <c r="F1798" s="95"/>
      <c r="G1798" s="1"/>
      <c r="H1798" s="94"/>
      <c r="I1798" s="90"/>
      <c r="J1798" s="90"/>
      <c r="K1798" s="1"/>
      <c r="L1798" s="74"/>
      <c r="M1798" s="633"/>
      <c r="N1798" s="274"/>
      <c r="O1798" s="94"/>
      <c r="P1798" s="94"/>
      <c r="Q1798" s="94"/>
      <c r="R1798" s="94"/>
      <c r="S1798" s="94"/>
      <c r="V1798" s="30"/>
      <c r="W1798" s="30"/>
      <c r="X1798" s="1"/>
      <c r="Y1798" s="95"/>
      <c r="Z1798" s="1"/>
      <c r="AA1798" s="94"/>
      <c r="AB1798" s="1"/>
      <c r="AC1798" s="1"/>
      <c r="AD1798" s="1"/>
      <c r="AE1798" s="30"/>
      <c r="AF1798" s="633"/>
      <c r="AG1798" s="94"/>
      <c r="AH1798" s="94"/>
      <c r="AI1798" s="94"/>
      <c r="AJ1798" s="94"/>
      <c r="AK1798" s="94"/>
      <c r="AL1798" s="94"/>
    </row>
    <row r="1799" spans="3:38">
      <c r="C1799" s="30"/>
      <c r="F1799" s="95"/>
      <c r="G1799" s="1"/>
      <c r="H1799" s="94"/>
      <c r="I1799" s="90"/>
      <c r="J1799" s="90"/>
      <c r="K1799" s="1"/>
      <c r="L1799" s="74"/>
      <c r="M1799" s="633"/>
      <c r="N1799" s="274"/>
      <c r="O1799" s="94"/>
      <c r="P1799" s="94"/>
      <c r="Q1799" s="94"/>
      <c r="R1799" s="94"/>
      <c r="S1799" s="94"/>
      <c r="V1799" s="30"/>
      <c r="W1799" s="30"/>
      <c r="X1799" s="1"/>
      <c r="Y1799" s="95"/>
      <c r="Z1799" s="1"/>
      <c r="AA1799" s="94"/>
      <c r="AB1799" s="1"/>
      <c r="AC1799" s="1"/>
      <c r="AD1799" s="1"/>
      <c r="AE1799" s="30"/>
      <c r="AF1799" s="633"/>
      <c r="AG1799" s="94"/>
      <c r="AH1799" s="94"/>
      <c r="AI1799" s="94"/>
      <c r="AJ1799" s="94"/>
      <c r="AK1799" s="94"/>
      <c r="AL1799" s="94"/>
    </row>
    <row r="1800" spans="3:38">
      <c r="C1800" s="30"/>
      <c r="F1800" s="95"/>
      <c r="G1800" s="1"/>
      <c r="H1800" s="94"/>
      <c r="I1800" s="90"/>
      <c r="J1800" s="90"/>
      <c r="K1800" s="1"/>
      <c r="L1800" s="74"/>
      <c r="M1800" s="633"/>
      <c r="N1800" s="274"/>
      <c r="O1800" s="94"/>
      <c r="P1800" s="94"/>
      <c r="Q1800" s="94"/>
      <c r="R1800" s="94"/>
      <c r="S1800" s="94"/>
      <c r="V1800" s="30"/>
      <c r="W1800" s="30"/>
      <c r="X1800" s="1"/>
      <c r="Y1800" s="95"/>
      <c r="Z1800" s="1"/>
      <c r="AA1800" s="94"/>
      <c r="AB1800" s="1"/>
      <c r="AC1800" s="1"/>
      <c r="AD1800" s="1"/>
      <c r="AE1800" s="30"/>
      <c r="AF1800" s="633"/>
      <c r="AG1800" s="94"/>
      <c r="AH1800" s="94"/>
      <c r="AI1800" s="94"/>
      <c r="AJ1800" s="94"/>
      <c r="AK1800" s="94"/>
      <c r="AL1800" s="94"/>
    </row>
    <row r="1801" spans="3:38">
      <c r="C1801" s="30"/>
      <c r="F1801" s="95"/>
      <c r="G1801" s="1"/>
      <c r="H1801" s="94"/>
      <c r="I1801" s="90"/>
      <c r="J1801" s="90"/>
      <c r="K1801" s="1"/>
      <c r="L1801" s="74"/>
      <c r="M1801" s="633"/>
      <c r="N1801" s="274"/>
      <c r="O1801" s="94"/>
      <c r="P1801" s="94"/>
      <c r="Q1801" s="94"/>
      <c r="R1801" s="94"/>
      <c r="S1801" s="94"/>
      <c r="V1801" s="30"/>
      <c r="W1801" s="30"/>
      <c r="X1801" s="1"/>
      <c r="Y1801" s="95"/>
      <c r="Z1801" s="1"/>
      <c r="AA1801" s="94"/>
      <c r="AB1801" s="1"/>
      <c r="AC1801" s="1"/>
      <c r="AD1801" s="1"/>
      <c r="AE1801" s="30"/>
      <c r="AF1801" s="633"/>
      <c r="AG1801" s="94"/>
      <c r="AH1801" s="94"/>
      <c r="AI1801" s="94"/>
      <c r="AJ1801" s="94"/>
      <c r="AK1801" s="94"/>
      <c r="AL1801" s="94"/>
    </row>
    <row r="1802" spans="3:38">
      <c r="C1802" s="30"/>
      <c r="F1802" s="95"/>
      <c r="G1802" s="1"/>
      <c r="H1802" s="94"/>
      <c r="I1802" s="90"/>
      <c r="J1802" s="90"/>
      <c r="K1802" s="1"/>
      <c r="L1802" s="74"/>
      <c r="M1802" s="633"/>
      <c r="N1802" s="274"/>
      <c r="O1802" s="94"/>
      <c r="P1802" s="94"/>
      <c r="Q1802" s="94"/>
      <c r="R1802" s="94"/>
      <c r="S1802" s="94"/>
      <c r="V1802" s="30"/>
      <c r="W1802" s="30"/>
      <c r="X1802" s="1"/>
      <c r="Y1802" s="95"/>
      <c r="Z1802" s="1"/>
      <c r="AA1802" s="94"/>
      <c r="AB1802" s="1"/>
      <c r="AC1802" s="1"/>
      <c r="AD1802" s="1"/>
      <c r="AE1802" s="30"/>
      <c r="AF1802" s="633"/>
      <c r="AG1802" s="94"/>
      <c r="AH1802" s="94"/>
      <c r="AI1802" s="94"/>
      <c r="AJ1802" s="94"/>
      <c r="AK1802" s="94"/>
      <c r="AL1802" s="94"/>
    </row>
    <row r="1803" spans="3:38">
      <c r="C1803" s="30"/>
      <c r="F1803" s="95"/>
      <c r="G1803" s="1"/>
      <c r="H1803" s="94"/>
      <c r="I1803" s="90"/>
      <c r="J1803" s="90"/>
      <c r="K1803" s="1"/>
      <c r="L1803" s="74"/>
      <c r="M1803" s="633"/>
      <c r="N1803" s="274"/>
      <c r="O1803" s="94"/>
      <c r="P1803" s="94"/>
      <c r="Q1803" s="94"/>
      <c r="R1803" s="94"/>
      <c r="S1803" s="94"/>
      <c r="V1803" s="30"/>
      <c r="W1803" s="30"/>
      <c r="X1803" s="1"/>
      <c r="Y1803" s="95"/>
      <c r="Z1803" s="1"/>
      <c r="AA1803" s="94"/>
      <c r="AB1803" s="1"/>
      <c r="AC1803" s="1"/>
      <c r="AD1803" s="1"/>
      <c r="AE1803" s="30"/>
      <c r="AF1803" s="633"/>
      <c r="AG1803" s="94"/>
      <c r="AH1803" s="94"/>
      <c r="AI1803" s="94"/>
      <c r="AJ1803" s="94"/>
      <c r="AK1803" s="94"/>
      <c r="AL1803" s="94"/>
    </row>
    <row r="1804" spans="3:38">
      <c r="C1804" s="30"/>
      <c r="F1804" s="95"/>
      <c r="G1804" s="1"/>
      <c r="H1804" s="94"/>
      <c r="I1804" s="90"/>
      <c r="J1804" s="90"/>
      <c r="K1804" s="1"/>
      <c r="L1804" s="74"/>
      <c r="M1804" s="633"/>
      <c r="N1804" s="274"/>
      <c r="O1804" s="94"/>
      <c r="P1804" s="94"/>
      <c r="Q1804" s="94"/>
      <c r="R1804" s="94"/>
      <c r="S1804" s="94"/>
      <c r="V1804" s="30"/>
      <c r="W1804" s="30"/>
      <c r="X1804" s="1"/>
      <c r="Y1804" s="95"/>
      <c r="Z1804" s="1"/>
      <c r="AA1804" s="94"/>
      <c r="AB1804" s="1"/>
      <c r="AC1804" s="1"/>
      <c r="AD1804" s="1"/>
      <c r="AE1804" s="30"/>
      <c r="AF1804" s="633"/>
      <c r="AG1804" s="94"/>
      <c r="AH1804" s="94"/>
      <c r="AI1804" s="94"/>
      <c r="AJ1804" s="94"/>
      <c r="AK1804" s="94"/>
      <c r="AL1804" s="94"/>
    </row>
    <row r="1805" spans="3:38">
      <c r="C1805" s="30"/>
      <c r="F1805" s="95"/>
      <c r="G1805" s="1"/>
      <c r="H1805" s="94"/>
      <c r="I1805" s="90"/>
      <c r="J1805" s="90"/>
      <c r="K1805" s="1"/>
      <c r="L1805" s="74"/>
      <c r="M1805" s="633"/>
      <c r="N1805" s="274"/>
      <c r="O1805" s="94"/>
      <c r="P1805" s="94"/>
      <c r="Q1805" s="94"/>
      <c r="R1805" s="94"/>
      <c r="S1805" s="94"/>
      <c r="V1805" s="30"/>
      <c r="W1805" s="30"/>
      <c r="X1805" s="1"/>
      <c r="Y1805" s="95"/>
      <c r="Z1805" s="1"/>
      <c r="AA1805" s="94"/>
      <c r="AB1805" s="1"/>
      <c r="AC1805" s="1"/>
      <c r="AD1805" s="1"/>
      <c r="AE1805" s="30"/>
      <c r="AF1805" s="633"/>
      <c r="AG1805" s="94"/>
      <c r="AH1805" s="94"/>
      <c r="AI1805" s="94"/>
      <c r="AJ1805" s="94"/>
      <c r="AK1805" s="94"/>
      <c r="AL1805" s="94"/>
    </row>
    <row r="1806" spans="3:38">
      <c r="C1806" s="30"/>
      <c r="F1806" s="95"/>
      <c r="G1806" s="1"/>
      <c r="H1806" s="94"/>
      <c r="I1806" s="90"/>
      <c r="J1806" s="90"/>
      <c r="K1806" s="1"/>
      <c r="L1806" s="74"/>
      <c r="M1806" s="633"/>
      <c r="N1806" s="274"/>
      <c r="O1806" s="94"/>
      <c r="P1806" s="94"/>
      <c r="Q1806" s="94"/>
      <c r="R1806" s="94"/>
      <c r="S1806" s="94"/>
      <c r="V1806" s="30"/>
      <c r="W1806" s="30"/>
      <c r="X1806" s="1"/>
      <c r="Y1806" s="95"/>
      <c r="Z1806" s="1"/>
      <c r="AA1806" s="94"/>
      <c r="AB1806" s="1"/>
      <c r="AC1806" s="1"/>
      <c r="AD1806" s="1"/>
      <c r="AE1806" s="30"/>
      <c r="AF1806" s="633"/>
      <c r="AG1806" s="94"/>
      <c r="AH1806" s="94"/>
      <c r="AI1806" s="94"/>
      <c r="AJ1806" s="94"/>
      <c r="AK1806" s="94"/>
      <c r="AL1806" s="94"/>
    </row>
    <row r="1807" spans="3:38">
      <c r="C1807" s="30"/>
      <c r="F1807" s="95"/>
      <c r="G1807" s="1"/>
      <c r="H1807" s="94"/>
      <c r="I1807" s="90"/>
      <c r="J1807" s="90"/>
      <c r="K1807" s="1"/>
      <c r="L1807" s="74"/>
      <c r="M1807" s="633"/>
      <c r="N1807" s="274"/>
      <c r="O1807" s="94"/>
      <c r="P1807" s="94"/>
      <c r="Q1807" s="94"/>
      <c r="R1807" s="94"/>
      <c r="S1807" s="94"/>
      <c r="V1807" s="30"/>
      <c r="W1807" s="30"/>
      <c r="X1807" s="1"/>
      <c r="Y1807" s="95"/>
      <c r="Z1807" s="1"/>
      <c r="AA1807" s="94"/>
      <c r="AB1807" s="1"/>
      <c r="AC1807" s="1"/>
      <c r="AD1807" s="1"/>
      <c r="AE1807" s="30"/>
      <c r="AF1807" s="633"/>
      <c r="AG1807" s="94"/>
      <c r="AH1807" s="94"/>
      <c r="AI1807" s="94"/>
      <c r="AJ1807" s="94"/>
      <c r="AK1807" s="94"/>
      <c r="AL1807" s="94"/>
    </row>
    <row r="1808" spans="3:38">
      <c r="C1808" s="30"/>
      <c r="F1808" s="95"/>
      <c r="G1808" s="1"/>
      <c r="H1808" s="94"/>
      <c r="I1808" s="90"/>
      <c r="J1808" s="90"/>
      <c r="K1808" s="1"/>
      <c r="L1808" s="74"/>
      <c r="M1808" s="633"/>
      <c r="N1808" s="274"/>
      <c r="O1808" s="94"/>
      <c r="P1808" s="94"/>
      <c r="Q1808" s="94"/>
      <c r="R1808" s="94"/>
      <c r="S1808" s="94"/>
      <c r="V1808" s="30"/>
      <c r="W1808" s="30"/>
      <c r="X1808" s="1"/>
      <c r="Y1808" s="95"/>
      <c r="Z1808" s="1"/>
      <c r="AA1808" s="94"/>
      <c r="AB1808" s="1"/>
      <c r="AC1808" s="1"/>
      <c r="AD1808" s="1"/>
      <c r="AE1808" s="30"/>
      <c r="AF1808" s="633"/>
      <c r="AG1808" s="94"/>
      <c r="AH1808" s="94"/>
      <c r="AI1808" s="94"/>
      <c r="AJ1808" s="94"/>
      <c r="AK1808" s="94"/>
      <c r="AL1808" s="94"/>
    </row>
    <row r="1809" spans="3:38">
      <c r="C1809" s="30"/>
      <c r="F1809" s="95"/>
      <c r="G1809" s="1"/>
      <c r="H1809" s="94"/>
      <c r="I1809" s="90"/>
      <c r="J1809" s="90"/>
      <c r="K1809" s="1"/>
      <c r="L1809" s="74"/>
      <c r="M1809" s="633"/>
      <c r="N1809" s="274"/>
      <c r="O1809" s="94"/>
      <c r="P1809" s="94"/>
      <c r="Q1809" s="94"/>
      <c r="R1809" s="94"/>
      <c r="S1809" s="94"/>
      <c r="V1809" s="30"/>
      <c r="W1809" s="30"/>
      <c r="X1809" s="1"/>
      <c r="Y1809" s="95"/>
      <c r="Z1809" s="1"/>
      <c r="AA1809" s="94"/>
      <c r="AB1809" s="1"/>
      <c r="AC1809" s="1"/>
      <c r="AD1809" s="1"/>
      <c r="AE1809" s="30"/>
      <c r="AF1809" s="633"/>
      <c r="AG1809" s="94"/>
      <c r="AH1809" s="94"/>
      <c r="AI1809" s="94"/>
      <c r="AJ1809" s="94"/>
      <c r="AK1809" s="94"/>
      <c r="AL1809" s="94"/>
    </row>
    <row r="1810" spans="3:38">
      <c r="C1810" s="30"/>
      <c r="F1810" s="95"/>
      <c r="G1810" s="1"/>
      <c r="H1810" s="94"/>
      <c r="I1810" s="90"/>
      <c r="J1810" s="90"/>
      <c r="K1810" s="1"/>
      <c r="L1810" s="74"/>
      <c r="M1810" s="633"/>
      <c r="N1810" s="274"/>
      <c r="O1810" s="94"/>
      <c r="P1810" s="94"/>
      <c r="Q1810" s="94"/>
      <c r="R1810" s="94"/>
      <c r="S1810" s="94"/>
      <c r="V1810" s="30"/>
      <c r="W1810" s="30"/>
      <c r="X1810" s="1"/>
      <c r="Y1810" s="95"/>
      <c r="Z1810" s="1"/>
      <c r="AA1810" s="94"/>
      <c r="AB1810" s="1"/>
      <c r="AC1810" s="1"/>
      <c r="AD1810" s="1"/>
      <c r="AE1810" s="30"/>
      <c r="AF1810" s="633"/>
      <c r="AG1810" s="94"/>
      <c r="AH1810" s="94"/>
      <c r="AI1810" s="94"/>
      <c r="AJ1810" s="94"/>
      <c r="AK1810" s="94"/>
      <c r="AL1810" s="94"/>
    </row>
    <row r="1811" spans="3:38">
      <c r="C1811" s="30"/>
      <c r="F1811" s="95"/>
      <c r="G1811" s="1"/>
      <c r="H1811" s="94"/>
      <c r="I1811" s="90"/>
      <c r="J1811" s="90"/>
      <c r="K1811" s="1"/>
      <c r="L1811" s="74"/>
      <c r="M1811" s="633"/>
      <c r="N1811" s="274"/>
      <c r="O1811" s="94"/>
      <c r="P1811" s="94"/>
      <c r="Q1811" s="94"/>
      <c r="R1811" s="94"/>
      <c r="S1811" s="94"/>
      <c r="V1811" s="30"/>
      <c r="W1811" s="30"/>
      <c r="X1811" s="1"/>
      <c r="Y1811" s="95"/>
      <c r="Z1811" s="1"/>
      <c r="AA1811" s="94"/>
      <c r="AB1811" s="1"/>
      <c r="AC1811" s="1"/>
      <c r="AD1811" s="1"/>
      <c r="AE1811" s="30"/>
      <c r="AF1811" s="633"/>
      <c r="AG1811" s="94"/>
      <c r="AH1811" s="94"/>
      <c r="AI1811" s="94"/>
      <c r="AJ1811" s="94"/>
      <c r="AK1811" s="94"/>
      <c r="AL1811" s="94"/>
    </row>
    <row r="1812" spans="3:38">
      <c r="C1812" s="30"/>
      <c r="F1812" s="95"/>
      <c r="G1812" s="1"/>
      <c r="H1812" s="94"/>
      <c r="I1812" s="90"/>
      <c r="J1812" s="90"/>
      <c r="K1812" s="1"/>
      <c r="L1812" s="74"/>
      <c r="M1812" s="633"/>
      <c r="N1812" s="274"/>
      <c r="O1812" s="94"/>
      <c r="P1812" s="94"/>
      <c r="Q1812" s="94"/>
      <c r="R1812" s="94"/>
      <c r="S1812" s="94"/>
      <c r="V1812" s="30"/>
      <c r="W1812" s="30"/>
      <c r="X1812" s="1"/>
      <c r="Y1812" s="95"/>
      <c r="Z1812" s="1"/>
      <c r="AA1812" s="94"/>
      <c r="AB1812" s="1"/>
      <c r="AC1812" s="1"/>
      <c r="AD1812" s="1"/>
      <c r="AE1812" s="30"/>
      <c r="AF1812" s="633"/>
      <c r="AG1812" s="94"/>
      <c r="AH1812" s="94"/>
      <c r="AI1812" s="94"/>
      <c r="AJ1812" s="94"/>
      <c r="AK1812" s="94"/>
      <c r="AL1812" s="94"/>
    </row>
    <row r="1813" spans="3:38">
      <c r="C1813" s="30"/>
      <c r="F1813" s="95"/>
      <c r="G1813" s="1"/>
      <c r="H1813" s="94"/>
      <c r="I1813" s="90"/>
      <c r="J1813" s="90"/>
      <c r="K1813" s="1"/>
      <c r="L1813" s="74"/>
      <c r="M1813" s="633"/>
      <c r="N1813" s="274"/>
      <c r="O1813" s="94"/>
      <c r="P1813" s="94"/>
      <c r="Q1813" s="94"/>
      <c r="R1813" s="94"/>
      <c r="S1813" s="94"/>
      <c r="V1813" s="30"/>
      <c r="W1813" s="30"/>
      <c r="X1813" s="1"/>
      <c r="Y1813" s="95"/>
      <c r="Z1813" s="1"/>
      <c r="AA1813" s="94"/>
      <c r="AB1813" s="1"/>
      <c r="AC1813" s="1"/>
      <c r="AD1813" s="1"/>
      <c r="AE1813" s="30"/>
      <c r="AF1813" s="633"/>
      <c r="AG1813" s="94"/>
      <c r="AH1813" s="94"/>
      <c r="AI1813" s="94"/>
      <c r="AJ1813" s="94"/>
      <c r="AK1813" s="94"/>
      <c r="AL1813" s="94"/>
    </row>
    <row r="1814" spans="3:38">
      <c r="C1814" s="30"/>
      <c r="F1814" s="95"/>
      <c r="G1814" s="1"/>
      <c r="H1814" s="94"/>
      <c r="I1814" s="90"/>
      <c r="J1814" s="90"/>
      <c r="K1814" s="1"/>
      <c r="L1814" s="74"/>
      <c r="M1814" s="633"/>
      <c r="N1814" s="274"/>
      <c r="O1814" s="94"/>
      <c r="P1814" s="94"/>
      <c r="Q1814" s="94"/>
      <c r="R1814" s="94"/>
      <c r="S1814" s="94"/>
      <c r="V1814" s="30"/>
      <c r="W1814" s="30"/>
      <c r="X1814" s="1"/>
      <c r="Y1814" s="95"/>
      <c r="Z1814" s="1"/>
      <c r="AA1814" s="94"/>
      <c r="AB1814" s="1"/>
      <c r="AC1814" s="1"/>
      <c r="AD1814" s="1"/>
      <c r="AE1814" s="30"/>
      <c r="AF1814" s="633"/>
      <c r="AG1814" s="94"/>
      <c r="AH1814" s="94"/>
      <c r="AI1814" s="94"/>
      <c r="AJ1814" s="94"/>
      <c r="AK1814" s="94"/>
      <c r="AL1814" s="94"/>
    </row>
    <row r="1815" spans="3:38">
      <c r="C1815" s="30"/>
      <c r="F1815" s="95"/>
      <c r="G1815" s="1"/>
      <c r="H1815" s="94"/>
      <c r="I1815" s="90"/>
      <c r="J1815" s="90"/>
      <c r="K1815" s="1"/>
      <c r="L1815" s="74"/>
      <c r="M1815" s="633"/>
      <c r="N1815" s="274"/>
      <c r="O1815" s="94"/>
      <c r="P1815" s="94"/>
      <c r="Q1815" s="94"/>
      <c r="R1815" s="94"/>
      <c r="S1815" s="94"/>
      <c r="V1815" s="30"/>
      <c r="W1815" s="30"/>
      <c r="X1815" s="1"/>
      <c r="Y1815" s="95"/>
      <c r="Z1815" s="1"/>
      <c r="AA1815" s="94"/>
      <c r="AB1815" s="1"/>
      <c r="AC1815" s="1"/>
      <c r="AD1815" s="1"/>
      <c r="AE1815" s="30"/>
      <c r="AF1815" s="633"/>
      <c r="AG1815" s="94"/>
      <c r="AH1815" s="94"/>
      <c r="AI1815" s="94"/>
      <c r="AJ1815" s="94"/>
      <c r="AK1815" s="94"/>
      <c r="AL1815" s="94"/>
    </row>
    <row r="1816" spans="3:38">
      <c r="C1816" s="30"/>
      <c r="F1816" s="95"/>
      <c r="G1816" s="1"/>
      <c r="H1816" s="94"/>
      <c r="I1816" s="90"/>
      <c r="J1816" s="90"/>
      <c r="K1816" s="1"/>
      <c r="L1816" s="74"/>
      <c r="M1816" s="633"/>
      <c r="N1816" s="274"/>
      <c r="O1816" s="94"/>
      <c r="P1816" s="94"/>
      <c r="Q1816" s="94"/>
      <c r="R1816" s="94"/>
      <c r="S1816" s="94"/>
      <c r="V1816" s="30"/>
      <c r="W1816" s="30"/>
      <c r="X1816" s="1"/>
      <c r="Y1816" s="95"/>
      <c r="Z1816" s="1"/>
      <c r="AA1816" s="94"/>
      <c r="AB1816" s="1"/>
      <c r="AC1816" s="1"/>
      <c r="AD1816" s="1"/>
      <c r="AE1816" s="30"/>
      <c r="AF1816" s="633"/>
      <c r="AG1816" s="94"/>
      <c r="AH1816" s="94"/>
      <c r="AI1816" s="94"/>
      <c r="AJ1816" s="94"/>
      <c r="AK1816" s="94"/>
      <c r="AL1816" s="94"/>
    </row>
    <row r="1817" spans="3:38">
      <c r="C1817" s="30"/>
      <c r="F1817" s="95"/>
      <c r="G1817" s="1"/>
      <c r="H1817" s="94"/>
      <c r="I1817" s="90"/>
      <c r="J1817" s="90"/>
      <c r="K1817" s="1"/>
      <c r="L1817" s="74"/>
      <c r="M1817" s="633"/>
      <c r="N1817" s="274"/>
      <c r="O1817" s="94"/>
      <c r="P1817" s="94"/>
      <c r="Q1817" s="94"/>
      <c r="R1817" s="94"/>
      <c r="S1817" s="94"/>
      <c r="V1817" s="30"/>
      <c r="W1817" s="30"/>
      <c r="X1817" s="1"/>
      <c r="Y1817" s="95"/>
      <c r="Z1817" s="1"/>
      <c r="AA1817" s="94"/>
      <c r="AB1817" s="1"/>
      <c r="AC1817" s="1"/>
      <c r="AD1817" s="1"/>
      <c r="AE1817" s="30"/>
      <c r="AF1817" s="633"/>
      <c r="AG1817" s="94"/>
      <c r="AH1817" s="94"/>
      <c r="AI1817" s="94"/>
      <c r="AJ1817" s="94"/>
      <c r="AK1817" s="94"/>
      <c r="AL1817" s="94"/>
    </row>
    <row r="1818" spans="3:38">
      <c r="C1818" s="30"/>
      <c r="F1818" s="95"/>
      <c r="G1818" s="1"/>
      <c r="H1818" s="94"/>
      <c r="I1818" s="90"/>
      <c r="J1818" s="90"/>
      <c r="K1818" s="1"/>
      <c r="L1818" s="74"/>
      <c r="M1818" s="633"/>
      <c r="N1818" s="274"/>
      <c r="O1818" s="94"/>
      <c r="P1818" s="94"/>
      <c r="Q1818" s="94"/>
      <c r="R1818" s="94"/>
      <c r="S1818" s="94"/>
      <c r="V1818" s="30"/>
      <c r="W1818" s="30"/>
      <c r="X1818" s="1"/>
      <c r="Y1818" s="95"/>
      <c r="Z1818" s="1"/>
      <c r="AA1818" s="94"/>
      <c r="AB1818" s="1"/>
      <c r="AC1818" s="1"/>
      <c r="AD1818" s="1"/>
      <c r="AE1818" s="30"/>
      <c r="AF1818" s="633"/>
      <c r="AG1818" s="94"/>
      <c r="AH1818" s="94"/>
      <c r="AI1818" s="94"/>
      <c r="AJ1818" s="94"/>
      <c r="AK1818" s="94"/>
      <c r="AL1818" s="94"/>
    </row>
    <row r="1819" spans="3:38">
      <c r="C1819" s="30"/>
      <c r="F1819" s="95"/>
      <c r="G1819" s="1"/>
      <c r="H1819" s="94"/>
      <c r="I1819" s="90"/>
      <c r="J1819" s="90"/>
      <c r="K1819" s="1"/>
      <c r="L1819" s="74"/>
      <c r="M1819" s="633"/>
      <c r="N1819" s="274"/>
      <c r="O1819" s="94"/>
      <c r="P1819" s="94"/>
      <c r="Q1819" s="94"/>
      <c r="R1819" s="94"/>
      <c r="S1819" s="94"/>
      <c r="V1819" s="30"/>
      <c r="W1819" s="30"/>
      <c r="X1819" s="1"/>
      <c r="Y1819" s="95"/>
      <c r="Z1819" s="1"/>
      <c r="AA1819" s="94"/>
      <c r="AB1819" s="1"/>
      <c r="AC1819" s="1"/>
      <c r="AD1819" s="1"/>
      <c r="AE1819" s="30"/>
      <c r="AF1819" s="633"/>
      <c r="AG1819" s="94"/>
      <c r="AH1819" s="94"/>
      <c r="AI1819" s="94"/>
      <c r="AJ1819" s="94"/>
      <c r="AK1819" s="94"/>
      <c r="AL1819" s="94"/>
    </row>
    <row r="1820" spans="3:38">
      <c r="C1820" s="30"/>
      <c r="F1820" s="95"/>
      <c r="G1820" s="1"/>
      <c r="H1820" s="94"/>
      <c r="I1820" s="90"/>
      <c r="J1820" s="90"/>
      <c r="K1820" s="1"/>
      <c r="L1820" s="74"/>
      <c r="M1820" s="633"/>
      <c r="N1820" s="274"/>
      <c r="O1820" s="94"/>
      <c r="P1820" s="94"/>
      <c r="Q1820" s="94"/>
      <c r="R1820" s="94"/>
      <c r="S1820" s="94"/>
      <c r="V1820" s="30"/>
      <c r="W1820" s="30"/>
      <c r="X1820" s="1"/>
      <c r="Y1820" s="95"/>
      <c r="Z1820" s="1"/>
      <c r="AA1820" s="94"/>
      <c r="AB1820" s="1"/>
      <c r="AC1820" s="1"/>
      <c r="AD1820" s="1"/>
      <c r="AE1820" s="30"/>
      <c r="AF1820" s="633"/>
      <c r="AG1820" s="94"/>
      <c r="AH1820" s="94"/>
      <c r="AI1820" s="94"/>
      <c r="AJ1820" s="94"/>
      <c r="AK1820" s="94"/>
      <c r="AL1820" s="94"/>
    </row>
    <row r="1821" spans="3:38">
      <c r="C1821" s="30"/>
      <c r="F1821" s="95"/>
      <c r="G1821" s="1"/>
      <c r="H1821" s="94"/>
      <c r="I1821" s="90"/>
      <c r="J1821" s="90"/>
      <c r="K1821" s="1"/>
      <c r="L1821" s="74"/>
      <c r="M1821" s="633"/>
      <c r="N1821" s="274"/>
      <c r="O1821" s="94"/>
      <c r="P1821" s="94"/>
      <c r="Q1821" s="94"/>
      <c r="R1821" s="94"/>
      <c r="S1821" s="94"/>
      <c r="V1821" s="30"/>
      <c r="W1821" s="30"/>
      <c r="X1821" s="1"/>
      <c r="Y1821" s="95"/>
      <c r="Z1821" s="1"/>
      <c r="AA1821" s="94"/>
      <c r="AB1821" s="1"/>
      <c r="AC1821" s="1"/>
      <c r="AD1821" s="1"/>
      <c r="AE1821" s="30"/>
      <c r="AF1821" s="633"/>
      <c r="AG1821" s="94"/>
      <c r="AH1821" s="94"/>
      <c r="AI1821" s="94"/>
      <c r="AJ1821" s="94"/>
      <c r="AK1821" s="94"/>
      <c r="AL1821" s="94"/>
    </row>
    <row r="1822" spans="3:38">
      <c r="C1822" s="30"/>
      <c r="F1822" s="95"/>
      <c r="G1822" s="1"/>
      <c r="H1822" s="94"/>
      <c r="I1822" s="90"/>
      <c r="J1822" s="90"/>
      <c r="K1822" s="1"/>
      <c r="L1822" s="74"/>
      <c r="M1822" s="633"/>
      <c r="N1822" s="274"/>
      <c r="O1822" s="94"/>
      <c r="P1822" s="94"/>
      <c r="Q1822" s="94"/>
      <c r="R1822" s="94"/>
      <c r="S1822" s="94"/>
      <c r="V1822" s="30"/>
      <c r="W1822" s="30"/>
      <c r="X1822" s="1"/>
      <c r="Y1822" s="95"/>
      <c r="Z1822" s="1"/>
      <c r="AA1822" s="94"/>
      <c r="AB1822" s="1"/>
      <c r="AC1822" s="1"/>
      <c r="AD1822" s="1"/>
      <c r="AE1822" s="30"/>
      <c r="AF1822" s="633"/>
      <c r="AG1822" s="94"/>
      <c r="AH1822" s="94"/>
      <c r="AI1822" s="94"/>
      <c r="AJ1822" s="94"/>
      <c r="AK1822" s="94"/>
      <c r="AL1822" s="94"/>
    </row>
    <row r="1823" spans="3:38">
      <c r="C1823" s="30"/>
      <c r="F1823" s="95"/>
      <c r="G1823" s="1"/>
      <c r="H1823" s="94"/>
      <c r="I1823" s="90"/>
      <c r="J1823" s="90"/>
      <c r="K1823" s="1"/>
      <c r="L1823" s="74"/>
      <c r="M1823" s="633"/>
      <c r="N1823" s="274"/>
      <c r="O1823" s="94"/>
      <c r="P1823" s="94"/>
      <c r="Q1823" s="94"/>
      <c r="R1823" s="94"/>
      <c r="S1823" s="94"/>
      <c r="V1823" s="30"/>
      <c r="W1823" s="30"/>
      <c r="X1823" s="1"/>
      <c r="Y1823" s="95"/>
      <c r="Z1823" s="1"/>
      <c r="AA1823" s="94"/>
      <c r="AB1823" s="1"/>
      <c r="AC1823" s="1"/>
      <c r="AD1823" s="1"/>
      <c r="AE1823" s="30"/>
      <c r="AF1823" s="633"/>
      <c r="AG1823" s="94"/>
      <c r="AH1823" s="94"/>
      <c r="AI1823" s="94"/>
      <c r="AJ1823" s="94"/>
      <c r="AK1823" s="94"/>
      <c r="AL1823" s="94"/>
    </row>
    <row r="1824" spans="3:38">
      <c r="C1824" s="30"/>
      <c r="F1824" s="95"/>
      <c r="G1824" s="1"/>
      <c r="H1824" s="94"/>
      <c r="I1824" s="90"/>
      <c r="J1824" s="90"/>
      <c r="K1824" s="1"/>
      <c r="L1824" s="74"/>
      <c r="M1824" s="633"/>
      <c r="N1824" s="274"/>
      <c r="O1824" s="94"/>
      <c r="P1824" s="94"/>
      <c r="Q1824" s="94"/>
      <c r="R1824" s="94"/>
      <c r="S1824" s="94"/>
      <c r="V1824" s="30"/>
      <c r="W1824" s="30"/>
      <c r="X1824" s="1"/>
      <c r="Y1824" s="95"/>
      <c r="Z1824" s="1"/>
      <c r="AA1824" s="94"/>
      <c r="AB1824" s="1"/>
      <c r="AC1824" s="1"/>
      <c r="AD1824" s="1"/>
      <c r="AE1824" s="30"/>
      <c r="AF1824" s="633"/>
      <c r="AG1824" s="94"/>
      <c r="AH1824" s="94"/>
      <c r="AI1824" s="94"/>
      <c r="AJ1824" s="94"/>
      <c r="AK1824" s="94"/>
      <c r="AL1824" s="94"/>
    </row>
    <row r="1825" spans="3:38">
      <c r="C1825" s="30"/>
      <c r="F1825" s="95"/>
      <c r="G1825" s="1"/>
      <c r="H1825" s="94"/>
      <c r="I1825" s="90"/>
      <c r="J1825" s="90"/>
      <c r="K1825" s="1"/>
      <c r="L1825" s="74"/>
      <c r="M1825" s="633"/>
      <c r="N1825" s="274"/>
      <c r="O1825" s="94"/>
      <c r="P1825" s="94"/>
      <c r="Q1825" s="94"/>
      <c r="R1825" s="94"/>
      <c r="S1825" s="94"/>
      <c r="V1825" s="30"/>
      <c r="W1825" s="30"/>
      <c r="X1825" s="1"/>
      <c r="Y1825" s="95"/>
      <c r="Z1825" s="1"/>
      <c r="AA1825" s="94"/>
      <c r="AB1825" s="1"/>
      <c r="AC1825" s="1"/>
      <c r="AD1825" s="1"/>
      <c r="AE1825" s="30"/>
      <c r="AF1825" s="633"/>
      <c r="AG1825" s="94"/>
      <c r="AH1825" s="94"/>
      <c r="AI1825" s="94"/>
      <c r="AJ1825" s="94"/>
      <c r="AK1825" s="94"/>
      <c r="AL1825" s="94"/>
    </row>
    <row r="1826" spans="3:38">
      <c r="C1826" s="30"/>
      <c r="F1826" s="95"/>
      <c r="G1826" s="1"/>
      <c r="H1826" s="94"/>
      <c r="I1826" s="90"/>
      <c r="J1826" s="90"/>
      <c r="K1826" s="1"/>
      <c r="L1826" s="74"/>
      <c r="M1826" s="633"/>
      <c r="N1826" s="274"/>
      <c r="O1826" s="94"/>
      <c r="P1826" s="94"/>
      <c r="Q1826" s="94"/>
      <c r="R1826" s="94"/>
      <c r="S1826" s="94"/>
      <c r="V1826" s="30"/>
      <c r="W1826" s="30"/>
      <c r="X1826" s="1"/>
      <c r="Y1826" s="95"/>
      <c r="Z1826" s="1"/>
      <c r="AA1826" s="94"/>
      <c r="AB1826" s="1"/>
      <c r="AC1826" s="1"/>
      <c r="AD1826" s="1"/>
      <c r="AE1826" s="30"/>
      <c r="AF1826" s="633"/>
      <c r="AG1826" s="94"/>
      <c r="AH1826" s="94"/>
      <c r="AI1826" s="94"/>
      <c r="AJ1826" s="94"/>
      <c r="AK1826" s="94"/>
      <c r="AL1826" s="94"/>
    </row>
    <row r="1827" spans="3:38">
      <c r="C1827" s="30"/>
      <c r="F1827" s="95"/>
      <c r="G1827" s="1"/>
      <c r="H1827" s="94"/>
      <c r="I1827" s="90"/>
      <c r="J1827" s="90"/>
      <c r="K1827" s="1"/>
      <c r="L1827" s="74"/>
      <c r="M1827" s="633"/>
      <c r="N1827" s="274"/>
      <c r="O1827" s="94"/>
      <c r="P1827" s="94"/>
      <c r="Q1827" s="94"/>
      <c r="R1827" s="94"/>
      <c r="S1827" s="94"/>
      <c r="V1827" s="30"/>
      <c r="W1827" s="30"/>
      <c r="X1827" s="1"/>
      <c r="Y1827" s="95"/>
      <c r="Z1827" s="1"/>
      <c r="AA1827" s="94"/>
      <c r="AB1827" s="1"/>
      <c r="AC1827" s="1"/>
      <c r="AD1827" s="1"/>
      <c r="AE1827" s="30"/>
      <c r="AF1827" s="633"/>
      <c r="AG1827" s="94"/>
      <c r="AH1827" s="94"/>
      <c r="AI1827" s="94"/>
      <c r="AJ1827" s="94"/>
      <c r="AK1827" s="94"/>
      <c r="AL1827" s="94"/>
    </row>
    <row r="1828" spans="3:38">
      <c r="C1828" s="30"/>
      <c r="F1828" s="95"/>
      <c r="G1828" s="1"/>
      <c r="H1828" s="94"/>
      <c r="I1828" s="90"/>
      <c r="J1828" s="90"/>
      <c r="K1828" s="1"/>
      <c r="L1828" s="74"/>
      <c r="M1828" s="633"/>
      <c r="N1828" s="274"/>
      <c r="O1828" s="94"/>
      <c r="P1828" s="94"/>
      <c r="Q1828" s="94"/>
      <c r="R1828" s="94"/>
      <c r="S1828" s="94"/>
      <c r="V1828" s="30"/>
      <c r="W1828" s="30"/>
      <c r="X1828" s="1"/>
      <c r="Y1828" s="95"/>
      <c r="Z1828" s="1"/>
      <c r="AA1828" s="94"/>
      <c r="AB1828" s="1"/>
      <c r="AC1828" s="1"/>
      <c r="AD1828" s="1"/>
      <c r="AE1828" s="30"/>
      <c r="AF1828" s="633"/>
      <c r="AG1828" s="94"/>
      <c r="AH1828" s="94"/>
      <c r="AI1828" s="94"/>
      <c r="AJ1828" s="94"/>
      <c r="AK1828" s="94"/>
      <c r="AL1828" s="94"/>
    </row>
    <row r="1829" spans="3:38">
      <c r="C1829" s="30"/>
      <c r="F1829" s="95"/>
      <c r="G1829" s="1"/>
      <c r="H1829" s="94"/>
      <c r="I1829" s="90"/>
      <c r="J1829" s="90"/>
      <c r="K1829" s="1"/>
      <c r="L1829" s="74"/>
      <c r="M1829" s="633"/>
      <c r="N1829" s="274"/>
      <c r="O1829" s="94"/>
      <c r="P1829" s="94"/>
      <c r="Q1829" s="94"/>
      <c r="R1829" s="94"/>
      <c r="S1829" s="94"/>
      <c r="V1829" s="30"/>
      <c r="W1829" s="30"/>
      <c r="X1829" s="1"/>
      <c r="Y1829" s="95"/>
      <c r="Z1829" s="1"/>
      <c r="AA1829" s="94"/>
      <c r="AB1829" s="1"/>
      <c r="AC1829" s="1"/>
      <c r="AD1829" s="1"/>
      <c r="AE1829" s="30"/>
      <c r="AF1829" s="633"/>
      <c r="AG1829" s="94"/>
      <c r="AH1829" s="94"/>
      <c r="AI1829" s="94"/>
      <c r="AJ1829" s="94"/>
      <c r="AK1829" s="94"/>
      <c r="AL1829" s="94"/>
    </row>
    <row r="1830" spans="3:38">
      <c r="C1830" s="30"/>
      <c r="F1830" s="95"/>
      <c r="G1830" s="1"/>
      <c r="H1830" s="94"/>
      <c r="I1830" s="90"/>
      <c r="J1830" s="90"/>
      <c r="K1830" s="1"/>
      <c r="L1830" s="74"/>
      <c r="M1830" s="633"/>
      <c r="N1830" s="274"/>
      <c r="O1830" s="94"/>
      <c r="P1830" s="94"/>
      <c r="Q1830" s="94"/>
      <c r="R1830" s="94"/>
      <c r="S1830" s="94"/>
      <c r="V1830" s="30"/>
      <c r="W1830" s="30"/>
      <c r="X1830" s="1"/>
      <c r="Y1830" s="95"/>
      <c r="Z1830" s="1"/>
      <c r="AA1830" s="94"/>
      <c r="AB1830" s="1"/>
      <c r="AC1830" s="1"/>
      <c r="AD1830" s="1"/>
      <c r="AE1830" s="30"/>
      <c r="AF1830" s="633"/>
      <c r="AG1830" s="94"/>
      <c r="AH1830" s="94"/>
      <c r="AI1830" s="94"/>
      <c r="AJ1830" s="94"/>
      <c r="AK1830" s="94"/>
      <c r="AL1830" s="94"/>
    </row>
    <row r="1831" spans="3:38">
      <c r="C1831" s="30"/>
      <c r="F1831" s="95"/>
      <c r="G1831" s="1"/>
      <c r="H1831" s="94"/>
      <c r="I1831" s="90"/>
      <c r="J1831" s="90"/>
      <c r="K1831" s="1"/>
      <c r="L1831" s="74"/>
      <c r="M1831" s="633"/>
      <c r="N1831" s="274"/>
      <c r="O1831" s="94"/>
      <c r="P1831" s="94"/>
      <c r="Q1831" s="94"/>
      <c r="R1831" s="94"/>
      <c r="S1831" s="94"/>
      <c r="V1831" s="30"/>
      <c r="W1831" s="30"/>
      <c r="X1831" s="1"/>
      <c r="Y1831" s="95"/>
      <c r="Z1831" s="1"/>
      <c r="AA1831" s="94"/>
      <c r="AB1831" s="1"/>
      <c r="AC1831" s="1"/>
      <c r="AD1831" s="1"/>
      <c r="AE1831" s="30"/>
      <c r="AF1831" s="633"/>
      <c r="AG1831" s="94"/>
      <c r="AH1831" s="94"/>
      <c r="AI1831" s="94"/>
      <c r="AJ1831" s="94"/>
      <c r="AK1831" s="94"/>
      <c r="AL1831" s="94"/>
    </row>
    <row r="1832" spans="3:38">
      <c r="C1832" s="30"/>
      <c r="F1832" s="95"/>
      <c r="G1832" s="1"/>
      <c r="H1832" s="94"/>
      <c r="I1832" s="90"/>
      <c r="J1832" s="90"/>
      <c r="K1832" s="1"/>
      <c r="L1832" s="74"/>
      <c r="M1832" s="633"/>
      <c r="N1832" s="274"/>
      <c r="O1832" s="94"/>
      <c r="P1832" s="94"/>
      <c r="Q1832" s="94"/>
      <c r="R1832" s="94"/>
      <c r="S1832" s="94"/>
      <c r="V1832" s="30"/>
      <c r="W1832" s="30"/>
      <c r="X1832" s="1"/>
      <c r="Y1832" s="95"/>
      <c r="Z1832" s="1"/>
      <c r="AA1832" s="94"/>
      <c r="AB1832" s="1"/>
      <c r="AC1832" s="1"/>
      <c r="AD1832" s="1"/>
      <c r="AE1832" s="30"/>
      <c r="AF1832" s="633"/>
      <c r="AG1832" s="94"/>
      <c r="AH1832" s="94"/>
      <c r="AI1832" s="94"/>
      <c r="AJ1832" s="94"/>
      <c r="AK1832" s="94"/>
      <c r="AL1832" s="94"/>
    </row>
    <row r="1833" spans="3:38">
      <c r="C1833" s="30"/>
      <c r="F1833" s="95"/>
      <c r="G1833" s="1"/>
      <c r="H1833" s="94"/>
      <c r="I1833" s="90"/>
      <c r="J1833" s="90"/>
      <c r="K1833" s="1"/>
      <c r="L1833" s="74"/>
      <c r="M1833" s="633"/>
      <c r="N1833" s="274"/>
      <c r="O1833" s="94"/>
      <c r="P1833" s="94"/>
      <c r="Q1833" s="94"/>
      <c r="R1833" s="94"/>
      <c r="S1833" s="94"/>
      <c r="V1833" s="30"/>
      <c r="W1833" s="30"/>
      <c r="X1833" s="1"/>
      <c r="Y1833" s="95"/>
      <c r="Z1833" s="1"/>
      <c r="AA1833" s="94"/>
      <c r="AB1833" s="1"/>
      <c r="AC1833" s="1"/>
      <c r="AD1833" s="1"/>
      <c r="AE1833" s="30"/>
      <c r="AF1833" s="633"/>
      <c r="AG1833" s="94"/>
      <c r="AH1833" s="94"/>
      <c r="AI1833" s="94"/>
      <c r="AJ1833" s="94"/>
      <c r="AK1833" s="94"/>
      <c r="AL1833" s="94"/>
    </row>
    <row r="1834" spans="3:38">
      <c r="C1834" s="30"/>
      <c r="F1834" s="95"/>
      <c r="G1834" s="1"/>
      <c r="H1834" s="94"/>
      <c r="I1834" s="90"/>
      <c r="J1834" s="90"/>
      <c r="K1834" s="1"/>
      <c r="L1834" s="74"/>
      <c r="M1834" s="633"/>
      <c r="N1834" s="274"/>
      <c r="O1834" s="94"/>
      <c r="P1834" s="94"/>
      <c r="Q1834" s="94"/>
      <c r="R1834" s="94"/>
      <c r="S1834" s="94"/>
      <c r="V1834" s="30"/>
      <c r="W1834" s="30"/>
      <c r="X1834" s="1"/>
      <c r="Y1834" s="95"/>
      <c r="Z1834" s="1"/>
      <c r="AA1834" s="94"/>
      <c r="AB1834" s="1"/>
      <c r="AC1834" s="1"/>
      <c r="AD1834" s="1"/>
      <c r="AE1834" s="30"/>
      <c r="AF1834" s="633"/>
      <c r="AG1834" s="94"/>
      <c r="AH1834" s="94"/>
      <c r="AI1834" s="94"/>
      <c r="AJ1834" s="94"/>
      <c r="AK1834" s="94"/>
      <c r="AL1834" s="94"/>
    </row>
    <row r="1835" spans="3:38">
      <c r="C1835" s="30"/>
      <c r="F1835" s="95"/>
      <c r="G1835" s="1"/>
      <c r="H1835" s="94"/>
      <c r="I1835" s="90"/>
      <c r="J1835" s="90"/>
      <c r="K1835" s="1"/>
      <c r="L1835" s="74"/>
      <c r="M1835" s="633"/>
      <c r="N1835" s="274"/>
      <c r="O1835" s="94"/>
      <c r="P1835" s="94"/>
      <c r="Q1835" s="94"/>
      <c r="R1835" s="94"/>
      <c r="S1835" s="94"/>
      <c r="V1835" s="30"/>
      <c r="W1835" s="30"/>
      <c r="X1835" s="1"/>
      <c r="Y1835" s="95"/>
      <c r="Z1835" s="1"/>
      <c r="AA1835" s="94"/>
      <c r="AB1835" s="1"/>
      <c r="AC1835" s="1"/>
      <c r="AD1835" s="1"/>
      <c r="AE1835" s="30"/>
      <c r="AF1835" s="633"/>
      <c r="AG1835" s="94"/>
      <c r="AH1835" s="94"/>
      <c r="AI1835" s="94"/>
      <c r="AJ1835" s="94"/>
      <c r="AK1835" s="94"/>
      <c r="AL1835" s="94"/>
    </row>
    <row r="1836" spans="3:38">
      <c r="C1836" s="30"/>
      <c r="F1836" s="95"/>
      <c r="G1836" s="1"/>
      <c r="H1836" s="94"/>
      <c r="I1836" s="90"/>
      <c r="J1836" s="90"/>
      <c r="K1836" s="1"/>
      <c r="L1836" s="74"/>
      <c r="M1836" s="633"/>
      <c r="N1836" s="274"/>
      <c r="O1836" s="94"/>
      <c r="P1836" s="94"/>
      <c r="Q1836" s="94"/>
      <c r="R1836" s="94"/>
      <c r="S1836" s="94"/>
      <c r="V1836" s="30"/>
      <c r="W1836" s="30"/>
      <c r="X1836" s="1"/>
      <c r="Y1836" s="95"/>
      <c r="Z1836" s="1"/>
      <c r="AA1836" s="94"/>
      <c r="AB1836" s="1"/>
      <c r="AC1836" s="1"/>
      <c r="AD1836" s="1"/>
      <c r="AE1836" s="30"/>
      <c r="AF1836" s="633"/>
      <c r="AG1836" s="94"/>
      <c r="AH1836" s="94"/>
      <c r="AI1836" s="94"/>
      <c r="AJ1836" s="94"/>
      <c r="AK1836" s="94"/>
      <c r="AL1836" s="94"/>
    </row>
    <row r="1837" spans="3:38">
      <c r="C1837" s="30"/>
      <c r="F1837" s="95"/>
      <c r="G1837" s="1"/>
      <c r="H1837" s="94"/>
      <c r="I1837" s="90"/>
      <c r="J1837" s="90"/>
      <c r="K1837" s="1"/>
      <c r="L1837" s="74"/>
      <c r="M1837" s="633"/>
      <c r="N1837" s="274"/>
      <c r="O1837" s="94"/>
      <c r="P1837" s="94"/>
      <c r="Q1837" s="94"/>
      <c r="R1837" s="94"/>
      <c r="S1837" s="94"/>
      <c r="V1837" s="30"/>
      <c r="W1837" s="30"/>
      <c r="X1837" s="1"/>
      <c r="Y1837" s="95"/>
      <c r="Z1837" s="1"/>
      <c r="AA1837" s="94"/>
      <c r="AB1837" s="1"/>
      <c r="AC1837" s="1"/>
      <c r="AD1837" s="1"/>
      <c r="AE1837" s="30"/>
      <c r="AF1837" s="633"/>
      <c r="AG1837" s="94"/>
      <c r="AH1837" s="94"/>
      <c r="AI1837" s="94"/>
      <c r="AJ1837" s="94"/>
      <c r="AK1837" s="94"/>
      <c r="AL1837" s="94"/>
    </row>
    <row r="1838" spans="3:38">
      <c r="C1838" s="30"/>
      <c r="F1838" s="95"/>
      <c r="G1838" s="1"/>
      <c r="H1838" s="94"/>
      <c r="I1838" s="90"/>
      <c r="J1838" s="90"/>
      <c r="K1838" s="1"/>
      <c r="L1838" s="74"/>
      <c r="M1838" s="633"/>
      <c r="N1838" s="274"/>
      <c r="O1838" s="94"/>
      <c r="P1838" s="94"/>
      <c r="Q1838" s="94"/>
      <c r="R1838" s="94"/>
      <c r="S1838" s="94"/>
      <c r="V1838" s="30"/>
      <c r="W1838" s="30"/>
      <c r="X1838" s="1"/>
      <c r="Y1838" s="95"/>
      <c r="Z1838" s="1"/>
      <c r="AA1838" s="94"/>
      <c r="AB1838" s="1"/>
      <c r="AC1838" s="1"/>
      <c r="AD1838" s="1"/>
      <c r="AE1838" s="30"/>
      <c r="AF1838" s="633"/>
      <c r="AG1838" s="94"/>
      <c r="AH1838" s="94"/>
      <c r="AI1838" s="94"/>
      <c r="AJ1838" s="94"/>
      <c r="AK1838" s="94"/>
      <c r="AL1838" s="94"/>
    </row>
    <row r="1839" spans="3:38">
      <c r="C1839" s="30"/>
      <c r="F1839" s="95"/>
      <c r="G1839" s="1"/>
      <c r="H1839" s="94"/>
      <c r="I1839" s="90"/>
      <c r="J1839" s="90"/>
      <c r="K1839" s="1"/>
      <c r="L1839" s="74"/>
      <c r="M1839" s="633"/>
      <c r="N1839" s="274"/>
      <c r="O1839" s="94"/>
      <c r="P1839" s="94"/>
      <c r="Q1839" s="94"/>
      <c r="R1839" s="94"/>
      <c r="S1839" s="94"/>
      <c r="V1839" s="30"/>
      <c r="W1839" s="30"/>
      <c r="X1839" s="1"/>
      <c r="Y1839" s="95"/>
      <c r="Z1839" s="1"/>
      <c r="AA1839" s="94"/>
      <c r="AB1839" s="1"/>
      <c r="AC1839" s="1"/>
      <c r="AD1839" s="1"/>
      <c r="AE1839" s="30"/>
      <c r="AF1839" s="633"/>
      <c r="AG1839" s="94"/>
      <c r="AH1839" s="94"/>
      <c r="AI1839" s="94"/>
      <c r="AJ1839" s="94"/>
      <c r="AK1839" s="94"/>
      <c r="AL1839" s="94"/>
    </row>
    <row r="1840" spans="3:38">
      <c r="C1840" s="30"/>
      <c r="F1840" s="95"/>
      <c r="G1840" s="1"/>
      <c r="H1840" s="94"/>
      <c r="I1840" s="90"/>
      <c r="J1840" s="90"/>
      <c r="K1840" s="1"/>
      <c r="L1840" s="74"/>
      <c r="M1840" s="633"/>
      <c r="N1840" s="274"/>
      <c r="O1840" s="94"/>
      <c r="P1840" s="94"/>
      <c r="Q1840" s="94"/>
      <c r="R1840" s="94"/>
      <c r="S1840" s="94"/>
      <c r="V1840" s="30"/>
      <c r="W1840" s="30"/>
      <c r="X1840" s="1"/>
      <c r="Y1840" s="95"/>
      <c r="Z1840" s="1"/>
      <c r="AA1840" s="94"/>
      <c r="AB1840" s="1"/>
      <c r="AC1840" s="1"/>
      <c r="AD1840" s="1"/>
      <c r="AE1840" s="30"/>
      <c r="AF1840" s="633"/>
      <c r="AG1840" s="94"/>
      <c r="AH1840" s="94"/>
      <c r="AI1840" s="94"/>
      <c r="AJ1840" s="94"/>
      <c r="AK1840" s="94"/>
      <c r="AL1840" s="94"/>
    </row>
    <row r="1841" spans="3:38">
      <c r="C1841" s="30"/>
      <c r="F1841" s="95"/>
      <c r="G1841" s="1"/>
      <c r="H1841" s="94"/>
      <c r="I1841" s="90"/>
      <c r="J1841" s="90"/>
      <c r="K1841" s="1"/>
      <c r="L1841" s="74"/>
      <c r="M1841" s="633"/>
      <c r="N1841" s="274"/>
      <c r="O1841" s="94"/>
      <c r="P1841" s="94"/>
      <c r="Q1841" s="94"/>
      <c r="R1841" s="94"/>
      <c r="S1841" s="94"/>
      <c r="V1841" s="30"/>
      <c r="W1841" s="30"/>
      <c r="X1841" s="1"/>
      <c r="Y1841" s="95"/>
      <c r="Z1841" s="1"/>
      <c r="AA1841" s="94"/>
      <c r="AB1841" s="1"/>
      <c r="AC1841" s="1"/>
      <c r="AD1841" s="1"/>
      <c r="AE1841" s="30"/>
      <c r="AF1841" s="633"/>
      <c r="AG1841" s="94"/>
      <c r="AH1841" s="94"/>
      <c r="AI1841" s="94"/>
      <c r="AJ1841" s="94"/>
      <c r="AK1841" s="94"/>
      <c r="AL1841" s="94"/>
    </row>
    <row r="1842" spans="3:38">
      <c r="C1842" s="30"/>
      <c r="F1842" s="95"/>
      <c r="G1842" s="1"/>
      <c r="H1842" s="94"/>
      <c r="I1842" s="90"/>
      <c r="J1842" s="90"/>
      <c r="K1842" s="1"/>
      <c r="L1842" s="74"/>
      <c r="M1842" s="633"/>
      <c r="N1842" s="274"/>
      <c r="O1842" s="94"/>
      <c r="P1842" s="94"/>
      <c r="Q1842" s="94"/>
      <c r="R1842" s="94"/>
      <c r="S1842" s="94"/>
      <c r="V1842" s="30"/>
      <c r="W1842" s="30"/>
      <c r="X1842" s="1"/>
      <c r="Y1842" s="95"/>
      <c r="Z1842" s="1"/>
      <c r="AA1842" s="94"/>
      <c r="AB1842" s="1"/>
      <c r="AC1842" s="1"/>
      <c r="AD1842" s="1"/>
      <c r="AE1842" s="30"/>
      <c r="AF1842" s="633"/>
      <c r="AG1842" s="94"/>
      <c r="AH1842" s="94"/>
      <c r="AI1842" s="94"/>
      <c r="AJ1842" s="94"/>
      <c r="AK1842" s="94"/>
      <c r="AL1842" s="94"/>
    </row>
    <row r="1843" spans="3:38">
      <c r="C1843" s="30"/>
      <c r="F1843" s="95"/>
      <c r="G1843" s="1"/>
      <c r="H1843" s="94"/>
      <c r="I1843" s="90"/>
      <c r="J1843" s="90"/>
      <c r="K1843" s="1"/>
      <c r="L1843" s="74"/>
      <c r="M1843" s="633"/>
      <c r="N1843" s="274"/>
      <c r="O1843" s="94"/>
      <c r="P1843" s="94"/>
      <c r="Q1843" s="94"/>
      <c r="R1843" s="94"/>
      <c r="S1843" s="94"/>
      <c r="V1843" s="30"/>
      <c r="W1843" s="30"/>
      <c r="X1843" s="1"/>
      <c r="Y1843" s="95"/>
      <c r="Z1843" s="1"/>
      <c r="AA1843" s="94"/>
      <c r="AB1843" s="1"/>
      <c r="AC1843" s="1"/>
      <c r="AD1843" s="1"/>
      <c r="AE1843" s="30"/>
      <c r="AF1843" s="633"/>
      <c r="AG1843" s="94"/>
      <c r="AH1843" s="94"/>
      <c r="AI1843" s="94"/>
      <c r="AJ1843" s="94"/>
      <c r="AK1843" s="94"/>
      <c r="AL1843" s="94"/>
    </row>
    <row r="1844" spans="3:38">
      <c r="C1844" s="30"/>
      <c r="F1844" s="95"/>
      <c r="G1844" s="1"/>
      <c r="H1844" s="94"/>
      <c r="I1844" s="90"/>
      <c r="J1844" s="90"/>
      <c r="K1844" s="1"/>
      <c r="L1844" s="74"/>
      <c r="M1844" s="633"/>
      <c r="N1844" s="274"/>
      <c r="O1844" s="94"/>
      <c r="P1844" s="94"/>
      <c r="Q1844" s="94"/>
      <c r="R1844" s="94"/>
      <c r="S1844" s="94"/>
      <c r="V1844" s="30"/>
      <c r="W1844" s="30"/>
      <c r="X1844" s="1"/>
      <c r="Y1844" s="95"/>
      <c r="Z1844" s="1"/>
      <c r="AA1844" s="94"/>
      <c r="AB1844" s="1"/>
      <c r="AC1844" s="1"/>
      <c r="AD1844" s="1"/>
      <c r="AE1844" s="30"/>
      <c r="AF1844" s="633"/>
      <c r="AG1844" s="94"/>
      <c r="AH1844" s="94"/>
      <c r="AI1844" s="94"/>
      <c r="AJ1844" s="94"/>
      <c r="AK1844" s="94"/>
      <c r="AL1844" s="94"/>
    </row>
    <row r="1845" spans="3:38">
      <c r="C1845" s="30"/>
      <c r="F1845" s="95"/>
      <c r="G1845" s="1"/>
      <c r="H1845" s="94"/>
      <c r="I1845" s="90"/>
      <c r="J1845" s="90"/>
      <c r="K1845" s="1"/>
      <c r="L1845" s="74"/>
      <c r="M1845" s="633"/>
      <c r="N1845" s="274"/>
      <c r="O1845" s="94"/>
      <c r="P1845" s="94"/>
      <c r="Q1845" s="94"/>
      <c r="R1845" s="94"/>
      <c r="S1845" s="94"/>
      <c r="V1845" s="30"/>
      <c r="W1845" s="30"/>
      <c r="X1845" s="1"/>
      <c r="Y1845" s="95"/>
      <c r="Z1845" s="1"/>
      <c r="AA1845" s="94"/>
      <c r="AB1845" s="1"/>
      <c r="AC1845" s="1"/>
      <c r="AD1845" s="1"/>
      <c r="AE1845" s="30"/>
      <c r="AF1845" s="633"/>
      <c r="AG1845" s="94"/>
      <c r="AH1845" s="94"/>
      <c r="AI1845" s="94"/>
      <c r="AJ1845" s="94"/>
      <c r="AK1845" s="94"/>
      <c r="AL1845" s="94"/>
    </row>
    <row r="1846" spans="3:38">
      <c r="C1846" s="30"/>
      <c r="F1846" s="95"/>
      <c r="G1846" s="1"/>
      <c r="H1846" s="94"/>
      <c r="I1846" s="90"/>
      <c r="J1846" s="90"/>
      <c r="K1846" s="1"/>
      <c r="L1846" s="74"/>
      <c r="M1846" s="633"/>
      <c r="N1846" s="274"/>
      <c r="O1846" s="94"/>
      <c r="P1846" s="94"/>
      <c r="Q1846" s="94"/>
      <c r="R1846" s="94"/>
      <c r="S1846" s="94"/>
      <c r="V1846" s="30"/>
      <c r="W1846" s="30"/>
      <c r="X1846" s="1"/>
      <c r="Y1846" s="95"/>
      <c r="Z1846" s="1"/>
      <c r="AA1846" s="94"/>
      <c r="AB1846" s="1"/>
      <c r="AC1846" s="1"/>
      <c r="AD1846" s="1"/>
      <c r="AE1846" s="30"/>
      <c r="AF1846" s="633"/>
      <c r="AG1846" s="94"/>
      <c r="AH1846" s="94"/>
      <c r="AI1846" s="94"/>
      <c r="AJ1846" s="94"/>
      <c r="AK1846" s="94"/>
      <c r="AL1846" s="94"/>
    </row>
    <row r="1847" spans="3:38">
      <c r="C1847" s="30"/>
      <c r="F1847" s="95"/>
      <c r="G1847" s="1"/>
      <c r="H1847" s="94"/>
      <c r="I1847" s="90"/>
      <c r="J1847" s="90"/>
      <c r="K1847" s="1"/>
      <c r="L1847" s="74"/>
      <c r="M1847" s="633"/>
      <c r="N1847" s="274"/>
      <c r="O1847" s="94"/>
      <c r="P1847" s="94"/>
      <c r="Q1847" s="94"/>
      <c r="R1847" s="94"/>
      <c r="S1847" s="94"/>
      <c r="V1847" s="30"/>
      <c r="W1847" s="30"/>
      <c r="X1847" s="1"/>
      <c r="Y1847" s="95"/>
      <c r="Z1847" s="1"/>
      <c r="AA1847" s="94"/>
      <c r="AB1847" s="1"/>
      <c r="AC1847" s="1"/>
      <c r="AD1847" s="1"/>
      <c r="AE1847" s="30"/>
      <c r="AF1847" s="633"/>
      <c r="AG1847" s="94"/>
      <c r="AH1847" s="94"/>
      <c r="AI1847" s="94"/>
      <c r="AJ1847" s="94"/>
      <c r="AK1847" s="94"/>
      <c r="AL1847" s="94"/>
    </row>
    <row r="1848" spans="3:38">
      <c r="C1848" s="30"/>
      <c r="F1848" s="95"/>
      <c r="G1848" s="1"/>
      <c r="H1848" s="94"/>
      <c r="I1848" s="90"/>
      <c r="J1848" s="90"/>
      <c r="K1848" s="1"/>
      <c r="L1848" s="74"/>
      <c r="M1848" s="633"/>
      <c r="N1848" s="274"/>
      <c r="O1848" s="94"/>
      <c r="P1848" s="94"/>
      <c r="Q1848" s="94"/>
      <c r="R1848" s="94"/>
      <c r="S1848" s="94"/>
      <c r="V1848" s="30"/>
      <c r="W1848" s="30"/>
      <c r="X1848" s="1"/>
      <c r="Y1848" s="95"/>
      <c r="Z1848" s="1"/>
      <c r="AA1848" s="94"/>
      <c r="AB1848" s="1"/>
      <c r="AC1848" s="1"/>
      <c r="AD1848" s="1"/>
      <c r="AE1848" s="30"/>
      <c r="AF1848" s="633"/>
      <c r="AG1848" s="94"/>
      <c r="AH1848" s="94"/>
      <c r="AI1848" s="94"/>
      <c r="AJ1848" s="94"/>
      <c r="AK1848" s="94"/>
      <c r="AL1848" s="94"/>
    </row>
    <row r="1849" spans="3:38">
      <c r="C1849" s="30"/>
      <c r="F1849" s="95"/>
      <c r="G1849" s="1"/>
      <c r="H1849" s="94"/>
      <c r="I1849" s="90"/>
      <c r="J1849" s="90"/>
      <c r="K1849" s="1"/>
      <c r="L1849" s="74"/>
      <c r="M1849" s="633"/>
      <c r="N1849" s="274"/>
      <c r="O1849" s="94"/>
      <c r="P1849" s="94"/>
      <c r="Q1849" s="94"/>
      <c r="R1849" s="94"/>
      <c r="S1849" s="94"/>
      <c r="V1849" s="30"/>
      <c r="W1849" s="30"/>
      <c r="X1849" s="1"/>
      <c r="Y1849" s="95"/>
      <c r="Z1849" s="1"/>
      <c r="AA1849" s="94"/>
      <c r="AB1849" s="1"/>
      <c r="AC1849" s="1"/>
      <c r="AD1849" s="1"/>
      <c r="AE1849" s="30"/>
      <c r="AF1849" s="633"/>
      <c r="AG1849" s="94"/>
      <c r="AH1849" s="94"/>
      <c r="AI1849" s="94"/>
      <c r="AJ1849" s="94"/>
      <c r="AK1849" s="94"/>
      <c r="AL1849" s="94"/>
    </row>
    <row r="1850" spans="3:38">
      <c r="C1850" s="30"/>
      <c r="F1850" s="95"/>
      <c r="G1850" s="1"/>
      <c r="H1850" s="94"/>
      <c r="I1850" s="90"/>
      <c r="J1850" s="90"/>
      <c r="K1850" s="1"/>
      <c r="L1850" s="74"/>
      <c r="M1850" s="633"/>
      <c r="N1850" s="274"/>
      <c r="O1850" s="94"/>
      <c r="P1850" s="94"/>
      <c r="Q1850" s="94"/>
      <c r="R1850" s="94"/>
      <c r="S1850" s="94"/>
      <c r="V1850" s="30"/>
      <c r="W1850" s="30"/>
      <c r="X1850" s="1"/>
      <c r="Y1850" s="95"/>
      <c r="Z1850" s="1"/>
      <c r="AA1850" s="94"/>
      <c r="AB1850" s="1"/>
      <c r="AC1850" s="1"/>
      <c r="AD1850" s="1"/>
      <c r="AE1850" s="30"/>
      <c r="AF1850" s="633"/>
      <c r="AG1850" s="94"/>
      <c r="AH1850" s="94"/>
      <c r="AI1850" s="94"/>
      <c r="AJ1850" s="94"/>
      <c r="AK1850" s="94"/>
      <c r="AL1850" s="94"/>
    </row>
    <row r="1851" spans="3:38">
      <c r="C1851" s="30"/>
      <c r="F1851" s="95"/>
      <c r="G1851" s="1"/>
      <c r="H1851" s="94"/>
      <c r="I1851" s="90"/>
      <c r="J1851" s="90"/>
      <c r="K1851" s="1"/>
      <c r="L1851" s="74"/>
      <c r="M1851" s="633"/>
      <c r="N1851" s="274"/>
      <c r="O1851" s="94"/>
      <c r="P1851" s="94"/>
      <c r="Q1851" s="94"/>
      <c r="R1851" s="94"/>
      <c r="S1851" s="94"/>
      <c r="V1851" s="30"/>
      <c r="W1851" s="30"/>
      <c r="X1851" s="1"/>
      <c r="Y1851" s="95"/>
      <c r="Z1851" s="1"/>
      <c r="AA1851" s="94"/>
      <c r="AB1851" s="1"/>
      <c r="AC1851" s="1"/>
      <c r="AD1851" s="1"/>
      <c r="AE1851" s="30"/>
      <c r="AF1851" s="633"/>
      <c r="AG1851" s="94"/>
      <c r="AH1851" s="94"/>
      <c r="AI1851" s="94"/>
      <c r="AJ1851" s="94"/>
      <c r="AK1851" s="94"/>
      <c r="AL1851" s="94"/>
    </row>
    <row r="1852" spans="3:38">
      <c r="C1852" s="30"/>
      <c r="F1852" s="95"/>
      <c r="G1852" s="1"/>
      <c r="H1852" s="94"/>
      <c r="I1852" s="90"/>
      <c r="J1852" s="90"/>
      <c r="K1852" s="1"/>
      <c r="L1852" s="74"/>
      <c r="M1852" s="633"/>
      <c r="N1852" s="274"/>
      <c r="O1852" s="94"/>
      <c r="P1852" s="94"/>
      <c r="Q1852" s="94"/>
      <c r="R1852" s="94"/>
      <c r="S1852" s="94"/>
      <c r="V1852" s="30"/>
      <c r="W1852" s="30"/>
      <c r="X1852" s="1"/>
      <c r="Y1852" s="95"/>
      <c r="Z1852" s="1"/>
      <c r="AA1852" s="94"/>
      <c r="AB1852" s="1"/>
      <c r="AC1852" s="1"/>
      <c r="AD1852" s="1"/>
      <c r="AE1852" s="30"/>
      <c r="AF1852" s="633"/>
      <c r="AG1852" s="94"/>
      <c r="AH1852" s="94"/>
      <c r="AI1852" s="94"/>
      <c r="AJ1852" s="94"/>
      <c r="AK1852" s="94"/>
      <c r="AL1852" s="94"/>
    </row>
    <row r="1853" spans="3:38">
      <c r="C1853" s="30"/>
      <c r="F1853" s="95"/>
      <c r="G1853" s="1"/>
      <c r="H1853" s="94"/>
      <c r="I1853" s="90"/>
      <c r="J1853" s="90"/>
      <c r="K1853" s="1"/>
      <c r="L1853" s="74"/>
      <c r="M1853" s="633"/>
      <c r="N1853" s="274"/>
      <c r="O1853" s="94"/>
      <c r="P1853" s="94"/>
      <c r="Q1853" s="94"/>
      <c r="R1853" s="94"/>
      <c r="S1853" s="94"/>
      <c r="V1853" s="30"/>
      <c r="W1853" s="30"/>
      <c r="X1853" s="1"/>
      <c r="Y1853" s="95"/>
      <c r="Z1853" s="1"/>
      <c r="AA1853" s="94"/>
      <c r="AB1853" s="1"/>
      <c r="AC1853" s="1"/>
      <c r="AD1853" s="1"/>
      <c r="AE1853" s="30"/>
      <c r="AF1853" s="633"/>
      <c r="AG1853" s="94"/>
      <c r="AH1853" s="94"/>
      <c r="AI1853" s="94"/>
      <c r="AJ1853" s="94"/>
      <c r="AK1853" s="94"/>
      <c r="AL1853" s="94"/>
    </row>
    <row r="1854" spans="3:38">
      <c r="C1854" s="30"/>
      <c r="F1854" s="95"/>
      <c r="G1854" s="1"/>
      <c r="H1854" s="94"/>
      <c r="I1854" s="90"/>
      <c r="J1854" s="90"/>
      <c r="K1854" s="1"/>
      <c r="L1854" s="74"/>
      <c r="M1854" s="633"/>
      <c r="N1854" s="274"/>
      <c r="O1854" s="94"/>
      <c r="P1854" s="94"/>
      <c r="Q1854" s="94"/>
      <c r="R1854" s="94"/>
      <c r="S1854" s="94"/>
      <c r="V1854" s="30"/>
      <c r="W1854" s="30"/>
      <c r="X1854" s="1"/>
      <c r="Y1854" s="95"/>
      <c r="Z1854" s="1"/>
      <c r="AA1854" s="94"/>
      <c r="AB1854" s="1"/>
      <c r="AC1854" s="1"/>
      <c r="AD1854" s="1"/>
      <c r="AE1854" s="30"/>
      <c r="AF1854" s="633"/>
      <c r="AG1854" s="94"/>
      <c r="AH1854" s="94"/>
      <c r="AI1854" s="94"/>
      <c r="AJ1854" s="94"/>
      <c r="AK1854" s="94"/>
      <c r="AL1854" s="94"/>
    </row>
    <row r="1855" spans="3:38">
      <c r="C1855" s="30"/>
      <c r="F1855" s="95"/>
      <c r="G1855" s="1"/>
      <c r="H1855" s="94"/>
      <c r="I1855" s="90"/>
      <c r="J1855" s="90"/>
      <c r="K1855" s="1"/>
      <c r="L1855" s="74"/>
      <c r="M1855" s="633"/>
      <c r="N1855" s="274"/>
      <c r="O1855" s="94"/>
      <c r="P1855" s="94"/>
      <c r="Q1855" s="94"/>
      <c r="R1855" s="94"/>
      <c r="S1855" s="94"/>
      <c r="V1855" s="30"/>
      <c r="W1855" s="30"/>
      <c r="X1855" s="1"/>
      <c r="Y1855" s="95"/>
      <c r="Z1855" s="1"/>
      <c r="AA1855" s="94"/>
      <c r="AB1855" s="1"/>
      <c r="AC1855" s="1"/>
      <c r="AD1855" s="1"/>
      <c r="AE1855" s="30"/>
      <c r="AF1855" s="633"/>
      <c r="AG1855" s="94"/>
      <c r="AH1855" s="94"/>
      <c r="AI1855" s="94"/>
      <c r="AJ1855" s="94"/>
      <c r="AK1855" s="94"/>
      <c r="AL1855" s="94"/>
    </row>
    <row r="1856" spans="3:38">
      <c r="C1856" s="30"/>
      <c r="F1856" s="95"/>
      <c r="G1856" s="1"/>
      <c r="H1856" s="94"/>
      <c r="I1856" s="90"/>
      <c r="J1856" s="90"/>
      <c r="K1856" s="1"/>
      <c r="L1856" s="74"/>
      <c r="M1856" s="633"/>
      <c r="N1856" s="274"/>
      <c r="O1856" s="94"/>
      <c r="P1856" s="94"/>
      <c r="Q1856" s="94"/>
      <c r="R1856" s="94"/>
      <c r="S1856" s="94"/>
      <c r="V1856" s="30"/>
      <c r="W1856" s="30"/>
      <c r="X1856" s="1"/>
      <c r="Y1856" s="95"/>
      <c r="Z1856" s="1"/>
      <c r="AA1856" s="94"/>
      <c r="AB1856" s="1"/>
      <c r="AC1856" s="1"/>
      <c r="AD1856" s="1"/>
      <c r="AE1856" s="30"/>
      <c r="AF1856" s="633"/>
      <c r="AG1856" s="94"/>
      <c r="AH1856" s="94"/>
      <c r="AI1856" s="94"/>
      <c r="AJ1856" s="94"/>
      <c r="AK1856" s="94"/>
      <c r="AL1856" s="94"/>
    </row>
    <row r="1857" spans="3:38">
      <c r="C1857" s="30"/>
      <c r="F1857" s="95"/>
      <c r="G1857" s="1"/>
      <c r="H1857" s="94"/>
      <c r="I1857" s="90"/>
      <c r="J1857" s="90"/>
      <c r="K1857" s="1"/>
      <c r="L1857" s="74"/>
      <c r="M1857" s="633"/>
      <c r="N1857" s="274"/>
      <c r="O1857" s="94"/>
      <c r="P1857" s="94"/>
      <c r="Q1857" s="94"/>
      <c r="R1857" s="94"/>
      <c r="S1857" s="94"/>
      <c r="V1857" s="30"/>
      <c r="W1857" s="30"/>
      <c r="X1857" s="1"/>
      <c r="Y1857" s="95"/>
      <c r="Z1857" s="1"/>
      <c r="AA1857" s="94"/>
      <c r="AB1857" s="1"/>
      <c r="AC1857" s="1"/>
      <c r="AD1857" s="1"/>
      <c r="AE1857" s="30"/>
      <c r="AF1857" s="633"/>
      <c r="AG1857" s="94"/>
      <c r="AH1857" s="94"/>
      <c r="AI1857" s="94"/>
      <c r="AJ1857" s="94"/>
      <c r="AK1857" s="94"/>
      <c r="AL1857" s="94"/>
    </row>
    <row r="1858" spans="3:38">
      <c r="C1858" s="30"/>
      <c r="F1858" s="95"/>
      <c r="G1858" s="1"/>
      <c r="H1858" s="94"/>
      <c r="I1858" s="90"/>
      <c r="J1858" s="90"/>
      <c r="K1858" s="1"/>
      <c r="L1858" s="74"/>
      <c r="M1858" s="633"/>
      <c r="N1858" s="274"/>
      <c r="O1858" s="94"/>
      <c r="P1858" s="94"/>
      <c r="Q1858" s="94"/>
      <c r="R1858" s="94"/>
      <c r="S1858" s="94"/>
      <c r="V1858" s="30"/>
      <c r="W1858" s="30"/>
      <c r="X1858" s="1"/>
      <c r="Y1858" s="95"/>
      <c r="Z1858" s="1"/>
      <c r="AA1858" s="94"/>
      <c r="AB1858" s="1"/>
      <c r="AC1858" s="1"/>
      <c r="AD1858" s="1"/>
      <c r="AE1858" s="30"/>
      <c r="AF1858" s="633"/>
      <c r="AG1858" s="94"/>
      <c r="AH1858" s="94"/>
      <c r="AI1858" s="94"/>
      <c r="AJ1858" s="94"/>
      <c r="AK1858" s="94"/>
      <c r="AL1858" s="94"/>
    </row>
    <row r="1859" spans="3:38">
      <c r="C1859" s="30"/>
      <c r="F1859" s="95"/>
      <c r="G1859" s="1"/>
      <c r="H1859" s="94"/>
      <c r="I1859" s="90"/>
      <c r="J1859" s="90"/>
      <c r="K1859" s="1"/>
      <c r="L1859" s="74"/>
      <c r="M1859" s="633"/>
      <c r="N1859" s="274"/>
      <c r="O1859" s="94"/>
      <c r="P1859" s="94"/>
      <c r="Q1859" s="94"/>
      <c r="R1859" s="94"/>
      <c r="S1859" s="94"/>
      <c r="V1859" s="30"/>
      <c r="W1859" s="30"/>
      <c r="X1859" s="1"/>
      <c r="Y1859" s="95"/>
      <c r="Z1859" s="1"/>
      <c r="AA1859" s="94"/>
      <c r="AB1859" s="1"/>
      <c r="AC1859" s="1"/>
      <c r="AD1859" s="1"/>
      <c r="AE1859" s="30"/>
      <c r="AF1859" s="633"/>
      <c r="AG1859" s="94"/>
      <c r="AH1859" s="94"/>
      <c r="AI1859" s="94"/>
      <c r="AJ1859" s="94"/>
      <c r="AK1859" s="94"/>
      <c r="AL1859" s="94"/>
    </row>
    <row r="1860" spans="3:38">
      <c r="C1860" s="30"/>
      <c r="F1860" s="95"/>
      <c r="G1860" s="1"/>
      <c r="H1860" s="94"/>
      <c r="I1860" s="90"/>
      <c r="J1860" s="90"/>
      <c r="K1860" s="1"/>
      <c r="L1860" s="74"/>
      <c r="M1860" s="633"/>
      <c r="N1860" s="274"/>
      <c r="O1860" s="94"/>
      <c r="P1860" s="94"/>
      <c r="Q1860" s="94"/>
      <c r="R1860" s="94"/>
      <c r="S1860" s="94"/>
      <c r="V1860" s="30"/>
      <c r="W1860" s="30"/>
      <c r="X1860" s="1"/>
      <c r="Y1860" s="95"/>
      <c r="Z1860" s="1"/>
      <c r="AA1860" s="94"/>
      <c r="AB1860" s="1"/>
      <c r="AC1860" s="1"/>
      <c r="AD1860" s="1"/>
      <c r="AE1860" s="30"/>
      <c r="AF1860" s="633"/>
      <c r="AG1860" s="94"/>
      <c r="AH1860" s="94"/>
      <c r="AI1860" s="94"/>
      <c r="AJ1860" s="94"/>
      <c r="AK1860" s="94"/>
      <c r="AL1860" s="94"/>
    </row>
    <row r="1861" spans="3:38">
      <c r="C1861" s="30"/>
      <c r="F1861" s="95"/>
      <c r="G1861" s="1"/>
      <c r="H1861" s="94"/>
      <c r="I1861" s="90"/>
      <c r="J1861" s="90"/>
      <c r="K1861" s="1"/>
      <c r="L1861" s="74"/>
      <c r="M1861" s="633"/>
      <c r="N1861" s="274"/>
      <c r="O1861" s="94"/>
      <c r="P1861" s="94"/>
      <c r="Q1861" s="94"/>
      <c r="R1861" s="94"/>
      <c r="S1861" s="94"/>
      <c r="V1861" s="30"/>
      <c r="W1861" s="30"/>
      <c r="X1861" s="1"/>
      <c r="Y1861" s="95"/>
      <c r="Z1861" s="1"/>
      <c r="AA1861" s="94"/>
      <c r="AB1861" s="1"/>
      <c r="AC1861" s="1"/>
      <c r="AD1861" s="1"/>
      <c r="AE1861" s="30"/>
      <c r="AF1861" s="633"/>
      <c r="AG1861" s="94"/>
      <c r="AH1861" s="94"/>
      <c r="AI1861" s="94"/>
      <c r="AJ1861" s="94"/>
      <c r="AK1861" s="94"/>
      <c r="AL1861" s="94"/>
    </row>
    <row r="1862" spans="3:38">
      <c r="C1862" s="30"/>
      <c r="F1862" s="95"/>
      <c r="G1862" s="1"/>
      <c r="H1862" s="94"/>
      <c r="I1862" s="90"/>
      <c r="J1862" s="90"/>
      <c r="K1862" s="1"/>
      <c r="L1862" s="74"/>
      <c r="M1862" s="633"/>
      <c r="N1862" s="274"/>
      <c r="O1862" s="94"/>
      <c r="P1862" s="94"/>
      <c r="Q1862" s="94"/>
      <c r="R1862" s="94"/>
      <c r="S1862" s="94"/>
      <c r="V1862" s="30"/>
      <c r="W1862" s="30"/>
      <c r="X1862" s="1"/>
      <c r="Y1862" s="95"/>
      <c r="Z1862" s="1"/>
      <c r="AA1862" s="94"/>
      <c r="AB1862" s="1"/>
      <c r="AC1862" s="1"/>
      <c r="AD1862" s="1"/>
      <c r="AE1862" s="30"/>
      <c r="AF1862" s="633"/>
      <c r="AG1862" s="94"/>
      <c r="AH1862" s="94"/>
      <c r="AI1862" s="94"/>
      <c r="AJ1862" s="94"/>
      <c r="AK1862" s="94"/>
      <c r="AL1862" s="94"/>
    </row>
    <row r="1863" spans="3:38">
      <c r="C1863" s="30"/>
      <c r="F1863" s="95"/>
      <c r="G1863" s="1"/>
      <c r="H1863" s="94"/>
      <c r="I1863" s="90"/>
      <c r="J1863" s="90"/>
      <c r="K1863" s="1"/>
      <c r="L1863" s="74"/>
      <c r="M1863" s="633"/>
      <c r="N1863" s="274"/>
      <c r="O1863" s="94"/>
      <c r="P1863" s="94"/>
      <c r="Q1863" s="94"/>
      <c r="R1863" s="94"/>
      <c r="S1863" s="94"/>
      <c r="V1863" s="30"/>
      <c r="W1863" s="30"/>
      <c r="X1863" s="1"/>
      <c r="Y1863" s="95"/>
      <c r="Z1863" s="1"/>
      <c r="AA1863" s="94"/>
      <c r="AB1863" s="1"/>
      <c r="AC1863" s="1"/>
      <c r="AD1863" s="1"/>
      <c r="AE1863" s="30"/>
      <c r="AF1863" s="633"/>
      <c r="AG1863" s="94"/>
      <c r="AH1863" s="94"/>
      <c r="AI1863" s="94"/>
      <c r="AJ1863" s="94"/>
      <c r="AK1863" s="94"/>
      <c r="AL1863" s="94"/>
    </row>
    <row r="1864" spans="3:38">
      <c r="C1864" s="30"/>
      <c r="F1864" s="95"/>
      <c r="G1864" s="1"/>
      <c r="H1864" s="94"/>
      <c r="I1864" s="90"/>
      <c r="J1864" s="90"/>
      <c r="K1864" s="1"/>
      <c r="L1864" s="74"/>
      <c r="M1864" s="633"/>
      <c r="N1864" s="274"/>
      <c r="O1864" s="94"/>
      <c r="P1864" s="94"/>
      <c r="Q1864" s="94"/>
      <c r="R1864" s="94"/>
      <c r="S1864" s="94"/>
      <c r="V1864" s="30"/>
      <c r="W1864" s="30"/>
      <c r="X1864" s="1"/>
      <c r="Y1864" s="95"/>
      <c r="Z1864" s="1"/>
      <c r="AA1864" s="94"/>
      <c r="AB1864" s="1"/>
      <c r="AC1864" s="1"/>
      <c r="AD1864" s="1"/>
      <c r="AE1864" s="30"/>
      <c r="AF1864" s="633"/>
      <c r="AG1864" s="94"/>
      <c r="AH1864" s="94"/>
      <c r="AI1864" s="94"/>
      <c r="AJ1864" s="94"/>
      <c r="AK1864" s="94"/>
      <c r="AL1864" s="94"/>
    </row>
    <row r="1865" spans="3:38">
      <c r="C1865" s="30"/>
      <c r="F1865" s="95"/>
      <c r="G1865" s="1"/>
      <c r="H1865" s="94"/>
      <c r="I1865" s="90"/>
      <c r="J1865" s="90"/>
      <c r="K1865" s="1"/>
      <c r="L1865" s="74"/>
      <c r="M1865" s="633"/>
      <c r="N1865" s="274"/>
      <c r="O1865" s="94"/>
      <c r="P1865" s="94"/>
      <c r="Q1865" s="94"/>
      <c r="R1865" s="94"/>
      <c r="S1865" s="94"/>
      <c r="V1865" s="30"/>
      <c r="W1865" s="30"/>
      <c r="X1865" s="1"/>
      <c r="Y1865" s="95"/>
      <c r="Z1865" s="1"/>
      <c r="AA1865" s="94"/>
      <c r="AB1865" s="1"/>
      <c r="AC1865" s="1"/>
      <c r="AD1865" s="1"/>
      <c r="AE1865" s="30"/>
      <c r="AF1865" s="633"/>
      <c r="AG1865" s="94"/>
      <c r="AH1865" s="94"/>
      <c r="AI1865" s="94"/>
      <c r="AJ1865" s="94"/>
      <c r="AK1865" s="94"/>
      <c r="AL1865" s="94"/>
    </row>
    <row r="1866" spans="3:38">
      <c r="C1866" s="30"/>
      <c r="F1866" s="95"/>
      <c r="G1866" s="1"/>
      <c r="H1866" s="94"/>
      <c r="I1866" s="90"/>
      <c r="J1866" s="90"/>
      <c r="K1866" s="1"/>
      <c r="L1866" s="74"/>
      <c r="M1866" s="633"/>
      <c r="N1866" s="274"/>
      <c r="O1866" s="94"/>
      <c r="P1866" s="94"/>
      <c r="Q1866" s="94"/>
      <c r="R1866" s="94"/>
      <c r="S1866" s="94"/>
      <c r="V1866" s="30"/>
      <c r="W1866" s="30"/>
      <c r="X1866" s="1"/>
      <c r="Y1866" s="95"/>
      <c r="Z1866" s="1"/>
      <c r="AA1866" s="94"/>
      <c r="AB1866" s="1"/>
      <c r="AC1866" s="1"/>
      <c r="AD1866" s="1"/>
      <c r="AE1866" s="30"/>
      <c r="AF1866" s="633"/>
      <c r="AG1866" s="94"/>
      <c r="AH1866" s="94"/>
      <c r="AI1866" s="94"/>
      <c r="AJ1866" s="94"/>
      <c r="AK1866" s="94"/>
      <c r="AL1866" s="94"/>
    </row>
    <row r="1867" spans="3:38">
      <c r="C1867" s="30"/>
      <c r="F1867" s="95"/>
      <c r="G1867" s="1"/>
      <c r="H1867" s="94"/>
      <c r="I1867" s="90"/>
      <c r="J1867" s="90"/>
      <c r="K1867" s="1"/>
      <c r="L1867" s="74"/>
      <c r="M1867" s="633"/>
      <c r="N1867" s="274"/>
      <c r="O1867" s="94"/>
      <c r="P1867" s="94"/>
      <c r="Q1867" s="94"/>
      <c r="R1867" s="94"/>
      <c r="S1867" s="94"/>
      <c r="V1867" s="30"/>
      <c r="W1867" s="30"/>
      <c r="X1867" s="1"/>
      <c r="Y1867" s="95"/>
      <c r="Z1867" s="1"/>
      <c r="AA1867" s="94"/>
      <c r="AB1867" s="1"/>
      <c r="AC1867" s="1"/>
      <c r="AD1867" s="1"/>
      <c r="AE1867" s="30"/>
      <c r="AF1867" s="633"/>
      <c r="AG1867" s="94"/>
      <c r="AH1867" s="94"/>
      <c r="AI1867" s="94"/>
      <c r="AJ1867" s="94"/>
      <c r="AK1867" s="94"/>
      <c r="AL1867" s="94"/>
    </row>
    <row r="1868" spans="3:38">
      <c r="C1868" s="30"/>
      <c r="F1868" s="95"/>
      <c r="G1868" s="1"/>
      <c r="H1868" s="94"/>
      <c r="I1868" s="90"/>
      <c r="J1868" s="90"/>
      <c r="K1868" s="1"/>
      <c r="L1868" s="74"/>
      <c r="M1868" s="633"/>
      <c r="N1868" s="274"/>
      <c r="O1868" s="94"/>
      <c r="P1868" s="94"/>
      <c r="Q1868" s="94"/>
      <c r="R1868" s="94"/>
      <c r="S1868" s="94"/>
      <c r="V1868" s="30"/>
      <c r="W1868" s="30"/>
      <c r="X1868" s="1"/>
      <c r="Y1868" s="95"/>
      <c r="Z1868" s="1"/>
      <c r="AA1868" s="94"/>
      <c r="AB1868" s="1"/>
      <c r="AC1868" s="1"/>
      <c r="AD1868" s="1"/>
      <c r="AE1868" s="30"/>
      <c r="AF1868" s="633"/>
      <c r="AG1868" s="94"/>
      <c r="AH1868" s="94"/>
      <c r="AI1868" s="94"/>
      <c r="AJ1868" s="94"/>
      <c r="AK1868" s="94"/>
      <c r="AL1868" s="94"/>
    </row>
    <row r="1869" spans="3:38">
      <c r="C1869" s="30"/>
      <c r="F1869" s="95"/>
      <c r="G1869" s="1"/>
      <c r="H1869" s="94"/>
      <c r="I1869" s="90"/>
      <c r="J1869" s="90"/>
      <c r="K1869" s="1"/>
      <c r="L1869" s="74"/>
      <c r="M1869" s="633"/>
      <c r="N1869" s="274"/>
      <c r="O1869" s="94"/>
      <c r="P1869" s="94"/>
      <c r="Q1869" s="94"/>
      <c r="R1869" s="94"/>
      <c r="S1869" s="94"/>
      <c r="V1869" s="30"/>
      <c r="W1869" s="30"/>
      <c r="X1869" s="1"/>
      <c r="Y1869" s="95"/>
      <c r="Z1869" s="1"/>
      <c r="AA1869" s="94"/>
      <c r="AB1869" s="1"/>
      <c r="AC1869" s="1"/>
      <c r="AD1869" s="1"/>
      <c r="AE1869" s="30"/>
      <c r="AF1869" s="633"/>
      <c r="AG1869" s="94"/>
      <c r="AH1869" s="94"/>
      <c r="AI1869" s="94"/>
      <c r="AJ1869" s="94"/>
      <c r="AK1869" s="94"/>
      <c r="AL1869" s="94"/>
    </row>
    <row r="1870" spans="3:38">
      <c r="C1870" s="30"/>
      <c r="F1870" s="95"/>
      <c r="G1870" s="1"/>
      <c r="H1870" s="94"/>
      <c r="I1870" s="90"/>
      <c r="J1870" s="90"/>
      <c r="K1870" s="1"/>
      <c r="L1870" s="74"/>
      <c r="M1870" s="633"/>
      <c r="N1870" s="274"/>
      <c r="O1870" s="94"/>
      <c r="P1870" s="94"/>
      <c r="Q1870" s="94"/>
      <c r="R1870" s="94"/>
      <c r="S1870" s="94"/>
      <c r="V1870" s="30"/>
      <c r="W1870" s="30"/>
      <c r="X1870" s="1"/>
      <c r="Y1870" s="95"/>
      <c r="Z1870" s="1"/>
      <c r="AA1870" s="94"/>
      <c r="AB1870" s="1"/>
      <c r="AC1870" s="1"/>
      <c r="AD1870" s="1"/>
      <c r="AE1870" s="30"/>
      <c r="AF1870" s="633"/>
      <c r="AG1870" s="94"/>
      <c r="AH1870" s="94"/>
      <c r="AI1870" s="94"/>
      <c r="AJ1870" s="94"/>
      <c r="AK1870" s="94"/>
      <c r="AL1870" s="94"/>
    </row>
    <row r="1871" spans="3:38">
      <c r="C1871" s="30"/>
      <c r="F1871" s="95"/>
      <c r="G1871" s="1"/>
      <c r="H1871" s="94"/>
      <c r="I1871" s="90"/>
      <c r="J1871" s="90"/>
      <c r="K1871" s="1"/>
      <c r="L1871" s="74"/>
      <c r="M1871" s="633"/>
      <c r="N1871" s="274"/>
      <c r="O1871" s="94"/>
      <c r="P1871" s="94"/>
      <c r="Q1871" s="94"/>
      <c r="R1871" s="94"/>
      <c r="S1871" s="94"/>
      <c r="V1871" s="30"/>
      <c r="W1871" s="30"/>
      <c r="X1871" s="1"/>
      <c r="Y1871" s="95"/>
      <c r="Z1871" s="1"/>
      <c r="AA1871" s="94"/>
      <c r="AB1871" s="1"/>
      <c r="AC1871" s="1"/>
      <c r="AD1871" s="1"/>
      <c r="AE1871" s="30"/>
      <c r="AF1871" s="633"/>
      <c r="AG1871" s="94"/>
      <c r="AH1871" s="94"/>
      <c r="AI1871" s="94"/>
      <c r="AJ1871" s="94"/>
      <c r="AK1871" s="94"/>
      <c r="AL1871" s="94"/>
    </row>
    <row r="1872" spans="3:38">
      <c r="C1872" s="30"/>
      <c r="F1872" s="95"/>
      <c r="G1872" s="1"/>
      <c r="H1872" s="94"/>
      <c r="I1872" s="90"/>
      <c r="J1872" s="90"/>
      <c r="K1872" s="1"/>
      <c r="L1872" s="74"/>
      <c r="M1872" s="633"/>
      <c r="N1872" s="274"/>
      <c r="O1872" s="94"/>
      <c r="P1872" s="94"/>
      <c r="Q1872" s="94"/>
      <c r="R1872" s="94"/>
      <c r="S1872" s="94"/>
      <c r="V1872" s="30"/>
      <c r="W1872" s="30"/>
      <c r="X1872" s="1"/>
      <c r="Y1872" s="95"/>
      <c r="Z1872" s="1"/>
      <c r="AA1872" s="94"/>
      <c r="AB1872" s="1"/>
      <c r="AC1872" s="1"/>
      <c r="AD1872" s="1"/>
      <c r="AE1872" s="30"/>
      <c r="AF1872" s="633"/>
      <c r="AG1872" s="94"/>
      <c r="AH1872" s="94"/>
      <c r="AI1872" s="94"/>
      <c r="AJ1872" s="94"/>
      <c r="AK1872" s="94"/>
      <c r="AL1872" s="94"/>
    </row>
    <row r="1873" spans="3:38">
      <c r="C1873" s="30"/>
      <c r="F1873" s="95"/>
      <c r="G1873" s="1"/>
      <c r="H1873" s="94"/>
      <c r="I1873" s="90"/>
      <c r="J1873" s="90"/>
      <c r="K1873" s="1"/>
      <c r="L1873" s="74"/>
      <c r="M1873" s="633"/>
      <c r="N1873" s="274"/>
      <c r="O1873" s="94"/>
      <c r="P1873" s="94"/>
      <c r="Q1873" s="94"/>
      <c r="R1873" s="94"/>
      <c r="S1873" s="94"/>
      <c r="V1873" s="30"/>
      <c r="W1873" s="30"/>
      <c r="X1873" s="1"/>
      <c r="Y1873" s="95"/>
      <c r="Z1873" s="1"/>
      <c r="AA1873" s="94"/>
      <c r="AB1873" s="1"/>
      <c r="AC1873" s="1"/>
      <c r="AD1873" s="1"/>
      <c r="AE1873" s="30"/>
      <c r="AF1873" s="633"/>
      <c r="AG1873" s="94"/>
      <c r="AH1873" s="94"/>
      <c r="AI1873" s="94"/>
      <c r="AJ1873" s="94"/>
      <c r="AK1873" s="94"/>
      <c r="AL1873" s="94"/>
    </row>
    <row r="1874" spans="3:38">
      <c r="C1874" s="30"/>
      <c r="F1874" s="95"/>
      <c r="G1874" s="1"/>
      <c r="H1874" s="94"/>
      <c r="I1874" s="90"/>
      <c r="J1874" s="90"/>
      <c r="K1874" s="1"/>
      <c r="L1874" s="74"/>
      <c r="M1874" s="633"/>
      <c r="N1874" s="274"/>
      <c r="O1874" s="94"/>
      <c r="P1874" s="94"/>
      <c r="Q1874" s="94"/>
      <c r="R1874" s="94"/>
      <c r="S1874" s="94"/>
      <c r="V1874" s="30"/>
      <c r="W1874" s="30"/>
      <c r="X1874" s="1"/>
      <c r="Y1874" s="95"/>
      <c r="Z1874" s="1"/>
      <c r="AA1874" s="94"/>
      <c r="AB1874" s="1"/>
      <c r="AC1874" s="1"/>
      <c r="AD1874" s="1"/>
      <c r="AE1874" s="30"/>
      <c r="AF1874" s="633"/>
      <c r="AG1874" s="94"/>
      <c r="AH1874" s="94"/>
      <c r="AI1874" s="94"/>
      <c r="AJ1874" s="94"/>
      <c r="AK1874" s="94"/>
      <c r="AL1874" s="94"/>
    </row>
    <row r="1875" spans="3:38">
      <c r="C1875" s="30"/>
      <c r="F1875" s="95"/>
      <c r="G1875" s="1"/>
      <c r="H1875" s="94"/>
      <c r="I1875" s="90"/>
      <c r="J1875" s="90"/>
      <c r="K1875" s="1"/>
      <c r="L1875" s="74"/>
      <c r="M1875" s="633"/>
      <c r="N1875" s="274"/>
      <c r="O1875" s="94"/>
      <c r="P1875" s="94"/>
      <c r="Q1875" s="94"/>
      <c r="R1875" s="94"/>
      <c r="S1875" s="94"/>
      <c r="V1875" s="30"/>
      <c r="W1875" s="30"/>
      <c r="X1875" s="1"/>
      <c r="Y1875" s="95"/>
      <c r="Z1875" s="1"/>
      <c r="AA1875" s="94"/>
      <c r="AB1875" s="1"/>
      <c r="AC1875" s="1"/>
      <c r="AD1875" s="1"/>
      <c r="AE1875" s="30"/>
      <c r="AF1875" s="633"/>
      <c r="AG1875" s="94"/>
      <c r="AH1875" s="94"/>
      <c r="AI1875" s="94"/>
      <c r="AJ1875" s="94"/>
      <c r="AK1875" s="94"/>
      <c r="AL1875" s="94"/>
    </row>
    <row r="1876" spans="3:38">
      <c r="C1876" s="30"/>
      <c r="F1876" s="95"/>
      <c r="G1876" s="1"/>
      <c r="H1876" s="94"/>
      <c r="I1876" s="90"/>
      <c r="J1876" s="90"/>
      <c r="K1876" s="1"/>
      <c r="L1876" s="74"/>
      <c r="M1876" s="633"/>
      <c r="N1876" s="274"/>
      <c r="O1876" s="94"/>
      <c r="P1876" s="94"/>
      <c r="Q1876" s="94"/>
      <c r="R1876" s="94"/>
      <c r="S1876" s="94"/>
      <c r="V1876" s="30"/>
      <c r="W1876" s="30"/>
      <c r="X1876" s="1"/>
      <c r="Y1876" s="95"/>
      <c r="Z1876" s="1"/>
      <c r="AA1876" s="94"/>
      <c r="AB1876" s="1"/>
      <c r="AC1876" s="1"/>
      <c r="AD1876" s="1"/>
      <c r="AE1876" s="30"/>
      <c r="AF1876" s="633"/>
      <c r="AG1876" s="94"/>
      <c r="AH1876" s="94"/>
      <c r="AI1876" s="94"/>
      <c r="AJ1876" s="94"/>
      <c r="AK1876" s="94"/>
      <c r="AL1876" s="94"/>
    </row>
    <row r="1877" spans="3:38">
      <c r="C1877" s="30"/>
      <c r="F1877" s="95"/>
      <c r="G1877" s="1"/>
      <c r="H1877" s="94"/>
      <c r="I1877" s="90"/>
      <c r="J1877" s="90"/>
      <c r="K1877" s="1"/>
      <c r="L1877" s="74"/>
      <c r="M1877" s="633"/>
      <c r="N1877" s="274"/>
      <c r="O1877" s="94"/>
      <c r="P1877" s="94"/>
      <c r="Q1877" s="94"/>
      <c r="R1877" s="94"/>
      <c r="S1877" s="94"/>
      <c r="V1877" s="30"/>
      <c r="W1877" s="30"/>
      <c r="X1877" s="1"/>
      <c r="Y1877" s="95"/>
      <c r="Z1877" s="1"/>
      <c r="AA1877" s="94"/>
      <c r="AB1877" s="1"/>
      <c r="AC1877" s="1"/>
      <c r="AD1877" s="1"/>
      <c r="AE1877" s="30"/>
      <c r="AF1877" s="633"/>
      <c r="AG1877" s="94"/>
      <c r="AH1877" s="94"/>
      <c r="AI1877" s="94"/>
      <c r="AJ1877" s="94"/>
      <c r="AK1877" s="94"/>
      <c r="AL1877" s="94"/>
    </row>
    <row r="1878" spans="3:38">
      <c r="C1878" s="30"/>
      <c r="F1878" s="95"/>
      <c r="G1878" s="1"/>
      <c r="H1878" s="94"/>
      <c r="I1878" s="90"/>
      <c r="J1878" s="90"/>
      <c r="K1878" s="1"/>
      <c r="L1878" s="74"/>
      <c r="M1878" s="633"/>
      <c r="N1878" s="274"/>
      <c r="O1878" s="94"/>
      <c r="P1878" s="94"/>
      <c r="Q1878" s="94"/>
      <c r="R1878" s="94"/>
      <c r="S1878" s="94"/>
      <c r="V1878" s="30"/>
      <c r="W1878" s="30"/>
      <c r="X1878" s="1"/>
      <c r="Y1878" s="95"/>
      <c r="Z1878" s="1"/>
      <c r="AA1878" s="94"/>
      <c r="AB1878" s="1"/>
      <c r="AC1878" s="1"/>
      <c r="AD1878" s="1"/>
      <c r="AE1878" s="30"/>
      <c r="AF1878" s="633"/>
      <c r="AG1878" s="94"/>
      <c r="AH1878" s="94"/>
      <c r="AI1878" s="94"/>
      <c r="AJ1878" s="94"/>
      <c r="AK1878" s="94"/>
      <c r="AL1878" s="94"/>
    </row>
    <row r="1879" spans="3:38">
      <c r="C1879" s="30"/>
      <c r="F1879" s="95"/>
      <c r="G1879" s="1"/>
      <c r="H1879" s="94"/>
      <c r="I1879" s="90"/>
      <c r="J1879" s="90"/>
      <c r="K1879" s="1"/>
      <c r="L1879" s="74"/>
      <c r="M1879" s="633"/>
      <c r="N1879" s="274"/>
      <c r="O1879" s="94"/>
      <c r="P1879" s="94"/>
      <c r="Q1879" s="94"/>
      <c r="R1879" s="94"/>
      <c r="S1879" s="94"/>
      <c r="V1879" s="30"/>
      <c r="W1879" s="30"/>
      <c r="X1879" s="1"/>
      <c r="Y1879" s="95"/>
      <c r="Z1879" s="1"/>
      <c r="AA1879" s="94"/>
      <c r="AB1879" s="1"/>
      <c r="AC1879" s="1"/>
      <c r="AD1879" s="1"/>
      <c r="AE1879" s="30"/>
      <c r="AF1879" s="633"/>
      <c r="AG1879" s="94"/>
      <c r="AH1879" s="94"/>
      <c r="AI1879" s="94"/>
      <c r="AJ1879" s="94"/>
      <c r="AK1879" s="94"/>
      <c r="AL1879" s="94"/>
    </row>
    <row r="1880" spans="3:38">
      <c r="C1880" s="30"/>
      <c r="F1880" s="95"/>
      <c r="G1880" s="1"/>
      <c r="H1880" s="94"/>
      <c r="I1880" s="90"/>
      <c r="J1880" s="90"/>
      <c r="K1880" s="1"/>
      <c r="L1880" s="74"/>
      <c r="M1880" s="633"/>
      <c r="N1880" s="274"/>
      <c r="O1880" s="94"/>
      <c r="P1880" s="94"/>
      <c r="Q1880" s="94"/>
      <c r="R1880" s="94"/>
      <c r="S1880" s="94"/>
      <c r="V1880" s="30"/>
      <c r="W1880" s="30"/>
      <c r="X1880" s="1"/>
      <c r="Y1880" s="95"/>
      <c r="Z1880" s="1"/>
      <c r="AA1880" s="94"/>
      <c r="AB1880" s="1"/>
      <c r="AC1880" s="1"/>
      <c r="AD1880" s="1"/>
      <c r="AE1880" s="30"/>
      <c r="AF1880" s="633"/>
      <c r="AG1880" s="94"/>
      <c r="AH1880" s="94"/>
      <c r="AI1880" s="94"/>
      <c r="AJ1880" s="94"/>
      <c r="AK1880" s="94"/>
      <c r="AL1880" s="94"/>
    </row>
    <row r="1881" spans="3:38">
      <c r="C1881" s="30"/>
      <c r="F1881" s="95"/>
      <c r="G1881" s="1"/>
      <c r="H1881" s="94"/>
      <c r="I1881" s="90"/>
      <c r="J1881" s="90"/>
      <c r="K1881" s="1"/>
      <c r="L1881" s="74"/>
      <c r="M1881" s="633"/>
      <c r="N1881" s="274"/>
      <c r="O1881" s="94"/>
      <c r="P1881" s="94"/>
      <c r="Q1881" s="94"/>
      <c r="R1881" s="94"/>
      <c r="S1881" s="94"/>
      <c r="V1881" s="30"/>
      <c r="W1881" s="30"/>
      <c r="X1881" s="1"/>
      <c r="Y1881" s="95"/>
      <c r="Z1881" s="1"/>
      <c r="AA1881" s="94"/>
      <c r="AB1881" s="1"/>
      <c r="AC1881" s="1"/>
      <c r="AD1881" s="1"/>
      <c r="AE1881" s="30"/>
      <c r="AF1881" s="633"/>
      <c r="AG1881" s="94"/>
      <c r="AH1881" s="94"/>
      <c r="AI1881" s="94"/>
      <c r="AJ1881" s="94"/>
      <c r="AK1881" s="94"/>
      <c r="AL1881" s="94"/>
    </row>
    <row r="1882" spans="3:38">
      <c r="C1882" s="30"/>
      <c r="F1882" s="95"/>
      <c r="G1882" s="1"/>
      <c r="H1882" s="94"/>
      <c r="I1882" s="90"/>
      <c r="J1882" s="90"/>
      <c r="K1882" s="1"/>
      <c r="L1882" s="74"/>
      <c r="M1882" s="633"/>
      <c r="N1882" s="274"/>
      <c r="O1882" s="94"/>
      <c r="P1882" s="94"/>
      <c r="Q1882" s="94"/>
      <c r="R1882" s="94"/>
      <c r="S1882" s="94"/>
      <c r="V1882" s="30"/>
      <c r="W1882" s="30"/>
      <c r="X1882" s="1"/>
      <c r="Y1882" s="95"/>
      <c r="Z1882" s="1"/>
      <c r="AA1882" s="94"/>
      <c r="AB1882" s="1"/>
      <c r="AC1882" s="1"/>
      <c r="AD1882" s="1"/>
      <c r="AE1882" s="30"/>
      <c r="AF1882" s="633"/>
      <c r="AG1882" s="94"/>
      <c r="AH1882" s="94"/>
      <c r="AI1882" s="94"/>
      <c r="AJ1882" s="94"/>
      <c r="AK1882" s="94"/>
      <c r="AL1882" s="94"/>
    </row>
    <row r="1883" spans="3:38">
      <c r="C1883" s="30"/>
      <c r="F1883" s="95"/>
      <c r="G1883" s="1"/>
      <c r="H1883" s="94"/>
      <c r="I1883" s="90"/>
      <c r="J1883" s="90"/>
      <c r="K1883" s="1"/>
      <c r="L1883" s="74"/>
      <c r="M1883" s="633"/>
      <c r="N1883" s="274"/>
      <c r="O1883" s="94"/>
      <c r="P1883" s="94"/>
      <c r="Q1883" s="94"/>
      <c r="R1883" s="94"/>
      <c r="S1883" s="94"/>
      <c r="V1883" s="30"/>
      <c r="W1883" s="30"/>
      <c r="X1883" s="1"/>
      <c r="Y1883" s="95"/>
      <c r="Z1883" s="1"/>
      <c r="AA1883" s="94"/>
      <c r="AB1883" s="1"/>
      <c r="AC1883" s="1"/>
      <c r="AD1883" s="1"/>
      <c r="AE1883" s="30"/>
      <c r="AF1883" s="633"/>
      <c r="AG1883" s="94"/>
      <c r="AH1883" s="94"/>
      <c r="AI1883" s="94"/>
      <c r="AJ1883" s="94"/>
      <c r="AK1883" s="94"/>
      <c r="AL1883" s="94"/>
    </row>
    <row r="1884" spans="3:38">
      <c r="C1884" s="30"/>
      <c r="F1884" s="95"/>
      <c r="G1884" s="1"/>
      <c r="H1884" s="94"/>
      <c r="I1884" s="90"/>
      <c r="J1884" s="90"/>
      <c r="K1884" s="1"/>
      <c r="L1884" s="74"/>
      <c r="M1884" s="633"/>
      <c r="N1884" s="274"/>
      <c r="O1884" s="94"/>
      <c r="P1884" s="94"/>
      <c r="Q1884" s="94"/>
      <c r="R1884" s="94"/>
      <c r="S1884" s="94"/>
      <c r="V1884" s="30"/>
      <c r="W1884" s="30"/>
      <c r="X1884" s="1"/>
      <c r="Y1884" s="95"/>
      <c r="Z1884" s="1"/>
      <c r="AA1884" s="94"/>
      <c r="AB1884" s="1"/>
      <c r="AC1884" s="1"/>
      <c r="AD1884" s="1"/>
      <c r="AE1884" s="30"/>
      <c r="AF1884" s="633"/>
      <c r="AG1884" s="94"/>
      <c r="AH1884" s="94"/>
      <c r="AI1884" s="94"/>
      <c r="AJ1884" s="94"/>
      <c r="AK1884" s="94"/>
      <c r="AL1884" s="94"/>
    </row>
    <row r="1885" spans="3:38">
      <c r="C1885" s="30"/>
      <c r="F1885" s="95"/>
      <c r="G1885" s="1"/>
      <c r="H1885" s="94"/>
      <c r="I1885" s="90"/>
      <c r="J1885" s="90"/>
      <c r="K1885" s="1"/>
      <c r="L1885" s="74"/>
      <c r="M1885" s="633"/>
      <c r="N1885" s="274"/>
      <c r="O1885" s="94"/>
      <c r="P1885" s="94"/>
      <c r="Q1885" s="94"/>
      <c r="R1885" s="94"/>
      <c r="S1885" s="94"/>
      <c r="V1885" s="30"/>
      <c r="W1885" s="30"/>
      <c r="X1885" s="1"/>
      <c r="Y1885" s="95"/>
      <c r="Z1885" s="1"/>
      <c r="AA1885" s="94"/>
      <c r="AB1885" s="1"/>
      <c r="AC1885" s="1"/>
      <c r="AD1885" s="1"/>
      <c r="AE1885" s="30"/>
      <c r="AF1885" s="633"/>
      <c r="AG1885" s="94"/>
      <c r="AH1885" s="94"/>
      <c r="AI1885" s="94"/>
      <c r="AJ1885" s="94"/>
      <c r="AK1885" s="94"/>
      <c r="AL1885" s="94"/>
    </row>
    <row r="1886" spans="3:38">
      <c r="C1886" s="30"/>
      <c r="F1886" s="95"/>
      <c r="G1886" s="1"/>
      <c r="H1886" s="94"/>
      <c r="I1886" s="90"/>
      <c r="J1886" s="90"/>
      <c r="K1886" s="1"/>
      <c r="L1886" s="74"/>
      <c r="M1886" s="633"/>
      <c r="N1886" s="274"/>
      <c r="O1886" s="94"/>
      <c r="P1886" s="94"/>
      <c r="Q1886" s="94"/>
      <c r="R1886" s="94"/>
      <c r="S1886" s="94"/>
      <c r="V1886" s="30"/>
      <c r="W1886" s="30"/>
      <c r="X1886" s="1"/>
      <c r="Y1886" s="95"/>
      <c r="Z1886" s="1"/>
      <c r="AA1886" s="94"/>
      <c r="AB1886" s="1"/>
      <c r="AC1886" s="1"/>
      <c r="AD1886" s="1"/>
      <c r="AE1886" s="30"/>
      <c r="AF1886" s="633"/>
      <c r="AG1886" s="94"/>
      <c r="AH1886" s="94"/>
      <c r="AI1886" s="94"/>
      <c r="AJ1886" s="94"/>
      <c r="AK1886" s="94"/>
      <c r="AL1886" s="94"/>
    </row>
    <row r="1887" spans="3:38">
      <c r="C1887" s="30"/>
      <c r="F1887" s="95"/>
      <c r="G1887" s="1"/>
      <c r="H1887" s="94"/>
      <c r="I1887" s="90"/>
      <c r="J1887" s="90"/>
      <c r="K1887" s="1"/>
      <c r="L1887" s="74"/>
      <c r="M1887" s="633"/>
      <c r="N1887" s="274"/>
      <c r="O1887" s="94"/>
      <c r="P1887" s="94"/>
      <c r="Q1887" s="94"/>
      <c r="R1887" s="94"/>
      <c r="S1887" s="94"/>
      <c r="V1887" s="30"/>
      <c r="W1887" s="30"/>
      <c r="X1887" s="1"/>
      <c r="Y1887" s="95"/>
      <c r="Z1887" s="1"/>
      <c r="AA1887" s="94"/>
      <c r="AB1887" s="1"/>
      <c r="AC1887" s="1"/>
      <c r="AD1887" s="1"/>
      <c r="AE1887" s="30"/>
      <c r="AF1887" s="633"/>
      <c r="AG1887" s="94"/>
      <c r="AH1887" s="94"/>
      <c r="AI1887" s="94"/>
      <c r="AJ1887" s="94"/>
      <c r="AK1887" s="94"/>
      <c r="AL1887" s="94"/>
    </row>
    <row r="1888" spans="3:38">
      <c r="C1888" s="30"/>
      <c r="F1888" s="95"/>
      <c r="G1888" s="1"/>
      <c r="H1888" s="94"/>
      <c r="I1888" s="90"/>
      <c r="J1888" s="90"/>
      <c r="K1888" s="1"/>
      <c r="L1888" s="74"/>
      <c r="M1888" s="633"/>
      <c r="N1888" s="274"/>
      <c r="O1888" s="94"/>
      <c r="P1888" s="94"/>
      <c r="Q1888" s="94"/>
      <c r="R1888" s="94"/>
      <c r="S1888" s="94"/>
      <c r="V1888" s="30"/>
      <c r="W1888" s="30"/>
      <c r="X1888" s="1"/>
      <c r="Y1888" s="95"/>
      <c r="Z1888" s="1"/>
      <c r="AA1888" s="94"/>
      <c r="AB1888" s="1"/>
      <c r="AC1888" s="1"/>
      <c r="AD1888" s="1"/>
      <c r="AE1888" s="30"/>
      <c r="AF1888" s="633"/>
      <c r="AG1888" s="94"/>
      <c r="AH1888" s="94"/>
      <c r="AI1888" s="94"/>
      <c r="AJ1888" s="94"/>
      <c r="AK1888" s="94"/>
      <c r="AL1888" s="94"/>
    </row>
    <row r="1889" spans="3:38">
      <c r="C1889" s="30"/>
      <c r="F1889" s="95"/>
      <c r="G1889" s="1"/>
      <c r="H1889" s="94"/>
      <c r="I1889" s="90"/>
      <c r="J1889" s="90"/>
      <c r="K1889" s="1"/>
      <c r="L1889" s="74"/>
      <c r="M1889" s="633"/>
      <c r="N1889" s="274"/>
      <c r="O1889" s="94"/>
      <c r="P1889" s="94"/>
      <c r="Q1889" s="94"/>
      <c r="R1889" s="94"/>
      <c r="S1889" s="94"/>
      <c r="V1889" s="30"/>
      <c r="W1889" s="30"/>
      <c r="X1889" s="1"/>
      <c r="Y1889" s="95"/>
      <c r="Z1889" s="1"/>
      <c r="AA1889" s="94"/>
      <c r="AB1889" s="1"/>
      <c r="AC1889" s="1"/>
      <c r="AD1889" s="1"/>
      <c r="AE1889" s="30"/>
      <c r="AF1889" s="633"/>
      <c r="AG1889" s="94"/>
      <c r="AH1889" s="94"/>
      <c r="AI1889" s="94"/>
      <c r="AJ1889" s="94"/>
      <c r="AK1889" s="94"/>
      <c r="AL1889" s="94"/>
    </row>
    <row r="1890" spans="3:38">
      <c r="C1890" s="30"/>
      <c r="F1890" s="95"/>
      <c r="G1890" s="1"/>
      <c r="H1890" s="94"/>
      <c r="I1890" s="90"/>
      <c r="J1890" s="90"/>
      <c r="K1890" s="1"/>
      <c r="L1890" s="74"/>
      <c r="M1890" s="633"/>
      <c r="N1890" s="274"/>
      <c r="O1890" s="94"/>
      <c r="P1890" s="94"/>
      <c r="Q1890" s="94"/>
      <c r="R1890" s="94"/>
      <c r="S1890" s="94"/>
      <c r="V1890" s="30"/>
      <c r="W1890" s="30"/>
      <c r="X1890" s="1"/>
      <c r="Y1890" s="95"/>
      <c r="Z1890" s="1"/>
      <c r="AA1890" s="94"/>
      <c r="AB1890" s="1"/>
      <c r="AC1890" s="1"/>
      <c r="AD1890" s="1"/>
      <c r="AE1890" s="30"/>
      <c r="AF1890" s="633"/>
      <c r="AG1890" s="94"/>
      <c r="AH1890" s="94"/>
      <c r="AI1890" s="94"/>
      <c r="AJ1890" s="94"/>
      <c r="AK1890" s="94"/>
      <c r="AL1890" s="94"/>
    </row>
    <row r="1891" spans="3:38">
      <c r="C1891" s="30"/>
      <c r="F1891" s="95"/>
      <c r="G1891" s="1"/>
      <c r="H1891" s="94"/>
      <c r="I1891" s="90"/>
      <c r="J1891" s="90"/>
      <c r="K1891" s="1"/>
      <c r="L1891" s="74"/>
      <c r="M1891" s="633"/>
      <c r="N1891" s="274"/>
      <c r="O1891" s="94"/>
      <c r="P1891" s="94"/>
      <c r="Q1891" s="94"/>
      <c r="R1891" s="94"/>
      <c r="S1891" s="94"/>
      <c r="V1891" s="30"/>
      <c r="W1891" s="30"/>
      <c r="X1891" s="1"/>
      <c r="Y1891" s="95"/>
      <c r="Z1891" s="1"/>
      <c r="AA1891" s="94"/>
      <c r="AB1891" s="1"/>
      <c r="AC1891" s="1"/>
      <c r="AD1891" s="1"/>
      <c r="AE1891" s="30"/>
      <c r="AF1891" s="633"/>
      <c r="AG1891" s="94"/>
      <c r="AH1891" s="94"/>
      <c r="AI1891" s="94"/>
      <c r="AJ1891" s="94"/>
      <c r="AK1891" s="94"/>
      <c r="AL1891" s="94"/>
    </row>
    <row r="1892" spans="3:38">
      <c r="C1892" s="30"/>
      <c r="F1892" s="95"/>
      <c r="G1892" s="1"/>
      <c r="H1892" s="94"/>
      <c r="I1892" s="90"/>
      <c r="J1892" s="90"/>
      <c r="K1892" s="1"/>
      <c r="L1892" s="74"/>
      <c r="M1892" s="633"/>
      <c r="N1892" s="274"/>
      <c r="O1892" s="94"/>
      <c r="P1892" s="94"/>
      <c r="Q1892" s="94"/>
      <c r="R1892" s="94"/>
      <c r="S1892" s="94"/>
      <c r="V1892" s="30"/>
      <c r="W1892" s="30"/>
      <c r="X1892" s="1"/>
      <c r="Y1892" s="95"/>
      <c r="Z1892" s="1"/>
      <c r="AA1892" s="94"/>
      <c r="AB1892" s="1"/>
      <c r="AC1892" s="1"/>
      <c r="AD1892" s="1"/>
      <c r="AE1892" s="30"/>
      <c r="AF1892" s="633"/>
      <c r="AG1892" s="94"/>
      <c r="AH1892" s="94"/>
      <c r="AI1892" s="94"/>
      <c r="AJ1892" s="94"/>
      <c r="AK1892" s="94"/>
      <c r="AL1892" s="94"/>
    </row>
    <row r="1893" spans="3:38">
      <c r="C1893" s="30"/>
      <c r="F1893" s="95"/>
      <c r="G1893" s="1"/>
      <c r="H1893" s="94"/>
      <c r="I1893" s="90"/>
      <c r="J1893" s="90"/>
      <c r="K1893" s="1"/>
      <c r="L1893" s="74"/>
      <c r="M1893" s="633"/>
      <c r="N1893" s="274"/>
      <c r="O1893" s="94"/>
      <c r="P1893" s="94"/>
      <c r="Q1893" s="94"/>
      <c r="R1893" s="94"/>
      <c r="S1893" s="94"/>
      <c r="V1893" s="30"/>
      <c r="W1893" s="30"/>
      <c r="X1893" s="1"/>
      <c r="Y1893" s="95"/>
      <c r="Z1893" s="1"/>
      <c r="AA1893" s="94"/>
      <c r="AB1893" s="1"/>
      <c r="AC1893" s="1"/>
      <c r="AD1893" s="1"/>
      <c r="AE1893" s="30"/>
      <c r="AF1893" s="633"/>
      <c r="AG1893" s="94"/>
      <c r="AH1893" s="94"/>
      <c r="AI1893" s="94"/>
      <c r="AJ1893" s="94"/>
      <c r="AK1893" s="94"/>
      <c r="AL1893" s="94"/>
    </row>
    <row r="1894" spans="3:38">
      <c r="C1894" s="30"/>
      <c r="F1894" s="95"/>
      <c r="G1894" s="1"/>
      <c r="H1894" s="94"/>
      <c r="I1894" s="90"/>
      <c r="J1894" s="90"/>
      <c r="K1894" s="1"/>
      <c r="L1894" s="74"/>
      <c r="M1894" s="633"/>
      <c r="N1894" s="274"/>
      <c r="O1894" s="94"/>
      <c r="P1894" s="94"/>
      <c r="Q1894" s="94"/>
      <c r="R1894" s="94"/>
      <c r="S1894" s="94"/>
      <c r="V1894" s="30"/>
      <c r="W1894" s="30"/>
      <c r="X1894" s="1"/>
      <c r="Y1894" s="95"/>
      <c r="Z1894" s="1"/>
      <c r="AA1894" s="94"/>
      <c r="AB1894" s="1"/>
      <c r="AC1894" s="1"/>
      <c r="AD1894" s="1"/>
      <c r="AE1894" s="30"/>
      <c r="AF1894" s="633"/>
      <c r="AG1894" s="94"/>
      <c r="AH1894" s="94"/>
      <c r="AI1894" s="94"/>
      <c r="AJ1894" s="94"/>
      <c r="AK1894" s="94"/>
      <c r="AL1894" s="94"/>
    </row>
    <row r="1895" spans="3:38">
      <c r="C1895" s="30"/>
      <c r="F1895" s="95"/>
      <c r="G1895" s="1"/>
      <c r="H1895" s="94"/>
      <c r="I1895" s="90"/>
      <c r="J1895" s="90"/>
      <c r="K1895" s="1"/>
      <c r="L1895" s="74"/>
      <c r="M1895" s="633"/>
      <c r="N1895" s="274"/>
      <c r="O1895" s="94"/>
      <c r="P1895" s="94"/>
      <c r="Q1895" s="94"/>
      <c r="R1895" s="94"/>
      <c r="S1895" s="94"/>
      <c r="V1895" s="30"/>
      <c r="W1895" s="30"/>
      <c r="X1895" s="1"/>
      <c r="Y1895" s="95"/>
      <c r="Z1895" s="1"/>
      <c r="AA1895" s="94"/>
      <c r="AB1895" s="1"/>
      <c r="AC1895" s="1"/>
      <c r="AD1895" s="1"/>
      <c r="AE1895" s="30"/>
      <c r="AF1895" s="633"/>
      <c r="AG1895" s="94"/>
      <c r="AH1895" s="94"/>
      <c r="AI1895" s="94"/>
      <c r="AJ1895" s="94"/>
      <c r="AK1895" s="94"/>
      <c r="AL1895" s="94"/>
    </row>
    <row r="1896" spans="3:38">
      <c r="C1896" s="30"/>
      <c r="F1896" s="95"/>
      <c r="G1896" s="1"/>
      <c r="H1896" s="94"/>
      <c r="I1896" s="90"/>
      <c r="J1896" s="90"/>
      <c r="K1896" s="1"/>
      <c r="L1896" s="74"/>
      <c r="M1896" s="633"/>
      <c r="N1896" s="274"/>
      <c r="O1896" s="94"/>
      <c r="P1896" s="94"/>
      <c r="Q1896" s="94"/>
      <c r="R1896" s="94"/>
      <c r="S1896" s="94"/>
      <c r="V1896" s="30"/>
      <c r="W1896" s="30"/>
      <c r="X1896" s="1"/>
      <c r="Y1896" s="95"/>
      <c r="Z1896" s="1"/>
      <c r="AA1896" s="94"/>
      <c r="AB1896" s="1"/>
      <c r="AC1896" s="1"/>
      <c r="AD1896" s="1"/>
      <c r="AE1896" s="30"/>
      <c r="AF1896" s="633"/>
      <c r="AG1896" s="94"/>
      <c r="AH1896" s="94"/>
      <c r="AI1896" s="94"/>
      <c r="AJ1896" s="94"/>
      <c r="AK1896" s="94"/>
      <c r="AL1896" s="94"/>
    </row>
    <row r="1897" spans="3:38">
      <c r="C1897" s="30"/>
      <c r="F1897" s="95"/>
      <c r="G1897" s="1"/>
      <c r="H1897" s="94"/>
      <c r="I1897" s="90"/>
      <c r="J1897" s="90"/>
      <c r="K1897" s="1"/>
      <c r="L1897" s="74"/>
      <c r="M1897" s="633"/>
      <c r="N1897" s="274"/>
      <c r="O1897" s="94"/>
      <c r="P1897" s="94"/>
      <c r="Q1897" s="94"/>
      <c r="R1897" s="94"/>
      <c r="S1897" s="94"/>
      <c r="V1897" s="30"/>
      <c r="W1897" s="30"/>
      <c r="X1897" s="1"/>
      <c r="Y1897" s="95"/>
      <c r="Z1897" s="1"/>
      <c r="AA1897" s="94"/>
      <c r="AB1897" s="1"/>
      <c r="AC1897" s="1"/>
      <c r="AD1897" s="1"/>
      <c r="AE1897" s="30"/>
      <c r="AF1897" s="633"/>
      <c r="AG1897" s="94"/>
      <c r="AH1897" s="94"/>
      <c r="AI1897" s="94"/>
      <c r="AJ1897" s="94"/>
      <c r="AK1897" s="94"/>
      <c r="AL1897" s="94"/>
    </row>
    <row r="1898" spans="3:38">
      <c r="C1898" s="30"/>
      <c r="F1898" s="95"/>
      <c r="G1898" s="1"/>
      <c r="H1898" s="94"/>
      <c r="I1898" s="90"/>
      <c r="J1898" s="90"/>
      <c r="K1898" s="1"/>
      <c r="L1898" s="74"/>
      <c r="M1898" s="633"/>
      <c r="N1898" s="274"/>
      <c r="O1898" s="94"/>
      <c r="P1898" s="94"/>
      <c r="Q1898" s="94"/>
      <c r="R1898" s="94"/>
      <c r="S1898" s="94"/>
      <c r="V1898" s="30"/>
      <c r="W1898" s="30"/>
      <c r="X1898" s="1"/>
      <c r="Y1898" s="95"/>
      <c r="Z1898" s="1"/>
      <c r="AA1898" s="94"/>
      <c r="AB1898" s="1"/>
      <c r="AC1898" s="1"/>
      <c r="AD1898" s="1"/>
      <c r="AE1898" s="30"/>
      <c r="AF1898" s="633"/>
      <c r="AG1898" s="94"/>
      <c r="AH1898" s="94"/>
      <c r="AI1898" s="94"/>
      <c r="AJ1898" s="94"/>
      <c r="AK1898" s="94"/>
      <c r="AL1898" s="94"/>
    </row>
    <row r="1899" spans="3:38">
      <c r="C1899" s="30"/>
      <c r="F1899" s="95"/>
      <c r="G1899" s="1"/>
      <c r="H1899" s="94"/>
      <c r="I1899" s="90"/>
      <c r="J1899" s="90"/>
      <c r="K1899" s="1"/>
      <c r="L1899" s="74"/>
      <c r="M1899" s="633"/>
      <c r="N1899" s="274"/>
      <c r="O1899" s="94"/>
      <c r="P1899" s="94"/>
      <c r="Q1899" s="94"/>
      <c r="R1899" s="94"/>
      <c r="S1899" s="94"/>
      <c r="V1899" s="30"/>
      <c r="W1899" s="30"/>
      <c r="X1899" s="1"/>
      <c r="Y1899" s="95"/>
      <c r="Z1899" s="1"/>
      <c r="AA1899" s="94"/>
      <c r="AB1899" s="1"/>
      <c r="AC1899" s="1"/>
      <c r="AD1899" s="1"/>
      <c r="AE1899" s="30"/>
      <c r="AF1899" s="633"/>
      <c r="AG1899" s="94"/>
      <c r="AH1899" s="94"/>
      <c r="AI1899" s="94"/>
      <c r="AJ1899" s="94"/>
      <c r="AK1899" s="94"/>
      <c r="AL1899" s="94"/>
    </row>
    <row r="1900" spans="3:38">
      <c r="C1900" s="30"/>
      <c r="F1900" s="95"/>
      <c r="G1900" s="1"/>
      <c r="H1900" s="94"/>
      <c r="I1900" s="90"/>
      <c r="J1900" s="90"/>
      <c r="K1900" s="1"/>
      <c r="L1900" s="74"/>
      <c r="M1900" s="633"/>
      <c r="N1900" s="274"/>
      <c r="O1900" s="94"/>
      <c r="P1900" s="94"/>
      <c r="Q1900" s="94"/>
      <c r="R1900" s="94"/>
      <c r="S1900" s="94"/>
      <c r="V1900" s="30"/>
      <c r="W1900" s="30"/>
      <c r="X1900" s="1"/>
      <c r="Y1900" s="95"/>
      <c r="Z1900" s="1"/>
      <c r="AA1900" s="94"/>
      <c r="AB1900" s="1"/>
      <c r="AC1900" s="1"/>
      <c r="AD1900" s="1"/>
      <c r="AE1900" s="30"/>
      <c r="AF1900" s="633"/>
      <c r="AG1900" s="94"/>
      <c r="AH1900" s="94"/>
      <c r="AI1900" s="94"/>
      <c r="AJ1900" s="94"/>
      <c r="AK1900" s="94"/>
      <c r="AL1900" s="94"/>
    </row>
    <row r="1901" spans="3:38">
      <c r="C1901" s="30"/>
      <c r="F1901" s="95"/>
      <c r="G1901" s="1"/>
      <c r="H1901" s="94"/>
      <c r="I1901" s="90"/>
      <c r="J1901" s="90"/>
      <c r="K1901" s="1"/>
      <c r="L1901" s="74"/>
      <c r="M1901" s="633"/>
      <c r="N1901" s="274"/>
      <c r="O1901" s="94"/>
      <c r="P1901" s="94"/>
      <c r="Q1901" s="94"/>
      <c r="R1901" s="94"/>
      <c r="S1901" s="94"/>
      <c r="V1901" s="30"/>
      <c r="W1901" s="30"/>
      <c r="X1901" s="1"/>
      <c r="Y1901" s="95"/>
      <c r="Z1901" s="1"/>
      <c r="AA1901" s="94"/>
      <c r="AB1901" s="1"/>
      <c r="AC1901" s="1"/>
      <c r="AD1901" s="1"/>
      <c r="AE1901" s="30"/>
      <c r="AF1901" s="633"/>
      <c r="AG1901" s="94"/>
      <c r="AH1901" s="94"/>
      <c r="AI1901" s="94"/>
      <c r="AJ1901" s="94"/>
      <c r="AK1901" s="94"/>
      <c r="AL1901" s="94"/>
    </row>
    <row r="1902" spans="3:38">
      <c r="C1902" s="30"/>
      <c r="F1902" s="95"/>
      <c r="G1902" s="1"/>
      <c r="H1902" s="94"/>
      <c r="I1902" s="90"/>
      <c r="J1902" s="90"/>
      <c r="K1902" s="1"/>
      <c r="L1902" s="74"/>
      <c r="M1902" s="633"/>
      <c r="N1902" s="274"/>
      <c r="O1902" s="94"/>
      <c r="P1902" s="94"/>
      <c r="Q1902" s="94"/>
      <c r="R1902" s="94"/>
      <c r="S1902" s="94"/>
      <c r="V1902" s="30"/>
      <c r="W1902" s="30"/>
      <c r="X1902" s="1"/>
      <c r="Y1902" s="95"/>
      <c r="Z1902" s="1"/>
      <c r="AA1902" s="94"/>
      <c r="AB1902" s="1"/>
      <c r="AC1902" s="1"/>
      <c r="AD1902" s="1"/>
      <c r="AE1902" s="30"/>
      <c r="AF1902" s="633"/>
      <c r="AG1902" s="94"/>
      <c r="AH1902" s="94"/>
      <c r="AI1902" s="94"/>
      <c r="AJ1902" s="94"/>
      <c r="AK1902" s="94"/>
      <c r="AL1902" s="94"/>
    </row>
    <row r="1903" spans="3:38">
      <c r="C1903" s="30"/>
      <c r="F1903" s="95"/>
      <c r="G1903" s="1"/>
      <c r="H1903" s="94"/>
      <c r="I1903" s="90"/>
      <c r="J1903" s="90"/>
      <c r="K1903" s="1"/>
      <c r="L1903" s="74"/>
      <c r="M1903" s="633"/>
      <c r="N1903" s="274"/>
      <c r="O1903" s="94"/>
      <c r="P1903" s="94"/>
      <c r="Q1903" s="94"/>
      <c r="R1903" s="94"/>
      <c r="S1903" s="94"/>
      <c r="V1903" s="30"/>
      <c r="W1903" s="30"/>
      <c r="X1903" s="1"/>
      <c r="Y1903" s="95"/>
      <c r="Z1903" s="1"/>
      <c r="AA1903" s="94"/>
      <c r="AB1903" s="1"/>
      <c r="AC1903" s="1"/>
      <c r="AD1903" s="1"/>
      <c r="AE1903" s="30"/>
      <c r="AF1903" s="633"/>
      <c r="AG1903" s="94"/>
      <c r="AH1903" s="94"/>
      <c r="AI1903" s="94"/>
      <c r="AJ1903" s="94"/>
      <c r="AK1903" s="94"/>
      <c r="AL1903" s="94"/>
    </row>
    <row r="1904" spans="3:38">
      <c r="C1904" s="30"/>
      <c r="F1904" s="95"/>
      <c r="G1904" s="1"/>
      <c r="H1904" s="94"/>
      <c r="I1904" s="90"/>
      <c r="J1904" s="90"/>
      <c r="K1904" s="1"/>
      <c r="L1904" s="74"/>
      <c r="M1904" s="633"/>
      <c r="N1904" s="274"/>
      <c r="O1904" s="94"/>
      <c r="P1904" s="94"/>
      <c r="Q1904" s="94"/>
      <c r="R1904" s="94"/>
      <c r="S1904" s="94"/>
      <c r="V1904" s="30"/>
      <c r="W1904" s="30"/>
      <c r="X1904" s="1"/>
      <c r="Y1904" s="95"/>
      <c r="Z1904" s="1"/>
      <c r="AA1904" s="94"/>
      <c r="AB1904" s="1"/>
      <c r="AC1904" s="1"/>
      <c r="AD1904" s="1"/>
      <c r="AE1904" s="30"/>
      <c r="AF1904" s="633"/>
      <c r="AG1904" s="94"/>
      <c r="AH1904" s="94"/>
      <c r="AI1904" s="94"/>
      <c r="AJ1904" s="94"/>
      <c r="AK1904" s="94"/>
      <c r="AL1904" s="94"/>
    </row>
    <row r="1905" spans="3:38">
      <c r="C1905" s="30"/>
      <c r="F1905" s="95"/>
      <c r="G1905" s="1"/>
      <c r="H1905" s="94"/>
      <c r="I1905" s="90"/>
      <c r="J1905" s="90"/>
      <c r="K1905" s="1"/>
      <c r="L1905" s="74"/>
      <c r="M1905" s="633"/>
      <c r="N1905" s="274"/>
      <c r="O1905" s="94"/>
      <c r="P1905" s="94"/>
      <c r="Q1905" s="94"/>
      <c r="R1905" s="94"/>
      <c r="S1905" s="94"/>
      <c r="V1905" s="30"/>
      <c r="W1905" s="30"/>
      <c r="X1905" s="1"/>
      <c r="Y1905" s="95"/>
      <c r="Z1905" s="1"/>
      <c r="AA1905" s="94"/>
      <c r="AB1905" s="1"/>
      <c r="AC1905" s="1"/>
      <c r="AD1905" s="1"/>
      <c r="AE1905" s="30"/>
      <c r="AF1905" s="633"/>
      <c r="AG1905" s="94"/>
      <c r="AH1905" s="94"/>
      <c r="AI1905" s="94"/>
      <c r="AJ1905" s="94"/>
      <c r="AK1905" s="94"/>
      <c r="AL1905" s="94"/>
    </row>
    <row r="1906" spans="3:38">
      <c r="C1906" s="30"/>
      <c r="F1906" s="95"/>
      <c r="G1906" s="1"/>
      <c r="H1906" s="94"/>
      <c r="I1906" s="90"/>
      <c r="J1906" s="90"/>
      <c r="K1906" s="1"/>
      <c r="L1906" s="74"/>
      <c r="M1906" s="633"/>
      <c r="N1906" s="274"/>
      <c r="O1906" s="94"/>
      <c r="P1906" s="94"/>
      <c r="Q1906" s="94"/>
      <c r="R1906" s="94"/>
      <c r="S1906" s="94"/>
      <c r="V1906" s="30"/>
      <c r="W1906" s="30"/>
      <c r="X1906" s="1"/>
      <c r="Y1906" s="95"/>
      <c r="Z1906" s="1"/>
      <c r="AA1906" s="94"/>
      <c r="AB1906" s="1"/>
      <c r="AC1906" s="1"/>
      <c r="AD1906" s="1"/>
      <c r="AE1906" s="30"/>
      <c r="AF1906" s="633"/>
      <c r="AG1906" s="94"/>
      <c r="AH1906" s="94"/>
      <c r="AI1906" s="94"/>
      <c r="AJ1906" s="94"/>
      <c r="AK1906" s="94"/>
      <c r="AL1906" s="94"/>
    </row>
    <row r="1907" spans="3:38">
      <c r="C1907" s="30"/>
      <c r="F1907" s="95"/>
      <c r="G1907" s="1"/>
      <c r="H1907" s="94"/>
      <c r="I1907" s="90"/>
      <c r="J1907" s="90"/>
      <c r="K1907" s="1"/>
      <c r="L1907" s="74"/>
      <c r="M1907" s="633"/>
      <c r="N1907" s="274"/>
      <c r="O1907" s="94"/>
      <c r="P1907" s="94"/>
      <c r="Q1907" s="94"/>
      <c r="R1907" s="94"/>
      <c r="S1907" s="94"/>
      <c r="V1907" s="30"/>
      <c r="W1907" s="30"/>
      <c r="X1907" s="1"/>
      <c r="Y1907" s="95"/>
      <c r="Z1907" s="1"/>
      <c r="AA1907" s="94"/>
      <c r="AB1907" s="1"/>
      <c r="AC1907" s="1"/>
      <c r="AD1907" s="1"/>
      <c r="AE1907" s="30"/>
      <c r="AF1907" s="633"/>
      <c r="AG1907" s="94"/>
      <c r="AH1907" s="94"/>
      <c r="AI1907" s="94"/>
      <c r="AJ1907" s="94"/>
      <c r="AK1907" s="94"/>
      <c r="AL1907" s="94"/>
    </row>
    <row r="1908" spans="3:38">
      <c r="C1908" s="30"/>
      <c r="F1908" s="95"/>
      <c r="G1908" s="1"/>
      <c r="H1908" s="94"/>
      <c r="I1908" s="90"/>
      <c r="J1908" s="90"/>
      <c r="K1908" s="1"/>
      <c r="L1908" s="74"/>
      <c r="M1908" s="633"/>
      <c r="N1908" s="274"/>
      <c r="O1908" s="94"/>
      <c r="P1908" s="94"/>
      <c r="Q1908" s="94"/>
      <c r="R1908" s="94"/>
      <c r="S1908" s="94"/>
      <c r="V1908" s="30"/>
      <c r="W1908" s="30"/>
      <c r="X1908" s="1"/>
      <c r="Y1908" s="95"/>
      <c r="Z1908" s="1"/>
      <c r="AA1908" s="94"/>
      <c r="AB1908" s="1"/>
      <c r="AC1908" s="1"/>
      <c r="AD1908" s="1"/>
      <c r="AE1908" s="30"/>
      <c r="AF1908" s="633"/>
      <c r="AG1908" s="94"/>
      <c r="AH1908" s="94"/>
      <c r="AI1908" s="94"/>
      <c r="AJ1908" s="94"/>
      <c r="AK1908" s="94"/>
      <c r="AL1908" s="94"/>
    </row>
    <row r="1909" spans="3:38">
      <c r="C1909" s="30"/>
      <c r="F1909" s="95"/>
      <c r="G1909" s="1"/>
      <c r="H1909" s="94"/>
      <c r="I1909" s="90"/>
      <c r="J1909" s="90"/>
      <c r="K1909" s="1"/>
      <c r="L1909" s="74"/>
      <c r="M1909" s="633"/>
      <c r="N1909" s="274"/>
      <c r="O1909" s="94"/>
      <c r="P1909" s="94"/>
      <c r="Q1909" s="94"/>
      <c r="R1909" s="94"/>
      <c r="S1909" s="94"/>
      <c r="V1909" s="30"/>
      <c r="W1909" s="30"/>
      <c r="X1909" s="1"/>
      <c r="Y1909" s="95"/>
      <c r="Z1909" s="1"/>
      <c r="AA1909" s="94"/>
      <c r="AB1909" s="1"/>
      <c r="AC1909" s="1"/>
      <c r="AD1909" s="1"/>
      <c r="AE1909" s="30"/>
      <c r="AF1909" s="633"/>
      <c r="AG1909" s="94"/>
      <c r="AH1909" s="94"/>
      <c r="AI1909" s="94"/>
      <c r="AJ1909" s="94"/>
      <c r="AK1909" s="94"/>
      <c r="AL1909" s="94"/>
    </row>
    <row r="1910" spans="3:38">
      <c r="C1910" s="30"/>
      <c r="F1910" s="95"/>
      <c r="G1910" s="1"/>
      <c r="H1910" s="94"/>
      <c r="I1910" s="90"/>
      <c r="J1910" s="90"/>
      <c r="K1910" s="1"/>
      <c r="L1910" s="74"/>
      <c r="M1910" s="633"/>
      <c r="N1910" s="274"/>
      <c r="O1910" s="94"/>
      <c r="P1910" s="94"/>
      <c r="Q1910" s="94"/>
      <c r="R1910" s="94"/>
      <c r="S1910" s="94"/>
      <c r="V1910" s="30"/>
      <c r="W1910" s="30"/>
      <c r="X1910" s="1"/>
      <c r="Y1910" s="95"/>
      <c r="Z1910" s="1"/>
      <c r="AA1910" s="94"/>
      <c r="AB1910" s="1"/>
      <c r="AC1910" s="1"/>
      <c r="AD1910" s="1"/>
      <c r="AE1910" s="30"/>
      <c r="AF1910" s="633"/>
      <c r="AG1910" s="94"/>
      <c r="AH1910" s="94"/>
      <c r="AI1910" s="94"/>
      <c r="AJ1910" s="94"/>
      <c r="AK1910" s="94"/>
      <c r="AL1910" s="94"/>
    </row>
    <row r="1911" spans="3:38">
      <c r="C1911" s="30"/>
      <c r="F1911" s="95"/>
      <c r="G1911" s="1"/>
      <c r="H1911" s="94"/>
      <c r="I1911" s="90"/>
      <c r="J1911" s="90"/>
      <c r="K1911" s="1"/>
      <c r="L1911" s="74"/>
      <c r="M1911" s="633"/>
      <c r="N1911" s="274"/>
      <c r="O1911" s="94"/>
      <c r="P1911" s="94"/>
      <c r="Q1911" s="94"/>
      <c r="R1911" s="94"/>
      <c r="S1911" s="94"/>
      <c r="V1911" s="30"/>
      <c r="W1911" s="30"/>
      <c r="X1911" s="1"/>
      <c r="Y1911" s="95"/>
      <c r="Z1911" s="1"/>
      <c r="AA1911" s="94"/>
      <c r="AB1911" s="1"/>
      <c r="AC1911" s="1"/>
      <c r="AD1911" s="1"/>
      <c r="AE1911" s="30"/>
      <c r="AF1911" s="633"/>
      <c r="AG1911" s="94"/>
      <c r="AH1911" s="94"/>
      <c r="AI1911" s="94"/>
      <c r="AJ1911" s="94"/>
      <c r="AK1911" s="94"/>
      <c r="AL1911" s="94"/>
    </row>
    <row r="1912" spans="3:38">
      <c r="C1912" s="30"/>
      <c r="F1912" s="95"/>
      <c r="G1912" s="1"/>
      <c r="H1912" s="94"/>
      <c r="I1912" s="90"/>
      <c r="J1912" s="90"/>
      <c r="K1912" s="1"/>
      <c r="L1912" s="74"/>
      <c r="M1912" s="633"/>
      <c r="N1912" s="274"/>
      <c r="O1912" s="94"/>
      <c r="P1912" s="94"/>
      <c r="Q1912" s="94"/>
      <c r="R1912" s="94"/>
      <c r="S1912" s="94"/>
      <c r="V1912" s="30"/>
      <c r="W1912" s="30"/>
      <c r="X1912" s="1"/>
      <c r="Y1912" s="95"/>
      <c r="Z1912" s="1"/>
      <c r="AA1912" s="94"/>
      <c r="AB1912" s="1"/>
      <c r="AC1912" s="1"/>
      <c r="AD1912" s="1"/>
      <c r="AE1912" s="30"/>
      <c r="AF1912" s="633"/>
      <c r="AG1912" s="94"/>
      <c r="AH1912" s="94"/>
      <c r="AI1912" s="94"/>
      <c r="AJ1912" s="94"/>
      <c r="AK1912" s="94"/>
      <c r="AL1912" s="94"/>
    </row>
    <row r="1913" spans="3:38">
      <c r="C1913" s="30"/>
      <c r="F1913" s="95"/>
      <c r="G1913" s="1"/>
      <c r="H1913" s="94"/>
      <c r="I1913" s="90"/>
      <c r="J1913" s="90"/>
      <c r="K1913" s="1"/>
      <c r="L1913" s="74"/>
      <c r="M1913" s="633"/>
      <c r="N1913" s="274"/>
      <c r="O1913" s="94"/>
      <c r="P1913" s="94"/>
      <c r="Q1913" s="94"/>
      <c r="R1913" s="94"/>
      <c r="S1913" s="94"/>
      <c r="V1913" s="30"/>
      <c r="W1913" s="30"/>
      <c r="X1913" s="1"/>
      <c r="Y1913" s="95"/>
      <c r="Z1913" s="1"/>
      <c r="AA1913" s="94"/>
      <c r="AB1913" s="1"/>
      <c r="AC1913" s="1"/>
      <c r="AD1913" s="1"/>
      <c r="AE1913" s="30"/>
      <c r="AF1913" s="633"/>
      <c r="AG1913" s="94"/>
      <c r="AH1913" s="94"/>
      <c r="AI1913" s="94"/>
      <c r="AJ1913" s="94"/>
      <c r="AK1913" s="94"/>
      <c r="AL1913" s="94"/>
    </row>
    <row r="1914" spans="3:38">
      <c r="C1914" s="30"/>
      <c r="F1914" s="95"/>
      <c r="G1914" s="1"/>
      <c r="H1914" s="94"/>
      <c r="I1914" s="90"/>
      <c r="J1914" s="90"/>
      <c r="K1914" s="1"/>
      <c r="L1914" s="74"/>
      <c r="M1914" s="633"/>
      <c r="N1914" s="274"/>
      <c r="O1914" s="94"/>
      <c r="P1914" s="94"/>
      <c r="Q1914" s="94"/>
      <c r="R1914" s="94"/>
      <c r="S1914" s="94"/>
      <c r="V1914" s="30"/>
      <c r="W1914" s="30"/>
      <c r="X1914" s="1"/>
      <c r="Y1914" s="95"/>
      <c r="Z1914" s="1"/>
      <c r="AA1914" s="94"/>
      <c r="AB1914" s="1"/>
      <c r="AC1914" s="1"/>
      <c r="AD1914" s="1"/>
      <c r="AE1914" s="30"/>
      <c r="AF1914" s="633"/>
      <c r="AG1914" s="94"/>
      <c r="AH1914" s="94"/>
      <c r="AI1914" s="94"/>
      <c r="AJ1914" s="94"/>
      <c r="AK1914" s="94"/>
      <c r="AL1914" s="94"/>
    </row>
    <row r="1915" spans="3:38">
      <c r="C1915" s="30"/>
      <c r="F1915" s="95"/>
      <c r="G1915" s="1"/>
      <c r="H1915" s="94"/>
      <c r="I1915" s="90"/>
      <c r="J1915" s="90"/>
      <c r="K1915" s="1"/>
      <c r="L1915" s="74"/>
      <c r="M1915" s="633"/>
      <c r="N1915" s="274"/>
      <c r="O1915" s="94"/>
      <c r="P1915" s="94"/>
      <c r="Q1915" s="94"/>
      <c r="R1915" s="94"/>
      <c r="S1915" s="94"/>
      <c r="V1915" s="30"/>
      <c r="W1915" s="30"/>
      <c r="X1915" s="1"/>
      <c r="Y1915" s="95"/>
      <c r="Z1915" s="1"/>
      <c r="AA1915" s="94"/>
      <c r="AB1915" s="1"/>
      <c r="AC1915" s="1"/>
      <c r="AD1915" s="1"/>
      <c r="AE1915" s="30"/>
      <c r="AF1915" s="633"/>
      <c r="AG1915" s="94"/>
      <c r="AH1915" s="94"/>
      <c r="AI1915" s="94"/>
      <c r="AJ1915" s="94"/>
      <c r="AK1915" s="94"/>
      <c r="AL1915" s="94"/>
    </row>
    <row r="1916" spans="3:38">
      <c r="C1916" s="30"/>
      <c r="F1916" s="95"/>
      <c r="G1916" s="1"/>
      <c r="H1916" s="94"/>
      <c r="I1916" s="90"/>
      <c r="J1916" s="90"/>
      <c r="K1916" s="1"/>
      <c r="L1916" s="74"/>
      <c r="M1916" s="633"/>
      <c r="N1916" s="274"/>
      <c r="O1916" s="94"/>
      <c r="P1916" s="94"/>
      <c r="Q1916" s="94"/>
      <c r="R1916" s="94"/>
      <c r="S1916" s="94"/>
      <c r="V1916" s="30"/>
      <c r="W1916" s="30"/>
      <c r="X1916" s="1"/>
      <c r="Y1916" s="95"/>
      <c r="Z1916" s="1"/>
      <c r="AA1916" s="94"/>
      <c r="AB1916" s="1"/>
      <c r="AC1916" s="1"/>
      <c r="AD1916" s="1"/>
      <c r="AE1916" s="30"/>
      <c r="AF1916" s="633"/>
      <c r="AG1916" s="94"/>
      <c r="AH1916" s="94"/>
      <c r="AI1916" s="94"/>
      <c r="AJ1916" s="94"/>
      <c r="AK1916" s="94"/>
      <c r="AL1916" s="94"/>
    </row>
    <row r="1917" spans="3:38">
      <c r="C1917" s="30"/>
      <c r="F1917" s="95"/>
      <c r="G1917" s="1"/>
      <c r="H1917" s="94"/>
      <c r="I1917" s="90"/>
      <c r="J1917" s="90"/>
      <c r="K1917" s="1"/>
      <c r="L1917" s="74"/>
      <c r="M1917" s="633"/>
      <c r="N1917" s="274"/>
      <c r="O1917" s="94"/>
      <c r="P1917" s="94"/>
      <c r="Q1917" s="94"/>
      <c r="R1917" s="94"/>
      <c r="S1917" s="94"/>
      <c r="V1917" s="30"/>
      <c r="W1917" s="30"/>
      <c r="X1917" s="1"/>
      <c r="Y1917" s="95"/>
      <c r="Z1917" s="1"/>
      <c r="AA1917" s="94"/>
      <c r="AB1917" s="1"/>
      <c r="AC1917" s="1"/>
      <c r="AD1917" s="1"/>
      <c r="AE1917" s="30"/>
      <c r="AF1917" s="633"/>
      <c r="AG1917" s="94"/>
      <c r="AH1917" s="94"/>
      <c r="AI1917" s="94"/>
      <c r="AJ1917" s="94"/>
      <c r="AK1917" s="94"/>
      <c r="AL1917" s="94"/>
    </row>
    <row r="1918" spans="3:38">
      <c r="C1918" s="30"/>
      <c r="F1918" s="95"/>
      <c r="G1918" s="1"/>
      <c r="H1918" s="94"/>
      <c r="I1918" s="90"/>
      <c r="J1918" s="90"/>
      <c r="K1918" s="1"/>
      <c r="L1918" s="74"/>
      <c r="M1918" s="633"/>
      <c r="N1918" s="274"/>
      <c r="O1918" s="94"/>
      <c r="P1918" s="94"/>
      <c r="Q1918" s="94"/>
      <c r="R1918" s="94"/>
      <c r="S1918" s="94"/>
      <c r="V1918" s="30"/>
      <c r="W1918" s="30"/>
      <c r="X1918" s="1"/>
      <c r="Y1918" s="95"/>
      <c r="Z1918" s="1"/>
      <c r="AA1918" s="94"/>
      <c r="AB1918" s="1"/>
      <c r="AC1918" s="1"/>
      <c r="AD1918" s="1"/>
      <c r="AE1918" s="30"/>
      <c r="AF1918" s="633"/>
      <c r="AG1918" s="94"/>
      <c r="AH1918" s="94"/>
      <c r="AI1918" s="94"/>
      <c r="AJ1918" s="94"/>
      <c r="AK1918" s="94"/>
      <c r="AL1918" s="94"/>
    </row>
    <row r="1919" spans="3:38">
      <c r="C1919" s="30"/>
      <c r="F1919" s="95"/>
      <c r="G1919" s="1"/>
      <c r="H1919" s="94"/>
      <c r="I1919" s="90"/>
      <c r="J1919" s="90"/>
      <c r="K1919" s="1"/>
      <c r="L1919" s="74"/>
      <c r="M1919" s="633"/>
      <c r="N1919" s="274"/>
      <c r="O1919" s="94"/>
      <c r="P1919" s="94"/>
      <c r="Q1919" s="94"/>
      <c r="R1919" s="94"/>
      <c r="S1919" s="94"/>
      <c r="V1919" s="30"/>
      <c r="W1919" s="30"/>
      <c r="X1919" s="1"/>
      <c r="Y1919" s="95"/>
      <c r="Z1919" s="1"/>
      <c r="AA1919" s="94"/>
      <c r="AB1919" s="1"/>
      <c r="AC1919" s="1"/>
      <c r="AD1919" s="1"/>
      <c r="AE1919" s="30"/>
      <c r="AF1919" s="633"/>
      <c r="AG1919" s="94"/>
      <c r="AH1919" s="94"/>
      <c r="AI1919" s="94"/>
      <c r="AJ1919" s="94"/>
      <c r="AK1919" s="94"/>
      <c r="AL1919" s="94"/>
    </row>
    <row r="1920" spans="3:38">
      <c r="C1920" s="30"/>
      <c r="F1920" s="95"/>
      <c r="G1920" s="1"/>
      <c r="H1920" s="94"/>
      <c r="I1920" s="90"/>
      <c r="J1920" s="90"/>
      <c r="K1920" s="1"/>
      <c r="L1920" s="74"/>
      <c r="M1920" s="633"/>
      <c r="N1920" s="274"/>
      <c r="O1920" s="94"/>
      <c r="P1920" s="94"/>
      <c r="Q1920" s="94"/>
      <c r="R1920" s="94"/>
      <c r="S1920" s="94"/>
      <c r="V1920" s="30"/>
      <c r="W1920" s="30"/>
      <c r="X1920" s="1"/>
      <c r="Y1920" s="95"/>
      <c r="Z1920" s="1"/>
      <c r="AA1920" s="94"/>
      <c r="AB1920" s="1"/>
      <c r="AC1920" s="1"/>
      <c r="AD1920" s="1"/>
      <c r="AE1920" s="30"/>
      <c r="AF1920" s="633"/>
      <c r="AG1920" s="94"/>
      <c r="AH1920" s="94"/>
      <c r="AI1920" s="94"/>
      <c r="AJ1920" s="94"/>
      <c r="AK1920" s="94"/>
      <c r="AL1920" s="94"/>
    </row>
    <row r="1921" spans="3:38">
      <c r="C1921" s="30"/>
      <c r="F1921" s="95"/>
      <c r="G1921" s="1"/>
      <c r="H1921" s="94"/>
      <c r="I1921" s="90"/>
      <c r="J1921" s="90"/>
      <c r="K1921" s="1"/>
      <c r="L1921" s="74"/>
      <c r="M1921" s="633"/>
      <c r="N1921" s="274"/>
      <c r="O1921" s="94"/>
      <c r="P1921" s="94"/>
      <c r="Q1921" s="94"/>
      <c r="R1921" s="94"/>
      <c r="S1921" s="94"/>
      <c r="V1921" s="30"/>
      <c r="W1921" s="30"/>
      <c r="X1921" s="1"/>
      <c r="Y1921" s="95"/>
      <c r="Z1921" s="1"/>
      <c r="AA1921" s="94"/>
      <c r="AB1921" s="1"/>
      <c r="AC1921" s="1"/>
      <c r="AD1921" s="1"/>
      <c r="AE1921" s="30"/>
      <c r="AF1921" s="633"/>
      <c r="AG1921" s="94"/>
      <c r="AH1921" s="94"/>
      <c r="AI1921" s="94"/>
      <c r="AJ1921" s="94"/>
      <c r="AK1921" s="94"/>
      <c r="AL1921" s="94"/>
    </row>
    <row r="1922" spans="3:38">
      <c r="C1922" s="30"/>
      <c r="F1922" s="95"/>
      <c r="G1922" s="1"/>
      <c r="H1922" s="94"/>
      <c r="I1922" s="90"/>
      <c r="J1922" s="90"/>
      <c r="K1922" s="1"/>
      <c r="L1922" s="74"/>
      <c r="M1922" s="633"/>
      <c r="N1922" s="274"/>
      <c r="O1922" s="94"/>
      <c r="P1922" s="94"/>
      <c r="Q1922" s="94"/>
      <c r="R1922" s="94"/>
      <c r="S1922" s="94"/>
      <c r="V1922" s="30"/>
      <c r="W1922" s="30"/>
      <c r="X1922" s="1"/>
      <c r="Y1922" s="95"/>
      <c r="Z1922" s="1"/>
      <c r="AA1922" s="94"/>
      <c r="AB1922" s="1"/>
      <c r="AC1922" s="1"/>
      <c r="AD1922" s="1"/>
      <c r="AE1922" s="30"/>
      <c r="AF1922" s="633"/>
      <c r="AG1922" s="94"/>
      <c r="AH1922" s="94"/>
      <c r="AI1922" s="94"/>
      <c r="AJ1922" s="94"/>
      <c r="AK1922" s="94"/>
      <c r="AL1922" s="94"/>
    </row>
    <row r="1923" spans="3:38">
      <c r="C1923" s="30"/>
      <c r="F1923" s="95"/>
      <c r="G1923" s="1"/>
      <c r="H1923" s="94"/>
      <c r="I1923" s="90"/>
      <c r="J1923" s="90"/>
      <c r="K1923" s="1"/>
      <c r="L1923" s="74"/>
      <c r="M1923" s="633"/>
      <c r="N1923" s="274"/>
      <c r="O1923" s="94"/>
      <c r="P1923" s="94"/>
      <c r="Q1923" s="94"/>
      <c r="R1923" s="94"/>
      <c r="S1923" s="94"/>
      <c r="V1923" s="30"/>
      <c r="W1923" s="30"/>
      <c r="X1923" s="1"/>
      <c r="Y1923" s="95"/>
      <c r="Z1923" s="1"/>
      <c r="AA1923" s="94"/>
      <c r="AB1923" s="1"/>
      <c r="AC1923" s="1"/>
      <c r="AD1923" s="1"/>
      <c r="AE1923" s="30"/>
      <c r="AF1923" s="633"/>
      <c r="AG1923" s="94"/>
      <c r="AH1923" s="94"/>
      <c r="AI1923" s="94"/>
      <c r="AJ1923" s="94"/>
      <c r="AK1923" s="94"/>
      <c r="AL1923" s="94"/>
    </row>
    <row r="1924" spans="3:38">
      <c r="C1924" s="30"/>
      <c r="F1924" s="95"/>
      <c r="G1924" s="1"/>
      <c r="H1924" s="94"/>
      <c r="I1924" s="90"/>
      <c r="J1924" s="90"/>
      <c r="K1924" s="1"/>
      <c r="L1924" s="74"/>
      <c r="M1924" s="633"/>
      <c r="N1924" s="274"/>
      <c r="O1924" s="94"/>
      <c r="P1924" s="94"/>
      <c r="Q1924" s="94"/>
      <c r="R1924" s="94"/>
      <c r="S1924" s="94"/>
      <c r="V1924" s="30"/>
      <c r="W1924" s="30"/>
      <c r="X1924" s="1"/>
      <c r="Y1924" s="95"/>
      <c r="Z1924" s="1"/>
      <c r="AA1924" s="94"/>
      <c r="AB1924" s="1"/>
      <c r="AC1924" s="1"/>
      <c r="AD1924" s="1"/>
      <c r="AE1924" s="30"/>
      <c r="AF1924" s="633"/>
      <c r="AG1924" s="94"/>
      <c r="AH1924" s="94"/>
      <c r="AI1924" s="94"/>
      <c r="AJ1924" s="94"/>
      <c r="AK1924" s="94"/>
      <c r="AL1924" s="94"/>
    </row>
    <row r="1925" spans="3:38">
      <c r="C1925" s="30"/>
      <c r="F1925" s="95"/>
      <c r="G1925" s="1"/>
      <c r="H1925" s="94"/>
      <c r="I1925" s="90"/>
      <c r="J1925" s="90"/>
      <c r="K1925" s="1"/>
      <c r="L1925" s="74"/>
      <c r="M1925" s="633"/>
      <c r="N1925" s="274"/>
      <c r="O1925" s="94"/>
      <c r="P1925" s="94"/>
      <c r="Q1925" s="94"/>
      <c r="R1925" s="94"/>
      <c r="S1925" s="94"/>
      <c r="V1925" s="30"/>
      <c r="W1925" s="30"/>
      <c r="X1925" s="1"/>
      <c r="Y1925" s="95"/>
      <c r="Z1925" s="1"/>
      <c r="AA1925" s="94"/>
      <c r="AB1925" s="1"/>
      <c r="AC1925" s="1"/>
      <c r="AD1925" s="1"/>
      <c r="AE1925" s="30"/>
      <c r="AF1925" s="633"/>
      <c r="AG1925" s="94"/>
      <c r="AH1925" s="94"/>
      <c r="AI1925" s="94"/>
      <c r="AJ1925" s="94"/>
      <c r="AK1925" s="94"/>
      <c r="AL1925" s="94"/>
    </row>
    <row r="1926" spans="3:38">
      <c r="C1926" s="30"/>
      <c r="F1926" s="95"/>
      <c r="G1926" s="1"/>
      <c r="H1926" s="94"/>
      <c r="I1926" s="90"/>
      <c r="J1926" s="90"/>
      <c r="K1926" s="1"/>
      <c r="L1926" s="74"/>
      <c r="M1926" s="633"/>
      <c r="N1926" s="274"/>
      <c r="O1926" s="94"/>
      <c r="P1926" s="94"/>
      <c r="Q1926" s="94"/>
      <c r="R1926" s="94"/>
      <c r="S1926" s="94"/>
      <c r="V1926" s="30"/>
      <c r="W1926" s="30"/>
      <c r="X1926" s="1"/>
      <c r="Y1926" s="95"/>
      <c r="Z1926" s="1"/>
      <c r="AA1926" s="94"/>
      <c r="AB1926" s="1"/>
      <c r="AC1926" s="1"/>
      <c r="AD1926" s="1"/>
      <c r="AE1926" s="30"/>
      <c r="AF1926" s="633"/>
      <c r="AG1926" s="94"/>
      <c r="AH1926" s="94"/>
      <c r="AI1926" s="94"/>
      <c r="AJ1926" s="94"/>
      <c r="AK1926" s="94"/>
      <c r="AL1926" s="94"/>
    </row>
    <row r="1927" spans="3:38">
      <c r="C1927" s="30"/>
      <c r="F1927" s="95"/>
      <c r="G1927" s="1"/>
      <c r="H1927" s="94"/>
      <c r="I1927" s="90"/>
      <c r="J1927" s="90"/>
      <c r="K1927" s="1"/>
      <c r="L1927" s="74"/>
      <c r="M1927" s="633"/>
      <c r="N1927" s="274"/>
      <c r="O1927" s="94"/>
      <c r="P1927" s="94"/>
      <c r="Q1927" s="94"/>
      <c r="R1927" s="94"/>
      <c r="S1927" s="94"/>
      <c r="V1927" s="30"/>
      <c r="W1927" s="30"/>
      <c r="X1927" s="1"/>
      <c r="Y1927" s="95"/>
      <c r="Z1927" s="1"/>
      <c r="AA1927" s="94"/>
      <c r="AB1927" s="1"/>
      <c r="AC1927" s="1"/>
      <c r="AD1927" s="1"/>
      <c r="AE1927" s="30"/>
      <c r="AF1927" s="633"/>
      <c r="AG1927" s="94"/>
      <c r="AH1927" s="94"/>
      <c r="AI1927" s="94"/>
      <c r="AJ1927" s="94"/>
      <c r="AK1927" s="94"/>
      <c r="AL1927" s="94"/>
    </row>
    <row r="1928" spans="3:38">
      <c r="C1928" s="30"/>
      <c r="F1928" s="95"/>
      <c r="G1928" s="1"/>
      <c r="H1928" s="94"/>
      <c r="I1928" s="90"/>
      <c r="J1928" s="90"/>
      <c r="K1928" s="1"/>
      <c r="L1928" s="74"/>
      <c r="M1928" s="633"/>
      <c r="N1928" s="274"/>
      <c r="O1928" s="94"/>
      <c r="P1928" s="94"/>
      <c r="Q1928" s="94"/>
      <c r="R1928" s="94"/>
      <c r="S1928" s="94"/>
      <c r="V1928" s="30"/>
      <c r="W1928" s="30"/>
      <c r="X1928" s="1"/>
      <c r="Y1928" s="95"/>
      <c r="Z1928" s="1"/>
      <c r="AA1928" s="94"/>
      <c r="AB1928" s="1"/>
      <c r="AC1928" s="1"/>
      <c r="AD1928" s="1"/>
      <c r="AE1928" s="30"/>
      <c r="AF1928" s="633"/>
      <c r="AG1928" s="94"/>
      <c r="AH1928" s="94"/>
      <c r="AI1928" s="94"/>
      <c r="AJ1928" s="94"/>
      <c r="AK1928" s="94"/>
      <c r="AL1928" s="94"/>
    </row>
    <row r="1929" spans="3:38">
      <c r="C1929" s="30"/>
      <c r="F1929" s="95"/>
      <c r="G1929" s="1"/>
      <c r="H1929" s="94"/>
      <c r="I1929" s="90"/>
      <c r="J1929" s="90"/>
      <c r="K1929" s="1"/>
      <c r="L1929" s="74"/>
      <c r="M1929" s="633"/>
      <c r="N1929" s="274"/>
      <c r="O1929" s="94"/>
      <c r="P1929" s="94"/>
      <c r="Q1929" s="94"/>
      <c r="R1929" s="94"/>
      <c r="S1929" s="94"/>
      <c r="V1929" s="30"/>
      <c r="W1929" s="30"/>
      <c r="X1929" s="1"/>
      <c r="Y1929" s="95"/>
      <c r="Z1929" s="1"/>
      <c r="AA1929" s="94"/>
      <c r="AB1929" s="1"/>
      <c r="AC1929" s="1"/>
      <c r="AD1929" s="1"/>
      <c r="AE1929" s="30"/>
      <c r="AF1929" s="633"/>
      <c r="AG1929" s="94"/>
      <c r="AH1929" s="94"/>
      <c r="AI1929" s="94"/>
      <c r="AJ1929" s="94"/>
      <c r="AK1929" s="94"/>
      <c r="AL1929" s="94"/>
    </row>
    <row r="1930" spans="3:38">
      <c r="C1930" s="30"/>
      <c r="F1930" s="95"/>
      <c r="G1930" s="1"/>
      <c r="H1930" s="94"/>
      <c r="I1930" s="90"/>
      <c r="J1930" s="90"/>
      <c r="K1930" s="1"/>
      <c r="L1930" s="74"/>
      <c r="M1930" s="633"/>
      <c r="N1930" s="274"/>
      <c r="O1930" s="94"/>
      <c r="P1930" s="94"/>
      <c r="Q1930" s="94"/>
      <c r="R1930" s="94"/>
      <c r="S1930" s="94"/>
      <c r="V1930" s="30"/>
      <c r="W1930" s="30"/>
      <c r="X1930" s="1"/>
      <c r="Y1930" s="95"/>
      <c r="Z1930" s="1"/>
      <c r="AA1930" s="94"/>
      <c r="AB1930" s="1"/>
      <c r="AC1930" s="1"/>
      <c r="AD1930" s="1"/>
      <c r="AE1930" s="30"/>
      <c r="AF1930" s="633"/>
      <c r="AG1930" s="94"/>
      <c r="AH1930" s="94"/>
      <c r="AI1930" s="94"/>
      <c r="AJ1930" s="94"/>
      <c r="AK1930" s="94"/>
      <c r="AL1930" s="94"/>
    </row>
    <row r="1931" spans="3:38">
      <c r="C1931" s="30"/>
      <c r="F1931" s="95"/>
      <c r="G1931" s="1"/>
      <c r="H1931" s="94"/>
      <c r="I1931" s="90"/>
      <c r="J1931" s="90"/>
      <c r="K1931" s="1"/>
      <c r="L1931" s="74"/>
      <c r="M1931" s="633"/>
      <c r="N1931" s="274"/>
      <c r="O1931" s="94"/>
      <c r="P1931" s="94"/>
      <c r="Q1931" s="94"/>
      <c r="R1931" s="94"/>
      <c r="S1931" s="94"/>
      <c r="V1931" s="30"/>
      <c r="W1931" s="30"/>
      <c r="X1931" s="1"/>
      <c r="Y1931" s="95"/>
      <c r="Z1931" s="1"/>
      <c r="AA1931" s="94"/>
      <c r="AB1931" s="1"/>
      <c r="AC1931" s="1"/>
      <c r="AD1931" s="1"/>
      <c r="AE1931" s="30"/>
      <c r="AF1931" s="633"/>
      <c r="AG1931" s="94"/>
      <c r="AH1931" s="94"/>
      <c r="AI1931" s="94"/>
      <c r="AJ1931" s="94"/>
      <c r="AK1931" s="94"/>
      <c r="AL1931" s="94"/>
    </row>
    <row r="1932" spans="3:38">
      <c r="C1932" s="30"/>
      <c r="F1932" s="95"/>
      <c r="G1932" s="1"/>
      <c r="H1932" s="94"/>
      <c r="I1932" s="90"/>
      <c r="J1932" s="90"/>
      <c r="K1932" s="1"/>
      <c r="L1932" s="74"/>
      <c r="M1932" s="633"/>
      <c r="N1932" s="274"/>
      <c r="O1932" s="94"/>
      <c r="P1932" s="94"/>
      <c r="Q1932" s="94"/>
      <c r="R1932" s="94"/>
      <c r="S1932" s="94"/>
      <c r="V1932" s="30"/>
      <c r="W1932" s="30"/>
      <c r="X1932" s="1"/>
      <c r="Y1932" s="95"/>
      <c r="Z1932" s="1"/>
      <c r="AA1932" s="94"/>
      <c r="AB1932" s="1"/>
      <c r="AC1932" s="1"/>
      <c r="AD1932" s="1"/>
      <c r="AE1932" s="30"/>
      <c r="AF1932" s="633"/>
      <c r="AG1932" s="94"/>
      <c r="AH1932" s="94"/>
      <c r="AI1932" s="94"/>
      <c r="AJ1932" s="94"/>
      <c r="AK1932" s="94"/>
      <c r="AL1932" s="94"/>
    </row>
    <row r="1933" spans="3:38">
      <c r="C1933" s="30"/>
      <c r="F1933" s="95"/>
      <c r="G1933" s="1"/>
      <c r="H1933" s="94"/>
      <c r="I1933" s="90"/>
      <c r="J1933" s="90"/>
      <c r="K1933" s="1"/>
      <c r="L1933" s="74"/>
      <c r="M1933" s="633"/>
      <c r="N1933" s="274"/>
      <c r="O1933" s="94"/>
      <c r="P1933" s="94"/>
      <c r="Q1933" s="94"/>
      <c r="R1933" s="94"/>
      <c r="S1933" s="94"/>
      <c r="V1933" s="30"/>
      <c r="W1933" s="30"/>
      <c r="X1933" s="1"/>
      <c r="Y1933" s="95"/>
      <c r="Z1933" s="1"/>
      <c r="AA1933" s="94"/>
      <c r="AB1933" s="1"/>
      <c r="AC1933" s="1"/>
      <c r="AD1933" s="1"/>
      <c r="AE1933" s="30"/>
      <c r="AF1933" s="633"/>
      <c r="AG1933" s="94"/>
      <c r="AH1933" s="94"/>
      <c r="AI1933" s="94"/>
      <c r="AJ1933" s="94"/>
      <c r="AK1933" s="94"/>
      <c r="AL1933" s="94"/>
    </row>
    <row r="1934" spans="3:38">
      <c r="C1934" s="30"/>
      <c r="F1934" s="95"/>
      <c r="G1934" s="1"/>
      <c r="H1934" s="94"/>
      <c r="I1934" s="90"/>
      <c r="J1934" s="90"/>
      <c r="K1934" s="1"/>
      <c r="L1934" s="74"/>
      <c r="M1934" s="633"/>
      <c r="N1934" s="274"/>
      <c r="O1934" s="94"/>
      <c r="P1934" s="94"/>
      <c r="Q1934" s="94"/>
      <c r="R1934" s="94"/>
      <c r="S1934" s="94"/>
      <c r="V1934" s="30"/>
      <c r="W1934" s="30"/>
      <c r="X1934" s="1"/>
      <c r="Y1934" s="95"/>
      <c r="Z1934" s="1"/>
      <c r="AA1934" s="94"/>
      <c r="AB1934" s="1"/>
      <c r="AC1934" s="1"/>
      <c r="AD1934" s="1"/>
      <c r="AE1934" s="30"/>
      <c r="AF1934" s="633"/>
      <c r="AG1934" s="94"/>
      <c r="AH1934" s="94"/>
      <c r="AI1934" s="94"/>
      <c r="AJ1934" s="94"/>
      <c r="AK1934" s="94"/>
      <c r="AL1934" s="94"/>
    </row>
    <row r="1935" spans="3:38">
      <c r="C1935" s="30"/>
      <c r="F1935" s="95"/>
      <c r="G1935" s="1"/>
      <c r="H1935" s="94"/>
      <c r="I1935" s="90"/>
      <c r="J1935" s="90"/>
      <c r="K1935" s="1"/>
      <c r="L1935" s="74"/>
      <c r="M1935" s="633"/>
      <c r="N1935" s="274"/>
      <c r="O1935" s="94"/>
      <c r="P1935" s="94"/>
      <c r="Q1935" s="94"/>
      <c r="R1935" s="94"/>
      <c r="S1935" s="94"/>
      <c r="V1935" s="30"/>
      <c r="W1935" s="30"/>
      <c r="X1935" s="1"/>
      <c r="Y1935" s="95"/>
      <c r="Z1935" s="1"/>
      <c r="AA1935" s="94"/>
      <c r="AB1935" s="1"/>
      <c r="AC1935" s="1"/>
      <c r="AD1935" s="1"/>
      <c r="AE1935" s="30"/>
      <c r="AF1935" s="633"/>
      <c r="AG1935" s="94"/>
      <c r="AH1935" s="94"/>
      <c r="AI1935" s="94"/>
      <c r="AJ1935" s="94"/>
      <c r="AK1935" s="94"/>
      <c r="AL1935" s="94"/>
    </row>
    <row r="1936" spans="3:38">
      <c r="C1936" s="30"/>
      <c r="F1936" s="95"/>
      <c r="G1936" s="1"/>
      <c r="H1936" s="94"/>
      <c r="I1936" s="90"/>
      <c r="J1936" s="90"/>
      <c r="K1936" s="1"/>
      <c r="L1936" s="74"/>
      <c r="M1936" s="633"/>
      <c r="N1936" s="274"/>
      <c r="O1936" s="94"/>
      <c r="P1936" s="94"/>
      <c r="Q1936" s="94"/>
      <c r="R1936" s="94"/>
      <c r="S1936" s="94"/>
      <c r="V1936" s="30"/>
      <c r="W1936" s="30"/>
      <c r="X1936" s="1"/>
      <c r="Y1936" s="95"/>
      <c r="Z1936" s="1"/>
      <c r="AA1936" s="94"/>
      <c r="AB1936" s="1"/>
      <c r="AC1936" s="1"/>
      <c r="AD1936" s="1"/>
      <c r="AE1936" s="30"/>
      <c r="AF1936" s="633"/>
      <c r="AG1936" s="94"/>
      <c r="AH1936" s="94"/>
      <c r="AI1936" s="94"/>
      <c r="AJ1936" s="94"/>
      <c r="AK1936" s="94"/>
      <c r="AL1936" s="94"/>
    </row>
    <row r="1937" spans="3:38">
      <c r="C1937" s="30"/>
      <c r="F1937" s="95"/>
      <c r="G1937" s="1"/>
      <c r="H1937" s="94"/>
      <c r="I1937" s="90"/>
      <c r="J1937" s="90"/>
      <c r="K1937" s="1"/>
      <c r="L1937" s="74"/>
      <c r="M1937" s="633"/>
      <c r="N1937" s="274"/>
      <c r="O1937" s="94"/>
      <c r="P1937" s="94"/>
      <c r="Q1937" s="94"/>
      <c r="R1937" s="94"/>
      <c r="S1937" s="94"/>
      <c r="V1937" s="30"/>
      <c r="W1937" s="30"/>
      <c r="X1937" s="1"/>
      <c r="Y1937" s="95"/>
      <c r="Z1937" s="1"/>
      <c r="AA1937" s="94"/>
      <c r="AB1937" s="1"/>
      <c r="AC1937" s="1"/>
      <c r="AD1937" s="1"/>
      <c r="AE1937" s="30"/>
      <c r="AF1937" s="633"/>
      <c r="AG1937" s="94"/>
      <c r="AH1937" s="94"/>
      <c r="AI1937" s="94"/>
      <c r="AJ1937" s="94"/>
      <c r="AK1937" s="94"/>
      <c r="AL1937" s="94"/>
    </row>
    <row r="1938" spans="3:38">
      <c r="C1938" s="30"/>
      <c r="F1938" s="95"/>
      <c r="G1938" s="1"/>
      <c r="H1938" s="94"/>
      <c r="I1938" s="90"/>
      <c r="J1938" s="90"/>
      <c r="K1938" s="1"/>
      <c r="L1938" s="74"/>
      <c r="M1938" s="633"/>
      <c r="N1938" s="274"/>
      <c r="O1938" s="94"/>
      <c r="P1938" s="94"/>
      <c r="Q1938" s="94"/>
      <c r="R1938" s="94"/>
      <c r="S1938" s="94"/>
      <c r="V1938" s="30"/>
      <c r="W1938" s="30"/>
      <c r="X1938" s="1"/>
      <c r="Y1938" s="95"/>
      <c r="Z1938" s="1"/>
      <c r="AA1938" s="94"/>
      <c r="AB1938" s="1"/>
      <c r="AC1938" s="1"/>
      <c r="AD1938" s="1"/>
      <c r="AE1938" s="30"/>
      <c r="AF1938" s="633"/>
      <c r="AG1938" s="94"/>
      <c r="AH1938" s="94"/>
      <c r="AI1938" s="94"/>
      <c r="AJ1938" s="94"/>
      <c r="AK1938" s="94"/>
      <c r="AL1938" s="94"/>
    </row>
    <row r="1939" spans="3:38">
      <c r="C1939" s="30"/>
      <c r="F1939" s="95"/>
      <c r="G1939" s="1"/>
      <c r="H1939" s="94"/>
      <c r="I1939" s="90"/>
      <c r="J1939" s="90"/>
      <c r="K1939" s="1"/>
      <c r="L1939" s="74"/>
      <c r="M1939" s="633"/>
      <c r="N1939" s="274"/>
      <c r="O1939" s="94"/>
      <c r="P1939" s="94"/>
      <c r="Q1939" s="94"/>
      <c r="R1939" s="94"/>
      <c r="S1939" s="94"/>
      <c r="V1939" s="30"/>
      <c r="W1939" s="30"/>
      <c r="X1939" s="1"/>
      <c r="Y1939" s="95"/>
      <c r="Z1939" s="1"/>
      <c r="AA1939" s="94"/>
      <c r="AB1939" s="1"/>
      <c r="AC1939" s="1"/>
      <c r="AD1939" s="1"/>
      <c r="AE1939" s="30"/>
      <c r="AF1939" s="633"/>
      <c r="AG1939" s="94"/>
      <c r="AH1939" s="94"/>
      <c r="AI1939" s="94"/>
      <c r="AJ1939" s="94"/>
      <c r="AK1939" s="94"/>
      <c r="AL1939" s="94"/>
    </row>
    <row r="1940" spans="3:38">
      <c r="C1940" s="30"/>
      <c r="F1940" s="95"/>
      <c r="G1940" s="1"/>
      <c r="H1940" s="94"/>
      <c r="I1940" s="90"/>
      <c r="J1940" s="90"/>
      <c r="K1940" s="1"/>
      <c r="L1940" s="74"/>
      <c r="M1940" s="633"/>
      <c r="N1940" s="274"/>
      <c r="O1940" s="94"/>
      <c r="P1940" s="94"/>
      <c r="Q1940" s="94"/>
      <c r="R1940" s="94"/>
      <c r="S1940" s="94"/>
      <c r="V1940" s="30"/>
      <c r="W1940" s="30"/>
      <c r="X1940" s="1"/>
      <c r="Y1940" s="95"/>
      <c r="Z1940" s="1"/>
      <c r="AA1940" s="94"/>
      <c r="AB1940" s="1"/>
      <c r="AC1940" s="1"/>
      <c r="AD1940" s="1"/>
      <c r="AE1940" s="30"/>
      <c r="AF1940" s="633"/>
      <c r="AG1940" s="94"/>
      <c r="AH1940" s="94"/>
      <c r="AI1940" s="94"/>
      <c r="AJ1940" s="94"/>
      <c r="AK1940" s="94"/>
      <c r="AL1940" s="94"/>
    </row>
    <row r="1941" spans="3:38">
      <c r="C1941" s="30"/>
      <c r="F1941" s="95"/>
      <c r="G1941" s="1"/>
      <c r="H1941" s="94"/>
      <c r="I1941" s="90"/>
      <c r="J1941" s="90"/>
      <c r="K1941" s="1"/>
      <c r="L1941" s="74"/>
      <c r="M1941" s="633"/>
      <c r="N1941" s="274"/>
      <c r="O1941" s="94"/>
      <c r="P1941" s="94"/>
      <c r="Q1941" s="94"/>
      <c r="R1941" s="94"/>
      <c r="S1941" s="94"/>
      <c r="V1941" s="30"/>
      <c r="W1941" s="30"/>
      <c r="X1941" s="1"/>
      <c r="Y1941" s="95"/>
      <c r="Z1941" s="1"/>
      <c r="AA1941" s="94"/>
      <c r="AB1941" s="1"/>
      <c r="AC1941" s="1"/>
      <c r="AD1941" s="1"/>
      <c r="AE1941" s="30"/>
      <c r="AF1941" s="633"/>
      <c r="AG1941" s="94"/>
      <c r="AH1941" s="94"/>
      <c r="AI1941" s="94"/>
      <c r="AJ1941" s="94"/>
      <c r="AK1941" s="94"/>
      <c r="AL1941" s="94"/>
    </row>
    <row r="1942" spans="3:38">
      <c r="C1942" s="30"/>
      <c r="F1942" s="95"/>
      <c r="G1942" s="1"/>
      <c r="H1942" s="94"/>
      <c r="I1942" s="90"/>
      <c r="J1942" s="90"/>
      <c r="K1942" s="1"/>
      <c r="L1942" s="74"/>
      <c r="M1942" s="633"/>
      <c r="N1942" s="274"/>
      <c r="O1942" s="94"/>
      <c r="P1942" s="94"/>
      <c r="Q1942" s="94"/>
      <c r="R1942" s="94"/>
      <c r="S1942" s="94"/>
      <c r="V1942" s="30"/>
      <c r="W1942" s="30"/>
      <c r="X1942" s="1"/>
      <c r="Y1942" s="95"/>
      <c r="Z1942" s="1"/>
      <c r="AA1942" s="94"/>
      <c r="AB1942" s="1"/>
      <c r="AC1942" s="1"/>
      <c r="AD1942" s="1"/>
      <c r="AE1942" s="30"/>
      <c r="AF1942" s="633"/>
      <c r="AG1942" s="94"/>
      <c r="AH1942" s="94"/>
      <c r="AI1942" s="94"/>
      <c r="AJ1942" s="94"/>
      <c r="AK1942" s="94"/>
      <c r="AL1942" s="94"/>
    </row>
    <row r="1943" spans="3:38">
      <c r="C1943" s="30"/>
      <c r="F1943" s="95"/>
      <c r="G1943" s="1"/>
      <c r="H1943" s="94"/>
      <c r="I1943" s="90"/>
      <c r="J1943" s="90"/>
      <c r="K1943" s="1"/>
      <c r="L1943" s="74"/>
      <c r="M1943" s="633"/>
      <c r="N1943" s="274"/>
      <c r="O1943" s="94"/>
      <c r="P1943" s="94"/>
      <c r="Q1943" s="94"/>
      <c r="R1943" s="94"/>
      <c r="S1943" s="94"/>
      <c r="V1943" s="30"/>
      <c r="W1943" s="30"/>
      <c r="X1943" s="1"/>
      <c r="Y1943" s="95"/>
      <c r="Z1943" s="1"/>
      <c r="AA1943" s="94"/>
      <c r="AB1943" s="1"/>
      <c r="AC1943" s="1"/>
      <c r="AD1943" s="1"/>
      <c r="AE1943" s="30"/>
      <c r="AF1943" s="633"/>
      <c r="AG1943" s="94"/>
      <c r="AH1943" s="94"/>
      <c r="AI1943" s="94"/>
      <c r="AJ1943" s="94"/>
      <c r="AK1943" s="94"/>
      <c r="AL1943" s="94"/>
    </row>
    <row r="1944" spans="3:38">
      <c r="C1944" s="30"/>
      <c r="F1944" s="95"/>
      <c r="G1944" s="1"/>
      <c r="H1944" s="94"/>
      <c r="I1944" s="90"/>
      <c r="J1944" s="90"/>
      <c r="K1944" s="1"/>
      <c r="L1944" s="74"/>
      <c r="M1944" s="633"/>
      <c r="N1944" s="274"/>
      <c r="O1944" s="94"/>
      <c r="P1944" s="94"/>
      <c r="Q1944" s="94"/>
      <c r="R1944" s="94"/>
      <c r="S1944" s="94"/>
      <c r="V1944" s="30"/>
      <c r="W1944" s="30"/>
      <c r="X1944" s="1"/>
      <c r="Y1944" s="95"/>
      <c r="Z1944" s="1"/>
      <c r="AA1944" s="94"/>
      <c r="AB1944" s="1"/>
      <c r="AC1944" s="1"/>
      <c r="AD1944" s="1"/>
      <c r="AE1944" s="30"/>
      <c r="AF1944" s="633"/>
      <c r="AG1944" s="94"/>
      <c r="AH1944" s="94"/>
      <c r="AI1944" s="94"/>
      <c r="AJ1944" s="94"/>
      <c r="AK1944" s="94"/>
      <c r="AL1944" s="94"/>
    </row>
    <row r="1945" spans="3:38">
      <c r="C1945" s="30"/>
      <c r="F1945" s="95"/>
      <c r="G1945" s="1"/>
      <c r="H1945" s="94"/>
      <c r="I1945" s="90"/>
      <c r="J1945" s="90"/>
      <c r="K1945" s="1"/>
      <c r="L1945" s="74"/>
      <c r="M1945" s="633"/>
      <c r="N1945" s="274"/>
      <c r="O1945" s="94"/>
      <c r="P1945" s="94"/>
      <c r="Q1945" s="94"/>
      <c r="R1945" s="94"/>
      <c r="S1945" s="94"/>
      <c r="V1945" s="30"/>
      <c r="W1945" s="30"/>
      <c r="X1945" s="1"/>
      <c r="Y1945" s="95"/>
      <c r="Z1945" s="1"/>
      <c r="AA1945" s="94"/>
      <c r="AB1945" s="1"/>
      <c r="AC1945" s="1"/>
      <c r="AD1945" s="1"/>
      <c r="AE1945" s="30"/>
      <c r="AF1945" s="633"/>
      <c r="AG1945" s="94"/>
      <c r="AH1945" s="94"/>
      <c r="AI1945" s="94"/>
      <c r="AJ1945" s="94"/>
      <c r="AK1945" s="94"/>
      <c r="AL1945" s="94"/>
    </row>
    <row r="1946" spans="3:38">
      <c r="C1946" s="30"/>
      <c r="F1946" s="95"/>
      <c r="G1946" s="1"/>
      <c r="H1946" s="94"/>
      <c r="I1946" s="90"/>
      <c r="J1946" s="90"/>
      <c r="K1946" s="1"/>
      <c r="L1946" s="74"/>
      <c r="M1946" s="633"/>
      <c r="N1946" s="274"/>
      <c r="O1946" s="94"/>
      <c r="P1946" s="94"/>
      <c r="Q1946" s="94"/>
      <c r="R1946" s="94"/>
      <c r="S1946" s="94"/>
      <c r="V1946" s="30"/>
      <c r="W1946" s="30"/>
      <c r="X1946" s="1"/>
      <c r="Y1946" s="95"/>
      <c r="Z1946" s="1"/>
      <c r="AA1946" s="94"/>
      <c r="AB1946" s="1"/>
      <c r="AC1946" s="1"/>
      <c r="AD1946" s="1"/>
      <c r="AE1946" s="30"/>
      <c r="AF1946" s="633"/>
      <c r="AG1946" s="94"/>
      <c r="AH1946" s="94"/>
      <c r="AI1946" s="94"/>
      <c r="AJ1946" s="94"/>
      <c r="AK1946" s="94"/>
      <c r="AL1946" s="94"/>
    </row>
    <row r="1947" spans="3:38">
      <c r="C1947" s="30"/>
      <c r="F1947" s="95"/>
      <c r="G1947" s="1"/>
      <c r="H1947" s="94"/>
      <c r="I1947" s="90"/>
      <c r="J1947" s="90"/>
      <c r="K1947" s="1"/>
      <c r="L1947" s="74"/>
      <c r="M1947" s="633"/>
      <c r="N1947" s="274"/>
      <c r="O1947" s="94"/>
      <c r="P1947" s="94"/>
      <c r="Q1947" s="94"/>
      <c r="R1947" s="94"/>
      <c r="S1947" s="94"/>
      <c r="V1947" s="30"/>
      <c r="W1947" s="30"/>
      <c r="X1947" s="1"/>
      <c r="Y1947" s="95"/>
      <c r="Z1947" s="1"/>
      <c r="AA1947" s="94"/>
      <c r="AB1947" s="1"/>
      <c r="AC1947" s="1"/>
      <c r="AD1947" s="1"/>
      <c r="AE1947" s="30"/>
      <c r="AF1947" s="633"/>
      <c r="AG1947" s="94"/>
      <c r="AH1947" s="94"/>
      <c r="AI1947" s="94"/>
      <c r="AJ1947" s="94"/>
      <c r="AK1947" s="94"/>
      <c r="AL1947" s="94"/>
    </row>
    <row r="1948" spans="3:38">
      <c r="C1948" s="30"/>
      <c r="F1948" s="95"/>
      <c r="G1948" s="1"/>
      <c r="H1948" s="94"/>
      <c r="I1948" s="90"/>
      <c r="J1948" s="90"/>
      <c r="K1948" s="1"/>
      <c r="L1948" s="74"/>
      <c r="M1948" s="633"/>
      <c r="N1948" s="274"/>
      <c r="O1948" s="94"/>
      <c r="P1948" s="94"/>
      <c r="Q1948" s="94"/>
      <c r="R1948" s="94"/>
      <c r="S1948" s="94"/>
      <c r="V1948" s="30"/>
      <c r="W1948" s="30"/>
      <c r="X1948" s="1"/>
      <c r="Y1948" s="95"/>
      <c r="Z1948" s="1"/>
      <c r="AA1948" s="94"/>
      <c r="AB1948" s="1"/>
      <c r="AC1948" s="1"/>
      <c r="AD1948" s="1"/>
      <c r="AE1948" s="30"/>
      <c r="AF1948" s="633"/>
      <c r="AG1948" s="94"/>
      <c r="AH1948" s="94"/>
      <c r="AI1948" s="94"/>
      <c r="AJ1948" s="94"/>
      <c r="AK1948" s="94"/>
      <c r="AL1948" s="94"/>
    </row>
    <row r="1949" spans="3:38">
      <c r="C1949" s="30"/>
      <c r="F1949" s="95"/>
      <c r="G1949" s="1"/>
      <c r="H1949" s="94"/>
      <c r="I1949" s="90"/>
      <c r="J1949" s="90"/>
      <c r="K1949" s="1"/>
      <c r="L1949" s="74"/>
      <c r="M1949" s="633"/>
      <c r="N1949" s="274"/>
      <c r="O1949" s="94"/>
      <c r="P1949" s="94"/>
      <c r="Q1949" s="94"/>
      <c r="R1949" s="94"/>
      <c r="S1949" s="94"/>
      <c r="V1949" s="30"/>
      <c r="W1949" s="30"/>
      <c r="X1949" s="1"/>
      <c r="Y1949" s="95"/>
      <c r="Z1949" s="1"/>
      <c r="AA1949" s="94"/>
      <c r="AB1949" s="1"/>
      <c r="AC1949" s="1"/>
      <c r="AD1949" s="1"/>
      <c r="AE1949" s="30"/>
      <c r="AF1949" s="633"/>
      <c r="AG1949" s="94"/>
      <c r="AH1949" s="94"/>
      <c r="AI1949" s="94"/>
      <c r="AJ1949" s="94"/>
      <c r="AK1949" s="94"/>
      <c r="AL1949" s="94"/>
    </row>
    <row r="1950" spans="3:38">
      <c r="C1950" s="30"/>
      <c r="F1950" s="95"/>
      <c r="G1950" s="1"/>
      <c r="H1950" s="94"/>
      <c r="I1950" s="90"/>
      <c r="J1950" s="90"/>
      <c r="K1950" s="1"/>
      <c r="L1950" s="74"/>
      <c r="M1950" s="633"/>
      <c r="N1950" s="274"/>
      <c r="O1950" s="94"/>
      <c r="P1950" s="94"/>
      <c r="Q1950" s="94"/>
      <c r="R1950" s="94"/>
      <c r="S1950" s="94"/>
      <c r="V1950" s="30"/>
      <c r="W1950" s="30"/>
      <c r="X1950" s="1"/>
      <c r="Y1950" s="95"/>
      <c r="Z1950" s="1"/>
      <c r="AA1950" s="94"/>
      <c r="AB1950" s="1"/>
      <c r="AC1950" s="1"/>
      <c r="AD1950" s="1"/>
      <c r="AE1950" s="30"/>
      <c r="AF1950" s="633"/>
      <c r="AG1950" s="94"/>
      <c r="AH1950" s="94"/>
      <c r="AI1950" s="94"/>
      <c r="AJ1950" s="94"/>
      <c r="AK1950" s="94"/>
      <c r="AL1950" s="94"/>
    </row>
    <row r="1951" spans="3:38">
      <c r="C1951" s="30"/>
      <c r="F1951" s="95"/>
      <c r="G1951" s="1"/>
      <c r="H1951" s="94"/>
      <c r="I1951" s="90"/>
      <c r="J1951" s="90"/>
      <c r="K1951" s="1"/>
      <c r="L1951" s="74"/>
      <c r="M1951" s="633"/>
      <c r="N1951" s="274"/>
      <c r="O1951" s="94"/>
      <c r="P1951" s="94"/>
      <c r="Q1951" s="94"/>
      <c r="R1951" s="94"/>
      <c r="S1951" s="94"/>
      <c r="V1951" s="30"/>
      <c r="W1951" s="30"/>
      <c r="X1951" s="1"/>
      <c r="Y1951" s="95"/>
      <c r="Z1951" s="1"/>
      <c r="AA1951" s="94"/>
      <c r="AB1951" s="1"/>
      <c r="AC1951" s="1"/>
      <c r="AD1951" s="1"/>
      <c r="AE1951" s="30"/>
      <c r="AF1951" s="633"/>
      <c r="AG1951" s="94"/>
      <c r="AH1951" s="94"/>
      <c r="AI1951" s="94"/>
      <c r="AJ1951" s="94"/>
      <c r="AK1951" s="94"/>
      <c r="AL1951" s="94"/>
    </row>
    <row r="1952" spans="3:38">
      <c r="C1952" s="30"/>
      <c r="F1952" s="95"/>
      <c r="G1952" s="1"/>
      <c r="H1952" s="94"/>
      <c r="I1952" s="90"/>
      <c r="J1952" s="90"/>
      <c r="K1952" s="1"/>
      <c r="L1952" s="74"/>
      <c r="M1952" s="633"/>
      <c r="N1952" s="274"/>
      <c r="O1952" s="94"/>
      <c r="P1952" s="94"/>
      <c r="Q1952" s="94"/>
      <c r="R1952" s="94"/>
      <c r="S1952" s="94"/>
      <c r="V1952" s="30"/>
      <c r="W1952" s="30"/>
      <c r="X1952" s="1"/>
      <c r="Y1952" s="95"/>
      <c r="Z1952" s="1"/>
      <c r="AA1952" s="94"/>
      <c r="AB1952" s="1"/>
      <c r="AC1952" s="1"/>
      <c r="AD1952" s="1"/>
      <c r="AE1952" s="30"/>
      <c r="AF1952" s="633"/>
      <c r="AG1952" s="94"/>
      <c r="AH1952" s="94"/>
      <c r="AI1952" s="94"/>
      <c r="AJ1952" s="94"/>
      <c r="AK1952" s="94"/>
      <c r="AL1952" s="94"/>
    </row>
    <row r="1953" spans="3:38">
      <c r="C1953" s="30"/>
      <c r="F1953" s="95"/>
      <c r="G1953" s="1"/>
      <c r="H1953" s="94"/>
      <c r="I1953" s="90"/>
      <c r="J1953" s="90"/>
      <c r="K1953" s="1"/>
      <c r="L1953" s="74"/>
      <c r="M1953" s="633"/>
      <c r="N1953" s="274"/>
      <c r="O1953" s="94"/>
      <c r="P1953" s="94"/>
      <c r="Q1953" s="94"/>
      <c r="R1953" s="94"/>
      <c r="S1953" s="94"/>
      <c r="V1953" s="30"/>
      <c r="W1953" s="30"/>
      <c r="X1953" s="1"/>
      <c r="Y1953" s="95"/>
      <c r="Z1953" s="1"/>
      <c r="AA1953" s="94"/>
      <c r="AB1953" s="1"/>
      <c r="AC1953" s="1"/>
      <c r="AD1953" s="1"/>
      <c r="AE1953" s="30"/>
      <c r="AF1953" s="633"/>
      <c r="AG1953" s="94"/>
      <c r="AH1953" s="94"/>
      <c r="AI1953" s="94"/>
      <c r="AJ1953" s="94"/>
      <c r="AK1953" s="94"/>
      <c r="AL1953" s="94"/>
    </row>
    <row r="1954" spans="3:38">
      <c r="C1954" s="30"/>
      <c r="F1954" s="95"/>
      <c r="G1954" s="1"/>
      <c r="H1954" s="94"/>
      <c r="I1954" s="90"/>
      <c r="J1954" s="90"/>
      <c r="K1954" s="1"/>
      <c r="L1954" s="74"/>
      <c r="M1954" s="633"/>
      <c r="N1954" s="274"/>
      <c r="O1954" s="94"/>
      <c r="P1954" s="94"/>
      <c r="Q1954" s="94"/>
      <c r="R1954" s="94"/>
      <c r="S1954" s="94"/>
      <c r="V1954" s="30"/>
      <c r="W1954" s="30"/>
      <c r="X1954" s="1"/>
      <c r="Y1954" s="95"/>
      <c r="Z1954" s="1"/>
      <c r="AA1954" s="94"/>
      <c r="AB1954" s="1"/>
      <c r="AC1954" s="1"/>
      <c r="AD1954" s="1"/>
      <c r="AE1954" s="30"/>
      <c r="AF1954" s="633"/>
      <c r="AG1954" s="94"/>
      <c r="AH1954" s="94"/>
      <c r="AI1954" s="94"/>
      <c r="AJ1954" s="94"/>
      <c r="AK1954" s="94"/>
      <c r="AL1954" s="94"/>
    </row>
    <row r="1955" spans="3:38">
      <c r="C1955" s="30"/>
      <c r="F1955" s="95"/>
      <c r="G1955" s="1"/>
      <c r="H1955" s="94"/>
      <c r="I1955" s="90"/>
      <c r="J1955" s="90"/>
      <c r="K1955" s="1"/>
      <c r="L1955" s="74"/>
      <c r="M1955" s="633"/>
      <c r="N1955" s="274"/>
      <c r="O1955" s="94"/>
      <c r="P1955" s="94"/>
      <c r="Q1955" s="94"/>
      <c r="R1955" s="94"/>
      <c r="S1955" s="94"/>
      <c r="V1955" s="30"/>
      <c r="W1955" s="30"/>
      <c r="X1955" s="1"/>
      <c r="Y1955" s="95"/>
      <c r="Z1955" s="1"/>
      <c r="AA1955" s="94"/>
      <c r="AB1955" s="1"/>
      <c r="AC1955" s="1"/>
      <c r="AD1955" s="1"/>
      <c r="AE1955" s="30"/>
      <c r="AF1955" s="633"/>
      <c r="AG1955" s="94"/>
      <c r="AH1955" s="94"/>
      <c r="AI1955" s="94"/>
      <c r="AJ1955" s="94"/>
      <c r="AK1955" s="94"/>
      <c r="AL1955" s="94"/>
    </row>
    <row r="1956" spans="3:38">
      <c r="C1956" s="30"/>
      <c r="F1956" s="95"/>
      <c r="G1956" s="1"/>
      <c r="H1956" s="94"/>
      <c r="I1956" s="90"/>
      <c r="J1956" s="90"/>
      <c r="K1956" s="1"/>
      <c r="L1956" s="74"/>
      <c r="M1956" s="633"/>
      <c r="N1956" s="274"/>
      <c r="O1956" s="94"/>
      <c r="P1956" s="94"/>
      <c r="Q1956" s="94"/>
      <c r="R1956" s="94"/>
      <c r="S1956" s="94"/>
      <c r="V1956" s="30"/>
      <c r="W1956" s="30"/>
      <c r="X1956" s="1"/>
      <c r="Y1956" s="95"/>
      <c r="Z1956" s="1"/>
      <c r="AA1956" s="94"/>
      <c r="AB1956" s="1"/>
      <c r="AC1956" s="1"/>
      <c r="AD1956" s="1"/>
      <c r="AE1956" s="30"/>
      <c r="AF1956" s="633"/>
      <c r="AG1956" s="94"/>
      <c r="AH1956" s="94"/>
      <c r="AI1956" s="94"/>
      <c r="AJ1956" s="94"/>
      <c r="AK1956" s="94"/>
      <c r="AL1956" s="94"/>
    </row>
    <row r="1957" spans="3:38">
      <c r="C1957" s="30"/>
      <c r="F1957" s="95"/>
      <c r="G1957" s="1"/>
      <c r="H1957" s="94"/>
      <c r="I1957" s="90"/>
      <c r="J1957" s="90"/>
      <c r="K1957" s="1"/>
      <c r="L1957" s="74"/>
      <c r="M1957" s="633"/>
      <c r="N1957" s="274"/>
      <c r="O1957" s="94"/>
      <c r="P1957" s="94"/>
      <c r="Q1957" s="94"/>
      <c r="R1957" s="94"/>
      <c r="S1957" s="94"/>
      <c r="V1957" s="30"/>
      <c r="W1957" s="30"/>
      <c r="X1957" s="1"/>
      <c r="Y1957" s="95"/>
      <c r="Z1957" s="1"/>
      <c r="AA1957" s="94"/>
      <c r="AB1957" s="1"/>
      <c r="AC1957" s="1"/>
      <c r="AD1957" s="1"/>
      <c r="AE1957" s="30"/>
      <c r="AF1957" s="633"/>
      <c r="AG1957" s="94"/>
      <c r="AH1957" s="94"/>
      <c r="AI1957" s="94"/>
      <c r="AJ1957" s="94"/>
      <c r="AK1957" s="94"/>
      <c r="AL1957" s="94"/>
    </row>
    <row r="1958" spans="3:38">
      <c r="C1958" s="30"/>
      <c r="F1958" s="95"/>
      <c r="G1958" s="1"/>
      <c r="H1958" s="94"/>
      <c r="I1958" s="90"/>
      <c r="J1958" s="90"/>
      <c r="K1958" s="1"/>
      <c r="L1958" s="74"/>
      <c r="M1958" s="633"/>
      <c r="N1958" s="274"/>
      <c r="O1958" s="94"/>
      <c r="P1958" s="94"/>
      <c r="Q1958" s="94"/>
      <c r="R1958" s="94"/>
      <c r="S1958" s="94"/>
      <c r="V1958" s="30"/>
      <c r="W1958" s="30"/>
      <c r="X1958" s="1"/>
      <c r="Y1958" s="95"/>
      <c r="Z1958" s="1"/>
      <c r="AA1958" s="94"/>
      <c r="AB1958" s="1"/>
      <c r="AC1958" s="1"/>
      <c r="AD1958" s="1"/>
      <c r="AE1958" s="30"/>
      <c r="AF1958" s="633"/>
      <c r="AG1958" s="94"/>
      <c r="AH1958" s="94"/>
      <c r="AI1958" s="94"/>
      <c r="AJ1958" s="94"/>
      <c r="AK1958" s="94"/>
      <c r="AL1958" s="94"/>
    </row>
    <row r="1959" spans="3:38">
      <c r="C1959" s="30"/>
      <c r="F1959" s="95"/>
      <c r="G1959" s="1"/>
      <c r="H1959" s="94"/>
      <c r="I1959" s="90"/>
      <c r="J1959" s="90"/>
      <c r="K1959" s="1"/>
      <c r="L1959" s="74"/>
      <c r="M1959" s="633"/>
      <c r="N1959" s="274"/>
      <c r="O1959" s="94"/>
      <c r="P1959" s="94"/>
      <c r="Q1959" s="94"/>
      <c r="R1959" s="94"/>
      <c r="S1959" s="94"/>
      <c r="V1959" s="30"/>
      <c r="W1959" s="30"/>
      <c r="X1959" s="1"/>
      <c r="Y1959" s="95"/>
      <c r="Z1959" s="1"/>
      <c r="AA1959" s="94"/>
      <c r="AB1959" s="1"/>
      <c r="AC1959" s="1"/>
      <c r="AD1959" s="1"/>
      <c r="AE1959" s="30"/>
      <c r="AF1959" s="633"/>
      <c r="AG1959" s="94"/>
      <c r="AH1959" s="94"/>
      <c r="AI1959" s="94"/>
      <c r="AJ1959" s="94"/>
      <c r="AK1959" s="94"/>
      <c r="AL1959" s="94"/>
    </row>
    <row r="1960" spans="3:38">
      <c r="C1960" s="30"/>
      <c r="F1960" s="95"/>
      <c r="G1960" s="1"/>
      <c r="H1960" s="94"/>
      <c r="I1960" s="90"/>
      <c r="J1960" s="90"/>
      <c r="K1960" s="1"/>
      <c r="L1960" s="74"/>
      <c r="M1960" s="633"/>
      <c r="N1960" s="274"/>
      <c r="O1960" s="94"/>
      <c r="P1960" s="94"/>
      <c r="Q1960" s="94"/>
      <c r="R1960" s="94"/>
      <c r="S1960" s="94"/>
      <c r="V1960" s="30"/>
      <c r="W1960" s="30"/>
      <c r="X1960" s="1"/>
      <c r="Y1960" s="95"/>
      <c r="Z1960" s="1"/>
      <c r="AA1960" s="94"/>
      <c r="AB1960" s="1"/>
      <c r="AC1960" s="1"/>
      <c r="AD1960" s="1"/>
      <c r="AE1960" s="30"/>
      <c r="AF1960" s="633"/>
      <c r="AG1960" s="94"/>
      <c r="AH1960" s="94"/>
      <c r="AI1960" s="94"/>
      <c r="AJ1960" s="94"/>
      <c r="AK1960" s="94"/>
      <c r="AL1960" s="94"/>
    </row>
    <row r="1961" spans="3:38">
      <c r="C1961" s="30"/>
      <c r="F1961" s="95"/>
      <c r="G1961" s="1"/>
      <c r="H1961" s="94"/>
      <c r="I1961" s="90"/>
      <c r="J1961" s="90"/>
      <c r="K1961" s="1"/>
      <c r="L1961" s="74"/>
      <c r="M1961" s="633"/>
      <c r="N1961" s="274"/>
      <c r="O1961" s="94"/>
      <c r="P1961" s="94"/>
      <c r="Q1961" s="94"/>
      <c r="R1961" s="94"/>
      <c r="S1961" s="94"/>
      <c r="V1961" s="30"/>
      <c r="W1961" s="30"/>
      <c r="X1961" s="1"/>
      <c r="Y1961" s="95"/>
      <c r="Z1961" s="1"/>
      <c r="AA1961" s="94"/>
      <c r="AB1961" s="1"/>
      <c r="AC1961" s="1"/>
      <c r="AD1961" s="1"/>
      <c r="AE1961" s="30"/>
      <c r="AF1961" s="633"/>
      <c r="AG1961" s="94"/>
      <c r="AH1961" s="94"/>
      <c r="AI1961" s="94"/>
      <c r="AJ1961" s="94"/>
      <c r="AK1961" s="94"/>
      <c r="AL1961" s="94"/>
    </row>
    <row r="1962" spans="3:38">
      <c r="C1962" s="30"/>
      <c r="F1962" s="95"/>
      <c r="G1962" s="1"/>
      <c r="H1962" s="94"/>
      <c r="I1962" s="90"/>
      <c r="J1962" s="90"/>
      <c r="K1962" s="1"/>
      <c r="L1962" s="74"/>
      <c r="M1962" s="633"/>
      <c r="N1962" s="274"/>
      <c r="O1962" s="94"/>
      <c r="P1962" s="94"/>
      <c r="Q1962" s="94"/>
      <c r="R1962" s="94"/>
      <c r="S1962" s="94"/>
      <c r="V1962" s="30"/>
      <c r="W1962" s="30"/>
      <c r="X1962" s="1"/>
      <c r="Y1962" s="95"/>
      <c r="Z1962" s="1"/>
      <c r="AA1962" s="94"/>
      <c r="AB1962" s="1"/>
      <c r="AC1962" s="1"/>
      <c r="AD1962" s="1"/>
      <c r="AE1962" s="30"/>
      <c r="AF1962" s="633"/>
      <c r="AG1962" s="94"/>
      <c r="AH1962" s="94"/>
      <c r="AI1962" s="94"/>
      <c r="AJ1962" s="94"/>
      <c r="AK1962" s="94"/>
      <c r="AL1962" s="94"/>
    </row>
    <row r="1963" spans="3:38">
      <c r="C1963" s="30"/>
      <c r="F1963" s="95"/>
      <c r="G1963" s="1"/>
      <c r="H1963" s="94"/>
      <c r="I1963" s="90"/>
      <c r="J1963" s="90"/>
      <c r="K1963" s="1"/>
      <c r="L1963" s="74"/>
      <c r="M1963" s="633"/>
      <c r="N1963" s="274"/>
      <c r="O1963" s="94"/>
      <c r="P1963" s="94"/>
      <c r="Q1963" s="94"/>
      <c r="R1963" s="94"/>
      <c r="S1963" s="94"/>
      <c r="V1963" s="30"/>
      <c r="W1963" s="30"/>
      <c r="X1963" s="1"/>
      <c r="Y1963" s="95"/>
      <c r="Z1963" s="1"/>
      <c r="AA1963" s="94"/>
      <c r="AB1963" s="1"/>
      <c r="AC1963" s="1"/>
      <c r="AD1963" s="1"/>
      <c r="AE1963" s="30"/>
      <c r="AF1963" s="633"/>
      <c r="AG1963" s="94"/>
      <c r="AH1963" s="94"/>
      <c r="AI1963" s="94"/>
      <c r="AJ1963" s="94"/>
      <c r="AK1963" s="94"/>
      <c r="AL1963" s="94"/>
    </row>
    <row r="1964" spans="3:38">
      <c r="C1964" s="30"/>
      <c r="F1964" s="95"/>
      <c r="G1964" s="1"/>
      <c r="H1964" s="94"/>
      <c r="I1964" s="90"/>
      <c r="J1964" s="90"/>
      <c r="K1964" s="1"/>
      <c r="L1964" s="74"/>
      <c r="M1964" s="633"/>
      <c r="N1964" s="274"/>
      <c r="O1964" s="94"/>
      <c r="P1964" s="94"/>
      <c r="Q1964" s="94"/>
      <c r="R1964" s="94"/>
      <c r="S1964" s="94"/>
      <c r="V1964" s="30"/>
      <c r="W1964" s="30"/>
      <c r="X1964" s="1"/>
      <c r="Y1964" s="95"/>
      <c r="Z1964" s="1"/>
      <c r="AA1964" s="94"/>
      <c r="AB1964" s="1"/>
      <c r="AC1964" s="1"/>
      <c r="AD1964" s="1"/>
      <c r="AE1964" s="30"/>
      <c r="AF1964" s="633"/>
      <c r="AG1964" s="94"/>
      <c r="AH1964" s="94"/>
      <c r="AI1964" s="94"/>
      <c r="AJ1964" s="94"/>
      <c r="AK1964" s="94"/>
      <c r="AL1964" s="94"/>
    </row>
    <row r="1965" spans="3:38">
      <c r="C1965" s="30"/>
      <c r="F1965" s="95"/>
      <c r="G1965" s="1"/>
      <c r="H1965" s="94"/>
      <c r="I1965" s="90"/>
      <c r="J1965" s="90"/>
      <c r="K1965" s="1"/>
      <c r="L1965" s="74"/>
      <c r="M1965" s="633"/>
      <c r="N1965" s="274"/>
      <c r="O1965" s="94"/>
      <c r="P1965" s="94"/>
      <c r="Q1965" s="94"/>
      <c r="R1965" s="94"/>
      <c r="S1965" s="94"/>
      <c r="V1965" s="30"/>
      <c r="W1965" s="30"/>
      <c r="X1965" s="1"/>
      <c r="Y1965" s="95"/>
      <c r="Z1965" s="1"/>
      <c r="AA1965" s="94"/>
      <c r="AB1965" s="1"/>
      <c r="AC1965" s="1"/>
      <c r="AD1965" s="1"/>
      <c r="AE1965" s="30"/>
      <c r="AF1965" s="633"/>
      <c r="AG1965" s="94"/>
      <c r="AH1965" s="94"/>
      <c r="AI1965" s="94"/>
      <c r="AJ1965" s="94"/>
      <c r="AK1965" s="94"/>
      <c r="AL1965" s="94"/>
    </row>
    <row r="1966" spans="3:38">
      <c r="C1966" s="30"/>
      <c r="F1966" s="95"/>
      <c r="G1966" s="1"/>
      <c r="H1966" s="94"/>
      <c r="I1966" s="90"/>
      <c r="J1966" s="90"/>
      <c r="K1966" s="1"/>
      <c r="L1966" s="74"/>
      <c r="M1966" s="633"/>
      <c r="N1966" s="274"/>
      <c r="O1966" s="94"/>
      <c r="P1966" s="94"/>
      <c r="Q1966" s="94"/>
      <c r="R1966" s="94"/>
      <c r="S1966" s="94"/>
      <c r="V1966" s="30"/>
      <c r="W1966" s="30"/>
      <c r="X1966" s="1"/>
      <c r="Y1966" s="95"/>
      <c r="Z1966" s="1"/>
      <c r="AA1966" s="94"/>
      <c r="AB1966" s="1"/>
      <c r="AC1966" s="1"/>
      <c r="AD1966" s="1"/>
      <c r="AE1966" s="30"/>
      <c r="AF1966" s="633"/>
      <c r="AG1966" s="94"/>
      <c r="AH1966" s="94"/>
      <c r="AI1966" s="94"/>
      <c r="AJ1966" s="94"/>
      <c r="AK1966" s="94"/>
      <c r="AL1966" s="94"/>
    </row>
    <row r="1967" spans="3:38">
      <c r="C1967" s="30"/>
      <c r="F1967" s="95"/>
      <c r="G1967" s="1"/>
      <c r="H1967" s="94"/>
      <c r="I1967" s="90"/>
      <c r="J1967" s="90"/>
      <c r="K1967" s="1"/>
      <c r="L1967" s="74"/>
      <c r="M1967" s="633"/>
      <c r="N1967" s="274"/>
      <c r="O1967" s="94"/>
      <c r="P1967" s="94"/>
      <c r="Q1967" s="94"/>
      <c r="R1967" s="94"/>
      <c r="S1967" s="94"/>
      <c r="V1967" s="30"/>
      <c r="W1967" s="30"/>
      <c r="X1967" s="1"/>
      <c r="Y1967" s="95"/>
      <c r="Z1967" s="1"/>
      <c r="AA1967" s="94"/>
      <c r="AB1967" s="1"/>
      <c r="AC1967" s="1"/>
      <c r="AD1967" s="1"/>
      <c r="AE1967" s="30"/>
      <c r="AF1967" s="633"/>
      <c r="AG1967" s="94"/>
      <c r="AH1967" s="94"/>
      <c r="AI1967" s="94"/>
      <c r="AJ1967" s="94"/>
      <c r="AK1967" s="94"/>
      <c r="AL1967" s="94"/>
    </row>
    <row r="1968" spans="3:38">
      <c r="C1968" s="30"/>
      <c r="F1968" s="95"/>
      <c r="G1968" s="1"/>
      <c r="H1968" s="94"/>
      <c r="I1968" s="90"/>
      <c r="J1968" s="90"/>
      <c r="K1968" s="1"/>
      <c r="L1968" s="74"/>
      <c r="M1968" s="633"/>
      <c r="N1968" s="274"/>
      <c r="O1968" s="94"/>
      <c r="P1968" s="94"/>
      <c r="Q1968" s="94"/>
      <c r="R1968" s="94"/>
      <c r="S1968" s="94"/>
      <c r="V1968" s="30"/>
      <c r="W1968" s="30"/>
      <c r="X1968" s="1"/>
      <c r="Y1968" s="95"/>
      <c r="Z1968" s="1"/>
      <c r="AA1968" s="94"/>
      <c r="AB1968" s="1"/>
      <c r="AC1968" s="1"/>
      <c r="AD1968" s="1"/>
      <c r="AE1968" s="30"/>
      <c r="AF1968" s="633"/>
      <c r="AG1968" s="94"/>
      <c r="AH1968" s="94"/>
      <c r="AI1968" s="94"/>
      <c r="AJ1968" s="94"/>
      <c r="AK1968" s="94"/>
      <c r="AL1968" s="94"/>
    </row>
    <row r="1969" spans="3:38">
      <c r="C1969" s="30"/>
      <c r="F1969" s="95"/>
      <c r="G1969" s="1"/>
      <c r="H1969" s="94"/>
      <c r="I1969" s="90"/>
      <c r="J1969" s="90"/>
      <c r="K1969" s="1"/>
      <c r="L1969" s="74"/>
      <c r="M1969" s="633"/>
      <c r="N1969" s="274"/>
      <c r="O1969" s="94"/>
      <c r="P1969" s="94"/>
      <c r="Q1969" s="94"/>
      <c r="R1969" s="94"/>
      <c r="S1969" s="94"/>
      <c r="V1969" s="30"/>
      <c r="W1969" s="30"/>
      <c r="X1969" s="1"/>
      <c r="Y1969" s="95"/>
      <c r="Z1969" s="1"/>
      <c r="AA1969" s="94"/>
      <c r="AB1969" s="1"/>
      <c r="AC1969" s="1"/>
      <c r="AD1969" s="1"/>
      <c r="AE1969" s="30"/>
      <c r="AF1969" s="633"/>
      <c r="AG1969" s="94"/>
      <c r="AH1969" s="94"/>
      <c r="AI1969" s="94"/>
      <c r="AJ1969" s="94"/>
      <c r="AK1969" s="94"/>
      <c r="AL1969" s="94"/>
    </row>
    <row r="1970" spans="3:38">
      <c r="C1970" s="30"/>
      <c r="F1970" s="95"/>
      <c r="G1970" s="1"/>
      <c r="H1970" s="94"/>
      <c r="I1970" s="90"/>
      <c r="J1970" s="90"/>
      <c r="K1970" s="1"/>
      <c r="L1970" s="74"/>
      <c r="M1970" s="633"/>
      <c r="N1970" s="274"/>
      <c r="O1970" s="94"/>
      <c r="P1970" s="94"/>
      <c r="Q1970" s="94"/>
      <c r="R1970" s="94"/>
      <c r="S1970" s="94"/>
      <c r="V1970" s="30"/>
      <c r="W1970" s="30"/>
      <c r="X1970" s="1"/>
      <c r="Y1970" s="95"/>
      <c r="Z1970" s="1"/>
      <c r="AA1970" s="94"/>
      <c r="AB1970" s="1"/>
      <c r="AC1970" s="1"/>
      <c r="AD1970" s="1"/>
      <c r="AE1970" s="30"/>
      <c r="AF1970" s="633"/>
      <c r="AG1970" s="94"/>
      <c r="AH1970" s="94"/>
      <c r="AI1970" s="94"/>
      <c r="AJ1970" s="94"/>
      <c r="AK1970" s="94"/>
      <c r="AL1970" s="94"/>
    </row>
    <row r="1971" spans="3:38">
      <c r="C1971" s="30"/>
      <c r="F1971" s="95"/>
      <c r="G1971" s="1"/>
      <c r="H1971" s="94"/>
      <c r="I1971" s="90"/>
      <c r="J1971" s="90"/>
      <c r="K1971" s="1"/>
      <c r="L1971" s="74"/>
      <c r="M1971" s="633"/>
      <c r="N1971" s="274"/>
      <c r="O1971" s="94"/>
      <c r="P1971" s="94"/>
      <c r="Q1971" s="94"/>
      <c r="R1971" s="94"/>
      <c r="S1971" s="94"/>
      <c r="V1971" s="30"/>
      <c r="W1971" s="30"/>
      <c r="X1971" s="1"/>
      <c r="Y1971" s="95"/>
      <c r="Z1971" s="1"/>
      <c r="AA1971" s="94"/>
      <c r="AB1971" s="1"/>
      <c r="AC1971" s="1"/>
      <c r="AD1971" s="1"/>
      <c r="AE1971" s="30"/>
      <c r="AF1971" s="633"/>
      <c r="AG1971" s="94"/>
      <c r="AH1971" s="94"/>
      <c r="AI1971" s="94"/>
      <c r="AJ1971" s="94"/>
      <c r="AK1971" s="94"/>
      <c r="AL1971" s="94"/>
    </row>
    <row r="1972" spans="3:38">
      <c r="C1972" s="30"/>
      <c r="F1972" s="95"/>
      <c r="G1972" s="1"/>
      <c r="H1972" s="94"/>
      <c r="I1972" s="90"/>
      <c r="J1972" s="90"/>
      <c r="K1972" s="1"/>
      <c r="L1972" s="74"/>
      <c r="M1972" s="633"/>
      <c r="N1972" s="274"/>
      <c r="O1972" s="94"/>
      <c r="P1972" s="94"/>
      <c r="Q1972" s="94"/>
      <c r="R1972" s="94"/>
      <c r="S1972" s="94"/>
      <c r="V1972" s="30"/>
      <c r="W1972" s="30"/>
      <c r="X1972" s="1"/>
      <c r="Y1972" s="95"/>
      <c r="Z1972" s="1"/>
      <c r="AA1972" s="94"/>
      <c r="AB1972" s="1"/>
      <c r="AC1972" s="1"/>
      <c r="AD1972" s="1"/>
      <c r="AE1972" s="30"/>
      <c r="AF1972" s="633"/>
      <c r="AG1972" s="94"/>
      <c r="AH1972" s="94"/>
      <c r="AI1972" s="94"/>
      <c r="AJ1972" s="94"/>
      <c r="AK1972" s="94"/>
      <c r="AL1972" s="94"/>
    </row>
    <row r="1973" spans="3:38">
      <c r="C1973" s="30"/>
      <c r="F1973" s="95"/>
      <c r="G1973" s="1"/>
      <c r="H1973" s="94"/>
      <c r="I1973" s="90"/>
      <c r="J1973" s="90"/>
      <c r="K1973" s="1"/>
      <c r="L1973" s="74"/>
      <c r="M1973" s="633"/>
      <c r="N1973" s="274"/>
      <c r="O1973" s="94"/>
      <c r="P1973" s="94"/>
      <c r="Q1973" s="94"/>
      <c r="R1973" s="94"/>
      <c r="S1973" s="94"/>
      <c r="V1973" s="30"/>
      <c r="W1973" s="30"/>
      <c r="X1973" s="1"/>
      <c r="Y1973" s="95"/>
      <c r="Z1973" s="1"/>
      <c r="AA1973" s="94"/>
      <c r="AB1973" s="1"/>
      <c r="AC1973" s="1"/>
      <c r="AD1973" s="1"/>
      <c r="AE1973" s="30"/>
      <c r="AF1973" s="633"/>
      <c r="AG1973" s="94"/>
      <c r="AH1973" s="94"/>
      <c r="AI1973" s="94"/>
      <c r="AJ1973" s="94"/>
      <c r="AK1973" s="94"/>
      <c r="AL1973" s="94"/>
    </row>
    <row r="1974" spans="3:38">
      <c r="C1974" s="30"/>
      <c r="F1974" s="95"/>
      <c r="G1974" s="1"/>
      <c r="H1974" s="94"/>
      <c r="I1974" s="90"/>
      <c r="J1974" s="90"/>
      <c r="K1974" s="1"/>
      <c r="L1974" s="74"/>
      <c r="M1974" s="633"/>
      <c r="N1974" s="274"/>
      <c r="O1974" s="94"/>
      <c r="P1974" s="94"/>
      <c r="Q1974" s="94"/>
      <c r="R1974" s="94"/>
      <c r="S1974" s="94"/>
      <c r="V1974" s="30"/>
      <c r="W1974" s="30"/>
      <c r="X1974" s="1"/>
      <c r="Y1974" s="95"/>
      <c r="Z1974" s="1"/>
      <c r="AA1974" s="94"/>
      <c r="AB1974" s="1"/>
      <c r="AC1974" s="1"/>
      <c r="AD1974" s="1"/>
      <c r="AE1974" s="30"/>
      <c r="AF1974" s="633"/>
      <c r="AG1974" s="94"/>
      <c r="AH1974" s="94"/>
      <c r="AI1974" s="94"/>
      <c r="AJ1974" s="94"/>
      <c r="AK1974" s="94"/>
      <c r="AL1974" s="94"/>
    </row>
    <row r="1975" spans="3:38">
      <c r="C1975" s="30"/>
      <c r="F1975" s="95"/>
      <c r="G1975" s="1"/>
      <c r="H1975" s="94"/>
      <c r="I1975" s="90"/>
      <c r="J1975" s="90"/>
      <c r="K1975" s="1"/>
      <c r="L1975" s="74"/>
      <c r="M1975" s="633"/>
      <c r="N1975" s="274"/>
      <c r="O1975" s="94"/>
      <c r="P1975" s="94"/>
      <c r="Q1975" s="94"/>
      <c r="R1975" s="94"/>
      <c r="S1975" s="94"/>
      <c r="V1975" s="30"/>
      <c r="W1975" s="30"/>
      <c r="X1975" s="1"/>
      <c r="Y1975" s="95"/>
      <c r="Z1975" s="1"/>
      <c r="AA1975" s="94"/>
      <c r="AB1975" s="1"/>
      <c r="AC1975" s="1"/>
      <c r="AD1975" s="1"/>
      <c r="AE1975" s="30"/>
      <c r="AF1975" s="633"/>
      <c r="AG1975" s="94"/>
      <c r="AH1975" s="94"/>
      <c r="AI1975" s="94"/>
      <c r="AJ1975" s="94"/>
      <c r="AK1975" s="94"/>
      <c r="AL1975" s="94"/>
    </row>
    <row r="1976" spans="3:38">
      <c r="C1976" s="30"/>
      <c r="F1976" s="95"/>
      <c r="G1976" s="1"/>
      <c r="H1976" s="94"/>
      <c r="I1976" s="90"/>
      <c r="J1976" s="90"/>
      <c r="K1976" s="1"/>
      <c r="L1976" s="74"/>
      <c r="M1976" s="633"/>
      <c r="N1976" s="274"/>
      <c r="O1976" s="94"/>
      <c r="P1976" s="94"/>
      <c r="Q1976" s="94"/>
      <c r="R1976" s="94"/>
      <c r="S1976" s="94"/>
      <c r="V1976" s="30"/>
      <c r="W1976" s="30"/>
      <c r="X1976" s="1"/>
      <c r="Y1976" s="95"/>
      <c r="Z1976" s="1"/>
      <c r="AA1976" s="94"/>
      <c r="AB1976" s="1"/>
      <c r="AC1976" s="1"/>
      <c r="AD1976" s="1"/>
      <c r="AE1976" s="30"/>
      <c r="AF1976" s="633"/>
      <c r="AG1976" s="94"/>
      <c r="AH1976" s="94"/>
      <c r="AI1976" s="94"/>
      <c r="AJ1976" s="94"/>
      <c r="AK1976" s="94"/>
      <c r="AL1976" s="94"/>
    </row>
    <row r="1977" spans="3:38">
      <c r="C1977" s="30"/>
      <c r="F1977" s="95"/>
      <c r="G1977" s="1"/>
      <c r="H1977" s="94"/>
      <c r="I1977" s="90"/>
      <c r="J1977" s="90"/>
      <c r="K1977" s="1"/>
      <c r="L1977" s="74"/>
      <c r="M1977" s="633"/>
      <c r="N1977" s="274"/>
      <c r="O1977" s="94"/>
      <c r="P1977" s="94"/>
      <c r="Q1977" s="94"/>
      <c r="R1977" s="94"/>
      <c r="S1977" s="94"/>
      <c r="V1977" s="30"/>
      <c r="W1977" s="30"/>
      <c r="X1977" s="1"/>
      <c r="Y1977" s="95"/>
      <c r="Z1977" s="1"/>
      <c r="AA1977" s="94"/>
      <c r="AB1977" s="1"/>
      <c r="AC1977" s="1"/>
      <c r="AD1977" s="1"/>
      <c r="AE1977" s="30"/>
      <c r="AF1977" s="633"/>
      <c r="AG1977" s="94"/>
      <c r="AH1977" s="94"/>
      <c r="AI1977" s="94"/>
      <c r="AJ1977" s="94"/>
      <c r="AK1977" s="94"/>
      <c r="AL1977" s="94"/>
    </row>
    <row r="1978" spans="3:38">
      <c r="C1978" s="30"/>
      <c r="F1978" s="95"/>
      <c r="G1978" s="1"/>
      <c r="H1978" s="94"/>
      <c r="I1978" s="90"/>
      <c r="J1978" s="90"/>
      <c r="K1978" s="1"/>
      <c r="L1978" s="74"/>
      <c r="M1978" s="633"/>
      <c r="N1978" s="274"/>
      <c r="O1978" s="94"/>
      <c r="P1978" s="94"/>
      <c r="Q1978" s="94"/>
      <c r="R1978" s="94"/>
      <c r="S1978" s="94"/>
      <c r="V1978" s="30"/>
      <c r="W1978" s="30"/>
      <c r="X1978" s="1"/>
      <c r="Y1978" s="95"/>
      <c r="Z1978" s="1"/>
      <c r="AA1978" s="94"/>
      <c r="AB1978" s="1"/>
      <c r="AC1978" s="1"/>
      <c r="AD1978" s="1"/>
      <c r="AE1978" s="30"/>
      <c r="AF1978" s="633"/>
      <c r="AG1978" s="94"/>
      <c r="AH1978" s="94"/>
      <c r="AI1978" s="94"/>
      <c r="AJ1978" s="94"/>
      <c r="AK1978" s="94"/>
      <c r="AL1978" s="94"/>
    </row>
    <row r="1979" spans="3:38">
      <c r="C1979" s="30"/>
      <c r="F1979" s="95"/>
      <c r="G1979" s="1"/>
      <c r="H1979" s="94"/>
      <c r="I1979" s="90"/>
      <c r="J1979" s="90"/>
      <c r="K1979" s="1"/>
      <c r="L1979" s="74"/>
      <c r="M1979" s="633"/>
      <c r="N1979" s="274"/>
      <c r="O1979" s="94"/>
      <c r="P1979" s="94"/>
      <c r="Q1979" s="94"/>
      <c r="R1979" s="94"/>
      <c r="S1979" s="94"/>
      <c r="V1979" s="30"/>
      <c r="W1979" s="30"/>
      <c r="X1979" s="1"/>
      <c r="Y1979" s="95"/>
      <c r="Z1979" s="1"/>
      <c r="AA1979" s="94"/>
      <c r="AB1979" s="1"/>
      <c r="AC1979" s="1"/>
      <c r="AD1979" s="1"/>
      <c r="AE1979" s="30"/>
      <c r="AF1979" s="633"/>
      <c r="AG1979" s="94"/>
      <c r="AH1979" s="94"/>
      <c r="AI1979" s="94"/>
      <c r="AJ1979" s="94"/>
      <c r="AK1979" s="94"/>
      <c r="AL1979" s="94"/>
    </row>
    <row r="1980" spans="3:38">
      <c r="C1980" s="30"/>
      <c r="F1980" s="95"/>
      <c r="G1980" s="1"/>
      <c r="H1980" s="94"/>
      <c r="I1980" s="90"/>
      <c r="J1980" s="90"/>
      <c r="K1980" s="1"/>
      <c r="L1980" s="74"/>
      <c r="M1980" s="633"/>
      <c r="N1980" s="274"/>
      <c r="O1980" s="94"/>
      <c r="P1980" s="94"/>
      <c r="Q1980" s="94"/>
      <c r="R1980" s="94"/>
      <c r="S1980" s="94"/>
      <c r="V1980" s="30"/>
      <c r="W1980" s="30"/>
      <c r="X1980" s="1"/>
      <c r="Y1980" s="95"/>
      <c r="Z1980" s="1"/>
      <c r="AA1980" s="94"/>
      <c r="AB1980" s="1"/>
      <c r="AC1980" s="1"/>
      <c r="AD1980" s="1"/>
      <c r="AE1980" s="30"/>
      <c r="AF1980" s="633"/>
      <c r="AG1980" s="94"/>
      <c r="AH1980" s="94"/>
      <c r="AI1980" s="94"/>
      <c r="AJ1980" s="94"/>
      <c r="AK1980" s="94"/>
      <c r="AL1980" s="94"/>
    </row>
    <row r="1981" spans="3:38">
      <c r="C1981" s="30"/>
      <c r="F1981" s="95"/>
      <c r="G1981" s="1"/>
      <c r="H1981" s="94"/>
      <c r="I1981" s="90"/>
      <c r="J1981" s="90"/>
      <c r="K1981" s="1"/>
      <c r="L1981" s="74"/>
      <c r="M1981" s="633"/>
      <c r="N1981" s="274"/>
      <c r="O1981" s="94"/>
      <c r="P1981" s="94"/>
      <c r="Q1981" s="94"/>
      <c r="R1981" s="94"/>
      <c r="S1981" s="94"/>
      <c r="V1981" s="30"/>
      <c r="W1981" s="30"/>
      <c r="X1981" s="1"/>
      <c r="Y1981" s="95"/>
      <c r="Z1981" s="1"/>
      <c r="AA1981" s="94"/>
      <c r="AB1981" s="1"/>
      <c r="AC1981" s="1"/>
      <c r="AD1981" s="1"/>
      <c r="AE1981" s="30"/>
      <c r="AF1981" s="633"/>
      <c r="AG1981" s="94"/>
      <c r="AH1981" s="94"/>
      <c r="AI1981" s="94"/>
      <c r="AJ1981" s="94"/>
      <c r="AK1981" s="94"/>
      <c r="AL1981" s="94"/>
    </row>
    <row r="1982" spans="3:38">
      <c r="C1982" s="30"/>
      <c r="F1982" s="95"/>
      <c r="G1982" s="1"/>
      <c r="H1982" s="94"/>
      <c r="I1982" s="90"/>
      <c r="J1982" s="90"/>
      <c r="K1982" s="1"/>
      <c r="L1982" s="74"/>
      <c r="M1982" s="633"/>
      <c r="N1982" s="274"/>
      <c r="O1982" s="94"/>
      <c r="P1982" s="94"/>
      <c r="Q1982" s="94"/>
      <c r="R1982" s="94"/>
      <c r="S1982" s="94"/>
      <c r="V1982" s="30"/>
      <c r="W1982" s="30"/>
      <c r="X1982" s="1"/>
      <c r="Y1982" s="95"/>
      <c r="Z1982" s="1"/>
      <c r="AA1982" s="94"/>
      <c r="AB1982" s="1"/>
      <c r="AC1982" s="1"/>
      <c r="AD1982" s="1"/>
      <c r="AE1982" s="30"/>
      <c r="AF1982" s="633"/>
      <c r="AG1982" s="94"/>
      <c r="AH1982" s="94"/>
      <c r="AI1982" s="94"/>
      <c r="AJ1982" s="94"/>
      <c r="AK1982" s="94"/>
      <c r="AL1982" s="94"/>
    </row>
    <row r="1983" spans="3:38">
      <c r="C1983" s="30"/>
      <c r="F1983" s="95"/>
      <c r="G1983" s="1"/>
      <c r="H1983" s="94"/>
      <c r="I1983" s="90"/>
      <c r="J1983" s="90"/>
      <c r="K1983" s="1"/>
      <c r="L1983" s="74"/>
      <c r="M1983" s="633"/>
      <c r="N1983" s="274"/>
      <c r="O1983" s="94"/>
      <c r="P1983" s="94"/>
      <c r="Q1983" s="94"/>
      <c r="R1983" s="94"/>
      <c r="S1983" s="94"/>
      <c r="V1983" s="30"/>
      <c r="W1983" s="30"/>
      <c r="X1983" s="1"/>
      <c r="Y1983" s="95"/>
      <c r="Z1983" s="1"/>
      <c r="AA1983" s="94"/>
      <c r="AB1983" s="1"/>
      <c r="AC1983" s="1"/>
      <c r="AD1983" s="1"/>
      <c r="AE1983" s="30"/>
      <c r="AF1983" s="633"/>
      <c r="AG1983" s="94"/>
      <c r="AH1983" s="94"/>
      <c r="AI1983" s="94"/>
      <c r="AJ1983" s="94"/>
      <c r="AK1983" s="94"/>
      <c r="AL1983" s="94"/>
    </row>
    <row r="1984" spans="3:38">
      <c r="C1984" s="30"/>
      <c r="F1984" s="95"/>
      <c r="G1984" s="1"/>
      <c r="H1984" s="94"/>
      <c r="I1984" s="90"/>
      <c r="J1984" s="90"/>
      <c r="K1984" s="1"/>
      <c r="L1984" s="74"/>
      <c r="M1984" s="633"/>
      <c r="N1984" s="274"/>
      <c r="O1984" s="94"/>
      <c r="P1984" s="94"/>
      <c r="Q1984" s="94"/>
      <c r="R1984" s="94"/>
      <c r="S1984" s="94"/>
      <c r="V1984" s="30"/>
      <c r="W1984" s="30"/>
      <c r="X1984" s="1"/>
      <c r="Y1984" s="95"/>
      <c r="Z1984" s="1"/>
      <c r="AA1984" s="94"/>
      <c r="AB1984" s="1"/>
      <c r="AC1984" s="1"/>
      <c r="AD1984" s="1"/>
      <c r="AE1984" s="30"/>
      <c r="AF1984" s="633"/>
      <c r="AG1984" s="94"/>
      <c r="AH1984" s="94"/>
      <c r="AI1984" s="94"/>
      <c r="AJ1984" s="94"/>
      <c r="AK1984" s="94"/>
      <c r="AL1984" s="94"/>
    </row>
    <row r="1985" spans="3:38">
      <c r="C1985" s="30"/>
      <c r="F1985" s="95"/>
      <c r="G1985" s="1"/>
      <c r="H1985" s="94"/>
      <c r="I1985" s="90"/>
      <c r="J1985" s="90"/>
      <c r="K1985" s="1"/>
      <c r="L1985" s="74"/>
      <c r="M1985" s="633"/>
      <c r="N1985" s="274"/>
      <c r="O1985" s="94"/>
      <c r="P1985" s="94"/>
      <c r="Q1985" s="94"/>
      <c r="R1985" s="94"/>
      <c r="S1985" s="94"/>
      <c r="V1985" s="30"/>
      <c r="W1985" s="30"/>
      <c r="X1985" s="1"/>
      <c r="Y1985" s="95"/>
      <c r="Z1985" s="1"/>
      <c r="AA1985" s="94"/>
      <c r="AB1985" s="1"/>
      <c r="AC1985" s="1"/>
      <c r="AD1985" s="1"/>
      <c r="AE1985" s="30"/>
      <c r="AF1985" s="633"/>
      <c r="AG1985" s="94"/>
      <c r="AH1985" s="94"/>
      <c r="AI1985" s="94"/>
      <c r="AJ1985" s="94"/>
      <c r="AK1985" s="94"/>
      <c r="AL1985" s="94"/>
    </row>
    <row r="1986" spans="3:38">
      <c r="C1986" s="30"/>
      <c r="F1986" s="95"/>
      <c r="G1986" s="1"/>
      <c r="H1986" s="94"/>
      <c r="I1986" s="90"/>
      <c r="J1986" s="90"/>
      <c r="K1986" s="1"/>
      <c r="L1986" s="74"/>
      <c r="M1986" s="633"/>
      <c r="N1986" s="274"/>
      <c r="O1986" s="94"/>
      <c r="P1986" s="94"/>
      <c r="Q1986" s="94"/>
      <c r="R1986" s="94"/>
      <c r="S1986" s="94"/>
      <c r="V1986" s="30"/>
      <c r="W1986" s="30"/>
      <c r="X1986" s="1"/>
      <c r="Y1986" s="95"/>
      <c r="Z1986" s="1"/>
      <c r="AA1986" s="94"/>
      <c r="AB1986" s="1"/>
      <c r="AC1986" s="1"/>
      <c r="AD1986" s="1"/>
      <c r="AE1986" s="30"/>
      <c r="AF1986" s="633"/>
      <c r="AG1986" s="94"/>
      <c r="AH1986" s="94"/>
      <c r="AI1986" s="94"/>
      <c r="AJ1986" s="94"/>
      <c r="AK1986" s="94"/>
      <c r="AL1986" s="94"/>
    </row>
    <row r="1987" spans="3:38">
      <c r="C1987" s="30"/>
      <c r="F1987" s="95"/>
      <c r="G1987" s="1"/>
      <c r="H1987" s="94"/>
      <c r="I1987" s="90"/>
      <c r="J1987" s="90"/>
      <c r="K1987" s="1"/>
      <c r="L1987" s="74"/>
      <c r="M1987" s="633"/>
      <c r="N1987" s="274"/>
      <c r="O1987" s="94"/>
      <c r="P1987" s="94"/>
      <c r="Q1987" s="94"/>
      <c r="R1987" s="94"/>
      <c r="S1987" s="94"/>
      <c r="V1987" s="30"/>
      <c r="W1987" s="30"/>
      <c r="X1987" s="1"/>
      <c r="Y1987" s="95"/>
      <c r="Z1987" s="1"/>
      <c r="AA1987" s="94"/>
      <c r="AB1987" s="1"/>
      <c r="AC1987" s="1"/>
      <c r="AD1987" s="1"/>
      <c r="AE1987" s="30"/>
      <c r="AF1987" s="633"/>
      <c r="AG1987" s="94"/>
      <c r="AH1987" s="94"/>
      <c r="AI1987" s="94"/>
      <c r="AJ1987" s="94"/>
      <c r="AK1987" s="94"/>
      <c r="AL1987" s="94"/>
    </row>
    <row r="1988" spans="3:38">
      <c r="C1988" s="30"/>
      <c r="F1988" s="95"/>
      <c r="G1988" s="1"/>
      <c r="H1988" s="94"/>
      <c r="I1988" s="90"/>
      <c r="J1988" s="90"/>
      <c r="K1988" s="1"/>
      <c r="L1988" s="74"/>
      <c r="M1988" s="633"/>
      <c r="N1988" s="274"/>
      <c r="O1988" s="94"/>
      <c r="P1988" s="94"/>
      <c r="Q1988" s="94"/>
      <c r="R1988" s="94"/>
      <c r="S1988" s="94"/>
      <c r="V1988" s="30"/>
      <c r="W1988" s="30"/>
      <c r="X1988" s="1"/>
      <c r="Y1988" s="95"/>
      <c r="Z1988" s="1"/>
      <c r="AA1988" s="94"/>
      <c r="AB1988" s="1"/>
      <c r="AC1988" s="1"/>
      <c r="AD1988" s="1"/>
      <c r="AE1988" s="30"/>
      <c r="AF1988" s="633"/>
      <c r="AG1988" s="94"/>
      <c r="AH1988" s="94"/>
      <c r="AI1988" s="94"/>
      <c r="AJ1988" s="94"/>
      <c r="AK1988" s="94"/>
      <c r="AL1988" s="94"/>
    </row>
    <row r="1989" spans="3:38">
      <c r="C1989" s="30"/>
      <c r="F1989" s="95"/>
      <c r="G1989" s="1"/>
      <c r="H1989" s="94"/>
      <c r="I1989" s="90"/>
      <c r="J1989" s="90"/>
      <c r="K1989" s="1"/>
      <c r="L1989" s="74"/>
      <c r="M1989" s="633"/>
      <c r="N1989" s="274"/>
      <c r="O1989" s="94"/>
      <c r="P1989" s="94"/>
      <c r="Q1989" s="94"/>
      <c r="R1989" s="94"/>
      <c r="S1989" s="94"/>
      <c r="V1989" s="30"/>
      <c r="W1989" s="30"/>
      <c r="X1989" s="1"/>
      <c r="Y1989" s="95"/>
      <c r="Z1989" s="1"/>
      <c r="AA1989" s="94"/>
      <c r="AB1989" s="1"/>
      <c r="AC1989" s="1"/>
      <c r="AD1989" s="1"/>
      <c r="AE1989" s="30"/>
      <c r="AF1989" s="633"/>
      <c r="AG1989" s="94"/>
      <c r="AH1989" s="94"/>
      <c r="AI1989" s="94"/>
      <c r="AJ1989" s="94"/>
      <c r="AK1989" s="94"/>
      <c r="AL1989" s="94"/>
    </row>
    <row r="1990" spans="3:38">
      <c r="C1990" s="30"/>
      <c r="F1990" s="95"/>
      <c r="G1990" s="1"/>
      <c r="H1990" s="94"/>
      <c r="I1990" s="90"/>
      <c r="J1990" s="90"/>
      <c r="K1990" s="1"/>
      <c r="L1990" s="74"/>
      <c r="M1990" s="633"/>
      <c r="N1990" s="274"/>
      <c r="O1990" s="94"/>
      <c r="P1990" s="94"/>
      <c r="Q1990" s="94"/>
      <c r="R1990" s="94"/>
      <c r="S1990" s="94"/>
      <c r="V1990" s="30"/>
      <c r="W1990" s="30"/>
      <c r="X1990" s="1"/>
      <c r="Y1990" s="95"/>
      <c r="Z1990" s="1"/>
      <c r="AA1990" s="94"/>
      <c r="AB1990" s="1"/>
      <c r="AC1990" s="1"/>
      <c r="AD1990" s="1"/>
      <c r="AE1990" s="30"/>
      <c r="AF1990" s="633"/>
      <c r="AG1990" s="94"/>
      <c r="AH1990" s="94"/>
      <c r="AI1990" s="94"/>
      <c r="AJ1990" s="94"/>
      <c r="AK1990" s="94"/>
      <c r="AL1990" s="94"/>
    </row>
    <row r="1991" spans="3:38">
      <c r="C1991" s="30"/>
      <c r="F1991" s="95"/>
      <c r="G1991" s="1"/>
      <c r="H1991" s="94"/>
      <c r="I1991" s="90"/>
      <c r="J1991" s="90"/>
      <c r="K1991" s="1"/>
      <c r="L1991" s="74"/>
      <c r="M1991" s="633"/>
      <c r="N1991" s="274"/>
      <c r="O1991" s="94"/>
      <c r="P1991" s="94"/>
      <c r="Q1991" s="94"/>
      <c r="R1991" s="94"/>
      <c r="S1991" s="94"/>
      <c r="V1991" s="30"/>
      <c r="W1991" s="30"/>
      <c r="X1991" s="1"/>
      <c r="Y1991" s="95"/>
      <c r="Z1991" s="1"/>
      <c r="AA1991" s="94"/>
      <c r="AB1991" s="1"/>
      <c r="AC1991" s="1"/>
      <c r="AD1991" s="1"/>
      <c r="AE1991" s="30"/>
      <c r="AF1991" s="633"/>
      <c r="AG1991" s="94"/>
      <c r="AH1991" s="94"/>
      <c r="AI1991" s="94"/>
      <c r="AJ1991" s="94"/>
      <c r="AK1991" s="94"/>
      <c r="AL1991" s="94"/>
    </row>
    <row r="1992" spans="3:38">
      <c r="C1992" s="30"/>
      <c r="F1992" s="95"/>
      <c r="G1992" s="1"/>
      <c r="H1992" s="94"/>
      <c r="I1992" s="90"/>
      <c r="J1992" s="90"/>
      <c r="K1992" s="1"/>
      <c r="L1992" s="74"/>
      <c r="M1992" s="633"/>
      <c r="N1992" s="274"/>
      <c r="O1992" s="94"/>
      <c r="P1992" s="94"/>
      <c r="Q1992" s="94"/>
      <c r="R1992" s="94"/>
      <c r="S1992" s="94"/>
      <c r="V1992" s="30"/>
      <c r="W1992" s="30"/>
      <c r="X1992" s="1"/>
      <c r="Y1992" s="95"/>
      <c r="Z1992" s="1"/>
      <c r="AA1992" s="94"/>
      <c r="AB1992" s="1"/>
      <c r="AC1992" s="1"/>
      <c r="AD1992" s="1"/>
      <c r="AE1992" s="30"/>
      <c r="AF1992" s="633"/>
      <c r="AG1992" s="94"/>
      <c r="AH1992" s="94"/>
      <c r="AI1992" s="94"/>
      <c r="AJ1992" s="94"/>
      <c r="AK1992" s="94"/>
      <c r="AL1992" s="94"/>
    </row>
    <row r="1993" spans="3:38">
      <c r="C1993" s="30"/>
      <c r="F1993" s="95"/>
      <c r="G1993" s="1"/>
      <c r="H1993" s="94"/>
      <c r="I1993" s="90"/>
      <c r="J1993" s="90"/>
      <c r="K1993" s="1"/>
      <c r="L1993" s="74"/>
      <c r="M1993" s="633"/>
      <c r="N1993" s="274"/>
      <c r="O1993" s="94"/>
      <c r="P1993" s="94"/>
      <c r="Q1993" s="94"/>
      <c r="R1993" s="94"/>
      <c r="S1993" s="94"/>
      <c r="V1993" s="30"/>
      <c r="W1993" s="30"/>
      <c r="X1993" s="1"/>
      <c r="Y1993" s="95"/>
      <c r="Z1993" s="1"/>
      <c r="AA1993" s="94"/>
      <c r="AB1993" s="1"/>
      <c r="AC1993" s="1"/>
      <c r="AD1993" s="1"/>
      <c r="AE1993" s="30"/>
      <c r="AF1993" s="633"/>
      <c r="AG1993" s="94"/>
      <c r="AH1993" s="94"/>
      <c r="AI1993" s="94"/>
      <c r="AJ1993" s="94"/>
      <c r="AK1993" s="94"/>
      <c r="AL1993" s="94"/>
    </row>
    <row r="1994" spans="3:38">
      <c r="C1994" s="30"/>
      <c r="F1994" s="95"/>
      <c r="G1994" s="1"/>
      <c r="H1994" s="94"/>
      <c r="I1994" s="90"/>
      <c r="J1994" s="90"/>
      <c r="K1994" s="1"/>
      <c r="L1994" s="74"/>
      <c r="M1994" s="633"/>
      <c r="N1994" s="274"/>
      <c r="O1994" s="94"/>
      <c r="P1994" s="94"/>
      <c r="Q1994" s="94"/>
      <c r="R1994" s="94"/>
      <c r="S1994" s="94"/>
      <c r="V1994" s="30"/>
      <c r="W1994" s="30"/>
      <c r="X1994" s="1"/>
      <c r="Y1994" s="95"/>
      <c r="Z1994" s="1"/>
      <c r="AA1994" s="94"/>
      <c r="AB1994" s="1"/>
      <c r="AC1994" s="1"/>
      <c r="AD1994" s="1"/>
      <c r="AE1994" s="30"/>
      <c r="AF1994" s="633"/>
      <c r="AG1994" s="94"/>
      <c r="AH1994" s="94"/>
      <c r="AI1994" s="94"/>
      <c r="AJ1994" s="94"/>
      <c r="AK1994" s="94"/>
      <c r="AL1994" s="94"/>
    </row>
    <row r="1995" spans="3:38">
      <c r="C1995" s="30"/>
      <c r="F1995" s="95"/>
      <c r="G1995" s="1"/>
      <c r="H1995" s="94"/>
      <c r="I1995" s="90"/>
      <c r="J1995" s="90"/>
      <c r="K1995" s="1"/>
      <c r="L1995" s="74"/>
      <c r="M1995" s="633"/>
      <c r="N1995" s="274"/>
      <c r="O1995" s="94"/>
      <c r="P1995" s="94"/>
      <c r="Q1995" s="94"/>
      <c r="R1995" s="94"/>
      <c r="S1995" s="94"/>
      <c r="V1995" s="30"/>
      <c r="W1995" s="30"/>
      <c r="X1995" s="1"/>
      <c r="Y1995" s="95"/>
      <c r="Z1995" s="1"/>
      <c r="AA1995" s="94"/>
      <c r="AB1995" s="1"/>
      <c r="AC1995" s="1"/>
      <c r="AD1995" s="1"/>
      <c r="AE1995" s="30"/>
      <c r="AF1995" s="633"/>
      <c r="AG1995" s="94"/>
      <c r="AH1995" s="94"/>
      <c r="AI1995" s="94"/>
      <c r="AJ1995" s="94"/>
      <c r="AK1995" s="94"/>
      <c r="AL1995" s="94"/>
    </row>
    <row r="1996" spans="3:38">
      <c r="C1996" s="30"/>
      <c r="F1996" s="95"/>
      <c r="G1996" s="1"/>
      <c r="H1996" s="94"/>
      <c r="I1996" s="90"/>
      <c r="J1996" s="90"/>
      <c r="K1996" s="1"/>
      <c r="L1996" s="74"/>
      <c r="M1996" s="633"/>
      <c r="N1996" s="274"/>
      <c r="O1996" s="94"/>
      <c r="P1996" s="94"/>
      <c r="Q1996" s="94"/>
      <c r="R1996" s="94"/>
      <c r="S1996" s="94"/>
      <c r="V1996" s="30"/>
      <c r="W1996" s="30"/>
      <c r="X1996" s="1"/>
      <c r="Y1996" s="95"/>
      <c r="Z1996" s="1"/>
      <c r="AA1996" s="94"/>
      <c r="AB1996" s="1"/>
      <c r="AC1996" s="1"/>
      <c r="AD1996" s="1"/>
      <c r="AE1996" s="30"/>
      <c r="AF1996" s="633"/>
      <c r="AG1996" s="94"/>
      <c r="AH1996" s="94"/>
      <c r="AI1996" s="94"/>
      <c r="AJ1996" s="94"/>
      <c r="AK1996" s="94"/>
      <c r="AL1996" s="94"/>
    </row>
    <row r="1997" spans="3:38">
      <c r="C1997" s="30"/>
      <c r="F1997" s="95"/>
      <c r="G1997" s="1"/>
      <c r="H1997" s="94"/>
      <c r="I1997" s="90"/>
      <c r="J1997" s="90"/>
      <c r="K1997" s="1"/>
      <c r="L1997" s="74"/>
      <c r="M1997" s="633"/>
      <c r="N1997" s="274"/>
      <c r="O1997" s="94"/>
      <c r="P1997" s="94"/>
      <c r="Q1997" s="94"/>
      <c r="R1997" s="94"/>
      <c r="S1997" s="94"/>
      <c r="V1997" s="30"/>
      <c r="W1997" s="30"/>
      <c r="X1997" s="1"/>
      <c r="Y1997" s="95"/>
      <c r="Z1997" s="1"/>
      <c r="AA1997" s="94"/>
      <c r="AB1997" s="1"/>
      <c r="AC1997" s="1"/>
      <c r="AD1997" s="1"/>
      <c r="AE1997" s="30"/>
      <c r="AF1997" s="633"/>
      <c r="AG1997" s="94"/>
      <c r="AH1997" s="94"/>
      <c r="AI1997" s="94"/>
      <c r="AJ1997" s="94"/>
      <c r="AK1997" s="94"/>
      <c r="AL1997" s="94"/>
    </row>
    <row r="1998" spans="3:38">
      <c r="C1998" s="30"/>
      <c r="F1998" s="95"/>
      <c r="G1998" s="1"/>
      <c r="H1998" s="94"/>
      <c r="I1998" s="90"/>
      <c r="J1998" s="90"/>
      <c r="K1998" s="1"/>
      <c r="L1998" s="74"/>
      <c r="M1998" s="633"/>
      <c r="N1998" s="274"/>
      <c r="O1998" s="94"/>
      <c r="P1998" s="94"/>
      <c r="Q1998" s="94"/>
      <c r="R1998" s="94"/>
      <c r="S1998" s="94"/>
      <c r="V1998" s="30"/>
      <c r="W1998" s="30"/>
      <c r="X1998" s="1"/>
      <c r="Y1998" s="95"/>
      <c r="Z1998" s="1"/>
      <c r="AA1998" s="94"/>
      <c r="AB1998" s="1"/>
      <c r="AC1998" s="1"/>
      <c r="AD1998" s="1"/>
      <c r="AE1998" s="30"/>
      <c r="AF1998" s="633"/>
      <c r="AG1998" s="94"/>
      <c r="AH1998" s="94"/>
      <c r="AI1998" s="94"/>
      <c r="AJ1998" s="94"/>
      <c r="AK1998" s="94"/>
      <c r="AL1998" s="94"/>
    </row>
    <row r="1999" spans="3:38">
      <c r="C1999" s="30"/>
      <c r="F1999" s="95"/>
      <c r="G1999" s="1"/>
      <c r="H1999" s="94"/>
      <c r="I1999" s="90"/>
      <c r="J1999" s="90"/>
      <c r="K1999" s="1"/>
      <c r="L1999" s="74"/>
      <c r="M1999" s="633"/>
      <c r="N1999" s="274"/>
      <c r="O1999" s="94"/>
      <c r="P1999" s="94"/>
      <c r="Q1999" s="94"/>
      <c r="R1999" s="94"/>
      <c r="S1999" s="94"/>
      <c r="V1999" s="30"/>
      <c r="W1999" s="30"/>
      <c r="X1999" s="1"/>
      <c r="Y1999" s="95"/>
      <c r="Z1999" s="1"/>
      <c r="AA1999" s="94"/>
      <c r="AB1999" s="1"/>
      <c r="AC1999" s="1"/>
      <c r="AD1999" s="1"/>
      <c r="AE1999" s="30"/>
      <c r="AF1999" s="633"/>
      <c r="AG1999" s="94"/>
      <c r="AH1999" s="94"/>
      <c r="AI1999" s="94"/>
      <c r="AJ1999" s="94"/>
      <c r="AK1999" s="94"/>
      <c r="AL1999" s="94"/>
    </row>
    <row r="2000" spans="3:38">
      <c r="C2000" s="30"/>
      <c r="F2000" s="95"/>
      <c r="G2000" s="1"/>
      <c r="H2000" s="94"/>
      <c r="I2000" s="90"/>
      <c r="J2000" s="90"/>
      <c r="K2000" s="1"/>
      <c r="L2000" s="74"/>
      <c r="M2000" s="633"/>
      <c r="N2000" s="274"/>
      <c r="O2000" s="94"/>
      <c r="P2000" s="94"/>
      <c r="Q2000" s="94"/>
      <c r="R2000" s="94"/>
      <c r="S2000" s="94"/>
      <c r="V2000" s="30"/>
      <c r="W2000" s="30"/>
      <c r="X2000" s="1"/>
      <c r="Y2000" s="95"/>
      <c r="Z2000" s="1"/>
      <c r="AA2000" s="94"/>
      <c r="AB2000" s="1"/>
      <c r="AC2000" s="1"/>
      <c r="AD2000" s="1"/>
      <c r="AE2000" s="30"/>
      <c r="AF2000" s="633"/>
      <c r="AG2000" s="94"/>
      <c r="AH2000" s="94"/>
      <c r="AI2000" s="94"/>
      <c r="AJ2000" s="94"/>
      <c r="AK2000" s="94"/>
      <c r="AL2000" s="94"/>
    </row>
    <row r="2001" spans="3:38">
      <c r="C2001" s="30"/>
      <c r="F2001" s="95"/>
      <c r="G2001" s="1"/>
      <c r="H2001" s="94"/>
      <c r="I2001" s="90"/>
      <c r="J2001" s="90"/>
      <c r="K2001" s="1"/>
      <c r="L2001" s="74"/>
      <c r="M2001" s="633"/>
      <c r="N2001" s="274"/>
      <c r="O2001" s="94"/>
      <c r="P2001" s="94"/>
      <c r="Q2001" s="94"/>
      <c r="R2001" s="94"/>
      <c r="S2001" s="94"/>
      <c r="V2001" s="30"/>
      <c r="W2001" s="30"/>
      <c r="X2001" s="1"/>
      <c r="Y2001" s="95"/>
      <c r="Z2001" s="1"/>
      <c r="AA2001" s="94"/>
      <c r="AB2001" s="1"/>
      <c r="AC2001" s="1"/>
      <c r="AD2001" s="1"/>
      <c r="AE2001" s="30"/>
      <c r="AF2001" s="633"/>
      <c r="AG2001" s="94"/>
      <c r="AH2001" s="94"/>
      <c r="AI2001" s="94"/>
      <c r="AJ2001" s="94"/>
      <c r="AK2001" s="94"/>
      <c r="AL2001" s="94"/>
    </row>
    <row r="2002" spans="3:38">
      <c r="C2002" s="30"/>
      <c r="F2002" s="95"/>
      <c r="G2002" s="1"/>
      <c r="H2002" s="94"/>
      <c r="I2002" s="90"/>
      <c r="J2002" s="90"/>
      <c r="K2002" s="1"/>
      <c r="L2002" s="74"/>
      <c r="M2002" s="633"/>
      <c r="N2002" s="274"/>
      <c r="O2002" s="94"/>
      <c r="P2002" s="94"/>
      <c r="Q2002" s="94"/>
      <c r="R2002" s="94"/>
      <c r="S2002" s="94"/>
      <c r="V2002" s="30"/>
      <c r="W2002" s="30"/>
      <c r="X2002" s="1"/>
      <c r="Y2002" s="95"/>
      <c r="Z2002" s="1"/>
      <c r="AA2002" s="94"/>
      <c r="AB2002" s="1"/>
      <c r="AC2002" s="1"/>
      <c r="AD2002" s="1"/>
      <c r="AE2002" s="30"/>
      <c r="AF2002" s="633"/>
      <c r="AG2002" s="94"/>
      <c r="AH2002" s="94"/>
      <c r="AI2002" s="94"/>
      <c r="AJ2002" s="94"/>
      <c r="AK2002" s="94"/>
      <c r="AL2002" s="94"/>
    </row>
    <row r="2003" spans="3:38">
      <c r="C2003" s="30"/>
      <c r="F2003" s="95"/>
      <c r="G2003" s="1"/>
      <c r="H2003" s="94"/>
      <c r="I2003" s="90"/>
      <c r="J2003" s="90"/>
      <c r="K2003" s="1"/>
      <c r="L2003" s="74"/>
      <c r="M2003" s="633"/>
      <c r="N2003" s="274"/>
      <c r="O2003" s="94"/>
      <c r="P2003" s="94"/>
      <c r="Q2003" s="94"/>
      <c r="R2003" s="94"/>
      <c r="S2003" s="94"/>
      <c r="V2003" s="30"/>
      <c r="W2003" s="30"/>
      <c r="X2003" s="1"/>
      <c r="Y2003" s="95"/>
      <c r="Z2003" s="1"/>
      <c r="AA2003" s="94"/>
      <c r="AB2003" s="1"/>
      <c r="AC2003" s="1"/>
      <c r="AD2003" s="1"/>
      <c r="AE2003" s="30"/>
      <c r="AF2003" s="633"/>
      <c r="AG2003" s="94"/>
      <c r="AH2003" s="94"/>
      <c r="AI2003" s="94"/>
      <c r="AJ2003" s="94"/>
      <c r="AK2003" s="94"/>
      <c r="AL2003" s="94"/>
    </row>
    <row r="2004" spans="3:38">
      <c r="C2004" s="30"/>
      <c r="F2004" s="95"/>
      <c r="G2004" s="1"/>
      <c r="H2004" s="94"/>
      <c r="I2004" s="90"/>
      <c r="J2004" s="90"/>
      <c r="K2004" s="1"/>
      <c r="L2004" s="74"/>
      <c r="M2004" s="633"/>
      <c r="N2004" s="274"/>
      <c r="O2004" s="94"/>
      <c r="P2004" s="94"/>
      <c r="Q2004" s="94"/>
      <c r="R2004" s="94"/>
      <c r="S2004" s="94"/>
      <c r="V2004" s="30"/>
      <c r="W2004" s="30"/>
      <c r="X2004" s="1"/>
      <c r="Y2004" s="95"/>
      <c r="Z2004" s="1"/>
      <c r="AA2004" s="94"/>
      <c r="AB2004" s="1"/>
      <c r="AC2004" s="1"/>
      <c r="AD2004" s="1"/>
      <c r="AE2004" s="30"/>
      <c r="AF2004" s="633"/>
      <c r="AG2004" s="94"/>
      <c r="AH2004" s="94"/>
      <c r="AI2004" s="94"/>
      <c r="AJ2004" s="94"/>
      <c r="AK2004" s="94"/>
      <c r="AL2004" s="94"/>
    </row>
    <row r="2005" spans="3:38">
      <c r="C2005" s="30"/>
      <c r="F2005" s="95"/>
      <c r="G2005" s="1"/>
      <c r="H2005" s="94"/>
      <c r="I2005" s="90"/>
      <c r="J2005" s="90"/>
      <c r="K2005" s="1"/>
      <c r="L2005" s="74"/>
      <c r="M2005" s="633"/>
      <c r="N2005" s="274"/>
      <c r="O2005" s="94"/>
      <c r="P2005" s="94"/>
      <c r="Q2005" s="94"/>
      <c r="R2005" s="94"/>
      <c r="S2005" s="94"/>
      <c r="V2005" s="30"/>
      <c r="W2005" s="30"/>
      <c r="X2005" s="1"/>
      <c r="Y2005" s="95"/>
      <c r="Z2005" s="1"/>
      <c r="AA2005" s="94"/>
      <c r="AB2005" s="1"/>
      <c r="AC2005" s="1"/>
      <c r="AD2005" s="1"/>
      <c r="AE2005" s="30"/>
      <c r="AF2005" s="633"/>
      <c r="AG2005" s="94"/>
      <c r="AH2005" s="94"/>
      <c r="AI2005" s="94"/>
      <c r="AJ2005" s="94"/>
      <c r="AK2005" s="94"/>
      <c r="AL2005" s="94"/>
    </row>
    <row r="2006" spans="3:38">
      <c r="C2006" s="30"/>
      <c r="F2006" s="95"/>
      <c r="G2006" s="1"/>
      <c r="H2006" s="94"/>
      <c r="I2006" s="90"/>
      <c r="J2006" s="90"/>
      <c r="K2006" s="1"/>
      <c r="L2006" s="74"/>
      <c r="M2006" s="633"/>
      <c r="N2006" s="274"/>
      <c r="O2006" s="94"/>
      <c r="P2006" s="94"/>
      <c r="Q2006" s="94"/>
      <c r="R2006" s="94"/>
      <c r="S2006" s="94"/>
      <c r="V2006" s="30"/>
      <c r="W2006" s="30"/>
      <c r="X2006" s="1"/>
      <c r="Y2006" s="95"/>
      <c r="Z2006" s="1"/>
      <c r="AA2006" s="94"/>
      <c r="AB2006" s="1"/>
      <c r="AC2006" s="1"/>
      <c r="AD2006" s="1"/>
      <c r="AE2006" s="30"/>
      <c r="AF2006" s="633"/>
      <c r="AG2006" s="94"/>
      <c r="AH2006" s="94"/>
      <c r="AI2006" s="94"/>
      <c r="AJ2006" s="94"/>
      <c r="AK2006" s="94"/>
      <c r="AL2006" s="94"/>
    </row>
    <row r="2007" spans="3:38">
      <c r="C2007" s="30"/>
      <c r="F2007" s="95"/>
      <c r="G2007" s="1"/>
      <c r="H2007" s="94"/>
      <c r="I2007" s="90"/>
      <c r="J2007" s="90"/>
      <c r="K2007" s="1"/>
      <c r="L2007" s="74"/>
      <c r="M2007" s="633"/>
      <c r="N2007" s="274"/>
      <c r="O2007" s="94"/>
      <c r="P2007" s="94"/>
      <c r="Q2007" s="94"/>
      <c r="R2007" s="94"/>
      <c r="S2007" s="94"/>
      <c r="V2007" s="30"/>
      <c r="W2007" s="30"/>
      <c r="X2007" s="1"/>
      <c r="Y2007" s="95"/>
      <c r="Z2007" s="1"/>
      <c r="AA2007" s="94"/>
      <c r="AB2007" s="1"/>
      <c r="AC2007" s="1"/>
      <c r="AD2007" s="1"/>
      <c r="AE2007" s="30"/>
      <c r="AF2007" s="633"/>
      <c r="AG2007" s="94"/>
      <c r="AH2007" s="94"/>
      <c r="AI2007" s="94"/>
      <c r="AJ2007" s="94"/>
      <c r="AK2007" s="94"/>
      <c r="AL2007" s="94"/>
    </row>
    <row r="2008" spans="3:38">
      <c r="C2008" s="30"/>
      <c r="F2008" s="95"/>
      <c r="G2008" s="1"/>
      <c r="H2008" s="94"/>
      <c r="I2008" s="90"/>
      <c r="J2008" s="90"/>
      <c r="K2008" s="1"/>
      <c r="L2008" s="74"/>
      <c r="M2008" s="633"/>
      <c r="N2008" s="274"/>
      <c r="O2008" s="94"/>
      <c r="P2008" s="94"/>
      <c r="Q2008" s="94"/>
      <c r="R2008" s="94"/>
      <c r="S2008" s="94"/>
      <c r="V2008" s="30"/>
      <c r="W2008" s="30"/>
      <c r="X2008" s="1"/>
      <c r="Y2008" s="95"/>
      <c r="Z2008" s="1"/>
      <c r="AA2008" s="94"/>
      <c r="AB2008" s="1"/>
      <c r="AC2008" s="1"/>
      <c r="AD2008" s="1"/>
      <c r="AE2008" s="30"/>
      <c r="AF2008" s="633"/>
      <c r="AG2008" s="94"/>
      <c r="AH2008" s="94"/>
      <c r="AI2008" s="94"/>
      <c r="AJ2008" s="94"/>
      <c r="AK2008" s="94"/>
      <c r="AL2008" s="94"/>
    </row>
    <row r="2009" spans="3:38">
      <c r="C2009" s="30"/>
      <c r="F2009" s="95"/>
      <c r="G2009" s="1"/>
      <c r="H2009" s="94"/>
      <c r="I2009" s="90"/>
      <c r="J2009" s="90"/>
      <c r="K2009" s="1"/>
      <c r="L2009" s="74"/>
      <c r="M2009" s="633"/>
      <c r="N2009" s="274"/>
      <c r="O2009" s="94"/>
      <c r="P2009" s="94"/>
      <c r="Q2009" s="94"/>
      <c r="R2009" s="94"/>
      <c r="S2009" s="94"/>
      <c r="V2009" s="30"/>
      <c r="W2009" s="30"/>
      <c r="X2009" s="1"/>
      <c r="Y2009" s="95"/>
      <c r="Z2009" s="1"/>
      <c r="AA2009" s="94"/>
      <c r="AB2009" s="1"/>
      <c r="AC2009" s="1"/>
      <c r="AD2009" s="1"/>
      <c r="AE2009" s="30"/>
      <c r="AF2009" s="633"/>
      <c r="AG2009" s="94"/>
      <c r="AH2009" s="94"/>
      <c r="AI2009" s="94"/>
      <c r="AJ2009" s="94"/>
      <c r="AK2009" s="94"/>
      <c r="AL2009" s="94"/>
    </row>
    <row r="2010" spans="3:38">
      <c r="C2010" s="30"/>
      <c r="F2010" s="95"/>
      <c r="G2010" s="1"/>
      <c r="H2010" s="94"/>
      <c r="I2010" s="90"/>
      <c r="J2010" s="90"/>
      <c r="K2010" s="1"/>
      <c r="L2010" s="74"/>
      <c r="M2010" s="633"/>
      <c r="N2010" s="274"/>
      <c r="O2010" s="94"/>
      <c r="P2010" s="94"/>
      <c r="Q2010" s="94"/>
      <c r="R2010" s="94"/>
      <c r="S2010" s="94"/>
      <c r="V2010" s="30"/>
      <c r="W2010" s="30"/>
      <c r="X2010" s="1"/>
      <c r="Y2010" s="95"/>
      <c r="Z2010" s="1"/>
      <c r="AA2010" s="94"/>
      <c r="AB2010" s="1"/>
      <c r="AC2010" s="1"/>
      <c r="AD2010" s="1"/>
      <c r="AE2010" s="30"/>
      <c r="AF2010" s="633"/>
      <c r="AG2010" s="94"/>
      <c r="AH2010" s="94"/>
      <c r="AI2010" s="94"/>
      <c r="AJ2010" s="94"/>
      <c r="AK2010" s="94"/>
      <c r="AL2010" s="94"/>
    </row>
    <row r="2011" spans="3:38">
      <c r="C2011" s="30"/>
      <c r="F2011" s="95"/>
      <c r="G2011" s="1"/>
      <c r="H2011" s="94"/>
      <c r="I2011" s="90"/>
      <c r="J2011" s="90"/>
      <c r="K2011" s="1"/>
      <c r="L2011" s="74"/>
      <c r="M2011" s="633"/>
      <c r="N2011" s="274"/>
      <c r="O2011" s="94"/>
      <c r="P2011" s="94"/>
      <c r="Q2011" s="94"/>
      <c r="R2011" s="94"/>
      <c r="S2011" s="94"/>
      <c r="V2011" s="30"/>
      <c r="W2011" s="30"/>
      <c r="X2011" s="1"/>
      <c r="Y2011" s="95"/>
      <c r="Z2011" s="1"/>
      <c r="AA2011" s="94"/>
      <c r="AB2011" s="1"/>
      <c r="AC2011" s="1"/>
      <c r="AD2011" s="1"/>
      <c r="AE2011" s="30"/>
      <c r="AF2011" s="633"/>
      <c r="AG2011" s="94"/>
      <c r="AH2011" s="94"/>
      <c r="AI2011" s="94"/>
      <c r="AJ2011" s="94"/>
      <c r="AK2011" s="94"/>
      <c r="AL2011" s="94"/>
    </row>
    <row r="2012" spans="3:38">
      <c r="C2012" s="30"/>
      <c r="F2012" s="95"/>
      <c r="G2012" s="1"/>
      <c r="H2012" s="94"/>
      <c r="I2012" s="90"/>
      <c r="J2012" s="90"/>
      <c r="K2012" s="1"/>
      <c r="L2012" s="74"/>
      <c r="M2012" s="633"/>
      <c r="N2012" s="274"/>
      <c r="O2012" s="94"/>
      <c r="P2012" s="94"/>
      <c r="Q2012" s="94"/>
      <c r="R2012" s="94"/>
      <c r="S2012" s="94"/>
      <c r="V2012" s="30"/>
      <c r="W2012" s="30"/>
      <c r="X2012" s="1"/>
      <c r="Y2012" s="95"/>
      <c r="Z2012" s="1"/>
      <c r="AA2012" s="94"/>
      <c r="AB2012" s="1"/>
      <c r="AC2012" s="1"/>
      <c r="AD2012" s="1"/>
      <c r="AE2012" s="30"/>
      <c r="AF2012" s="633"/>
      <c r="AG2012" s="94"/>
      <c r="AH2012" s="94"/>
      <c r="AI2012" s="94"/>
      <c r="AJ2012" s="94"/>
      <c r="AK2012" s="94"/>
      <c r="AL2012" s="94"/>
    </row>
    <row r="2013" spans="3:38">
      <c r="C2013" s="30"/>
      <c r="F2013" s="95"/>
      <c r="G2013" s="1"/>
      <c r="H2013" s="94"/>
      <c r="I2013" s="90"/>
      <c r="J2013" s="90"/>
      <c r="K2013" s="1"/>
      <c r="L2013" s="74"/>
      <c r="M2013" s="633"/>
      <c r="N2013" s="274"/>
      <c r="O2013" s="94"/>
      <c r="P2013" s="94"/>
      <c r="Q2013" s="94"/>
      <c r="R2013" s="94"/>
      <c r="S2013" s="94"/>
      <c r="V2013" s="30"/>
      <c r="W2013" s="30"/>
      <c r="X2013" s="1"/>
      <c r="Y2013" s="95"/>
      <c r="Z2013" s="1"/>
      <c r="AA2013" s="94"/>
      <c r="AB2013" s="1"/>
      <c r="AC2013" s="1"/>
      <c r="AD2013" s="1"/>
      <c r="AE2013" s="30"/>
      <c r="AF2013" s="633"/>
      <c r="AG2013" s="94"/>
      <c r="AH2013" s="94"/>
      <c r="AI2013" s="94"/>
      <c r="AJ2013" s="94"/>
      <c r="AK2013" s="94"/>
      <c r="AL2013" s="94"/>
    </row>
    <row r="2014" spans="3:38">
      <c r="C2014" s="30"/>
      <c r="F2014" s="95"/>
      <c r="G2014" s="1"/>
      <c r="H2014" s="94"/>
      <c r="I2014" s="90"/>
      <c r="J2014" s="90"/>
      <c r="K2014" s="1"/>
      <c r="L2014" s="74"/>
      <c r="M2014" s="633"/>
      <c r="N2014" s="274"/>
      <c r="O2014" s="94"/>
      <c r="P2014" s="94"/>
      <c r="Q2014" s="94"/>
      <c r="R2014" s="94"/>
      <c r="S2014" s="94"/>
      <c r="V2014" s="30"/>
      <c r="W2014" s="30"/>
      <c r="X2014" s="1"/>
      <c r="Y2014" s="95"/>
      <c r="Z2014" s="1"/>
      <c r="AA2014" s="94"/>
      <c r="AB2014" s="1"/>
      <c r="AC2014" s="1"/>
      <c r="AD2014" s="1"/>
      <c r="AE2014" s="30"/>
      <c r="AF2014" s="633"/>
      <c r="AG2014" s="94"/>
      <c r="AH2014" s="94"/>
      <c r="AI2014" s="94"/>
      <c r="AJ2014" s="94"/>
      <c r="AK2014" s="94"/>
      <c r="AL2014" s="94"/>
    </row>
    <row r="2015" spans="3:38">
      <c r="C2015" s="30"/>
      <c r="F2015" s="95"/>
      <c r="G2015" s="1"/>
      <c r="H2015" s="94"/>
      <c r="I2015" s="90"/>
      <c r="J2015" s="90"/>
      <c r="K2015" s="1"/>
      <c r="L2015" s="74"/>
      <c r="M2015" s="633"/>
      <c r="N2015" s="274"/>
      <c r="O2015" s="94"/>
      <c r="P2015" s="94"/>
      <c r="Q2015" s="94"/>
      <c r="R2015" s="94"/>
      <c r="S2015" s="94"/>
      <c r="V2015" s="30"/>
      <c r="W2015" s="30"/>
      <c r="X2015" s="1"/>
      <c r="Y2015" s="95"/>
      <c r="Z2015" s="1"/>
      <c r="AA2015" s="94"/>
      <c r="AB2015" s="1"/>
      <c r="AC2015" s="1"/>
      <c r="AD2015" s="1"/>
      <c r="AE2015" s="30"/>
      <c r="AF2015" s="633"/>
      <c r="AG2015" s="94"/>
      <c r="AH2015" s="94"/>
      <c r="AI2015" s="94"/>
      <c r="AJ2015" s="94"/>
      <c r="AK2015" s="94"/>
      <c r="AL2015" s="94"/>
    </row>
    <row r="2016" spans="3:38">
      <c r="C2016" s="30"/>
      <c r="F2016" s="95"/>
      <c r="G2016" s="1"/>
      <c r="H2016" s="94"/>
      <c r="I2016" s="90"/>
      <c r="J2016" s="90"/>
      <c r="K2016" s="1"/>
      <c r="L2016" s="74"/>
      <c r="M2016" s="633"/>
      <c r="N2016" s="274"/>
      <c r="O2016" s="94"/>
      <c r="P2016" s="94"/>
      <c r="Q2016" s="94"/>
      <c r="R2016" s="94"/>
      <c r="S2016" s="94"/>
      <c r="V2016" s="30"/>
      <c r="W2016" s="30"/>
      <c r="X2016" s="1"/>
      <c r="Y2016" s="95"/>
      <c r="Z2016" s="1"/>
      <c r="AA2016" s="94"/>
      <c r="AB2016" s="1"/>
      <c r="AC2016" s="1"/>
      <c r="AD2016" s="1"/>
      <c r="AE2016" s="30"/>
      <c r="AF2016" s="633"/>
      <c r="AG2016" s="94"/>
      <c r="AH2016" s="94"/>
      <c r="AI2016" s="94"/>
      <c r="AJ2016" s="94"/>
      <c r="AK2016" s="94"/>
      <c r="AL2016" s="94"/>
    </row>
    <row r="2017" spans="3:38">
      <c r="C2017" s="30"/>
      <c r="F2017" s="95"/>
      <c r="G2017" s="1"/>
      <c r="H2017" s="94"/>
      <c r="I2017" s="90"/>
      <c r="J2017" s="90"/>
      <c r="K2017" s="1"/>
      <c r="L2017" s="74"/>
      <c r="M2017" s="633"/>
      <c r="N2017" s="274"/>
      <c r="O2017" s="94"/>
      <c r="P2017" s="94"/>
      <c r="Q2017" s="94"/>
      <c r="R2017" s="94"/>
      <c r="S2017" s="94"/>
      <c r="V2017" s="30"/>
      <c r="W2017" s="30"/>
      <c r="X2017" s="1"/>
      <c r="Y2017" s="95"/>
      <c r="Z2017" s="1"/>
      <c r="AA2017" s="94"/>
      <c r="AB2017" s="1"/>
      <c r="AC2017" s="1"/>
      <c r="AD2017" s="1"/>
      <c r="AE2017" s="30"/>
      <c r="AF2017" s="633"/>
      <c r="AG2017" s="94"/>
      <c r="AH2017" s="94"/>
      <c r="AI2017" s="94"/>
      <c r="AJ2017" s="94"/>
      <c r="AK2017" s="94"/>
      <c r="AL2017" s="94"/>
    </row>
    <row r="2018" spans="3:38">
      <c r="C2018" s="30"/>
      <c r="F2018" s="95"/>
      <c r="G2018" s="1"/>
      <c r="H2018" s="94"/>
      <c r="I2018" s="90"/>
      <c r="J2018" s="90"/>
      <c r="K2018" s="1"/>
      <c r="L2018" s="74"/>
      <c r="M2018" s="633"/>
      <c r="N2018" s="274"/>
      <c r="O2018" s="94"/>
      <c r="P2018" s="94"/>
      <c r="Q2018" s="94"/>
      <c r="R2018" s="94"/>
      <c r="S2018" s="94"/>
      <c r="V2018" s="30"/>
      <c r="W2018" s="30"/>
      <c r="X2018" s="1"/>
      <c r="Y2018" s="95"/>
      <c r="Z2018" s="1"/>
      <c r="AA2018" s="94"/>
      <c r="AB2018" s="1"/>
      <c r="AC2018" s="1"/>
      <c r="AD2018" s="1"/>
      <c r="AE2018" s="30"/>
      <c r="AF2018" s="633"/>
      <c r="AG2018" s="94"/>
      <c r="AH2018" s="94"/>
      <c r="AI2018" s="94"/>
      <c r="AJ2018" s="94"/>
      <c r="AK2018" s="94"/>
      <c r="AL2018" s="94"/>
    </row>
    <row r="2019" spans="3:38">
      <c r="C2019" s="30"/>
      <c r="F2019" s="95"/>
      <c r="G2019" s="1"/>
      <c r="H2019" s="94"/>
      <c r="I2019" s="90"/>
      <c r="J2019" s="90"/>
      <c r="K2019" s="1"/>
      <c r="L2019" s="74"/>
      <c r="M2019" s="633"/>
      <c r="N2019" s="274"/>
      <c r="O2019" s="94"/>
      <c r="P2019" s="94"/>
      <c r="Q2019" s="94"/>
      <c r="R2019" s="94"/>
      <c r="S2019" s="94"/>
      <c r="V2019" s="30"/>
      <c r="W2019" s="30"/>
      <c r="X2019" s="1"/>
      <c r="Y2019" s="95"/>
      <c r="Z2019" s="1"/>
      <c r="AA2019" s="94"/>
      <c r="AB2019" s="1"/>
      <c r="AC2019" s="1"/>
      <c r="AD2019" s="1"/>
      <c r="AE2019" s="30"/>
      <c r="AF2019" s="633"/>
      <c r="AG2019" s="94"/>
      <c r="AH2019" s="94"/>
      <c r="AI2019" s="94"/>
      <c r="AJ2019" s="94"/>
      <c r="AK2019" s="94"/>
      <c r="AL2019" s="94"/>
    </row>
    <row r="2020" spans="3:38">
      <c r="C2020" s="30"/>
      <c r="F2020" s="95"/>
      <c r="G2020" s="1"/>
      <c r="H2020" s="94"/>
      <c r="I2020" s="90"/>
      <c r="J2020" s="90"/>
      <c r="K2020" s="1"/>
      <c r="L2020" s="74"/>
      <c r="M2020" s="633"/>
      <c r="N2020" s="274"/>
      <c r="O2020" s="94"/>
      <c r="P2020" s="94"/>
      <c r="Q2020" s="94"/>
      <c r="R2020" s="94"/>
      <c r="S2020" s="94"/>
      <c r="V2020" s="30"/>
      <c r="W2020" s="30"/>
      <c r="X2020" s="1"/>
      <c r="Y2020" s="95"/>
      <c r="Z2020" s="1"/>
      <c r="AA2020" s="94"/>
      <c r="AB2020" s="1"/>
      <c r="AC2020" s="1"/>
      <c r="AD2020" s="1"/>
      <c r="AE2020" s="30"/>
      <c r="AF2020" s="633"/>
      <c r="AG2020" s="94"/>
      <c r="AH2020" s="94"/>
      <c r="AI2020" s="94"/>
      <c r="AJ2020" s="94"/>
      <c r="AK2020" s="94"/>
      <c r="AL2020" s="94"/>
    </row>
    <row r="2021" spans="3:38">
      <c r="C2021" s="30"/>
      <c r="F2021" s="95"/>
      <c r="G2021" s="1"/>
      <c r="H2021" s="94"/>
      <c r="I2021" s="90"/>
      <c r="J2021" s="90"/>
      <c r="K2021" s="1"/>
      <c r="L2021" s="74"/>
      <c r="M2021" s="633"/>
      <c r="N2021" s="274"/>
      <c r="O2021" s="94"/>
      <c r="P2021" s="94"/>
      <c r="Q2021" s="94"/>
      <c r="R2021" s="94"/>
      <c r="S2021" s="94"/>
      <c r="V2021" s="30"/>
      <c r="W2021" s="30"/>
      <c r="X2021" s="1"/>
      <c r="Y2021" s="95"/>
      <c r="Z2021" s="1"/>
      <c r="AA2021" s="94"/>
      <c r="AB2021" s="1"/>
      <c r="AC2021" s="1"/>
      <c r="AD2021" s="1"/>
      <c r="AE2021" s="30"/>
      <c r="AF2021" s="633"/>
      <c r="AG2021" s="94"/>
      <c r="AH2021" s="94"/>
      <c r="AI2021" s="94"/>
      <c r="AJ2021" s="94"/>
      <c r="AK2021" s="94"/>
      <c r="AL2021" s="94"/>
    </row>
    <row r="2022" spans="3:38">
      <c r="C2022" s="30"/>
      <c r="F2022" s="95"/>
      <c r="G2022" s="1"/>
      <c r="H2022" s="94"/>
      <c r="I2022" s="90"/>
      <c r="J2022" s="90"/>
      <c r="K2022" s="1"/>
      <c r="L2022" s="74"/>
      <c r="M2022" s="633"/>
      <c r="N2022" s="274"/>
      <c r="O2022" s="94"/>
      <c r="P2022" s="94"/>
      <c r="Q2022" s="94"/>
      <c r="R2022" s="94"/>
      <c r="S2022" s="94"/>
      <c r="V2022" s="30"/>
      <c r="W2022" s="30"/>
      <c r="X2022" s="1"/>
      <c r="Y2022" s="95"/>
      <c r="Z2022" s="1"/>
      <c r="AA2022" s="94"/>
      <c r="AB2022" s="1"/>
      <c r="AC2022" s="1"/>
      <c r="AD2022" s="1"/>
      <c r="AE2022" s="30"/>
      <c r="AF2022" s="633"/>
      <c r="AG2022" s="94"/>
      <c r="AH2022" s="94"/>
      <c r="AI2022" s="94"/>
      <c r="AJ2022" s="94"/>
      <c r="AK2022" s="94"/>
      <c r="AL2022" s="94"/>
    </row>
    <row r="2023" spans="3:38">
      <c r="C2023" s="30"/>
      <c r="F2023" s="95"/>
      <c r="G2023" s="1"/>
      <c r="H2023" s="94"/>
      <c r="I2023" s="90"/>
      <c r="J2023" s="90"/>
      <c r="K2023" s="1"/>
      <c r="L2023" s="74"/>
      <c r="M2023" s="633"/>
      <c r="N2023" s="274"/>
      <c r="O2023" s="94"/>
      <c r="P2023" s="94"/>
      <c r="Q2023" s="94"/>
      <c r="R2023" s="94"/>
      <c r="S2023" s="94"/>
      <c r="V2023" s="30"/>
      <c r="W2023" s="30"/>
      <c r="X2023" s="1"/>
      <c r="Y2023" s="95"/>
      <c r="Z2023" s="1"/>
      <c r="AA2023" s="94"/>
      <c r="AB2023" s="1"/>
      <c r="AC2023" s="1"/>
      <c r="AD2023" s="1"/>
      <c r="AE2023" s="30"/>
      <c r="AF2023" s="633"/>
      <c r="AG2023" s="94"/>
      <c r="AH2023" s="94"/>
      <c r="AI2023" s="94"/>
      <c r="AJ2023" s="94"/>
      <c r="AK2023" s="94"/>
      <c r="AL2023" s="94"/>
    </row>
    <row r="2024" spans="3:38">
      <c r="C2024" s="30"/>
      <c r="F2024" s="95"/>
      <c r="G2024" s="1"/>
      <c r="H2024" s="94"/>
      <c r="I2024" s="90"/>
      <c r="J2024" s="90"/>
      <c r="K2024" s="1"/>
      <c r="L2024" s="74"/>
      <c r="M2024" s="633"/>
      <c r="N2024" s="274"/>
      <c r="O2024" s="94"/>
      <c r="P2024" s="94"/>
      <c r="Q2024" s="94"/>
      <c r="R2024" s="94"/>
      <c r="S2024" s="94"/>
      <c r="V2024" s="30"/>
      <c r="W2024" s="30"/>
      <c r="X2024" s="1"/>
      <c r="Y2024" s="95"/>
      <c r="Z2024" s="1"/>
      <c r="AA2024" s="94"/>
      <c r="AB2024" s="1"/>
      <c r="AC2024" s="1"/>
      <c r="AD2024" s="1"/>
      <c r="AE2024" s="30"/>
      <c r="AF2024" s="633"/>
      <c r="AG2024" s="94"/>
      <c r="AH2024" s="94"/>
      <c r="AI2024" s="94"/>
      <c r="AJ2024" s="94"/>
      <c r="AK2024" s="94"/>
      <c r="AL2024" s="94"/>
    </row>
    <row r="2025" spans="3:38">
      <c r="C2025" s="30"/>
      <c r="F2025" s="95"/>
      <c r="G2025" s="1"/>
      <c r="H2025" s="94"/>
      <c r="I2025" s="90"/>
      <c r="J2025" s="90"/>
      <c r="K2025" s="1"/>
      <c r="L2025" s="74"/>
      <c r="M2025" s="633"/>
      <c r="N2025" s="274"/>
      <c r="O2025" s="94"/>
      <c r="P2025" s="94"/>
      <c r="Q2025" s="94"/>
      <c r="R2025" s="94"/>
      <c r="S2025" s="94"/>
      <c r="V2025" s="30"/>
      <c r="W2025" s="30"/>
      <c r="X2025" s="1"/>
      <c r="Y2025" s="95"/>
      <c r="Z2025" s="1"/>
      <c r="AA2025" s="94"/>
      <c r="AB2025" s="1"/>
      <c r="AC2025" s="1"/>
      <c r="AD2025" s="1"/>
      <c r="AE2025" s="30"/>
      <c r="AF2025" s="633"/>
      <c r="AG2025" s="94"/>
      <c r="AH2025" s="94"/>
      <c r="AI2025" s="94"/>
      <c r="AJ2025" s="94"/>
      <c r="AK2025" s="94"/>
      <c r="AL2025" s="94"/>
    </row>
    <row r="2026" spans="3:38">
      <c r="C2026" s="30"/>
      <c r="F2026" s="95"/>
      <c r="G2026" s="1"/>
      <c r="H2026" s="94"/>
      <c r="I2026" s="90"/>
      <c r="J2026" s="90"/>
      <c r="K2026" s="1"/>
      <c r="L2026" s="74"/>
      <c r="M2026" s="633"/>
      <c r="N2026" s="274"/>
      <c r="O2026" s="94"/>
      <c r="P2026" s="94"/>
      <c r="Q2026" s="94"/>
      <c r="R2026" s="94"/>
      <c r="S2026" s="94"/>
      <c r="V2026" s="30"/>
      <c r="W2026" s="30"/>
      <c r="X2026" s="1"/>
      <c r="Y2026" s="95"/>
      <c r="Z2026" s="1"/>
      <c r="AA2026" s="94"/>
      <c r="AB2026" s="1"/>
      <c r="AC2026" s="1"/>
      <c r="AD2026" s="1"/>
      <c r="AE2026" s="30"/>
      <c r="AF2026" s="633"/>
      <c r="AG2026" s="94"/>
      <c r="AH2026" s="94"/>
      <c r="AI2026" s="94"/>
      <c r="AJ2026" s="94"/>
      <c r="AK2026" s="94"/>
      <c r="AL2026" s="94"/>
    </row>
    <row r="2027" spans="3:38">
      <c r="C2027" s="30"/>
      <c r="F2027" s="95"/>
      <c r="G2027" s="1"/>
      <c r="H2027" s="94"/>
      <c r="I2027" s="90"/>
      <c r="J2027" s="90"/>
      <c r="K2027" s="1"/>
      <c r="L2027" s="74"/>
      <c r="M2027" s="633"/>
      <c r="N2027" s="274"/>
      <c r="O2027" s="94"/>
      <c r="P2027" s="94"/>
      <c r="Q2027" s="94"/>
      <c r="R2027" s="94"/>
      <c r="S2027" s="94"/>
      <c r="V2027" s="30"/>
      <c r="W2027" s="30"/>
      <c r="X2027" s="1"/>
      <c r="Y2027" s="95"/>
      <c r="Z2027" s="1"/>
      <c r="AA2027" s="94"/>
      <c r="AB2027" s="1"/>
      <c r="AC2027" s="1"/>
      <c r="AD2027" s="1"/>
      <c r="AE2027" s="30"/>
      <c r="AF2027" s="633"/>
      <c r="AG2027" s="94"/>
      <c r="AH2027" s="94"/>
      <c r="AI2027" s="94"/>
      <c r="AJ2027" s="94"/>
      <c r="AK2027" s="94"/>
      <c r="AL2027" s="94"/>
    </row>
    <row r="2028" spans="3:38">
      <c r="C2028" s="30"/>
      <c r="F2028" s="95"/>
      <c r="G2028" s="1"/>
      <c r="H2028" s="94"/>
      <c r="I2028" s="90"/>
      <c r="J2028" s="90"/>
      <c r="K2028" s="1"/>
      <c r="L2028" s="74"/>
      <c r="M2028" s="633"/>
      <c r="N2028" s="274"/>
      <c r="O2028" s="94"/>
      <c r="P2028" s="94"/>
      <c r="Q2028" s="94"/>
      <c r="R2028" s="94"/>
      <c r="S2028" s="94"/>
      <c r="V2028" s="30"/>
      <c r="W2028" s="30"/>
      <c r="X2028" s="1"/>
      <c r="Y2028" s="95"/>
      <c r="Z2028" s="1"/>
      <c r="AA2028" s="94"/>
      <c r="AB2028" s="1"/>
      <c r="AC2028" s="1"/>
      <c r="AD2028" s="1"/>
      <c r="AE2028" s="30"/>
      <c r="AF2028" s="633"/>
      <c r="AG2028" s="94"/>
      <c r="AH2028" s="94"/>
      <c r="AI2028" s="94"/>
      <c r="AJ2028" s="94"/>
      <c r="AK2028" s="94"/>
      <c r="AL2028" s="94"/>
    </row>
    <row r="2029" spans="3:38">
      <c r="C2029" s="30"/>
      <c r="F2029" s="95"/>
      <c r="G2029" s="1"/>
      <c r="H2029" s="94"/>
      <c r="I2029" s="90"/>
      <c r="J2029" s="90"/>
      <c r="K2029" s="1"/>
      <c r="L2029" s="74"/>
      <c r="M2029" s="633"/>
      <c r="N2029" s="274"/>
      <c r="O2029" s="94"/>
      <c r="P2029" s="94"/>
      <c r="Q2029" s="94"/>
      <c r="R2029" s="94"/>
      <c r="S2029" s="94"/>
      <c r="V2029" s="30"/>
      <c r="W2029" s="30"/>
      <c r="X2029" s="1"/>
      <c r="Y2029" s="95"/>
      <c r="Z2029" s="1"/>
      <c r="AA2029" s="94"/>
      <c r="AB2029" s="1"/>
      <c r="AC2029" s="1"/>
      <c r="AD2029" s="1"/>
      <c r="AE2029" s="30"/>
      <c r="AF2029" s="633"/>
      <c r="AG2029" s="94"/>
      <c r="AH2029" s="94"/>
      <c r="AI2029" s="94"/>
      <c r="AJ2029" s="94"/>
      <c r="AK2029" s="94"/>
      <c r="AL2029" s="94"/>
    </row>
    <row r="2030" spans="3:38">
      <c r="C2030" s="30"/>
      <c r="F2030" s="95"/>
      <c r="G2030" s="1"/>
      <c r="H2030" s="94"/>
      <c r="I2030" s="90"/>
      <c r="J2030" s="90"/>
      <c r="K2030" s="1"/>
      <c r="L2030" s="74"/>
      <c r="M2030" s="633"/>
      <c r="N2030" s="274"/>
      <c r="O2030" s="94"/>
      <c r="P2030" s="94"/>
      <c r="Q2030" s="94"/>
      <c r="R2030" s="94"/>
      <c r="S2030" s="94"/>
      <c r="V2030" s="30"/>
      <c r="W2030" s="30"/>
      <c r="X2030" s="1"/>
      <c r="Y2030" s="95"/>
      <c r="Z2030" s="1"/>
      <c r="AA2030" s="94"/>
      <c r="AB2030" s="1"/>
      <c r="AC2030" s="1"/>
      <c r="AD2030" s="1"/>
      <c r="AE2030" s="30"/>
      <c r="AF2030" s="633"/>
      <c r="AG2030" s="94"/>
      <c r="AH2030" s="94"/>
      <c r="AI2030" s="94"/>
      <c r="AJ2030" s="94"/>
      <c r="AK2030" s="94"/>
      <c r="AL2030" s="94"/>
    </row>
    <row r="2031" spans="3:38">
      <c r="C2031" s="30"/>
      <c r="F2031" s="95"/>
      <c r="G2031" s="1"/>
      <c r="H2031" s="94"/>
      <c r="I2031" s="90"/>
      <c r="J2031" s="90"/>
      <c r="K2031" s="1"/>
      <c r="L2031" s="74"/>
      <c r="M2031" s="633"/>
      <c r="N2031" s="274"/>
      <c r="O2031" s="94"/>
      <c r="P2031" s="94"/>
      <c r="Q2031" s="94"/>
      <c r="R2031" s="94"/>
      <c r="S2031" s="94"/>
      <c r="V2031" s="30"/>
      <c r="W2031" s="30"/>
      <c r="X2031" s="1"/>
      <c r="Y2031" s="95"/>
      <c r="Z2031" s="1"/>
      <c r="AA2031" s="94"/>
      <c r="AB2031" s="1"/>
      <c r="AC2031" s="1"/>
      <c r="AD2031" s="1"/>
      <c r="AE2031" s="30"/>
      <c r="AF2031" s="633"/>
      <c r="AG2031" s="94"/>
      <c r="AH2031" s="94"/>
      <c r="AI2031" s="94"/>
      <c r="AJ2031" s="94"/>
      <c r="AK2031" s="94"/>
      <c r="AL2031" s="94"/>
    </row>
    <row r="2032" spans="3:38">
      <c r="C2032" s="30"/>
      <c r="F2032" s="95"/>
      <c r="G2032" s="1"/>
      <c r="H2032" s="94"/>
      <c r="I2032" s="90"/>
      <c r="J2032" s="90"/>
      <c r="K2032" s="1"/>
      <c r="L2032" s="74"/>
      <c r="M2032" s="633"/>
      <c r="N2032" s="274"/>
      <c r="O2032" s="94"/>
      <c r="P2032" s="94"/>
      <c r="Q2032" s="94"/>
      <c r="R2032" s="94"/>
      <c r="S2032" s="94"/>
      <c r="V2032" s="30"/>
      <c r="W2032" s="30"/>
      <c r="X2032" s="1"/>
      <c r="Y2032" s="95"/>
      <c r="Z2032" s="1"/>
      <c r="AA2032" s="94"/>
      <c r="AB2032" s="1"/>
      <c r="AC2032" s="1"/>
      <c r="AD2032" s="1"/>
      <c r="AE2032" s="30"/>
      <c r="AF2032" s="633"/>
      <c r="AG2032" s="94"/>
      <c r="AH2032" s="94"/>
      <c r="AI2032" s="94"/>
      <c r="AJ2032" s="94"/>
      <c r="AK2032" s="94"/>
      <c r="AL2032" s="94"/>
    </row>
    <row r="2033" spans="3:38">
      <c r="C2033" s="30"/>
      <c r="F2033" s="95"/>
      <c r="G2033" s="1"/>
      <c r="H2033" s="94"/>
      <c r="I2033" s="90"/>
      <c r="J2033" s="90"/>
      <c r="K2033" s="1"/>
      <c r="L2033" s="74"/>
      <c r="M2033" s="633"/>
      <c r="N2033" s="274"/>
      <c r="O2033" s="94"/>
      <c r="P2033" s="94"/>
      <c r="Q2033" s="94"/>
      <c r="R2033" s="94"/>
      <c r="S2033" s="94"/>
      <c r="V2033" s="30"/>
      <c r="W2033" s="30"/>
      <c r="X2033" s="1"/>
      <c r="Y2033" s="95"/>
      <c r="Z2033" s="1"/>
      <c r="AA2033" s="94"/>
      <c r="AB2033" s="1"/>
      <c r="AC2033" s="1"/>
      <c r="AD2033" s="1"/>
      <c r="AE2033" s="30"/>
      <c r="AF2033" s="633"/>
      <c r="AG2033" s="94"/>
      <c r="AH2033" s="94"/>
      <c r="AI2033" s="94"/>
      <c r="AJ2033" s="94"/>
      <c r="AK2033" s="94"/>
      <c r="AL2033" s="94"/>
    </row>
    <row r="2034" spans="3:38">
      <c r="C2034" s="30"/>
      <c r="F2034" s="95"/>
      <c r="G2034" s="1"/>
      <c r="H2034" s="94"/>
      <c r="I2034" s="90"/>
      <c r="J2034" s="90"/>
      <c r="K2034" s="1"/>
      <c r="L2034" s="74"/>
      <c r="M2034" s="633"/>
      <c r="N2034" s="274"/>
      <c r="O2034" s="94"/>
      <c r="P2034" s="94"/>
      <c r="Q2034" s="94"/>
      <c r="R2034" s="94"/>
      <c r="S2034" s="94"/>
      <c r="V2034" s="30"/>
      <c r="W2034" s="30"/>
      <c r="X2034" s="1"/>
      <c r="Y2034" s="95"/>
      <c r="Z2034" s="1"/>
      <c r="AA2034" s="94"/>
      <c r="AB2034" s="1"/>
      <c r="AC2034" s="1"/>
      <c r="AD2034" s="1"/>
      <c r="AE2034" s="30"/>
      <c r="AF2034" s="633"/>
      <c r="AG2034" s="94"/>
      <c r="AH2034" s="94"/>
      <c r="AI2034" s="94"/>
      <c r="AJ2034" s="94"/>
      <c r="AK2034" s="94"/>
      <c r="AL2034" s="94"/>
    </row>
    <row r="2035" spans="3:38">
      <c r="C2035" s="30"/>
      <c r="F2035" s="95"/>
      <c r="G2035" s="1"/>
      <c r="H2035" s="94"/>
      <c r="I2035" s="90"/>
      <c r="J2035" s="90"/>
      <c r="K2035" s="1"/>
      <c r="L2035" s="74"/>
      <c r="M2035" s="633"/>
      <c r="N2035" s="274"/>
      <c r="O2035" s="94"/>
      <c r="P2035" s="94"/>
      <c r="Q2035" s="94"/>
      <c r="R2035" s="94"/>
      <c r="S2035" s="94"/>
      <c r="V2035" s="30"/>
      <c r="W2035" s="30"/>
      <c r="X2035" s="1"/>
      <c r="Y2035" s="95"/>
      <c r="Z2035" s="1"/>
      <c r="AA2035" s="94"/>
      <c r="AB2035" s="1"/>
      <c r="AC2035" s="1"/>
      <c r="AD2035" s="1"/>
      <c r="AE2035" s="30"/>
      <c r="AF2035" s="633"/>
      <c r="AG2035" s="94"/>
      <c r="AH2035" s="94"/>
      <c r="AI2035" s="94"/>
      <c r="AJ2035" s="94"/>
      <c r="AK2035" s="94"/>
      <c r="AL2035" s="94"/>
    </row>
    <row r="2036" spans="3:38">
      <c r="C2036" s="30"/>
      <c r="F2036" s="95"/>
      <c r="G2036" s="1"/>
      <c r="H2036" s="94"/>
      <c r="I2036" s="90"/>
      <c r="J2036" s="90"/>
      <c r="K2036" s="1"/>
      <c r="L2036" s="74"/>
      <c r="M2036" s="633"/>
      <c r="N2036" s="274"/>
      <c r="O2036" s="94"/>
      <c r="P2036" s="94"/>
      <c r="Q2036" s="94"/>
      <c r="R2036" s="94"/>
      <c r="S2036" s="94"/>
      <c r="V2036" s="30"/>
      <c r="W2036" s="30"/>
      <c r="X2036" s="1"/>
      <c r="Y2036" s="95"/>
      <c r="Z2036" s="1"/>
      <c r="AA2036" s="94"/>
      <c r="AB2036" s="1"/>
      <c r="AC2036" s="1"/>
      <c r="AD2036" s="1"/>
      <c r="AE2036" s="30"/>
      <c r="AF2036" s="633"/>
      <c r="AG2036" s="94"/>
      <c r="AH2036" s="94"/>
      <c r="AI2036" s="94"/>
      <c r="AJ2036" s="94"/>
      <c r="AK2036" s="94"/>
      <c r="AL2036" s="94"/>
    </row>
    <row r="2037" spans="3:38">
      <c r="C2037" s="30"/>
      <c r="F2037" s="95"/>
      <c r="G2037" s="1"/>
      <c r="H2037" s="94"/>
      <c r="I2037" s="90"/>
      <c r="J2037" s="90"/>
      <c r="K2037" s="1"/>
      <c r="L2037" s="74"/>
      <c r="M2037" s="633"/>
      <c r="N2037" s="274"/>
      <c r="O2037" s="94"/>
      <c r="P2037" s="94"/>
      <c r="Q2037" s="94"/>
      <c r="R2037" s="94"/>
      <c r="S2037" s="94"/>
      <c r="V2037" s="30"/>
      <c r="W2037" s="30"/>
      <c r="X2037" s="1"/>
      <c r="Y2037" s="95"/>
      <c r="Z2037" s="1"/>
      <c r="AA2037" s="94"/>
      <c r="AB2037" s="1"/>
      <c r="AC2037" s="1"/>
      <c r="AD2037" s="1"/>
      <c r="AE2037" s="30"/>
      <c r="AF2037" s="633"/>
      <c r="AG2037" s="94"/>
      <c r="AH2037" s="94"/>
      <c r="AI2037" s="94"/>
      <c r="AJ2037" s="94"/>
      <c r="AK2037" s="94"/>
      <c r="AL2037" s="94"/>
    </row>
    <row r="2038" spans="3:38">
      <c r="C2038" s="30"/>
      <c r="F2038" s="95"/>
      <c r="G2038" s="1"/>
      <c r="H2038" s="94"/>
      <c r="I2038" s="90"/>
      <c r="J2038" s="90"/>
      <c r="K2038" s="1"/>
      <c r="L2038" s="74"/>
      <c r="M2038" s="633"/>
      <c r="N2038" s="274"/>
      <c r="O2038" s="94"/>
      <c r="P2038" s="94"/>
      <c r="Q2038" s="94"/>
      <c r="R2038" s="94"/>
      <c r="S2038" s="94"/>
      <c r="V2038" s="30"/>
      <c r="W2038" s="30"/>
      <c r="X2038" s="1"/>
      <c r="Y2038" s="95"/>
      <c r="Z2038" s="1"/>
      <c r="AA2038" s="94"/>
      <c r="AB2038" s="1"/>
      <c r="AC2038" s="1"/>
      <c r="AD2038" s="1"/>
      <c r="AE2038" s="30"/>
      <c r="AF2038" s="633"/>
      <c r="AG2038" s="94"/>
      <c r="AH2038" s="94"/>
      <c r="AI2038" s="94"/>
      <c r="AJ2038" s="94"/>
      <c r="AK2038" s="94"/>
      <c r="AL2038" s="94"/>
    </row>
    <row r="2039" spans="3:38">
      <c r="C2039" s="30"/>
      <c r="F2039" s="95"/>
      <c r="G2039" s="1"/>
      <c r="H2039" s="94"/>
      <c r="I2039" s="90"/>
      <c r="J2039" s="90"/>
      <c r="K2039" s="1"/>
      <c r="L2039" s="74"/>
      <c r="M2039" s="633"/>
      <c r="N2039" s="274"/>
      <c r="O2039" s="94"/>
      <c r="P2039" s="94"/>
      <c r="Q2039" s="94"/>
      <c r="R2039" s="94"/>
      <c r="S2039" s="94"/>
      <c r="V2039" s="30"/>
      <c r="W2039" s="30"/>
      <c r="X2039" s="1"/>
      <c r="Y2039" s="95"/>
      <c r="Z2039" s="1"/>
      <c r="AA2039" s="94"/>
      <c r="AB2039" s="1"/>
      <c r="AC2039" s="1"/>
      <c r="AD2039" s="1"/>
      <c r="AE2039" s="30"/>
      <c r="AF2039" s="633"/>
      <c r="AG2039" s="94"/>
      <c r="AH2039" s="94"/>
      <c r="AI2039" s="94"/>
      <c r="AJ2039" s="94"/>
      <c r="AK2039" s="94"/>
      <c r="AL2039" s="94"/>
    </row>
    <row r="2040" spans="3:38">
      <c r="C2040" s="30"/>
      <c r="F2040" s="95"/>
      <c r="G2040" s="1"/>
      <c r="H2040" s="94"/>
      <c r="I2040" s="90"/>
      <c r="J2040" s="90"/>
      <c r="K2040" s="1"/>
      <c r="L2040" s="74"/>
      <c r="M2040" s="633"/>
      <c r="N2040" s="274"/>
      <c r="O2040" s="94"/>
      <c r="P2040" s="94"/>
      <c r="Q2040" s="94"/>
      <c r="R2040" s="94"/>
      <c r="S2040" s="94"/>
      <c r="V2040" s="30"/>
      <c r="W2040" s="30"/>
      <c r="X2040" s="1"/>
      <c r="Y2040" s="95"/>
      <c r="Z2040" s="1"/>
      <c r="AA2040" s="94"/>
      <c r="AB2040" s="1"/>
      <c r="AC2040" s="1"/>
      <c r="AD2040" s="1"/>
      <c r="AE2040" s="30"/>
      <c r="AF2040" s="633"/>
      <c r="AG2040" s="94"/>
      <c r="AH2040" s="94"/>
      <c r="AI2040" s="94"/>
      <c r="AJ2040" s="94"/>
      <c r="AK2040" s="94"/>
      <c r="AL2040" s="94"/>
    </row>
    <row r="2041" spans="3:38">
      <c r="C2041" s="30"/>
      <c r="F2041" s="95"/>
      <c r="G2041" s="1"/>
      <c r="H2041" s="94"/>
      <c r="I2041" s="90"/>
      <c r="J2041" s="90"/>
      <c r="K2041" s="1"/>
      <c r="L2041" s="74"/>
      <c r="M2041" s="633"/>
      <c r="N2041" s="274"/>
      <c r="O2041" s="94"/>
      <c r="P2041" s="94"/>
      <c r="Q2041" s="94"/>
      <c r="R2041" s="94"/>
      <c r="S2041" s="94"/>
      <c r="V2041" s="30"/>
      <c r="W2041" s="30"/>
      <c r="X2041" s="1"/>
      <c r="Y2041" s="95"/>
      <c r="Z2041" s="1"/>
      <c r="AA2041" s="94"/>
      <c r="AB2041" s="1"/>
      <c r="AC2041" s="1"/>
      <c r="AD2041" s="1"/>
      <c r="AE2041" s="30"/>
      <c r="AF2041" s="633"/>
      <c r="AG2041" s="94"/>
      <c r="AH2041" s="94"/>
      <c r="AI2041" s="94"/>
      <c r="AJ2041" s="94"/>
      <c r="AK2041" s="94"/>
      <c r="AL2041" s="94"/>
    </row>
    <row r="2042" spans="3:38">
      <c r="C2042" s="30"/>
      <c r="F2042" s="95"/>
      <c r="G2042" s="1"/>
      <c r="H2042" s="94"/>
      <c r="I2042" s="90"/>
      <c r="J2042" s="90"/>
      <c r="K2042" s="1"/>
      <c r="L2042" s="74"/>
      <c r="M2042" s="633"/>
      <c r="N2042" s="274"/>
      <c r="O2042" s="94"/>
      <c r="P2042" s="94"/>
      <c r="Q2042" s="94"/>
      <c r="R2042" s="94"/>
      <c r="S2042" s="94"/>
      <c r="V2042" s="30"/>
      <c r="W2042" s="30"/>
      <c r="X2042" s="1"/>
      <c r="Y2042" s="95"/>
      <c r="Z2042" s="1"/>
      <c r="AA2042" s="94"/>
      <c r="AB2042" s="1"/>
      <c r="AC2042" s="1"/>
      <c r="AD2042" s="1"/>
      <c r="AE2042" s="30"/>
      <c r="AF2042" s="633"/>
      <c r="AG2042" s="94"/>
      <c r="AH2042" s="94"/>
      <c r="AI2042" s="94"/>
      <c r="AJ2042" s="94"/>
      <c r="AK2042" s="94"/>
      <c r="AL2042" s="94"/>
    </row>
    <row r="2043" spans="3:38">
      <c r="C2043" s="30"/>
      <c r="F2043" s="95"/>
      <c r="G2043" s="1"/>
      <c r="H2043" s="94"/>
      <c r="I2043" s="90"/>
      <c r="J2043" s="90"/>
      <c r="K2043" s="1"/>
      <c r="L2043" s="74"/>
      <c r="M2043" s="633"/>
      <c r="N2043" s="274"/>
      <c r="O2043" s="94"/>
      <c r="P2043" s="94"/>
      <c r="Q2043" s="94"/>
      <c r="R2043" s="94"/>
      <c r="S2043" s="94"/>
      <c r="V2043" s="30"/>
      <c r="W2043" s="30"/>
      <c r="X2043" s="1"/>
      <c r="Y2043" s="95"/>
      <c r="Z2043" s="1"/>
      <c r="AA2043" s="94"/>
      <c r="AB2043" s="1"/>
      <c r="AC2043" s="1"/>
      <c r="AD2043" s="1"/>
      <c r="AE2043" s="30"/>
      <c r="AF2043" s="633"/>
      <c r="AG2043" s="94"/>
      <c r="AH2043" s="94"/>
      <c r="AI2043" s="94"/>
      <c r="AJ2043" s="94"/>
      <c r="AK2043" s="94"/>
      <c r="AL2043" s="94"/>
    </row>
    <row r="2044" spans="3:38">
      <c r="C2044" s="30"/>
      <c r="F2044" s="95"/>
      <c r="G2044" s="1"/>
      <c r="H2044" s="94"/>
      <c r="I2044" s="90"/>
      <c r="J2044" s="90"/>
      <c r="K2044" s="1"/>
      <c r="L2044" s="74"/>
      <c r="M2044" s="633"/>
      <c r="N2044" s="274"/>
      <c r="O2044" s="94"/>
      <c r="P2044" s="94"/>
      <c r="Q2044" s="94"/>
      <c r="R2044" s="94"/>
      <c r="S2044" s="94"/>
      <c r="V2044" s="30"/>
      <c r="W2044" s="30"/>
      <c r="X2044" s="1"/>
      <c r="Y2044" s="95"/>
      <c r="Z2044" s="1"/>
      <c r="AA2044" s="94"/>
      <c r="AB2044" s="1"/>
      <c r="AC2044" s="1"/>
      <c r="AD2044" s="1"/>
      <c r="AE2044" s="30"/>
      <c r="AF2044" s="633"/>
      <c r="AG2044" s="94"/>
      <c r="AH2044" s="94"/>
      <c r="AI2044" s="94"/>
      <c r="AJ2044" s="94"/>
      <c r="AK2044" s="94"/>
      <c r="AL2044" s="94"/>
    </row>
    <row r="2045" spans="3:38">
      <c r="C2045" s="30"/>
      <c r="F2045" s="95"/>
      <c r="G2045" s="1"/>
      <c r="H2045" s="94"/>
      <c r="I2045" s="90"/>
      <c r="J2045" s="90"/>
      <c r="K2045" s="1"/>
      <c r="L2045" s="74"/>
      <c r="M2045" s="633"/>
      <c r="N2045" s="274"/>
      <c r="O2045" s="94"/>
      <c r="P2045" s="94"/>
      <c r="Q2045" s="94"/>
      <c r="R2045" s="94"/>
      <c r="S2045" s="94"/>
      <c r="V2045" s="30"/>
      <c r="W2045" s="30"/>
      <c r="X2045" s="1"/>
      <c r="Y2045" s="95"/>
      <c r="Z2045" s="1"/>
      <c r="AA2045" s="94"/>
      <c r="AB2045" s="1"/>
      <c r="AC2045" s="1"/>
      <c r="AD2045" s="1"/>
      <c r="AE2045" s="30"/>
      <c r="AF2045" s="633"/>
      <c r="AG2045" s="94"/>
      <c r="AH2045" s="94"/>
      <c r="AI2045" s="94"/>
      <c r="AJ2045" s="94"/>
      <c r="AK2045" s="94"/>
      <c r="AL2045" s="94"/>
    </row>
    <row r="2046" spans="3:38">
      <c r="C2046" s="30"/>
      <c r="F2046" s="95"/>
      <c r="G2046" s="1"/>
      <c r="H2046" s="94"/>
      <c r="I2046" s="90"/>
      <c r="J2046" s="90"/>
      <c r="K2046" s="1"/>
      <c r="L2046" s="74"/>
      <c r="M2046" s="633"/>
      <c r="N2046" s="274"/>
      <c r="O2046" s="94"/>
      <c r="P2046" s="94"/>
      <c r="Q2046" s="94"/>
      <c r="R2046" s="94"/>
      <c r="S2046" s="94"/>
      <c r="V2046" s="30"/>
      <c r="W2046" s="30"/>
      <c r="X2046" s="1"/>
      <c r="Y2046" s="95"/>
      <c r="Z2046" s="1"/>
      <c r="AA2046" s="94"/>
      <c r="AB2046" s="1"/>
      <c r="AC2046" s="1"/>
      <c r="AD2046" s="1"/>
      <c r="AE2046" s="30"/>
      <c r="AF2046" s="633"/>
      <c r="AG2046" s="94"/>
      <c r="AH2046" s="94"/>
      <c r="AI2046" s="94"/>
      <c r="AJ2046" s="94"/>
      <c r="AK2046" s="94"/>
      <c r="AL2046" s="94"/>
    </row>
    <row r="2047" spans="3:38">
      <c r="C2047" s="30"/>
      <c r="F2047" s="95"/>
      <c r="G2047" s="1"/>
      <c r="H2047" s="94"/>
      <c r="I2047" s="90"/>
      <c r="J2047" s="90"/>
      <c r="K2047" s="1"/>
      <c r="L2047" s="74"/>
      <c r="M2047" s="633"/>
      <c r="N2047" s="274"/>
      <c r="O2047" s="94"/>
      <c r="P2047" s="94"/>
      <c r="Q2047" s="94"/>
      <c r="R2047" s="94"/>
      <c r="S2047" s="94"/>
      <c r="V2047" s="30"/>
      <c r="W2047" s="30"/>
      <c r="X2047" s="1"/>
      <c r="Y2047" s="95"/>
      <c r="Z2047" s="1"/>
      <c r="AA2047" s="94"/>
      <c r="AB2047" s="1"/>
      <c r="AC2047" s="1"/>
      <c r="AD2047" s="1"/>
      <c r="AE2047" s="30"/>
      <c r="AF2047" s="633"/>
      <c r="AG2047" s="94"/>
      <c r="AH2047" s="94"/>
      <c r="AI2047" s="94"/>
      <c r="AJ2047" s="94"/>
      <c r="AK2047" s="94"/>
      <c r="AL2047" s="94"/>
    </row>
    <row r="2048" spans="3:38">
      <c r="C2048" s="30"/>
      <c r="F2048" s="95"/>
      <c r="G2048" s="1"/>
      <c r="H2048" s="94"/>
      <c r="I2048" s="90"/>
      <c r="J2048" s="90"/>
      <c r="K2048" s="1"/>
      <c r="L2048" s="74"/>
      <c r="M2048" s="633"/>
      <c r="N2048" s="274"/>
      <c r="O2048" s="94"/>
      <c r="P2048" s="94"/>
      <c r="Q2048" s="94"/>
      <c r="R2048" s="94"/>
      <c r="S2048" s="94"/>
      <c r="V2048" s="30"/>
      <c r="W2048" s="30"/>
      <c r="X2048" s="1"/>
      <c r="Y2048" s="95"/>
      <c r="Z2048" s="1"/>
      <c r="AA2048" s="94"/>
      <c r="AB2048" s="1"/>
      <c r="AC2048" s="1"/>
      <c r="AD2048" s="1"/>
      <c r="AE2048" s="30"/>
      <c r="AF2048" s="633"/>
      <c r="AG2048" s="94"/>
      <c r="AH2048" s="94"/>
      <c r="AI2048" s="94"/>
      <c r="AJ2048" s="94"/>
      <c r="AK2048" s="94"/>
      <c r="AL2048" s="94"/>
    </row>
    <row r="2049" spans="3:38">
      <c r="C2049" s="30"/>
      <c r="F2049" s="95"/>
      <c r="G2049" s="1"/>
      <c r="H2049" s="94"/>
      <c r="I2049" s="90"/>
      <c r="J2049" s="90"/>
      <c r="K2049" s="1"/>
      <c r="L2049" s="74"/>
      <c r="M2049" s="633"/>
      <c r="N2049" s="274"/>
      <c r="O2049" s="94"/>
      <c r="P2049" s="94"/>
      <c r="Q2049" s="94"/>
      <c r="R2049" s="94"/>
      <c r="S2049" s="94"/>
      <c r="V2049" s="30"/>
      <c r="W2049" s="30"/>
      <c r="X2049" s="1"/>
      <c r="Y2049" s="95"/>
      <c r="Z2049" s="1"/>
      <c r="AA2049" s="94"/>
      <c r="AB2049" s="1"/>
      <c r="AC2049" s="1"/>
      <c r="AD2049" s="1"/>
      <c r="AE2049" s="30"/>
      <c r="AF2049" s="633"/>
      <c r="AG2049" s="94"/>
      <c r="AH2049" s="94"/>
      <c r="AI2049" s="94"/>
      <c r="AJ2049" s="94"/>
      <c r="AK2049" s="94"/>
      <c r="AL2049" s="94"/>
    </row>
    <row r="2050" spans="3:38">
      <c r="C2050" s="30"/>
      <c r="F2050" s="95"/>
      <c r="G2050" s="1"/>
      <c r="H2050" s="94"/>
      <c r="I2050" s="90"/>
      <c r="J2050" s="90"/>
      <c r="K2050" s="1"/>
      <c r="L2050" s="74"/>
      <c r="M2050" s="633"/>
      <c r="N2050" s="274"/>
      <c r="O2050" s="94"/>
      <c r="P2050" s="94"/>
      <c r="Q2050" s="94"/>
      <c r="R2050" s="94"/>
      <c r="S2050" s="94"/>
      <c r="V2050" s="30"/>
      <c r="W2050" s="30"/>
      <c r="X2050" s="1"/>
      <c r="Y2050" s="95"/>
      <c r="Z2050" s="1"/>
      <c r="AA2050" s="94"/>
      <c r="AB2050" s="1"/>
      <c r="AC2050" s="1"/>
      <c r="AD2050" s="1"/>
      <c r="AE2050" s="30"/>
      <c r="AF2050" s="633"/>
      <c r="AG2050" s="94"/>
      <c r="AH2050" s="94"/>
      <c r="AI2050" s="94"/>
      <c r="AJ2050" s="94"/>
      <c r="AK2050" s="94"/>
      <c r="AL2050" s="94"/>
    </row>
    <row r="2051" spans="3:38">
      <c r="C2051" s="30"/>
      <c r="F2051" s="95"/>
      <c r="G2051" s="1"/>
      <c r="H2051" s="94"/>
      <c r="I2051" s="90"/>
      <c r="J2051" s="90"/>
      <c r="K2051" s="1"/>
      <c r="L2051" s="74"/>
      <c r="M2051" s="633"/>
      <c r="N2051" s="274"/>
      <c r="O2051" s="94"/>
      <c r="P2051" s="94"/>
      <c r="Q2051" s="94"/>
      <c r="R2051" s="94"/>
      <c r="S2051" s="94"/>
      <c r="V2051" s="30"/>
      <c r="W2051" s="30"/>
      <c r="X2051" s="1"/>
      <c r="Y2051" s="95"/>
      <c r="Z2051" s="1"/>
      <c r="AA2051" s="94"/>
      <c r="AB2051" s="1"/>
      <c r="AC2051" s="1"/>
      <c r="AD2051" s="1"/>
      <c r="AE2051" s="30"/>
      <c r="AF2051" s="633"/>
      <c r="AG2051" s="94"/>
      <c r="AH2051" s="94"/>
      <c r="AI2051" s="94"/>
      <c r="AJ2051" s="94"/>
      <c r="AK2051" s="94"/>
      <c r="AL2051" s="94"/>
    </row>
    <row r="2052" spans="3:38">
      <c r="C2052" s="30"/>
      <c r="F2052" s="95"/>
      <c r="G2052" s="1"/>
      <c r="H2052" s="94"/>
      <c r="I2052" s="90"/>
      <c r="J2052" s="90"/>
      <c r="K2052" s="1"/>
      <c r="L2052" s="74"/>
      <c r="M2052" s="633"/>
      <c r="N2052" s="274"/>
      <c r="O2052" s="94"/>
      <c r="P2052" s="94"/>
      <c r="Q2052" s="94"/>
      <c r="R2052" s="94"/>
      <c r="S2052" s="94"/>
      <c r="V2052" s="30"/>
      <c r="W2052" s="30"/>
      <c r="X2052" s="1"/>
      <c r="Y2052" s="95"/>
      <c r="Z2052" s="1"/>
      <c r="AA2052" s="94"/>
      <c r="AB2052" s="1"/>
      <c r="AC2052" s="1"/>
      <c r="AD2052" s="1"/>
      <c r="AE2052" s="30"/>
      <c r="AF2052" s="633"/>
      <c r="AG2052" s="94"/>
      <c r="AH2052" s="94"/>
      <c r="AI2052" s="94"/>
      <c r="AJ2052" s="94"/>
      <c r="AK2052" s="94"/>
      <c r="AL2052" s="94"/>
    </row>
    <row r="2053" spans="3:38">
      <c r="C2053" s="30"/>
      <c r="F2053" s="95"/>
      <c r="G2053" s="1"/>
      <c r="H2053" s="94"/>
      <c r="I2053" s="90"/>
      <c r="J2053" s="90"/>
      <c r="K2053" s="1"/>
      <c r="L2053" s="74"/>
      <c r="M2053" s="633"/>
      <c r="N2053" s="274"/>
      <c r="O2053" s="94"/>
      <c r="P2053" s="94"/>
      <c r="Q2053" s="94"/>
      <c r="R2053" s="94"/>
      <c r="S2053" s="94"/>
      <c r="V2053" s="30"/>
      <c r="W2053" s="30"/>
      <c r="X2053" s="1"/>
      <c r="Y2053" s="95"/>
      <c r="Z2053" s="1"/>
      <c r="AA2053" s="94"/>
      <c r="AB2053" s="1"/>
      <c r="AC2053" s="1"/>
      <c r="AD2053" s="1"/>
      <c r="AE2053" s="30"/>
      <c r="AF2053" s="633"/>
      <c r="AG2053" s="94"/>
      <c r="AH2053" s="94"/>
      <c r="AI2053" s="94"/>
      <c r="AJ2053" s="94"/>
      <c r="AK2053" s="94"/>
      <c r="AL2053" s="94"/>
    </row>
    <row r="2054" spans="3:38">
      <c r="C2054" s="30"/>
      <c r="F2054" s="95"/>
      <c r="G2054" s="1"/>
      <c r="H2054" s="94"/>
      <c r="I2054" s="90"/>
      <c r="J2054" s="90"/>
      <c r="K2054" s="1"/>
      <c r="L2054" s="74"/>
      <c r="M2054" s="633"/>
      <c r="N2054" s="274"/>
      <c r="O2054" s="94"/>
      <c r="P2054" s="94"/>
      <c r="Q2054" s="94"/>
      <c r="R2054" s="94"/>
      <c r="S2054" s="94"/>
      <c r="V2054" s="30"/>
      <c r="W2054" s="30"/>
      <c r="X2054" s="1"/>
      <c r="Y2054" s="95"/>
      <c r="Z2054" s="1"/>
      <c r="AA2054" s="94"/>
      <c r="AB2054" s="1"/>
      <c r="AC2054" s="1"/>
      <c r="AD2054" s="1"/>
      <c r="AE2054" s="30"/>
      <c r="AF2054" s="633"/>
      <c r="AG2054" s="94"/>
      <c r="AH2054" s="94"/>
      <c r="AI2054" s="94"/>
      <c r="AJ2054" s="94"/>
      <c r="AK2054" s="94"/>
      <c r="AL2054" s="94"/>
    </row>
    <row r="2055" spans="3:38">
      <c r="C2055" s="30"/>
      <c r="F2055" s="95"/>
      <c r="G2055" s="1"/>
      <c r="H2055" s="94"/>
      <c r="I2055" s="90"/>
      <c r="J2055" s="90"/>
      <c r="K2055" s="1"/>
      <c r="L2055" s="74"/>
      <c r="M2055" s="633"/>
      <c r="N2055" s="274"/>
      <c r="O2055" s="94"/>
      <c r="P2055" s="94"/>
      <c r="Q2055" s="94"/>
      <c r="R2055" s="94"/>
      <c r="S2055" s="94"/>
      <c r="V2055" s="30"/>
      <c r="W2055" s="30"/>
      <c r="X2055" s="1"/>
      <c r="Y2055" s="95"/>
      <c r="Z2055" s="1"/>
      <c r="AA2055" s="94"/>
      <c r="AB2055" s="1"/>
      <c r="AC2055" s="1"/>
      <c r="AD2055" s="1"/>
      <c r="AE2055" s="30"/>
      <c r="AF2055" s="633"/>
      <c r="AG2055" s="94"/>
      <c r="AH2055" s="94"/>
      <c r="AI2055" s="94"/>
      <c r="AJ2055" s="94"/>
      <c r="AK2055" s="94"/>
      <c r="AL2055" s="94"/>
    </row>
    <row r="2056" spans="3:38">
      <c r="C2056" s="30"/>
      <c r="F2056" s="95"/>
      <c r="G2056" s="1"/>
      <c r="H2056" s="94"/>
      <c r="I2056" s="90"/>
      <c r="J2056" s="90"/>
      <c r="K2056" s="1"/>
      <c r="L2056" s="74"/>
      <c r="M2056" s="633"/>
      <c r="N2056" s="274"/>
      <c r="O2056" s="94"/>
      <c r="P2056" s="94"/>
      <c r="Q2056" s="94"/>
      <c r="R2056" s="94"/>
      <c r="S2056" s="94"/>
      <c r="V2056" s="30"/>
      <c r="W2056" s="30"/>
      <c r="X2056" s="1"/>
      <c r="Y2056" s="95"/>
      <c r="Z2056" s="1"/>
      <c r="AA2056" s="94"/>
      <c r="AB2056" s="1"/>
      <c r="AC2056" s="1"/>
      <c r="AD2056" s="1"/>
      <c r="AE2056" s="30"/>
      <c r="AF2056" s="633"/>
      <c r="AG2056" s="94"/>
      <c r="AH2056" s="94"/>
      <c r="AI2056" s="94"/>
      <c r="AJ2056" s="94"/>
      <c r="AK2056" s="94"/>
      <c r="AL2056" s="94"/>
    </row>
    <row r="2057" spans="3:38">
      <c r="C2057" s="30"/>
      <c r="F2057" s="95"/>
      <c r="G2057" s="1"/>
      <c r="H2057" s="94"/>
      <c r="I2057" s="90"/>
      <c r="J2057" s="90"/>
      <c r="K2057" s="1"/>
      <c r="L2057" s="74"/>
      <c r="M2057" s="633"/>
      <c r="N2057" s="274"/>
      <c r="O2057" s="94"/>
      <c r="P2057" s="94"/>
      <c r="Q2057" s="94"/>
      <c r="R2057" s="94"/>
      <c r="S2057" s="94"/>
      <c r="V2057" s="30"/>
      <c r="W2057" s="30"/>
      <c r="X2057" s="1"/>
      <c r="Y2057" s="95"/>
      <c r="Z2057" s="1"/>
      <c r="AA2057" s="94"/>
      <c r="AB2057" s="1"/>
      <c r="AC2057" s="1"/>
      <c r="AD2057" s="1"/>
      <c r="AE2057" s="30"/>
      <c r="AF2057" s="633"/>
      <c r="AG2057" s="94"/>
      <c r="AH2057" s="94"/>
      <c r="AI2057" s="94"/>
      <c r="AJ2057" s="94"/>
      <c r="AK2057" s="94"/>
      <c r="AL2057" s="94"/>
    </row>
    <row r="2058" spans="3:38">
      <c r="C2058" s="30"/>
      <c r="F2058" s="95"/>
      <c r="G2058" s="1"/>
      <c r="H2058" s="94"/>
      <c r="I2058" s="90"/>
      <c r="J2058" s="90"/>
      <c r="K2058" s="1"/>
      <c r="L2058" s="74"/>
      <c r="M2058" s="633"/>
      <c r="N2058" s="274"/>
      <c r="O2058" s="94"/>
      <c r="P2058" s="94"/>
      <c r="Q2058" s="94"/>
      <c r="R2058" s="94"/>
      <c r="S2058" s="94"/>
      <c r="V2058" s="30"/>
      <c r="W2058" s="30"/>
      <c r="X2058" s="1"/>
      <c r="Y2058" s="95"/>
      <c r="Z2058" s="1"/>
      <c r="AA2058" s="94"/>
      <c r="AB2058" s="1"/>
      <c r="AC2058" s="1"/>
      <c r="AD2058" s="1"/>
      <c r="AE2058" s="30"/>
      <c r="AF2058" s="633"/>
      <c r="AG2058" s="94"/>
      <c r="AH2058" s="94"/>
      <c r="AI2058" s="94"/>
      <c r="AJ2058" s="94"/>
      <c r="AK2058" s="94"/>
      <c r="AL2058" s="94"/>
    </row>
    <row r="2059" spans="3:38">
      <c r="C2059" s="30"/>
      <c r="F2059" s="95"/>
      <c r="G2059" s="1"/>
      <c r="H2059" s="94"/>
      <c r="I2059" s="90"/>
      <c r="J2059" s="90"/>
      <c r="K2059" s="1"/>
      <c r="L2059" s="74"/>
      <c r="M2059" s="633"/>
      <c r="N2059" s="274"/>
      <c r="O2059" s="94"/>
      <c r="P2059" s="94"/>
      <c r="Q2059" s="94"/>
      <c r="R2059" s="94"/>
      <c r="S2059" s="94"/>
      <c r="V2059" s="30"/>
      <c r="W2059" s="30"/>
      <c r="X2059" s="1"/>
      <c r="Y2059" s="95"/>
      <c r="Z2059" s="1"/>
      <c r="AA2059" s="94"/>
      <c r="AB2059" s="1"/>
      <c r="AC2059" s="1"/>
      <c r="AD2059" s="1"/>
      <c r="AE2059" s="30"/>
      <c r="AF2059" s="633"/>
      <c r="AG2059" s="94"/>
      <c r="AH2059" s="94"/>
      <c r="AI2059" s="94"/>
      <c r="AJ2059" s="94"/>
      <c r="AK2059" s="94"/>
      <c r="AL2059" s="94"/>
    </row>
    <row r="2060" spans="3:38">
      <c r="C2060" s="30"/>
      <c r="F2060" s="95"/>
      <c r="G2060" s="1"/>
      <c r="H2060" s="94"/>
      <c r="I2060" s="90"/>
      <c r="J2060" s="90"/>
      <c r="K2060" s="1"/>
      <c r="L2060" s="74"/>
      <c r="M2060" s="633"/>
      <c r="N2060" s="274"/>
      <c r="O2060" s="94"/>
      <c r="P2060" s="94"/>
      <c r="Q2060" s="94"/>
      <c r="R2060" s="94"/>
      <c r="S2060" s="94"/>
      <c r="V2060" s="30"/>
      <c r="W2060" s="30"/>
      <c r="X2060" s="1"/>
      <c r="Y2060" s="95"/>
      <c r="Z2060" s="1"/>
      <c r="AA2060" s="94"/>
      <c r="AB2060" s="1"/>
      <c r="AC2060" s="1"/>
      <c r="AD2060" s="1"/>
      <c r="AE2060" s="30"/>
      <c r="AF2060" s="633"/>
      <c r="AG2060" s="94"/>
      <c r="AH2060" s="94"/>
      <c r="AI2060" s="94"/>
      <c r="AJ2060" s="94"/>
      <c r="AK2060" s="94"/>
      <c r="AL2060" s="94"/>
    </row>
    <row r="2061" spans="3:38">
      <c r="C2061" s="30"/>
      <c r="F2061" s="95"/>
      <c r="G2061" s="1"/>
      <c r="H2061" s="94"/>
      <c r="I2061" s="90"/>
      <c r="J2061" s="90"/>
      <c r="K2061" s="1"/>
      <c r="L2061" s="74"/>
      <c r="M2061" s="633"/>
      <c r="N2061" s="274"/>
      <c r="O2061" s="94"/>
      <c r="P2061" s="94"/>
      <c r="Q2061" s="94"/>
      <c r="R2061" s="94"/>
      <c r="S2061" s="94"/>
      <c r="V2061" s="30"/>
      <c r="W2061" s="30"/>
      <c r="X2061" s="1"/>
      <c r="Y2061" s="95"/>
      <c r="Z2061" s="1"/>
      <c r="AA2061" s="94"/>
      <c r="AB2061" s="1"/>
      <c r="AC2061" s="1"/>
      <c r="AD2061" s="1"/>
      <c r="AE2061" s="30"/>
      <c r="AF2061" s="633"/>
      <c r="AG2061" s="94"/>
      <c r="AH2061" s="94"/>
      <c r="AI2061" s="94"/>
      <c r="AJ2061" s="94"/>
      <c r="AK2061" s="94"/>
      <c r="AL2061" s="94"/>
    </row>
    <row r="2062" spans="3:38">
      <c r="C2062" s="30"/>
      <c r="F2062" s="95"/>
      <c r="G2062" s="1"/>
      <c r="H2062" s="94"/>
      <c r="I2062" s="90"/>
      <c r="J2062" s="90"/>
      <c r="K2062" s="1"/>
      <c r="L2062" s="74"/>
      <c r="M2062" s="633"/>
      <c r="N2062" s="274"/>
      <c r="O2062" s="94"/>
      <c r="P2062" s="94"/>
      <c r="Q2062" s="94"/>
      <c r="R2062" s="94"/>
      <c r="S2062" s="94"/>
      <c r="V2062" s="30"/>
      <c r="W2062" s="30"/>
      <c r="X2062" s="1"/>
      <c r="Y2062" s="95"/>
      <c r="Z2062" s="1"/>
      <c r="AA2062" s="94"/>
      <c r="AB2062" s="1"/>
      <c r="AC2062" s="1"/>
      <c r="AD2062" s="1"/>
      <c r="AE2062" s="30"/>
      <c r="AF2062" s="633"/>
      <c r="AG2062" s="94"/>
      <c r="AH2062" s="94"/>
      <c r="AI2062" s="94"/>
      <c r="AJ2062" s="94"/>
      <c r="AK2062" s="94"/>
      <c r="AL2062" s="94"/>
    </row>
    <row r="2063" spans="3:38">
      <c r="C2063" s="30"/>
      <c r="F2063" s="95"/>
      <c r="G2063" s="1"/>
      <c r="H2063" s="94"/>
      <c r="I2063" s="90"/>
      <c r="J2063" s="90"/>
      <c r="K2063" s="1"/>
      <c r="L2063" s="74"/>
      <c r="M2063" s="633"/>
      <c r="N2063" s="274"/>
      <c r="O2063" s="94"/>
      <c r="P2063" s="94"/>
      <c r="Q2063" s="94"/>
      <c r="R2063" s="94"/>
      <c r="S2063" s="94"/>
      <c r="V2063" s="30"/>
      <c r="W2063" s="30"/>
      <c r="X2063" s="1"/>
      <c r="Y2063" s="95"/>
      <c r="Z2063" s="1"/>
      <c r="AA2063" s="94"/>
      <c r="AB2063" s="1"/>
      <c r="AC2063" s="1"/>
      <c r="AD2063" s="1"/>
      <c r="AE2063" s="30"/>
      <c r="AF2063" s="633"/>
      <c r="AG2063" s="94"/>
      <c r="AH2063" s="94"/>
      <c r="AI2063" s="94"/>
      <c r="AJ2063" s="94"/>
      <c r="AK2063" s="94"/>
      <c r="AL2063" s="94"/>
    </row>
    <row r="2064" spans="3:38">
      <c r="C2064" s="30"/>
      <c r="F2064" s="95"/>
      <c r="G2064" s="1"/>
      <c r="H2064" s="94"/>
      <c r="I2064" s="90"/>
      <c r="J2064" s="90"/>
      <c r="K2064" s="1"/>
      <c r="L2064" s="74"/>
      <c r="M2064" s="633"/>
      <c r="N2064" s="274"/>
      <c r="O2064" s="94"/>
      <c r="P2064" s="94"/>
      <c r="Q2064" s="94"/>
      <c r="R2064" s="94"/>
      <c r="S2064" s="94"/>
      <c r="V2064" s="30"/>
      <c r="W2064" s="30"/>
      <c r="X2064" s="1"/>
      <c r="Y2064" s="95"/>
      <c r="Z2064" s="1"/>
      <c r="AA2064" s="94"/>
      <c r="AB2064" s="1"/>
      <c r="AC2064" s="1"/>
      <c r="AD2064" s="1"/>
      <c r="AE2064" s="30"/>
      <c r="AF2064" s="633"/>
      <c r="AG2064" s="94"/>
      <c r="AH2064" s="94"/>
      <c r="AI2064" s="94"/>
      <c r="AJ2064" s="94"/>
      <c r="AK2064" s="94"/>
      <c r="AL2064" s="94"/>
    </row>
    <row r="2065" spans="3:38">
      <c r="C2065" s="30"/>
      <c r="F2065" s="95"/>
      <c r="G2065" s="1"/>
      <c r="H2065" s="94"/>
      <c r="I2065" s="90"/>
      <c r="J2065" s="90"/>
      <c r="K2065" s="1"/>
      <c r="L2065" s="74"/>
      <c r="M2065" s="633"/>
      <c r="N2065" s="274"/>
      <c r="O2065" s="94"/>
      <c r="P2065" s="94"/>
      <c r="Q2065" s="94"/>
      <c r="R2065" s="94"/>
      <c r="S2065" s="94"/>
      <c r="V2065" s="30"/>
      <c r="W2065" s="30"/>
      <c r="X2065" s="1"/>
      <c r="Y2065" s="95"/>
      <c r="Z2065" s="1"/>
      <c r="AA2065" s="94"/>
      <c r="AB2065" s="1"/>
      <c r="AC2065" s="1"/>
      <c r="AD2065" s="1"/>
      <c r="AE2065" s="30"/>
      <c r="AF2065" s="633"/>
      <c r="AG2065" s="94"/>
      <c r="AH2065" s="94"/>
      <c r="AI2065" s="94"/>
      <c r="AJ2065" s="94"/>
      <c r="AK2065" s="94"/>
      <c r="AL2065" s="94"/>
    </row>
    <row r="2066" spans="3:38">
      <c r="C2066" s="30"/>
      <c r="F2066" s="95"/>
      <c r="G2066" s="1"/>
      <c r="H2066" s="94"/>
      <c r="I2066" s="90"/>
      <c r="J2066" s="90"/>
      <c r="K2066" s="1"/>
      <c r="L2066" s="74"/>
      <c r="M2066" s="633"/>
      <c r="N2066" s="274"/>
      <c r="O2066" s="94"/>
      <c r="P2066" s="94"/>
      <c r="Q2066" s="94"/>
      <c r="R2066" s="94"/>
      <c r="S2066" s="94"/>
      <c r="V2066" s="30"/>
      <c r="W2066" s="30"/>
      <c r="X2066" s="1"/>
      <c r="Y2066" s="95"/>
      <c r="Z2066" s="1"/>
      <c r="AA2066" s="94"/>
      <c r="AB2066" s="1"/>
      <c r="AC2066" s="1"/>
      <c r="AD2066" s="1"/>
      <c r="AE2066" s="30"/>
      <c r="AF2066" s="633"/>
      <c r="AG2066" s="94"/>
      <c r="AH2066" s="94"/>
      <c r="AI2066" s="94"/>
      <c r="AJ2066" s="94"/>
      <c r="AK2066" s="94"/>
      <c r="AL2066" s="94"/>
    </row>
    <row r="2067" spans="3:38">
      <c r="C2067" s="30"/>
      <c r="F2067" s="95"/>
      <c r="G2067" s="1"/>
      <c r="H2067" s="94"/>
      <c r="I2067" s="90"/>
      <c r="J2067" s="90"/>
      <c r="K2067" s="1"/>
      <c r="L2067" s="74"/>
      <c r="M2067" s="633"/>
      <c r="N2067" s="274"/>
      <c r="O2067" s="94"/>
      <c r="P2067" s="94"/>
      <c r="Q2067" s="94"/>
      <c r="R2067" s="94"/>
      <c r="S2067" s="94"/>
      <c r="V2067" s="30"/>
      <c r="W2067" s="30"/>
      <c r="X2067" s="1"/>
      <c r="Y2067" s="95"/>
      <c r="Z2067" s="1"/>
      <c r="AA2067" s="94"/>
      <c r="AB2067" s="1"/>
      <c r="AC2067" s="1"/>
      <c r="AD2067" s="1"/>
      <c r="AE2067" s="30"/>
      <c r="AF2067" s="633"/>
      <c r="AG2067" s="94"/>
      <c r="AH2067" s="94"/>
      <c r="AI2067" s="94"/>
      <c r="AJ2067" s="94"/>
      <c r="AK2067" s="94"/>
      <c r="AL2067" s="94"/>
    </row>
    <row r="2068" spans="3:38">
      <c r="C2068" s="30"/>
      <c r="F2068" s="95"/>
      <c r="G2068" s="1"/>
      <c r="H2068" s="94"/>
      <c r="I2068" s="90"/>
      <c r="J2068" s="90"/>
      <c r="K2068" s="1"/>
      <c r="L2068" s="74"/>
      <c r="M2068" s="633"/>
      <c r="N2068" s="274"/>
      <c r="O2068" s="94"/>
      <c r="P2068" s="94"/>
      <c r="Q2068" s="94"/>
      <c r="R2068" s="94"/>
      <c r="S2068" s="94"/>
      <c r="V2068" s="30"/>
      <c r="W2068" s="30"/>
      <c r="X2068" s="1"/>
      <c r="Y2068" s="95"/>
      <c r="Z2068" s="1"/>
      <c r="AA2068" s="94"/>
      <c r="AB2068" s="1"/>
      <c r="AC2068" s="1"/>
      <c r="AD2068" s="1"/>
      <c r="AE2068" s="30"/>
      <c r="AF2068" s="633"/>
      <c r="AG2068" s="94"/>
      <c r="AH2068" s="94"/>
      <c r="AI2068" s="94"/>
      <c r="AJ2068" s="94"/>
      <c r="AK2068" s="94"/>
      <c r="AL2068" s="94"/>
    </row>
    <row r="2069" spans="3:38">
      <c r="C2069" s="30"/>
      <c r="F2069" s="95"/>
      <c r="G2069" s="1"/>
      <c r="H2069" s="94"/>
      <c r="I2069" s="90"/>
      <c r="J2069" s="90"/>
      <c r="K2069" s="1"/>
      <c r="L2069" s="74"/>
      <c r="M2069" s="633"/>
      <c r="N2069" s="274"/>
      <c r="O2069" s="94"/>
      <c r="P2069" s="94"/>
      <c r="Q2069" s="94"/>
      <c r="R2069" s="94"/>
      <c r="S2069" s="94"/>
      <c r="V2069" s="30"/>
      <c r="W2069" s="30"/>
      <c r="X2069" s="1"/>
      <c r="Y2069" s="95"/>
      <c r="Z2069" s="1"/>
      <c r="AA2069" s="94"/>
      <c r="AB2069" s="1"/>
      <c r="AC2069" s="1"/>
      <c r="AD2069" s="1"/>
      <c r="AE2069" s="30"/>
      <c r="AF2069" s="633"/>
      <c r="AG2069" s="94"/>
      <c r="AH2069" s="94"/>
      <c r="AI2069" s="94"/>
      <c r="AJ2069" s="94"/>
      <c r="AK2069" s="94"/>
      <c r="AL2069" s="94"/>
    </row>
    <row r="2070" spans="3:38">
      <c r="C2070" s="30"/>
      <c r="F2070" s="95"/>
      <c r="G2070" s="1"/>
      <c r="H2070" s="94"/>
      <c r="I2070" s="90"/>
      <c r="J2070" s="90"/>
      <c r="K2070" s="1"/>
      <c r="L2070" s="74"/>
      <c r="M2070" s="633"/>
      <c r="N2070" s="274"/>
      <c r="O2070" s="94"/>
      <c r="P2070" s="94"/>
      <c r="Q2070" s="94"/>
      <c r="R2070" s="94"/>
      <c r="S2070" s="94"/>
      <c r="V2070" s="30"/>
      <c r="W2070" s="30"/>
      <c r="X2070" s="1"/>
      <c r="Y2070" s="95"/>
      <c r="Z2070" s="1"/>
      <c r="AA2070" s="94"/>
      <c r="AB2070" s="1"/>
      <c r="AC2070" s="1"/>
      <c r="AD2070" s="1"/>
      <c r="AE2070" s="30"/>
      <c r="AF2070" s="633"/>
      <c r="AG2070" s="94"/>
      <c r="AH2070" s="94"/>
      <c r="AI2070" s="94"/>
      <c r="AJ2070" s="94"/>
      <c r="AK2070" s="94"/>
      <c r="AL2070" s="94"/>
    </row>
    <row r="2071" spans="3:38">
      <c r="C2071" s="30"/>
      <c r="F2071" s="95"/>
      <c r="G2071" s="1"/>
      <c r="H2071" s="94"/>
      <c r="I2071" s="90"/>
      <c r="J2071" s="90"/>
      <c r="K2071" s="1"/>
      <c r="L2071" s="74"/>
      <c r="M2071" s="633"/>
      <c r="N2071" s="274"/>
      <c r="O2071" s="94"/>
      <c r="P2071" s="94"/>
      <c r="Q2071" s="94"/>
      <c r="R2071" s="94"/>
      <c r="S2071" s="94"/>
      <c r="V2071" s="30"/>
      <c r="W2071" s="30"/>
      <c r="X2071" s="1"/>
      <c r="Y2071" s="95"/>
      <c r="Z2071" s="1"/>
      <c r="AA2071" s="94"/>
      <c r="AB2071" s="1"/>
      <c r="AC2071" s="1"/>
      <c r="AD2071" s="1"/>
      <c r="AE2071" s="30"/>
      <c r="AF2071" s="633"/>
      <c r="AG2071" s="94"/>
      <c r="AH2071" s="94"/>
      <c r="AI2071" s="94"/>
      <c r="AJ2071" s="94"/>
      <c r="AK2071" s="94"/>
      <c r="AL2071" s="94"/>
    </row>
    <row r="2072" spans="3:38">
      <c r="C2072" s="30"/>
      <c r="F2072" s="95"/>
      <c r="G2072" s="1"/>
      <c r="H2072" s="94"/>
      <c r="I2072" s="90"/>
      <c r="J2072" s="90"/>
      <c r="K2072" s="1"/>
      <c r="L2072" s="74"/>
      <c r="M2072" s="633"/>
      <c r="N2072" s="274"/>
      <c r="O2072" s="94"/>
      <c r="P2072" s="94"/>
      <c r="Q2072" s="94"/>
      <c r="R2072" s="94"/>
      <c r="S2072" s="94"/>
      <c r="V2072" s="30"/>
      <c r="W2072" s="30"/>
      <c r="X2072" s="1"/>
      <c r="Y2072" s="95"/>
      <c r="Z2072" s="1"/>
      <c r="AA2072" s="94"/>
      <c r="AB2072" s="1"/>
      <c r="AC2072" s="1"/>
      <c r="AD2072" s="1"/>
      <c r="AE2072" s="30"/>
      <c r="AF2072" s="633"/>
      <c r="AG2072" s="94"/>
      <c r="AH2072" s="94"/>
      <c r="AI2072" s="94"/>
      <c r="AJ2072" s="94"/>
      <c r="AK2072" s="94"/>
      <c r="AL2072" s="94"/>
    </row>
    <row r="2073" spans="3:38">
      <c r="C2073" s="30"/>
      <c r="F2073" s="95"/>
      <c r="G2073" s="1"/>
      <c r="H2073" s="94"/>
      <c r="I2073" s="90"/>
      <c r="J2073" s="90"/>
      <c r="K2073" s="1"/>
      <c r="L2073" s="74"/>
      <c r="M2073" s="633"/>
      <c r="N2073" s="274"/>
      <c r="O2073" s="94"/>
      <c r="P2073" s="94"/>
      <c r="Q2073" s="94"/>
      <c r="R2073" s="94"/>
      <c r="S2073" s="94"/>
      <c r="V2073" s="30"/>
      <c r="W2073" s="30"/>
      <c r="X2073" s="1"/>
      <c r="Y2073" s="95"/>
      <c r="Z2073" s="1"/>
      <c r="AA2073" s="94"/>
      <c r="AB2073" s="1"/>
      <c r="AC2073" s="1"/>
      <c r="AD2073" s="1"/>
      <c r="AE2073" s="30"/>
      <c r="AF2073" s="633"/>
      <c r="AG2073" s="94"/>
      <c r="AH2073" s="94"/>
      <c r="AI2073" s="94"/>
      <c r="AJ2073" s="94"/>
      <c r="AK2073" s="94"/>
      <c r="AL2073" s="94"/>
    </row>
    <row r="2074" spans="3:38">
      <c r="C2074" s="30"/>
      <c r="F2074" s="95"/>
      <c r="G2074" s="1"/>
      <c r="H2074" s="94"/>
      <c r="I2074" s="90"/>
      <c r="J2074" s="90"/>
      <c r="K2074" s="1"/>
      <c r="L2074" s="74"/>
      <c r="M2074" s="633"/>
      <c r="N2074" s="274"/>
      <c r="O2074" s="94"/>
      <c r="P2074" s="94"/>
      <c r="Q2074" s="94"/>
      <c r="R2074" s="94"/>
      <c r="S2074" s="94"/>
      <c r="V2074" s="30"/>
      <c r="W2074" s="30"/>
      <c r="X2074" s="1"/>
      <c r="Y2074" s="95"/>
      <c r="Z2074" s="1"/>
      <c r="AA2074" s="94"/>
      <c r="AB2074" s="1"/>
      <c r="AC2074" s="1"/>
      <c r="AD2074" s="1"/>
      <c r="AE2074" s="30"/>
      <c r="AF2074" s="633"/>
      <c r="AG2074" s="94"/>
      <c r="AH2074" s="94"/>
      <c r="AI2074" s="94"/>
      <c r="AJ2074" s="94"/>
      <c r="AK2074" s="94"/>
      <c r="AL2074" s="94"/>
    </row>
    <row r="2075" spans="3:38">
      <c r="C2075" s="30"/>
      <c r="F2075" s="95"/>
      <c r="G2075" s="1"/>
      <c r="H2075" s="94"/>
      <c r="I2075" s="90"/>
      <c r="J2075" s="90"/>
      <c r="K2075" s="1"/>
      <c r="L2075" s="74"/>
      <c r="M2075" s="633"/>
      <c r="N2075" s="274"/>
      <c r="O2075" s="94"/>
      <c r="P2075" s="94"/>
      <c r="Q2075" s="94"/>
      <c r="R2075" s="94"/>
      <c r="S2075" s="94"/>
      <c r="V2075" s="30"/>
      <c r="W2075" s="30"/>
      <c r="X2075" s="1"/>
      <c r="Y2075" s="95"/>
      <c r="Z2075" s="1"/>
      <c r="AA2075" s="94"/>
      <c r="AB2075" s="1"/>
      <c r="AC2075" s="1"/>
      <c r="AD2075" s="1"/>
      <c r="AE2075" s="30"/>
      <c r="AF2075" s="633"/>
      <c r="AG2075" s="94"/>
      <c r="AH2075" s="94"/>
      <c r="AI2075" s="94"/>
      <c r="AJ2075" s="94"/>
      <c r="AK2075" s="94"/>
      <c r="AL2075" s="94"/>
    </row>
    <row r="2076" spans="3:38">
      <c r="C2076" s="30"/>
      <c r="F2076" s="95"/>
      <c r="G2076" s="1"/>
      <c r="H2076" s="94"/>
      <c r="I2076" s="90"/>
      <c r="J2076" s="90"/>
      <c r="K2076" s="1"/>
      <c r="L2076" s="74"/>
      <c r="M2076" s="633"/>
      <c r="N2076" s="274"/>
      <c r="O2076" s="94"/>
      <c r="P2076" s="94"/>
      <c r="Q2076" s="94"/>
      <c r="R2076" s="94"/>
      <c r="S2076" s="94"/>
      <c r="V2076" s="30"/>
      <c r="W2076" s="30"/>
      <c r="X2076" s="1"/>
      <c r="Y2076" s="95"/>
      <c r="Z2076" s="1"/>
      <c r="AA2076" s="94"/>
      <c r="AB2076" s="1"/>
      <c r="AC2076" s="1"/>
      <c r="AD2076" s="1"/>
      <c r="AE2076" s="30"/>
      <c r="AF2076" s="633"/>
      <c r="AG2076" s="94"/>
      <c r="AH2076" s="94"/>
      <c r="AI2076" s="94"/>
      <c r="AJ2076" s="94"/>
      <c r="AK2076" s="94"/>
      <c r="AL2076" s="94"/>
    </row>
    <row r="2077" spans="3:38">
      <c r="C2077" s="30"/>
      <c r="F2077" s="95"/>
      <c r="G2077" s="1"/>
      <c r="H2077" s="94"/>
      <c r="I2077" s="90"/>
      <c r="J2077" s="90"/>
      <c r="K2077" s="1"/>
      <c r="L2077" s="74"/>
      <c r="M2077" s="633"/>
      <c r="N2077" s="274"/>
      <c r="O2077" s="94"/>
      <c r="P2077" s="94"/>
      <c r="Q2077" s="94"/>
      <c r="R2077" s="94"/>
      <c r="S2077" s="94"/>
      <c r="V2077" s="30"/>
      <c r="W2077" s="30"/>
      <c r="X2077" s="1"/>
      <c r="Y2077" s="95"/>
      <c r="Z2077" s="1"/>
      <c r="AA2077" s="94"/>
      <c r="AB2077" s="1"/>
      <c r="AC2077" s="1"/>
      <c r="AD2077" s="1"/>
      <c r="AE2077" s="30"/>
      <c r="AF2077" s="633"/>
      <c r="AG2077" s="94"/>
      <c r="AH2077" s="94"/>
      <c r="AI2077" s="94"/>
      <c r="AJ2077" s="94"/>
      <c r="AK2077" s="94"/>
      <c r="AL2077" s="94"/>
    </row>
    <row r="2078" spans="3:38">
      <c r="C2078" s="30"/>
      <c r="F2078" s="95"/>
      <c r="G2078" s="1"/>
      <c r="H2078" s="94"/>
      <c r="I2078" s="90"/>
      <c r="J2078" s="90"/>
      <c r="K2078" s="1"/>
      <c r="L2078" s="74"/>
      <c r="M2078" s="633"/>
      <c r="N2078" s="274"/>
      <c r="O2078" s="94"/>
      <c r="P2078" s="94"/>
      <c r="Q2078" s="94"/>
      <c r="R2078" s="94"/>
      <c r="S2078" s="94"/>
      <c r="V2078" s="30"/>
      <c r="W2078" s="30"/>
      <c r="X2078" s="1"/>
      <c r="Y2078" s="95"/>
      <c r="Z2078" s="1"/>
      <c r="AA2078" s="94"/>
      <c r="AB2078" s="1"/>
      <c r="AC2078" s="1"/>
      <c r="AD2078" s="1"/>
      <c r="AE2078" s="30"/>
      <c r="AF2078" s="633"/>
      <c r="AG2078" s="94"/>
      <c r="AH2078" s="94"/>
      <c r="AI2078" s="94"/>
      <c r="AJ2078" s="94"/>
      <c r="AK2078" s="94"/>
      <c r="AL2078" s="94"/>
    </row>
    <row r="2079" spans="3:38">
      <c r="C2079" s="30"/>
      <c r="F2079" s="95"/>
      <c r="G2079" s="1"/>
      <c r="H2079" s="94"/>
      <c r="I2079" s="90"/>
      <c r="J2079" s="90"/>
      <c r="K2079" s="1"/>
      <c r="L2079" s="74"/>
      <c r="M2079" s="633"/>
      <c r="N2079" s="274"/>
      <c r="O2079" s="94"/>
      <c r="P2079" s="94"/>
      <c r="Q2079" s="94"/>
      <c r="R2079" s="94"/>
      <c r="S2079" s="94"/>
      <c r="V2079" s="30"/>
      <c r="W2079" s="30"/>
      <c r="X2079" s="1"/>
      <c r="Y2079" s="95"/>
      <c r="Z2079" s="1"/>
      <c r="AA2079" s="94"/>
      <c r="AB2079" s="1"/>
      <c r="AC2079" s="1"/>
      <c r="AD2079" s="1"/>
      <c r="AE2079" s="30"/>
      <c r="AF2079" s="633"/>
      <c r="AG2079" s="94"/>
      <c r="AH2079" s="94"/>
      <c r="AI2079" s="94"/>
      <c r="AJ2079" s="94"/>
      <c r="AK2079" s="94"/>
      <c r="AL2079" s="94"/>
    </row>
    <row r="2080" spans="3:38">
      <c r="C2080" s="30"/>
      <c r="F2080" s="95"/>
      <c r="G2080" s="1"/>
      <c r="H2080" s="94"/>
      <c r="I2080" s="90"/>
      <c r="J2080" s="90"/>
      <c r="K2080" s="1"/>
      <c r="L2080" s="74"/>
      <c r="M2080" s="633"/>
      <c r="N2080" s="274"/>
      <c r="O2080" s="94"/>
      <c r="P2080" s="94"/>
      <c r="Q2080" s="94"/>
      <c r="R2080" s="94"/>
      <c r="S2080" s="94"/>
      <c r="V2080" s="30"/>
      <c r="W2080" s="30"/>
      <c r="X2080" s="1"/>
      <c r="Y2080" s="95"/>
      <c r="Z2080" s="1"/>
      <c r="AA2080" s="94"/>
      <c r="AB2080" s="1"/>
      <c r="AC2080" s="1"/>
      <c r="AD2080" s="1"/>
      <c r="AE2080" s="30"/>
      <c r="AF2080" s="633"/>
      <c r="AG2080" s="94"/>
      <c r="AH2080" s="94"/>
      <c r="AI2080" s="94"/>
      <c r="AJ2080" s="94"/>
      <c r="AK2080" s="94"/>
      <c r="AL2080" s="94"/>
    </row>
    <row r="2081" spans="3:38">
      <c r="C2081" s="30"/>
      <c r="F2081" s="95"/>
      <c r="G2081" s="1"/>
      <c r="H2081" s="94"/>
      <c r="I2081" s="90"/>
      <c r="J2081" s="90"/>
      <c r="K2081" s="1"/>
      <c r="L2081" s="74"/>
      <c r="M2081" s="633"/>
      <c r="N2081" s="274"/>
      <c r="O2081" s="94"/>
      <c r="P2081" s="94"/>
      <c r="Q2081" s="94"/>
      <c r="R2081" s="94"/>
      <c r="S2081" s="94"/>
      <c r="V2081" s="30"/>
      <c r="W2081" s="30"/>
      <c r="X2081" s="1"/>
      <c r="Y2081" s="95"/>
      <c r="Z2081" s="1"/>
      <c r="AA2081" s="94"/>
      <c r="AB2081" s="1"/>
      <c r="AC2081" s="1"/>
      <c r="AD2081" s="1"/>
      <c r="AE2081" s="30"/>
      <c r="AF2081" s="633"/>
      <c r="AG2081" s="94"/>
      <c r="AH2081" s="94"/>
      <c r="AI2081" s="94"/>
      <c r="AJ2081" s="94"/>
      <c r="AK2081" s="94"/>
      <c r="AL2081" s="94"/>
    </row>
    <row r="2082" spans="3:38">
      <c r="C2082" s="30"/>
      <c r="F2082" s="95"/>
      <c r="G2082" s="1"/>
      <c r="H2082" s="94"/>
      <c r="I2082" s="90"/>
      <c r="J2082" s="90"/>
      <c r="K2082" s="1"/>
      <c r="L2082" s="74"/>
      <c r="M2082" s="633"/>
      <c r="N2082" s="274"/>
      <c r="O2082" s="94"/>
      <c r="P2082" s="94"/>
      <c r="Q2082" s="94"/>
      <c r="R2082" s="94"/>
      <c r="S2082" s="94"/>
      <c r="V2082" s="30"/>
      <c r="W2082" s="30"/>
      <c r="X2082" s="1"/>
      <c r="Y2082" s="95"/>
      <c r="Z2082" s="1"/>
      <c r="AA2082" s="94"/>
      <c r="AB2082" s="1"/>
      <c r="AC2082" s="1"/>
      <c r="AD2082" s="1"/>
      <c r="AE2082" s="30"/>
      <c r="AF2082" s="633"/>
      <c r="AG2082" s="94"/>
      <c r="AH2082" s="94"/>
      <c r="AI2082" s="94"/>
      <c r="AJ2082" s="94"/>
      <c r="AK2082" s="94"/>
      <c r="AL2082" s="94"/>
    </row>
    <row r="2083" spans="3:38">
      <c r="C2083" s="30"/>
      <c r="F2083" s="95"/>
      <c r="G2083" s="1"/>
      <c r="H2083" s="94"/>
      <c r="I2083" s="90"/>
      <c r="J2083" s="90"/>
      <c r="K2083" s="1"/>
      <c r="L2083" s="74"/>
      <c r="M2083" s="633"/>
      <c r="N2083" s="274"/>
      <c r="O2083" s="94"/>
      <c r="P2083" s="94"/>
      <c r="Q2083" s="94"/>
      <c r="R2083" s="94"/>
      <c r="S2083" s="94"/>
      <c r="V2083" s="30"/>
      <c r="W2083" s="30"/>
      <c r="X2083" s="1"/>
      <c r="Y2083" s="95"/>
      <c r="Z2083" s="1"/>
      <c r="AA2083" s="94"/>
      <c r="AB2083" s="1"/>
      <c r="AC2083" s="1"/>
      <c r="AD2083" s="1"/>
      <c r="AE2083" s="30"/>
      <c r="AF2083" s="633"/>
      <c r="AG2083" s="94"/>
      <c r="AH2083" s="94"/>
      <c r="AI2083" s="94"/>
      <c r="AJ2083" s="94"/>
      <c r="AK2083" s="94"/>
      <c r="AL2083" s="94"/>
    </row>
    <row r="2084" spans="3:38">
      <c r="C2084" s="30"/>
      <c r="F2084" s="95"/>
      <c r="G2084" s="1"/>
      <c r="H2084" s="94"/>
      <c r="I2084" s="90"/>
      <c r="J2084" s="90"/>
      <c r="K2084" s="1"/>
      <c r="L2084" s="74"/>
      <c r="M2084" s="633"/>
      <c r="N2084" s="274"/>
      <c r="O2084" s="94"/>
      <c r="P2084" s="94"/>
      <c r="Q2084" s="94"/>
      <c r="R2084" s="94"/>
      <c r="S2084" s="94"/>
      <c r="V2084" s="30"/>
      <c r="W2084" s="30"/>
      <c r="X2084" s="1"/>
      <c r="Y2084" s="95"/>
      <c r="Z2084" s="1"/>
      <c r="AA2084" s="94"/>
      <c r="AB2084" s="1"/>
      <c r="AC2084" s="1"/>
      <c r="AD2084" s="1"/>
      <c r="AE2084" s="30"/>
      <c r="AF2084" s="633"/>
      <c r="AG2084" s="94"/>
      <c r="AH2084" s="94"/>
      <c r="AI2084" s="94"/>
      <c r="AJ2084" s="94"/>
      <c r="AK2084" s="94"/>
      <c r="AL2084" s="94"/>
    </row>
    <row r="2085" spans="3:38">
      <c r="C2085" s="30"/>
      <c r="F2085" s="95"/>
      <c r="G2085" s="1"/>
      <c r="H2085" s="94"/>
      <c r="I2085" s="90"/>
      <c r="J2085" s="90"/>
      <c r="K2085" s="1"/>
      <c r="L2085" s="74"/>
      <c r="M2085" s="633"/>
      <c r="N2085" s="274"/>
      <c r="O2085" s="94"/>
      <c r="P2085" s="94"/>
      <c r="Q2085" s="94"/>
      <c r="R2085" s="94"/>
      <c r="S2085" s="94"/>
      <c r="V2085" s="30"/>
      <c r="W2085" s="30"/>
      <c r="X2085" s="1"/>
      <c r="Y2085" s="95"/>
      <c r="Z2085" s="1"/>
      <c r="AA2085" s="94"/>
      <c r="AB2085" s="1"/>
      <c r="AC2085" s="1"/>
      <c r="AD2085" s="1"/>
      <c r="AE2085" s="30"/>
      <c r="AF2085" s="633"/>
      <c r="AG2085" s="94"/>
      <c r="AH2085" s="94"/>
      <c r="AI2085" s="94"/>
      <c r="AJ2085" s="94"/>
      <c r="AK2085" s="94"/>
      <c r="AL2085" s="94"/>
    </row>
    <row r="2086" spans="3:38">
      <c r="C2086" s="30"/>
      <c r="F2086" s="95"/>
      <c r="G2086" s="1"/>
      <c r="H2086" s="94"/>
      <c r="I2086" s="90"/>
      <c r="J2086" s="90"/>
      <c r="K2086" s="1"/>
      <c r="L2086" s="74"/>
      <c r="M2086" s="633"/>
      <c r="N2086" s="274"/>
      <c r="O2086" s="94"/>
      <c r="P2086" s="94"/>
      <c r="Q2086" s="94"/>
      <c r="R2086" s="94"/>
      <c r="S2086" s="94"/>
      <c r="V2086" s="30"/>
      <c r="W2086" s="30"/>
      <c r="X2086" s="1"/>
      <c r="Y2086" s="95"/>
      <c r="Z2086" s="1"/>
      <c r="AA2086" s="94"/>
      <c r="AB2086" s="1"/>
      <c r="AC2086" s="1"/>
      <c r="AD2086" s="1"/>
      <c r="AE2086" s="30"/>
      <c r="AF2086" s="633"/>
      <c r="AG2086" s="94"/>
      <c r="AH2086" s="94"/>
      <c r="AI2086" s="94"/>
      <c r="AJ2086" s="94"/>
      <c r="AK2086" s="94"/>
      <c r="AL2086" s="94"/>
    </row>
    <row r="2087" spans="3:38">
      <c r="C2087" s="30"/>
      <c r="F2087" s="95"/>
      <c r="G2087" s="1"/>
      <c r="H2087" s="94"/>
      <c r="I2087" s="90"/>
      <c r="J2087" s="90"/>
      <c r="K2087" s="1"/>
      <c r="L2087" s="74"/>
      <c r="M2087" s="633"/>
      <c r="N2087" s="274"/>
      <c r="O2087" s="94"/>
      <c r="P2087" s="94"/>
      <c r="Q2087" s="94"/>
      <c r="R2087" s="94"/>
      <c r="S2087" s="94"/>
      <c r="V2087" s="30"/>
      <c r="W2087" s="30"/>
      <c r="X2087" s="1"/>
      <c r="Y2087" s="95"/>
      <c r="Z2087" s="1"/>
      <c r="AA2087" s="94"/>
      <c r="AB2087" s="1"/>
      <c r="AC2087" s="1"/>
      <c r="AD2087" s="1"/>
      <c r="AE2087" s="30"/>
      <c r="AF2087" s="633"/>
      <c r="AG2087" s="94"/>
      <c r="AH2087" s="94"/>
      <c r="AI2087" s="94"/>
      <c r="AJ2087" s="94"/>
      <c r="AK2087" s="94"/>
      <c r="AL2087" s="94"/>
    </row>
    <row r="2088" spans="3:38">
      <c r="C2088" s="30"/>
      <c r="F2088" s="95"/>
      <c r="G2088" s="1"/>
      <c r="H2088" s="94"/>
      <c r="I2088" s="90"/>
      <c r="J2088" s="90"/>
      <c r="K2088" s="1"/>
      <c r="L2088" s="74"/>
      <c r="M2088" s="633"/>
      <c r="N2088" s="274"/>
      <c r="O2088" s="94"/>
      <c r="P2088" s="94"/>
      <c r="Q2088" s="94"/>
      <c r="R2088" s="94"/>
      <c r="S2088" s="94"/>
      <c r="V2088" s="30"/>
      <c r="W2088" s="30"/>
      <c r="X2088" s="1"/>
      <c r="Y2088" s="95"/>
      <c r="Z2088" s="1"/>
      <c r="AA2088" s="94"/>
      <c r="AB2088" s="1"/>
      <c r="AC2088" s="1"/>
      <c r="AD2088" s="1"/>
      <c r="AE2088" s="30"/>
      <c r="AF2088" s="633"/>
      <c r="AG2088" s="94"/>
      <c r="AH2088" s="94"/>
      <c r="AI2088" s="94"/>
      <c r="AJ2088" s="94"/>
      <c r="AK2088" s="94"/>
      <c r="AL2088" s="94"/>
    </row>
    <row r="2089" spans="3:38">
      <c r="C2089" s="30"/>
      <c r="F2089" s="95"/>
      <c r="G2089" s="1"/>
      <c r="H2089" s="94"/>
      <c r="I2089" s="90"/>
      <c r="J2089" s="90"/>
      <c r="K2089" s="1"/>
      <c r="L2089" s="74"/>
      <c r="M2089" s="633"/>
      <c r="N2089" s="274"/>
      <c r="O2089" s="94"/>
      <c r="P2089" s="94"/>
      <c r="Q2089" s="94"/>
      <c r="R2089" s="94"/>
      <c r="S2089" s="94"/>
      <c r="V2089" s="30"/>
      <c r="W2089" s="30"/>
      <c r="X2089" s="1"/>
      <c r="Y2089" s="95"/>
      <c r="Z2089" s="1"/>
      <c r="AA2089" s="94"/>
      <c r="AB2089" s="1"/>
      <c r="AC2089" s="1"/>
      <c r="AD2089" s="1"/>
      <c r="AE2089" s="30"/>
      <c r="AF2089" s="633"/>
      <c r="AG2089" s="94"/>
      <c r="AH2089" s="94"/>
      <c r="AI2089" s="94"/>
      <c r="AJ2089" s="94"/>
      <c r="AK2089" s="94"/>
      <c r="AL2089" s="94"/>
    </row>
    <row r="2090" spans="3:38">
      <c r="C2090" s="30"/>
      <c r="F2090" s="95"/>
      <c r="G2090" s="1"/>
      <c r="H2090" s="94"/>
      <c r="I2090" s="90"/>
      <c r="J2090" s="90"/>
      <c r="K2090" s="1"/>
      <c r="L2090" s="74"/>
      <c r="M2090" s="633"/>
      <c r="N2090" s="274"/>
      <c r="O2090" s="94"/>
      <c r="P2090" s="94"/>
      <c r="Q2090" s="94"/>
      <c r="R2090" s="94"/>
      <c r="S2090" s="94"/>
      <c r="V2090" s="30"/>
      <c r="W2090" s="30"/>
      <c r="X2090" s="1"/>
      <c r="Y2090" s="95"/>
      <c r="Z2090" s="1"/>
      <c r="AA2090" s="94"/>
      <c r="AB2090" s="1"/>
      <c r="AC2090" s="1"/>
      <c r="AD2090" s="1"/>
      <c r="AE2090" s="30"/>
      <c r="AF2090" s="633"/>
      <c r="AG2090" s="94"/>
      <c r="AH2090" s="94"/>
      <c r="AI2090" s="94"/>
      <c r="AJ2090" s="94"/>
      <c r="AK2090" s="94"/>
      <c r="AL2090" s="94"/>
    </row>
    <row r="2091" spans="3:38">
      <c r="C2091" s="30"/>
      <c r="F2091" s="95"/>
      <c r="G2091" s="1"/>
      <c r="H2091" s="94"/>
      <c r="I2091" s="90"/>
      <c r="J2091" s="90"/>
      <c r="K2091" s="1"/>
      <c r="L2091" s="74"/>
      <c r="M2091" s="633"/>
      <c r="N2091" s="274"/>
      <c r="O2091" s="94"/>
      <c r="P2091" s="94"/>
      <c r="Q2091" s="94"/>
      <c r="R2091" s="94"/>
      <c r="S2091" s="94"/>
      <c r="V2091" s="30"/>
      <c r="W2091" s="30"/>
      <c r="X2091" s="1"/>
      <c r="Y2091" s="95"/>
      <c r="Z2091" s="1"/>
      <c r="AA2091" s="94"/>
      <c r="AB2091" s="1"/>
      <c r="AC2091" s="1"/>
      <c r="AD2091" s="1"/>
      <c r="AE2091" s="30"/>
      <c r="AF2091" s="633"/>
      <c r="AG2091" s="94"/>
      <c r="AH2091" s="94"/>
      <c r="AI2091" s="94"/>
      <c r="AJ2091" s="94"/>
      <c r="AK2091" s="94"/>
      <c r="AL2091" s="94"/>
    </row>
    <row r="2092" spans="3:38">
      <c r="C2092" s="30"/>
      <c r="F2092" s="95"/>
      <c r="G2092" s="1"/>
      <c r="H2092" s="94"/>
      <c r="I2092" s="90"/>
      <c r="J2092" s="90"/>
      <c r="K2092" s="1"/>
      <c r="L2092" s="74"/>
      <c r="M2092" s="633"/>
      <c r="N2092" s="274"/>
      <c r="O2092" s="94"/>
      <c r="P2092" s="94"/>
      <c r="Q2092" s="94"/>
      <c r="R2092" s="94"/>
      <c r="S2092" s="94"/>
      <c r="V2092" s="30"/>
      <c r="W2092" s="30"/>
      <c r="X2092" s="1"/>
      <c r="Y2092" s="95"/>
      <c r="Z2092" s="1"/>
      <c r="AA2092" s="94"/>
      <c r="AB2092" s="1"/>
      <c r="AC2092" s="1"/>
      <c r="AD2092" s="1"/>
      <c r="AE2092" s="30"/>
      <c r="AF2092" s="633"/>
      <c r="AG2092" s="94"/>
      <c r="AH2092" s="94"/>
      <c r="AI2092" s="94"/>
      <c r="AJ2092" s="94"/>
      <c r="AK2092" s="94"/>
      <c r="AL2092" s="94"/>
    </row>
    <row r="2093" spans="3:38">
      <c r="C2093" s="30"/>
      <c r="F2093" s="95"/>
      <c r="G2093" s="1"/>
      <c r="H2093" s="94"/>
      <c r="I2093" s="90"/>
      <c r="J2093" s="90"/>
      <c r="K2093" s="1"/>
      <c r="L2093" s="74"/>
      <c r="M2093" s="633"/>
      <c r="N2093" s="274"/>
      <c r="O2093" s="94"/>
      <c r="P2093" s="94"/>
      <c r="Q2093" s="94"/>
      <c r="R2093" s="94"/>
      <c r="S2093" s="94"/>
      <c r="V2093" s="30"/>
      <c r="W2093" s="30"/>
      <c r="X2093" s="1"/>
      <c r="Y2093" s="95"/>
      <c r="Z2093" s="1"/>
      <c r="AA2093" s="94"/>
      <c r="AB2093" s="1"/>
      <c r="AC2093" s="1"/>
      <c r="AD2093" s="1"/>
      <c r="AE2093" s="30"/>
      <c r="AF2093" s="633"/>
      <c r="AG2093" s="94"/>
      <c r="AH2093" s="94"/>
      <c r="AI2093" s="94"/>
      <c r="AJ2093" s="94"/>
      <c r="AK2093" s="94"/>
      <c r="AL2093" s="94"/>
    </row>
    <row r="2094" spans="3:38">
      <c r="C2094" s="30"/>
      <c r="F2094" s="95"/>
      <c r="G2094" s="1"/>
      <c r="H2094" s="94"/>
      <c r="I2094" s="90"/>
      <c r="J2094" s="90"/>
      <c r="K2094" s="1"/>
      <c r="L2094" s="74"/>
      <c r="M2094" s="633"/>
      <c r="N2094" s="274"/>
      <c r="O2094" s="94"/>
      <c r="P2094" s="94"/>
      <c r="Q2094" s="94"/>
      <c r="R2094" s="94"/>
      <c r="S2094" s="94"/>
      <c r="V2094" s="30"/>
      <c r="W2094" s="30"/>
      <c r="X2094" s="1"/>
      <c r="Y2094" s="95"/>
      <c r="Z2094" s="1"/>
      <c r="AA2094" s="94"/>
      <c r="AB2094" s="1"/>
      <c r="AC2094" s="1"/>
      <c r="AD2094" s="1"/>
      <c r="AE2094" s="30"/>
      <c r="AF2094" s="633"/>
      <c r="AG2094" s="94"/>
      <c r="AH2094" s="94"/>
      <c r="AI2094" s="94"/>
      <c r="AJ2094" s="94"/>
      <c r="AK2094" s="94"/>
      <c r="AL2094" s="94"/>
    </row>
    <row r="2095" spans="3:38">
      <c r="C2095" s="30"/>
      <c r="F2095" s="95"/>
      <c r="G2095" s="1"/>
      <c r="H2095" s="94"/>
      <c r="I2095" s="90"/>
      <c r="J2095" s="90"/>
      <c r="K2095" s="1"/>
      <c r="L2095" s="74"/>
      <c r="M2095" s="633"/>
      <c r="N2095" s="274"/>
      <c r="O2095" s="94"/>
      <c r="P2095" s="94"/>
      <c r="Q2095" s="94"/>
      <c r="R2095" s="94"/>
      <c r="S2095" s="94"/>
      <c r="V2095" s="30"/>
      <c r="W2095" s="30"/>
      <c r="X2095" s="1"/>
      <c r="Y2095" s="95"/>
      <c r="Z2095" s="1"/>
      <c r="AA2095" s="94"/>
      <c r="AB2095" s="1"/>
      <c r="AC2095" s="1"/>
      <c r="AD2095" s="1"/>
      <c r="AE2095" s="30"/>
      <c r="AF2095" s="633"/>
      <c r="AG2095" s="94"/>
      <c r="AH2095" s="94"/>
      <c r="AI2095" s="94"/>
      <c r="AJ2095" s="94"/>
      <c r="AK2095" s="94"/>
      <c r="AL2095" s="94"/>
    </row>
    <row r="2096" spans="3:38">
      <c r="C2096" s="30"/>
      <c r="F2096" s="95"/>
      <c r="G2096" s="1"/>
      <c r="H2096" s="94"/>
      <c r="I2096" s="90"/>
      <c r="J2096" s="90"/>
      <c r="K2096" s="1"/>
      <c r="L2096" s="74"/>
      <c r="M2096" s="633"/>
      <c r="N2096" s="274"/>
      <c r="O2096" s="94"/>
      <c r="P2096" s="94"/>
      <c r="Q2096" s="94"/>
      <c r="R2096" s="94"/>
      <c r="S2096" s="94"/>
      <c r="V2096" s="30"/>
      <c r="W2096" s="30"/>
      <c r="X2096" s="1"/>
      <c r="Y2096" s="95"/>
      <c r="Z2096" s="1"/>
      <c r="AA2096" s="94"/>
      <c r="AB2096" s="1"/>
      <c r="AC2096" s="1"/>
      <c r="AD2096" s="1"/>
      <c r="AE2096" s="30"/>
      <c r="AF2096" s="633"/>
      <c r="AG2096" s="94"/>
      <c r="AH2096" s="94"/>
      <c r="AI2096" s="94"/>
      <c r="AJ2096" s="94"/>
      <c r="AK2096" s="94"/>
      <c r="AL2096" s="94"/>
    </row>
    <row r="2097" spans="3:38">
      <c r="C2097" s="30"/>
      <c r="F2097" s="95"/>
      <c r="G2097" s="1"/>
      <c r="H2097" s="94"/>
      <c r="I2097" s="90"/>
      <c r="J2097" s="90"/>
      <c r="K2097" s="1"/>
      <c r="L2097" s="74"/>
      <c r="M2097" s="633"/>
      <c r="N2097" s="274"/>
      <c r="O2097" s="94"/>
      <c r="P2097" s="94"/>
      <c r="Q2097" s="94"/>
      <c r="R2097" s="94"/>
      <c r="S2097" s="94"/>
      <c r="V2097" s="30"/>
      <c r="W2097" s="30"/>
      <c r="X2097" s="1"/>
      <c r="Y2097" s="95"/>
      <c r="Z2097" s="1"/>
      <c r="AA2097" s="94"/>
      <c r="AB2097" s="1"/>
      <c r="AC2097" s="1"/>
      <c r="AD2097" s="1"/>
      <c r="AE2097" s="30"/>
      <c r="AF2097" s="633"/>
      <c r="AG2097" s="94"/>
      <c r="AH2097" s="94"/>
      <c r="AI2097" s="94"/>
      <c r="AJ2097" s="94"/>
      <c r="AK2097" s="94"/>
      <c r="AL2097" s="94"/>
    </row>
    <row r="2098" spans="3:38">
      <c r="C2098" s="30"/>
      <c r="F2098" s="95"/>
      <c r="G2098" s="1"/>
      <c r="H2098" s="94"/>
      <c r="I2098" s="90"/>
      <c r="J2098" s="90"/>
      <c r="K2098" s="1"/>
      <c r="L2098" s="74"/>
      <c r="M2098" s="633"/>
      <c r="N2098" s="274"/>
      <c r="O2098" s="94"/>
      <c r="P2098" s="94"/>
      <c r="Q2098" s="94"/>
      <c r="R2098" s="94"/>
      <c r="S2098" s="94"/>
      <c r="V2098" s="30"/>
      <c r="W2098" s="30"/>
      <c r="X2098" s="1"/>
      <c r="Y2098" s="95"/>
      <c r="Z2098" s="1"/>
      <c r="AA2098" s="94"/>
      <c r="AB2098" s="1"/>
      <c r="AC2098" s="1"/>
      <c r="AD2098" s="1"/>
      <c r="AE2098" s="30"/>
      <c r="AF2098" s="633"/>
      <c r="AG2098" s="94"/>
      <c r="AH2098" s="94"/>
      <c r="AI2098" s="94"/>
      <c r="AJ2098" s="94"/>
      <c r="AK2098" s="94"/>
      <c r="AL2098" s="94"/>
    </row>
    <row r="2099" spans="3:38">
      <c r="C2099" s="30"/>
      <c r="F2099" s="95"/>
      <c r="G2099" s="1"/>
      <c r="H2099" s="94"/>
      <c r="I2099" s="90"/>
      <c r="J2099" s="90"/>
      <c r="K2099" s="1"/>
      <c r="L2099" s="74"/>
      <c r="M2099" s="633"/>
      <c r="N2099" s="274"/>
      <c r="O2099" s="94"/>
      <c r="P2099" s="94"/>
      <c r="Q2099" s="94"/>
      <c r="R2099" s="94"/>
      <c r="S2099" s="94"/>
      <c r="V2099" s="30"/>
      <c r="W2099" s="30"/>
      <c r="X2099" s="1"/>
      <c r="Y2099" s="95"/>
      <c r="Z2099" s="1"/>
      <c r="AA2099" s="94"/>
      <c r="AB2099" s="1"/>
      <c r="AC2099" s="1"/>
      <c r="AD2099" s="1"/>
      <c r="AE2099" s="30"/>
      <c r="AF2099" s="633"/>
      <c r="AG2099" s="94"/>
      <c r="AH2099" s="94"/>
      <c r="AI2099" s="94"/>
      <c r="AJ2099" s="94"/>
      <c r="AK2099" s="94"/>
      <c r="AL2099" s="94"/>
    </row>
    <row r="2100" spans="3:38">
      <c r="C2100" s="30"/>
      <c r="F2100" s="95"/>
      <c r="G2100" s="1"/>
      <c r="H2100" s="94"/>
      <c r="I2100" s="90"/>
      <c r="J2100" s="90"/>
      <c r="K2100" s="1"/>
      <c r="L2100" s="74"/>
      <c r="M2100" s="633"/>
      <c r="N2100" s="274"/>
      <c r="O2100" s="94"/>
      <c r="P2100" s="94"/>
      <c r="Q2100" s="94"/>
      <c r="R2100" s="94"/>
      <c r="S2100" s="94"/>
      <c r="V2100" s="30"/>
      <c r="W2100" s="30"/>
      <c r="X2100" s="1"/>
      <c r="Y2100" s="95"/>
      <c r="Z2100" s="1"/>
      <c r="AA2100" s="94"/>
      <c r="AB2100" s="1"/>
      <c r="AC2100" s="1"/>
      <c r="AD2100" s="1"/>
      <c r="AE2100" s="30"/>
      <c r="AF2100" s="633"/>
      <c r="AG2100" s="94"/>
      <c r="AH2100" s="94"/>
      <c r="AI2100" s="94"/>
      <c r="AJ2100" s="94"/>
      <c r="AK2100" s="94"/>
      <c r="AL2100" s="94"/>
    </row>
    <row r="2101" spans="3:38">
      <c r="C2101" s="30"/>
      <c r="F2101" s="95"/>
      <c r="G2101" s="1"/>
      <c r="H2101" s="94"/>
      <c r="I2101" s="90"/>
      <c r="J2101" s="90"/>
      <c r="K2101" s="1"/>
      <c r="L2101" s="74"/>
      <c r="M2101" s="633"/>
      <c r="N2101" s="274"/>
      <c r="O2101" s="94"/>
      <c r="P2101" s="94"/>
      <c r="Q2101" s="94"/>
      <c r="R2101" s="94"/>
      <c r="S2101" s="94"/>
      <c r="V2101" s="30"/>
      <c r="W2101" s="30"/>
      <c r="X2101" s="1"/>
      <c r="Y2101" s="95"/>
      <c r="Z2101" s="1"/>
      <c r="AA2101" s="94"/>
      <c r="AB2101" s="1"/>
      <c r="AC2101" s="1"/>
      <c r="AD2101" s="1"/>
      <c r="AE2101" s="30"/>
      <c r="AF2101" s="633"/>
      <c r="AG2101" s="94"/>
      <c r="AH2101" s="94"/>
      <c r="AI2101" s="94"/>
      <c r="AJ2101" s="94"/>
      <c r="AK2101" s="94"/>
      <c r="AL2101" s="94"/>
    </row>
    <row r="2102" spans="3:38">
      <c r="C2102" s="30"/>
      <c r="F2102" s="95"/>
      <c r="G2102" s="1"/>
      <c r="H2102" s="94"/>
      <c r="I2102" s="90"/>
      <c r="J2102" s="90"/>
      <c r="K2102" s="1"/>
      <c r="L2102" s="74"/>
      <c r="M2102" s="633"/>
      <c r="N2102" s="274"/>
      <c r="O2102" s="94"/>
      <c r="P2102" s="94"/>
      <c r="Q2102" s="94"/>
      <c r="R2102" s="94"/>
      <c r="S2102" s="94"/>
      <c r="V2102" s="30"/>
      <c r="W2102" s="30"/>
      <c r="X2102" s="1"/>
      <c r="Y2102" s="95"/>
      <c r="Z2102" s="1"/>
      <c r="AA2102" s="94"/>
      <c r="AB2102" s="1"/>
      <c r="AC2102" s="1"/>
      <c r="AD2102" s="1"/>
      <c r="AE2102" s="30"/>
      <c r="AF2102" s="633"/>
      <c r="AG2102" s="94"/>
      <c r="AH2102" s="94"/>
      <c r="AI2102" s="94"/>
      <c r="AJ2102" s="94"/>
      <c r="AK2102" s="94"/>
      <c r="AL2102" s="94"/>
    </row>
    <row r="2103" spans="3:38">
      <c r="C2103" s="30"/>
      <c r="F2103" s="95"/>
      <c r="G2103" s="1"/>
      <c r="H2103" s="94"/>
      <c r="I2103" s="90"/>
      <c r="J2103" s="90"/>
      <c r="K2103" s="1"/>
      <c r="L2103" s="74"/>
      <c r="M2103" s="633"/>
      <c r="N2103" s="274"/>
      <c r="O2103" s="94"/>
      <c r="P2103" s="94"/>
      <c r="Q2103" s="94"/>
      <c r="R2103" s="94"/>
      <c r="S2103" s="94"/>
      <c r="V2103" s="30"/>
      <c r="W2103" s="30"/>
      <c r="X2103" s="1"/>
      <c r="Y2103" s="95"/>
      <c r="Z2103" s="1"/>
      <c r="AA2103" s="94"/>
      <c r="AB2103" s="1"/>
      <c r="AC2103" s="1"/>
      <c r="AD2103" s="1"/>
      <c r="AE2103" s="30"/>
      <c r="AF2103" s="633"/>
      <c r="AG2103" s="94"/>
      <c r="AH2103" s="94"/>
      <c r="AI2103" s="94"/>
      <c r="AJ2103" s="94"/>
      <c r="AK2103" s="94"/>
      <c r="AL2103" s="94"/>
    </row>
    <row r="2104" spans="3:38">
      <c r="C2104" s="30"/>
      <c r="F2104" s="95"/>
      <c r="G2104" s="1"/>
      <c r="H2104" s="94"/>
      <c r="I2104" s="90"/>
      <c r="J2104" s="90"/>
      <c r="K2104" s="1"/>
      <c r="L2104" s="74"/>
      <c r="M2104" s="633"/>
      <c r="N2104" s="274"/>
      <c r="O2104" s="94"/>
      <c r="P2104" s="94"/>
      <c r="Q2104" s="94"/>
      <c r="R2104" s="94"/>
      <c r="S2104" s="94"/>
      <c r="V2104" s="30"/>
      <c r="W2104" s="30"/>
      <c r="X2104" s="1"/>
      <c r="Y2104" s="95"/>
      <c r="Z2104" s="1"/>
      <c r="AA2104" s="94"/>
      <c r="AB2104" s="1"/>
      <c r="AC2104" s="1"/>
      <c r="AD2104" s="1"/>
      <c r="AE2104" s="30"/>
      <c r="AF2104" s="633"/>
      <c r="AG2104" s="94"/>
      <c r="AH2104" s="94"/>
      <c r="AI2104" s="94"/>
      <c r="AJ2104" s="94"/>
      <c r="AK2104" s="94"/>
      <c r="AL2104" s="94"/>
    </row>
    <row r="2105" spans="3:38">
      <c r="C2105" s="30"/>
      <c r="F2105" s="95"/>
      <c r="G2105" s="1"/>
      <c r="H2105" s="94"/>
      <c r="I2105" s="90"/>
      <c r="J2105" s="90"/>
      <c r="K2105" s="1"/>
      <c r="L2105" s="74"/>
      <c r="M2105" s="633"/>
      <c r="N2105" s="274"/>
      <c r="O2105" s="94"/>
      <c r="P2105" s="94"/>
      <c r="Q2105" s="94"/>
      <c r="R2105" s="94"/>
      <c r="S2105" s="94"/>
      <c r="V2105" s="30"/>
      <c r="W2105" s="30"/>
      <c r="X2105" s="1"/>
      <c r="Y2105" s="95"/>
      <c r="Z2105" s="1"/>
      <c r="AA2105" s="94"/>
      <c r="AB2105" s="1"/>
      <c r="AC2105" s="1"/>
      <c r="AD2105" s="1"/>
      <c r="AE2105" s="30"/>
      <c r="AF2105" s="633"/>
      <c r="AG2105" s="94"/>
      <c r="AH2105" s="94"/>
      <c r="AI2105" s="94"/>
      <c r="AJ2105" s="94"/>
      <c r="AK2105" s="94"/>
      <c r="AL2105" s="94"/>
    </row>
    <row r="2106" spans="3:38">
      <c r="C2106" s="30"/>
      <c r="F2106" s="95"/>
      <c r="G2106" s="1"/>
      <c r="H2106" s="94"/>
      <c r="I2106" s="90"/>
      <c r="J2106" s="90"/>
      <c r="K2106" s="1"/>
      <c r="L2106" s="74"/>
      <c r="M2106" s="633"/>
      <c r="N2106" s="274"/>
      <c r="O2106" s="94"/>
      <c r="P2106" s="94"/>
      <c r="Q2106" s="94"/>
      <c r="R2106" s="94"/>
      <c r="S2106" s="94"/>
      <c r="V2106" s="30"/>
      <c r="W2106" s="30"/>
      <c r="X2106" s="1"/>
      <c r="Y2106" s="95"/>
      <c r="Z2106" s="1"/>
      <c r="AA2106" s="94"/>
      <c r="AB2106" s="1"/>
      <c r="AC2106" s="1"/>
      <c r="AD2106" s="1"/>
      <c r="AE2106" s="30"/>
      <c r="AF2106" s="633"/>
      <c r="AG2106" s="94"/>
      <c r="AH2106" s="94"/>
      <c r="AI2106" s="94"/>
      <c r="AJ2106" s="94"/>
      <c r="AK2106" s="94"/>
      <c r="AL2106" s="94"/>
    </row>
    <row r="2107" spans="3:38">
      <c r="C2107" s="30"/>
      <c r="F2107" s="95"/>
      <c r="G2107" s="1"/>
      <c r="H2107" s="94"/>
      <c r="I2107" s="90"/>
      <c r="J2107" s="90"/>
      <c r="K2107" s="1"/>
      <c r="L2107" s="74"/>
      <c r="M2107" s="633"/>
      <c r="N2107" s="274"/>
      <c r="O2107" s="94"/>
      <c r="P2107" s="94"/>
      <c r="Q2107" s="94"/>
      <c r="R2107" s="94"/>
      <c r="S2107" s="94"/>
      <c r="V2107" s="30"/>
      <c r="W2107" s="30"/>
      <c r="X2107" s="1"/>
      <c r="Y2107" s="95"/>
      <c r="Z2107" s="1"/>
      <c r="AA2107" s="94"/>
      <c r="AB2107" s="1"/>
      <c r="AC2107" s="1"/>
      <c r="AD2107" s="1"/>
      <c r="AE2107" s="30"/>
      <c r="AF2107" s="633"/>
      <c r="AG2107" s="94"/>
      <c r="AH2107" s="94"/>
      <c r="AI2107" s="94"/>
      <c r="AJ2107" s="94"/>
      <c r="AK2107" s="94"/>
      <c r="AL2107" s="94"/>
    </row>
    <row r="2108" spans="3:38">
      <c r="C2108" s="30"/>
      <c r="F2108" s="95"/>
      <c r="G2108" s="1"/>
      <c r="H2108" s="94"/>
      <c r="I2108" s="90"/>
      <c r="J2108" s="90"/>
      <c r="K2108" s="1"/>
      <c r="L2108" s="74"/>
      <c r="M2108" s="633"/>
      <c r="N2108" s="274"/>
      <c r="O2108" s="94"/>
      <c r="P2108" s="94"/>
      <c r="Q2108" s="94"/>
      <c r="R2108" s="94"/>
      <c r="S2108" s="94"/>
      <c r="V2108" s="30"/>
      <c r="W2108" s="30"/>
      <c r="X2108" s="1"/>
      <c r="Y2108" s="95"/>
      <c r="Z2108" s="1"/>
      <c r="AA2108" s="94"/>
      <c r="AB2108" s="1"/>
      <c r="AC2108" s="1"/>
      <c r="AD2108" s="1"/>
      <c r="AE2108" s="30"/>
      <c r="AF2108" s="633"/>
      <c r="AG2108" s="94"/>
      <c r="AH2108" s="94"/>
      <c r="AI2108" s="94"/>
      <c r="AJ2108" s="94"/>
      <c r="AK2108" s="94"/>
      <c r="AL2108" s="94"/>
    </row>
    <row r="2109" spans="3:38">
      <c r="C2109" s="30"/>
      <c r="F2109" s="95"/>
      <c r="G2109" s="1"/>
      <c r="H2109" s="94"/>
      <c r="I2109" s="90"/>
      <c r="J2109" s="90"/>
      <c r="K2109" s="1"/>
      <c r="L2109" s="74"/>
      <c r="M2109" s="633"/>
      <c r="N2109" s="274"/>
      <c r="O2109" s="94"/>
      <c r="P2109" s="94"/>
      <c r="Q2109" s="94"/>
      <c r="R2109" s="94"/>
      <c r="S2109" s="94"/>
      <c r="V2109" s="30"/>
      <c r="W2109" s="30"/>
      <c r="X2109" s="1"/>
      <c r="Y2109" s="95"/>
      <c r="Z2109" s="1"/>
      <c r="AA2109" s="94"/>
      <c r="AB2109" s="1"/>
      <c r="AC2109" s="1"/>
      <c r="AD2109" s="1"/>
      <c r="AE2109" s="30"/>
      <c r="AF2109" s="633"/>
      <c r="AG2109" s="94"/>
      <c r="AH2109" s="94"/>
      <c r="AI2109" s="94"/>
      <c r="AJ2109" s="94"/>
      <c r="AK2109" s="94"/>
      <c r="AL2109" s="94"/>
    </row>
    <row r="2110" spans="3:38">
      <c r="C2110" s="30"/>
      <c r="F2110" s="95"/>
      <c r="G2110" s="1"/>
      <c r="H2110" s="94"/>
      <c r="I2110" s="90"/>
      <c r="J2110" s="90"/>
      <c r="K2110" s="1"/>
      <c r="L2110" s="74"/>
      <c r="M2110" s="633"/>
      <c r="N2110" s="274"/>
      <c r="O2110" s="94"/>
      <c r="P2110" s="94"/>
      <c r="Q2110" s="94"/>
      <c r="R2110" s="94"/>
      <c r="S2110" s="94"/>
      <c r="V2110" s="30"/>
      <c r="W2110" s="30"/>
      <c r="X2110" s="1"/>
      <c r="Y2110" s="95"/>
      <c r="Z2110" s="1"/>
      <c r="AA2110" s="94"/>
      <c r="AB2110" s="1"/>
      <c r="AC2110" s="1"/>
      <c r="AD2110" s="1"/>
      <c r="AE2110" s="30"/>
      <c r="AF2110" s="633"/>
      <c r="AG2110" s="94"/>
      <c r="AH2110" s="94"/>
      <c r="AI2110" s="94"/>
      <c r="AJ2110" s="94"/>
      <c r="AK2110" s="94"/>
      <c r="AL2110" s="94"/>
    </row>
    <row r="2111" spans="3:38">
      <c r="C2111" s="30"/>
      <c r="F2111" s="95"/>
      <c r="G2111" s="1"/>
      <c r="H2111" s="94"/>
      <c r="I2111" s="90"/>
      <c r="J2111" s="90"/>
      <c r="K2111" s="1"/>
      <c r="L2111" s="74"/>
      <c r="M2111" s="633"/>
      <c r="N2111" s="274"/>
      <c r="O2111" s="94"/>
      <c r="P2111" s="94"/>
      <c r="Q2111" s="94"/>
      <c r="R2111" s="94"/>
      <c r="S2111" s="94"/>
      <c r="V2111" s="30"/>
      <c r="W2111" s="30"/>
      <c r="X2111" s="1"/>
      <c r="Y2111" s="95"/>
      <c r="Z2111" s="1"/>
      <c r="AA2111" s="94"/>
      <c r="AB2111" s="1"/>
      <c r="AC2111" s="1"/>
      <c r="AD2111" s="1"/>
      <c r="AE2111" s="30"/>
      <c r="AF2111" s="633"/>
      <c r="AG2111" s="94"/>
      <c r="AH2111" s="94"/>
      <c r="AI2111" s="94"/>
      <c r="AJ2111" s="94"/>
      <c r="AK2111" s="94"/>
      <c r="AL2111" s="94"/>
    </row>
    <row r="2112" spans="3:38">
      <c r="C2112" s="30"/>
      <c r="F2112" s="95"/>
      <c r="G2112" s="1"/>
      <c r="H2112" s="94"/>
      <c r="I2112" s="90"/>
      <c r="J2112" s="90"/>
      <c r="K2112" s="1"/>
      <c r="L2112" s="74"/>
      <c r="M2112" s="633"/>
      <c r="N2112" s="274"/>
      <c r="O2112" s="94"/>
      <c r="P2112" s="94"/>
      <c r="Q2112" s="94"/>
      <c r="R2112" s="94"/>
      <c r="S2112" s="94"/>
      <c r="V2112" s="30"/>
      <c r="W2112" s="30"/>
      <c r="X2112" s="1"/>
      <c r="Y2112" s="95"/>
      <c r="Z2112" s="1"/>
      <c r="AA2112" s="94"/>
      <c r="AB2112" s="1"/>
      <c r="AC2112" s="1"/>
      <c r="AD2112" s="1"/>
      <c r="AE2112" s="30"/>
      <c r="AF2112" s="633"/>
      <c r="AG2112" s="94"/>
      <c r="AH2112" s="94"/>
      <c r="AI2112" s="94"/>
      <c r="AJ2112" s="94"/>
      <c r="AK2112" s="94"/>
      <c r="AL2112" s="94"/>
    </row>
    <row r="2113" spans="3:38">
      <c r="C2113" s="30"/>
      <c r="F2113" s="95"/>
      <c r="G2113" s="1"/>
      <c r="H2113" s="94"/>
      <c r="I2113" s="90"/>
      <c r="J2113" s="90"/>
      <c r="K2113" s="1"/>
      <c r="L2113" s="74"/>
      <c r="M2113" s="633"/>
      <c r="N2113" s="274"/>
      <c r="O2113" s="94"/>
      <c r="P2113" s="94"/>
      <c r="Q2113" s="94"/>
      <c r="R2113" s="94"/>
      <c r="S2113" s="94"/>
      <c r="V2113" s="30"/>
      <c r="W2113" s="30"/>
      <c r="X2113" s="1"/>
      <c r="Y2113" s="95"/>
      <c r="Z2113" s="1"/>
      <c r="AA2113" s="94"/>
      <c r="AB2113" s="1"/>
      <c r="AC2113" s="1"/>
      <c r="AD2113" s="1"/>
      <c r="AE2113" s="30"/>
      <c r="AF2113" s="633"/>
      <c r="AG2113" s="94"/>
      <c r="AH2113" s="94"/>
      <c r="AI2113" s="94"/>
      <c r="AJ2113" s="94"/>
      <c r="AK2113" s="94"/>
      <c r="AL2113" s="94"/>
    </row>
    <row r="2114" spans="3:38">
      <c r="C2114" s="30"/>
      <c r="F2114" s="95"/>
      <c r="G2114" s="1"/>
      <c r="H2114" s="94"/>
      <c r="I2114" s="90"/>
      <c r="J2114" s="90"/>
      <c r="K2114" s="1"/>
      <c r="L2114" s="74"/>
      <c r="M2114" s="633"/>
      <c r="N2114" s="274"/>
      <c r="O2114" s="94"/>
      <c r="P2114" s="94"/>
      <c r="Q2114" s="94"/>
      <c r="R2114" s="94"/>
      <c r="S2114" s="94"/>
      <c r="V2114" s="30"/>
      <c r="W2114" s="30"/>
      <c r="X2114" s="1"/>
      <c r="Y2114" s="95"/>
      <c r="Z2114" s="1"/>
      <c r="AA2114" s="94"/>
      <c r="AB2114" s="1"/>
      <c r="AC2114" s="1"/>
      <c r="AD2114" s="1"/>
      <c r="AE2114" s="30"/>
      <c r="AF2114" s="633"/>
      <c r="AG2114" s="94"/>
      <c r="AH2114" s="94"/>
      <c r="AI2114" s="94"/>
      <c r="AJ2114" s="94"/>
      <c r="AK2114" s="94"/>
      <c r="AL2114" s="94"/>
    </row>
    <row r="2115" spans="3:38">
      <c r="C2115" s="30"/>
      <c r="F2115" s="95"/>
      <c r="G2115" s="1"/>
      <c r="H2115" s="94"/>
      <c r="I2115" s="90"/>
      <c r="J2115" s="90"/>
      <c r="K2115" s="1"/>
      <c r="L2115" s="74"/>
      <c r="M2115" s="633"/>
      <c r="N2115" s="274"/>
      <c r="O2115" s="94"/>
      <c r="P2115" s="94"/>
      <c r="Q2115" s="94"/>
      <c r="R2115" s="94"/>
      <c r="S2115" s="94"/>
      <c r="V2115" s="30"/>
      <c r="W2115" s="30"/>
      <c r="X2115" s="1"/>
      <c r="Y2115" s="95"/>
      <c r="Z2115" s="1"/>
      <c r="AA2115" s="94"/>
      <c r="AB2115" s="1"/>
      <c r="AC2115" s="1"/>
      <c r="AD2115" s="1"/>
      <c r="AE2115" s="30"/>
      <c r="AF2115" s="633"/>
      <c r="AG2115" s="94"/>
      <c r="AH2115" s="94"/>
      <c r="AI2115" s="94"/>
      <c r="AJ2115" s="94"/>
      <c r="AK2115" s="94"/>
      <c r="AL2115" s="94"/>
    </row>
    <row r="2116" spans="3:38">
      <c r="C2116" s="30"/>
      <c r="F2116" s="95"/>
      <c r="G2116" s="1"/>
      <c r="H2116" s="94"/>
      <c r="I2116" s="90"/>
      <c r="J2116" s="90"/>
      <c r="K2116" s="1"/>
      <c r="L2116" s="74"/>
      <c r="M2116" s="633"/>
      <c r="N2116" s="274"/>
      <c r="O2116" s="94"/>
      <c r="P2116" s="94"/>
      <c r="Q2116" s="94"/>
      <c r="R2116" s="94"/>
      <c r="S2116" s="94"/>
      <c r="V2116" s="30"/>
      <c r="W2116" s="30"/>
      <c r="X2116" s="1"/>
      <c r="Y2116" s="95"/>
      <c r="Z2116" s="1"/>
      <c r="AA2116" s="94"/>
      <c r="AB2116" s="1"/>
      <c r="AC2116" s="1"/>
      <c r="AD2116" s="1"/>
      <c r="AE2116" s="30"/>
      <c r="AF2116" s="633"/>
      <c r="AG2116" s="94"/>
      <c r="AH2116" s="94"/>
      <c r="AI2116" s="94"/>
      <c r="AJ2116" s="94"/>
      <c r="AK2116" s="94"/>
      <c r="AL2116" s="94"/>
    </row>
    <row r="2117" spans="3:38">
      <c r="C2117" s="30"/>
      <c r="F2117" s="95"/>
      <c r="G2117" s="1"/>
      <c r="H2117" s="94"/>
      <c r="I2117" s="90"/>
      <c r="J2117" s="90"/>
      <c r="K2117" s="1"/>
      <c r="L2117" s="74"/>
      <c r="M2117" s="633"/>
      <c r="N2117" s="274"/>
      <c r="O2117" s="94"/>
      <c r="P2117" s="94"/>
      <c r="Q2117" s="94"/>
      <c r="R2117" s="94"/>
      <c r="S2117" s="94"/>
      <c r="V2117" s="30"/>
      <c r="W2117" s="30"/>
      <c r="X2117" s="1"/>
      <c r="Y2117" s="95"/>
      <c r="Z2117" s="1"/>
      <c r="AA2117" s="94"/>
      <c r="AB2117" s="1"/>
      <c r="AC2117" s="1"/>
      <c r="AD2117" s="1"/>
      <c r="AE2117" s="30"/>
      <c r="AF2117" s="633"/>
      <c r="AG2117" s="94"/>
      <c r="AH2117" s="94"/>
      <c r="AI2117" s="94"/>
      <c r="AJ2117" s="94"/>
      <c r="AK2117" s="94"/>
      <c r="AL2117" s="94"/>
    </row>
    <row r="2118" spans="3:38">
      <c r="C2118" s="30"/>
      <c r="F2118" s="95"/>
      <c r="G2118" s="1"/>
      <c r="H2118" s="94"/>
      <c r="I2118" s="90"/>
      <c r="J2118" s="90"/>
      <c r="K2118" s="1"/>
      <c r="L2118" s="74"/>
      <c r="M2118" s="633"/>
      <c r="N2118" s="274"/>
      <c r="O2118" s="94"/>
      <c r="P2118" s="94"/>
      <c r="Q2118" s="94"/>
      <c r="R2118" s="94"/>
      <c r="S2118" s="94"/>
      <c r="V2118" s="30"/>
      <c r="W2118" s="30"/>
      <c r="X2118" s="1"/>
      <c r="Y2118" s="95"/>
      <c r="Z2118" s="1"/>
      <c r="AA2118" s="94"/>
      <c r="AB2118" s="1"/>
      <c r="AC2118" s="1"/>
      <c r="AD2118" s="1"/>
      <c r="AE2118" s="30"/>
      <c r="AF2118" s="633"/>
      <c r="AG2118" s="94"/>
      <c r="AH2118" s="94"/>
      <c r="AI2118" s="94"/>
      <c r="AJ2118" s="94"/>
      <c r="AK2118" s="94"/>
      <c r="AL2118" s="94"/>
    </row>
    <row r="2119" spans="3:38">
      <c r="C2119" s="30"/>
      <c r="F2119" s="95"/>
      <c r="G2119" s="1"/>
      <c r="H2119" s="94"/>
      <c r="I2119" s="90"/>
      <c r="J2119" s="90"/>
      <c r="K2119" s="1"/>
      <c r="L2119" s="74"/>
      <c r="M2119" s="633"/>
      <c r="N2119" s="274"/>
      <c r="O2119" s="94"/>
      <c r="P2119" s="94"/>
      <c r="Q2119" s="94"/>
      <c r="R2119" s="94"/>
      <c r="S2119" s="94"/>
      <c r="V2119" s="30"/>
      <c r="W2119" s="30"/>
      <c r="X2119" s="1"/>
      <c r="Y2119" s="95"/>
      <c r="Z2119" s="1"/>
      <c r="AA2119" s="94"/>
      <c r="AB2119" s="1"/>
      <c r="AC2119" s="1"/>
      <c r="AD2119" s="1"/>
      <c r="AE2119" s="30"/>
      <c r="AF2119" s="633"/>
      <c r="AG2119" s="94"/>
      <c r="AH2119" s="94"/>
      <c r="AI2119" s="94"/>
      <c r="AJ2119" s="94"/>
      <c r="AK2119" s="94"/>
      <c r="AL2119" s="94"/>
    </row>
    <row r="2120" spans="3:38">
      <c r="C2120" s="30"/>
      <c r="F2120" s="95"/>
      <c r="G2120" s="1"/>
      <c r="H2120" s="94"/>
      <c r="I2120" s="90"/>
      <c r="J2120" s="90"/>
      <c r="K2120" s="1"/>
      <c r="L2120" s="74"/>
      <c r="M2120" s="633"/>
      <c r="N2120" s="274"/>
      <c r="O2120" s="94"/>
      <c r="P2120" s="94"/>
      <c r="Q2120" s="94"/>
      <c r="R2120" s="94"/>
      <c r="S2120" s="94"/>
      <c r="V2120" s="30"/>
      <c r="W2120" s="30"/>
      <c r="X2120" s="1"/>
      <c r="Y2120" s="95"/>
      <c r="Z2120" s="1"/>
      <c r="AA2120" s="94"/>
      <c r="AB2120" s="1"/>
      <c r="AC2120" s="1"/>
      <c r="AD2120" s="1"/>
      <c r="AE2120" s="30"/>
      <c r="AF2120" s="633"/>
      <c r="AG2120" s="94"/>
      <c r="AH2120" s="94"/>
      <c r="AI2120" s="94"/>
      <c r="AJ2120" s="94"/>
      <c r="AK2120" s="94"/>
      <c r="AL2120" s="94"/>
    </row>
    <row r="2121" spans="3:38">
      <c r="C2121" s="30"/>
      <c r="F2121" s="95"/>
      <c r="G2121" s="1"/>
      <c r="H2121" s="94"/>
      <c r="I2121" s="90"/>
      <c r="J2121" s="90"/>
      <c r="K2121" s="1"/>
      <c r="L2121" s="74"/>
      <c r="M2121" s="633"/>
      <c r="N2121" s="274"/>
      <c r="O2121" s="94"/>
      <c r="P2121" s="94"/>
      <c r="Q2121" s="94"/>
      <c r="R2121" s="94"/>
      <c r="S2121" s="94"/>
      <c r="V2121" s="30"/>
      <c r="W2121" s="30"/>
      <c r="X2121" s="1"/>
      <c r="Y2121" s="95"/>
      <c r="Z2121" s="1"/>
      <c r="AA2121" s="94"/>
      <c r="AB2121" s="1"/>
      <c r="AC2121" s="1"/>
      <c r="AD2121" s="1"/>
      <c r="AE2121" s="30"/>
      <c r="AF2121" s="633"/>
      <c r="AG2121" s="94"/>
      <c r="AH2121" s="94"/>
      <c r="AI2121" s="94"/>
      <c r="AJ2121" s="94"/>
      <c r="AK2121" s="94"/>
      <c r="AL2121" s="94"/>
    </row>
    <row r="2122" spans="3:38">
      <c r="C2122" s="30"/>
      <c r="F2122" s="95"/>
      <c r="G2122" s="1"/>
      <c r="H2122" s="94"/>
      <c r="I2122" s="90"/>
      <c r="J2122" s="90"/>
      <c r="K2122" s="1"/>
      <c r="L2122" s="74"/>
      <c r="M2122" s="633"/>
      <c r="N2122" s="274"/>
      <c r="O2122" s="94"/>
      <c r="P2122" s="94"/>
      <c r="Q2122" s="94"/>
      <c r="R2122" s="94"/>
      <c r="S2122" s="94"/>
      <c r="V2122" s="30"/>
      <c r="W2122" s="30"/>
      <c r="X2122" s="1"/>
      <c r="Y2122" s="95"/>
      <c r="Z2122" s="1"/>
      <c r="AA2122" s="94"/>
      <c r="AB2122" s="1"/>
      <c r="AC2122" s="1"/>
      <c r="AD2122" s="1"/>
      <c r="AE2122" s="30"/>
      <c r="AF2122" s="633"/>
      <c r="AG2122" s="94"/>
      <c r="AH2122" s="94"/>
      <c r="AI2122" s="94"/>
      <c r="AJ2122" s="94"/>
      <c r="AK2122" s="94"/>
      <c r="AL2122" s="94"/>
    </row>
    <row r="2123" spans="3:38">
      <c r="C2123" s="30"/>
      <c r="F2123" s="95"/>
      <c r="G2123" s="1"/>
      <c r="H2123" s="94"/>
      <c r="I2123" s="90"/>
      <c r="J2123" s="90"/>
      <c r="K2123" s="1"/>
      <c r="L2123" s="74"/>
      <c r="M2123" s="633"/>
      <c r="N2123" s="274"/>
      <c r="O2123" s="94"/>
      <c r="P2123" s="94"/>
      <c r="Q2123" s="94"/>
      <c r="R2123" s="94"/>
      <c r="S2123" s="94"/>
      <c r="V2123" s="30"/>
      <c r="W2123" s="30"/>
      <c r="X2123" s="1"/>
      <c r="Y2123" s="95"/>
      <c r="Z2123" s="1"/>
      <c r="AA2123" s="94"/>
      <c r="AB2123" s="1"/>
      <c r="AC2123" s="1"/>
      <c r="AD2123" s="1"/>
      <c r="AE2123" s="30"/>
      <c r="AF2123" s="633"/>
      <c r="AG2123" s="94"/>
      <c r="AH2123" s="94"/>
      <c r="AI2123" s="94"/>
      <c r="AJ2123" s="94"/>
      <c r="AK2123" s="94"/>
      <c r="AL2123" s="94"/>
    </row>
    <row r="2124" spans="3:38">
      <c r="C2124" s="30"/>
      <c r="F2124" s="95"/>
      <c r="G2124" s="1"/>
      <c r="H2124" s="94"/>
      <c r="I2124" s="90"/>
      <c r="J2124" s="90"/>
      <c r="K2124" s="1"/>
      <c r="L2124" s="74"/>
      <c r="M2124" s="633"/>
      <c r="N2124" s="274"/>
      <c r="O2124" s="94"/>
      <c r="P2124" s="94"/>
      <c r="Q2124" s="94"/>
      <c r="R2124" s="94"/>
      <c r="S2124" s="94"/>
      <c r="V2124" s="30"/>
      <c r="W2124" s="30"/>
      <c r="X2124" s="1"/>
      <c r="Y2124" s="95"/>
      <c r="Z2124" s="1"/>
      <c r="AA2124" s="94"/>
      <c r="AB2124" s="1"/>
      <c r="AC2124" s="1"/>
      <c r="AD2124" s="1"/>
      <c r="AE2124" s="30"/>
      <c r="AF2124" s="633"/>
      <c r="AG2124" s="94"/>
      <c r="AH2124" s="94"/>
      <c r="AI2124" s="94"/>
      <c r="AJ2124" s="94"/>
      <c r="AK2124" s="94"/>
      <c r="AL2124" s="94"/>
    </row>
    <row r="2125" spans="3:38">
      <c r="C2125" s="30"/>
      <c r="F2125" s="95"/>
      <c r="G2125" s="1"/>
      <c r="H2125" s="94"/>
      <c r="I2125" s="90"/>
      <c r="J2125" s="90"/>
      <c r="K2125" s="1"/>
      <c r="L2125" s="74"/>
      <c r="M2125" s="633"/>
      <c r="N2125" s="274"/>
      <c r="O2125" s="94"/>
      <c r="P2125" s="94"/>
      <c r="Q2125" s="94"/>
      <c r="R2125" s="94"/>
      <c r="S2125" s="94"/>
      <c r="V2125" s="30"/>
      <c r="W2125" s="30"/>
      <c r="X2125" s="1"/>
      <c r="Y2125" s="95"/>
      <c r="Z2125" s="1"/>
      <c r="AA2125" s="94"/>
      <c r="AB2125" s="1"/>
      <c r="AC2125" s="1"/>
      <c r="AD2125" s="1"/>
      <c r="AE2125" s="30"/>
      <c r="AF2125" s="633"/>
      <c r="AG2125" s="94"/>
      <c r="AH2125" s="94"/>
      <c r="AI2125" s="94"/>
      <c r="AJ2125" s="94"/>
      <c r="AK2125" s="94"/>
      <c r="AL2125" s="94"/>
    </row>
    <row r="2126" spans="3:38">
      <c r="C2126" s="30"/>
      <c r="F2126" s="95"/>
      <c r="G2126" s="1"/>
      <c r="H2126" s="94"/>
      <c r="I2126" s="90"/>
      <c r="J2126" s="90"/>
      <c r="K2126" s="1"/>
      <c r="L2126" s="74"/>
      <c r="M2126" s="633"/>
      <c r="N2126" s="274"/>
      <c r="O2126" s="94"/>
      <c r="P2126" s="94"/>
      <c r="Q2126" s="94"/>
      <c r="R2126" s="94"/>
      <c r="S2126" s="94"/>
      <c r="V2126" s="30"/>
      <c r="W2126" s="30"/>
      <c r="X2126" s="1"/>
      <c r="Y2126" s="95"/>
      <c r="Z2126" s="1"/>
      <c r="AA2126" s="94"/>
      <c r="AB2126" s="1"/>
      <c r="AC2126" s="1"/>
      <c r="AD2126" s="1"/>
      <c r="AE2126" s="30"/>
      <c r="AF2126" s="633"/>
      <c r="AG2126" s="94"/>
      <c r="AH2126" s="94"/>
      <c r="AI2126" s="94"/>
      <c r="AJ2126" s="94"/>
      <c r="AK2126" s="94"/>
      <c r="AL2126" s="94"/>
    </row>
    <row r="2127" spans="3:38">
      <c r="C2127" s="30"/>
      <c r="F2127" s="95"/>
      <c r="G2127" s="1"/>
      <c r="H2127" s="94"/>
      <c r="I2127" s="90"/>
      <c r="J2127" s="90"/>
      <c r="K2127" s="1"/>
      <c r="L2127" s="74"/>
      <c r="M2127" s="633"/>
      <c r="N2127" s="274"/>
      <c r="O2127" s="94"/>
      <c r="P2127" s="94"/>
      <c r="Q2127" s="94"/>
      <c r="R2127" s="94"/>
      <c r="S2127" s="94"/>
      <c r="V2127" s="30"/>
      <c r="W2127" s="30"/>
      <c r="X2127" s="1"/>
      <c r="Y2127" s="95"/>
      <c r="Z2127" s="1"/>
      <c r="AA2127" s="94"/>
      <c r="AB2127" s="1"/>
      <c r="AC2127" s="1"/>
      <c r="AD2127" s="1"/>
      <c r="AE2127" s="30"/>
      <c r="AF2127" s="633"/>
      <c r="AG2127" s="94"/>
      <c r="AH2127" s="94"/>
      <c r="AI2127" s="94"/>
      <c r="AJ2127" s="94"/>
      <c r="AK2127" s="94"/>
      <c r="AL2127" s="94"/>
    </row>
    <row r="2128" spans="3:38">
      <c r="C2128" s="30"/>
      <c r="F2128" s="95"/>
      <c r="G2128" s="1"/>
      <c r="H2128" s="94"/>
      <c r="I2128" s="90"/>
      <c r="J2128" s="90"/>
      <c r="K2128" s="1"/>
      <c r="L2128" s="74"/>
      <c r="M2128" s="633"/>
      <c r="N2128" s="274"/>
      <c r="O2128" s="94"/>
      <c r="P2128" s="94"/>
      <c r="Q2128" s="94"/>
      <c r="R2128" s="94"/>
      <c r="S2128" s="94"/>
      <c r="V2128" s="30"/>
      <c r="W2128" s="30"/>
      <c r="X2128" s="1"/>
      <c r="Y2128" s="95"/>
      <c r="Z2128" s="1"/>
      <c r="AA2128" s="94"/>
      <c r="AB2128" s="1"/>
      <c r="AC2128" s="1"/>
      <c r="AD2128" s="1"/>
      <c r="AE2128" s="30"/>
      <c r="AF2128" s="633"/>
      <c r="AG2128" s="94"/>
      <c r="AH2128" s="94"/>
      <c r="AI2128" s="94"/>
      <c r="AJ2128" s="94"/>
      <c r="AK2128" s="94"/>
      <c r="AL2128" s="94"/>
    </row>
    <row r="2129" spans="3:38">
      <c r="C2129" s="30"/>
      <c r="F2129" s="95"/>
      <c r="G2129" s="1"/>
      <c r="H2129" s="94"/>
      <c r="I2129" s="90"/>
      <c r="J2129" s="90"/>
      <c r="K2129" s="1"/>
      <c r="L2129" s="74"/>
      <c r="M2129" s="633"/>
      <c r="N2129" s="274"/>
      <c r="O2129" s="94"/>
      <c r="P2129" s="94"/>
      <c r="Q2129" s="94"/>
      <c r="R2129" s="94"/>
      <c r="S2129" s="94"/>
      <c r="V2129" s="30"/>
      <c r="W2129" s="30"/>
      <c r="X2129" s="1"/>
      <c r="Y2129" s="95"/>
      <c r="Z2129" s="1"/>
      <c r="AA2129" s="94"/>
      <c r="AB2129" s="1"/>
      <c r="AC2129" s="1"/>
      <c r="AD2129" s="1"/>
      <c r="AE2129" s="30"/>
      <c r="AF2129" s="633"/>
      <c r="AG2129" s="94"/>
      <c r="AH2129" s="94"/>
      <c r="AI2129" s="94"/>
      <c r="AJ2129" s="94"/>
      <c r="AK2129" s="94"/>
      <c r="AL2129" s="94"/>
    </row>
    <row r="2130" spans="3:38">
      <c r="C2130" s="30"/>
      <c r="F2130" s="95"/>
      <c r="G2130" s="1"/>
      <c r="H2130" s="94"/>
      <c r="I2130" s="90"/>
      <c r="J2130" s="90"/>
      <c r="K2130" s="1"/>
      <c r="L2130" s="74"/>
      <c r="M2130" s="633"/>
      <c r="N2130" s="274"/>
      <c r="O2130" s="94"/>
      <c r="P2130" s="94"/>
      <c r="Q2130" s="94"/>
      <c r="R2130" s="94"/>
      <c r="S2130" s="94"/>
      <c r="V2130" s="30"/>
      <c r="W2130" s="30"/>
      <c r="X2130" s="1"/>
      <c r="Y2130" s="95"/>
      <c r="Z2130" s="1"/>
      <c r="AA2130" s="94"/>
      <c r="AB2130" s="1"/>
      <c r="AC2130" s="1"/>
      <c r="AD2130" s="1"/>
      <c r="AE2130" s="30"/>
      <c r="AF2130" s="633"/>
      <c r="AG2130" s="94"/>
      <c r="AH2130" s="94"/>
      <c r="AI2130" s="94"/>
      <c r="AJ2130" s="94"/>
      <c r="AK2130" s="94"/>
      <c r="AL2130" s="94"/>
    </row>
    <row r="2131" spans="3:38">
      <c r="C2131" s="30"/>
      <c r="F2131" s="95"/>
      <c r="G2131" s="1"/>
      <c r="H2131" s="94"/>
      <c r="I2131" s="90"/>
      <c r="J2131" s="90"/>
      <c r="K2131" s="1"/>
      <c r="L2131" s="74"/>
      <c r="M2131" s="633"/>
      <c r="N2131" s="274"/>
      <c r="O2131" s="94"/>
      <c r="P2131" s="94"/>
      <c r="Q2131" s="94"/>
      <c r="R2131" s="94"/>
      <c r="S2131" s="94"/>
      <c r="V2131" s="30"/>
      <c r="W2131" s="30"/>
      <c r="X2131" s="1"/>
      <c r="Y2131" s="95"/>
      <c r="Z2131" s="1"/>
      <c r="AA2131" s="94"/>
      <c r="AB2131" s="1"/>
      <c r="AC2131" s="1"/>
      <c r="AD2131" s="1"/>
      <c r="AE2131" s="30"/>
      <c r="AF2131" s="633"/>
      <c r="AG2131" s="94"/>
      <c r="AH2131" s="94"/>
      <c r="AI2131" s="94"/>
      <c r="AJ2131" s="94"/>
      <c r="AK2131" s="94"/>
      <c r="AL2131" s="94"/>
    </row>
    <row r="2132" spans="3:38">
      <c r="C2132" s="30"/>
      <c r="F2132" s="95"/>
      <c r="G2132" s="1"/>
      <c r="H2132" s="94"/>
      <c r="I2132" s="90"/>
      <c r="J2132" s="90"/>
      <c r="K2132" s="1"/>
      <c r="L2132" s="74"/>
      <c r="M2132" s="633"/>
      <c r="N2132" s="274"/>
      <c r="O2132" s="94"/>
      <c r="P2132" s="94"/>
      <c r="Q2132" s="94"/>
      <c r="R2132" s="94"/>
      <c r="S2132" s="94"/>
      <c r="V2132" s="30"/>
      <c r="W2132" s="30"/>
      <c r="X2132" s="1"/>
      <c r="Y2132" s="95"/>
      <c r="Z2132" s="1"/>
      <c r="AA2132" s="94"/>
      <c r="AB2132" s="1"/>
      <c r="AC2132" s="1"/>
      <c r="AD2132" s="1"/>
      <c r="AE2132" s="30"/>
      <c r="AF2132" s="633"/>
      <c r="AG2132" s="94"/>
      <c r="AH2132" s="94"/>
      <c r="AI2132" s="94"/>
      <c r="AJ2132" s="94"/>
      <c r="AK2132" s="94"/>
      <c r="AL2132" s="94"/>
    </row>
    <row r="2133" spans="3:38">
      <c r="C2133" s="30"/>
      <c r="F2133" s="95"/>
      <c r="G2133" s="1"/>
      <c r="H2133" s="94"/>
      <c r="I2133" s="90"/>
      <c r="J2133" s="90"/>
      <c r="K2133" s="1"/>
      <c r="L2133" s="74"/>
      <c r="M2133" s="633"/>
      <c r="N2133" s="274"/>
      <c r="O2133" s="94"/>
      <c r="P2133" s="94"/>
      <c r="Q2133" s="94"/>
      <c r="R2133" s="94"/>
      <c r="S2133" s="94"/>
      <c r="V2133" s="30"/>
      <c r="W2133" s="30"/>
      <c r="X2133" s="1"/>
      <c r="Y2133" s="95"/>
      <c r="Z2133" s="1"/>
      <c r="AA2133" s="94"/>
      <c r="AB2133" s="1"/>
      <c r="AC2133" s="1"/>
      <c r="AD2133" s="1"/>
      <c r="AE2133" s="30"/>
      <c r="AF2133" s="633"/>
      <c r="AG2133" s="94"/>
      <c r="AH2133" s="94"/>
      <c r="AI2133" s="94"/>
      <c r="AJ2133" s="94"/>
      <c r="AK2133" s="94"/>
      <c r="AL2133" s="94"/>
    </row>
    <row r="2134" spans="3:38">
      <c r="C2134" s="30"/>
      <c r="F2134" s="95"/>
      <c r="G2134" s="1"/>
      <c r="H2134" s="94"/>
      <c r="I2134" s="90"/>
      <c r="J2134" s="90"/>
      <c r="K2134" s="1"/>
      <c r="L2134" s="74"/>
      <c r="M2134" s="633"/>
      <c r="N2134" s="274"/>
      <c r="O2134" s="94"/>
      <c r="P2134" s="94"/>
      <c r="Q2134" s="94"/>
      <c r="R2134" s="94"/>
      <c r="S2134" s="94"/>
      <c r="V2134" s="30"/>
      <c r="W2134" s="30"/>
      <c r="X2134" s="1"/>
      <c r="Y2134" s="95"/>
      <c r="Z2134" s="1"/>
      <c r="AA2134" s="94"/>
      <c r="AB2134" s="1"/>
      <c r="AC2134" s="1"/>
      <c r="AD2134" s="1"/>
      <c r="AE2134" s="30"/>
      <c r="AF2134" s="633"/>
      <c r="AG2134" s="94"/>
      <c r="AH2134" s="94"/>
      <c r="AI2134" s="94"/>
      <c r="AJ2134" s="94"/>
      <c r="AK2134" s="94"/>
      <c r="AL2134" s="94"/>
    </row>
    <row r="2135" spans="3:38">
      <c r="C2135" s="30"/>
      <c r="F2135" s="95"/>
      <c r="G2135" s="1"/>
      <c r="H2135" s="94"/>
      <c r="I2135" s="90"/>
      <c r="J2135" s="90"/>
      <c r="K2135" s="1"/>
      <c r="L2135" s="74"/>
      <c r="M2135" s="633"/>
      <c r="N2135" s="274"/>
      <c r="O2135" s="94"/>
      <c r="P2135" s="94"/>
      <c r="Q2135" s="94"/>
      <c r="R2135" s="94"/>
      <c r="S2135" s="94"/>
      <c r="V2135" s="30"/>
      <c r="W2135" s="30"/>
      <c r="X2135" s="1"/>
      <c r="Y2135" s="95"/>
      <c r="Z2135" s="1"/>
      <c r="AA2135" s="94"/>
      <c r="AB2135" s="1"/>
      <c r="AC2135" s="1"/>
      <c r="AD2135" s="1"/>
      <c r="AE2135" s="30"/>
      <c r="AF2135" s="633"/>
      <c r="AG2135" s="94"/>
      <c r="AH2135" s="94"/>
      <c r="AI2135" s="94"/>
      <c r="AJ2135" s="94"/>
      <c r="AK2135" s="94"/>
      <c r="AL2135" s="94"/>
    </row>
    <row r="2136" spans="3:38">
      <c r="C2136" s="30"/>
      <c r="F2136" s="95"/>
      <c r="G2136" s="1"/>
      <c r="H2136" s="94"/>
      <c r="I2136" s="90"/>
      <c r="J2136" s="90"/>
      <c r="K2136" s="1"/>
      <c r="L2136" s="74"/>
      <c r="M2136" s="633"/>
      <c r="N2136" s="274"/>
      <c r="O2136" s="94"/>
      <c r="P2136" s="94"/>
      <c r="Q2136" s="94"/>
      <c r="R2136" s="94"/>
      <c r="S2136" s="94"/>
      <c r="V2136" s="30"/>
      <c r="W2136" s="30"/>
      <c r="X2136" s="1"/>
      <c r="Y2136" s="95"/>
      <c r="Z2136" s="1"/>
      <c r="AA2136" s="94"/>
      <c r="AB2136" s="1"/>
      <c r="AC2136" s="1"/>
      <c r="AD2136" s="1"/>
      <c r="AE2136" s="30"/>
      <c r="AF2136" s="633"/>
      <c r="AG2136" s="94"/>
      <c r="AH2136" s="94"/>
      <c r="AI2136" s="94"/>
      <c r="AJ2136" s="94"/>
      <c r="AK2136" s="94"/>
      <c r="AL2136" s="94"/>
    </row>
    <row r="2137" spans="3:38">
      <c r="C2137" s="30"/>
      <c r="F2137" s="95"/>
      <c r="G2137" s="1"/>
      <c r="H2137" s="94"/>
      <c r="I2137" s="90"/>
      <c r="J2137" s="90"/>
      <c r="K2137" s="1"/>
      <c r="L2137" s="74"/>
      <c r="M2137" s="633"/>
      <c r="N2137" s="274"/>
      <c r="O2137" s="94"/>
      <c r="P2137" s="94"/>
      <c r="Q2137" s="94"/>
      <c r="R2137" s="94"/>
      <c r="S2137" s="94"/>
      <c r="V2137" s="30"/>
      <c r="W2137" s="30"/>
      <c r="X2137" s="1"/>
      <c r="Y2137" s="95"/>
      <c r="Z2137" s="1"/>
      <c r="AA2137" s="94"/>
      <c r="AB2137" s="1"/>
      <c r="AC2137" s="1"/>
      <c r="AD2137" s="1"/>
      <c r="AE2137" s="30"/>
      <c r="AF2137" s="633"/>
      <c r="AG2137" s="94"/>
      <c r="AH2137" s="94"/>
      <c r="AI2137" s="94"/>
      <c r="AJ2137" s="94"/>
      <c r="AK2137" s="94"/>
      <c r="AL2137" s="94"/>
    </row>
    <row r="2138" spans="3:38">
      <c r="C2138" s="30"/>
      <c r="F2138" s="95"/>
      <c r="G2138" s="1"/>
      <c r="H2138" s="94"/>
      <c r="I2138" s="90"/>
      <c r="J2138" s="90"/>
      <c r="K2138" s="1"/>
      <c r="L2138" s="74"/>
      <c r="M2138" s="633"/>
      <c r="N2138" s="274"/>
      <c r="O2138" s="94"/>
      <c r="P2138" s="94"/>
      <c r="Q2138" s="94"/>
      <c r="R2138" s="94"/>
      <c r="S2138" s="94"/>
      <c r="V2138" s="30"/>
      <c r="W2138" s="30"/>
      <c r="X2138" s="1"/>
      <c r="Y2138" s="95"/>
      <c r="Z2138" s="1"/>
      <c r="AA2138" s="94"/>
      <c r="AB2138" s="1"/>
      <c r="AC2138" s="1"/>
      <c r="AD2138" s="1"/>
      <c r="AE2138" s="30"/>
      <c r="AF2138" s="633"/>
      <c r="AG2138" s="94"/>
      <c r="AH2138" s="94"/>
      <c r="AI2138" s="94"/>
      <c r="AJ2138" s="94"/>
      <c r="AK2138" s="94"/>
      <c r="AL2138" s="94"/>
    </row>
    <row r="2139" spans="3:38">
      <c r="C2139" s="30"/>
      <c r="F2139" s="95"/>
      <c r="G2139" s="1"/>
      <c r="H2139" s="94"/>
      <c r="I2139" s="90"/>
      <c r="J2139" s="90"/>
      <c r="K2139" s="1"/>
      <c r="L2139" s="74"/>
      <c r="M2139" s="633"/>
      <c r="N2139" s="274"/>
      <c r="O2139" s="94"/>
      <c r="P2139" s="94"/>
      <c r="Q2139" s="94"/>
      <c r="R2139" s="94"/>
      <c r="S2139" s="94"/>
      <c r="V2139" s="30"/>
      <c r="W2139" s="30"/>
      <c r="X2139" s="1"/>
      <c r="Y2139" s="95"/>
      <c r="Z2139" s="1"/>
      <c r="AA2139" s="94"/>
      <c r="AB2139" s="1"/>
      <c r="AC2139" s="1"/>
      <c r="AD2139" s="1"/>
      <c r="AE2139" s="30"/>
      <c r="AF2139" s="633"/>
      <c r="AG2139" s="94"/>
      <c r="AH2139" s="94"/>
      <c r="AI2139" s="94"/>
      <c r="AJ2139" s="94"/>
      <c r="AK2139" s="94"/>
      <c r="AL2139" s="94"/>
    </row>
    <row r="2140" spans="3:38">
      <c r="C2140" s="30"/>
      <c r="F2140" s="95"/>
      <c r="G2140" s="1"/>
      <c r="H2140" s="94"/>
      <c r="I2140" s="90"/>
      <c r="J2140" s="90"/>
      <c r="K2140" s="1"/>
      <c r="L2140" s="74"/>
      <c r="M2140" s="633"/>
      <c r="N2140" s="274"/>
      <c r="O2140" s="94"/>
      <c r="P2140" s="94"/>
      <c r="Q2140" s="94"/>
      <c r="R2140" s="94"/>
      <c r="S2140" s="94"/>
      <c r="V2140" s="30"/>
      <c r="W2140" s="30"/>
      <c r="X2140" s="1"/>
      <c r="Y2140" s="95"/>
      <c r="Z2140" s="1"/>
      <c r="AA2140" s="94"/>
      <c r="AB2140" s="1"/>
      <c r="AC2140" s="1"/>
      <c r="AD2140" s="1"/>
      <c r="AE2140" s="30"/>
      <c r="AF2140" s="633"/>
      <c r="AG2140" s="94"/>
      <c r="AH2140" s="94"/>
      <c r="AI2140" s="94"/>
      <c r="AJ2140" s="94"/>
      <c r="AK2140" s="94"/>
      <c r="AL2140" s="94"/>
    </row>
    <row r="2141" spans="3:38">
      <c r="C2141" s="30"/>
      <c r="F2141" s="95"/>
      <c r="G2141" s="1"/>
      <c r="H2141" s="94"/>
      <c r="I2141" s="90"/>
      <c r="J2141" s="90"/>
      <c r="K2141" s="1"/>
      <c r="L2141" s="74"/>
      <c r="M2141" s="633"/>
      <c r="N2141" s="274"/>
      <c r="O2141" s="94"/>
      <c r="P2141" s="94"/>
      <c r="Q2141" s="94"/>
      <c r="R2141" s="94"/>
      <c r="S2141" s="94"/>
      <c r="V2141" s="30"/>
      <c r="W2141" s="30"/>
      <c r="X2141" s="1"/>
      <c r="Y2141" s="95"/>
      <c r="Z2141" s="1"/>
      <c r="AA2141" s="94"/>
      <c r="AB2141" s="1"/>
      <c r="AC2141" s="1"/>
      <c r="AD2141" s="1"/>
      <c r="AE2141" s="30"/>
      <c r="AF2141" s="633"/>
      <c r="AG2141" s="94"/>
      <c r="AH2141" s="94"/>
      <c r="AI2141" s="94"/>
      <c r="AJ2141" s="94"/>
      <c r="AK2141" s="94"/>
      <c r="AL2141" s="94"/>
    </row>
    <row r="2142" spans="3:38">
      <c r="C2142" s="30"/>
      <c r="F2142" s="95"/>
      <c r="G2142" s="1"/>
      <c r="H2142" s="94"/>
      <c r="I2142" s="90"/>
      <c r="J2142" s="90"/>
      <c r="K2142" s="1"/>
      <c r="L2142" s="74"/>
      <c r="M2142" s="633"/>
      <c r="N2142" s="274"/>
      <c r="O2142" s="94"/>
      <c r="P2142" s="94"/>
      <c r="Q2142" s="94"/>
      <c r="R2142" s="94"/>
      <c r="S2142" s="94"/>
      <c r="V2142" s="30"/>
      <c r="W2142" s="30"/>
      <c r="X2142" s="1"/>
      <c r="Y2142" s="95"/>
      <c r="Z2142" s="1"/>
      <c r="AA2142" s="94"/>
      <c r="AB2142" s="1"/>
      <c r="AC2142" s="1"/>
      <c r="AD2142" s="1"/>
      <c r="AE2142" s="30"/>
      <c r="AF2142" s="633"/>
      <c r="AG2142" s="94"/>
      <c r="AH2142" s="94"/>
      <c r="AI2142" s="94"/>
      <c r="AJ2142" s="94"/>
      <c r="AK2142" s="94"/>
      <c r="AL2142" s="94"/>
    </row>
    <row r="2143" spans="3:38">
      <c r="C2143" s="30"/>
      <c r="F2143" s="95"/>
      <c r="G2143" s="1"/>
      <c r="H2143" s="94"/>
      <c r="I2143" s="90"/>
      <c r="J2143" s="90"/>
      <c r="K2143" s="1"/>
      <c r="L2143" s="74"/>
      <c r="M2143" s="633"/>
      <c r="N2143" s="274"/>
      <c r="O2143" s="94"/>
      <c r="P2143" s="94"/>
      <c r="Q2143" s="94"/>
      <c r="R2143" s="94"/>
      <c r="S2143" s="94"/>
      <c r="V2143" s="30"/>
      <c r="W2143" s="30"/>
      <c r="X2143" s="1"/>
      <c r="Y2143" s="95"/>
      <c r="Z2143" s="1"/>
      <c r="AA2143" s="94"/>
      <c r="AB2143" s="1"/>
      <c r="AC2143" s="1"/>
      <c r="AD2143" s="1"/>
      <c r="AE2143" s="30"/>
      <c r="AF2143" s="633"/>
      <c r="AG2143" s="94"/>
      <c r="AH2143" s="94"/>
      <c r="AI2143" s="94"/>
      <c r="AJ2143" s="94"/>
      <c r="AK2143" s="94"/>
      <c r="AL2143" s="94"/>
    </row>
    <row r="2144" spans="3:38">
      <c r="C2144" s="30"/>
      <c r="F2144" s="95"/>
      <c r="G2144" s="1"/>
      <c r="H2144" s="94"/>
      <c r="I2144" s="90"/>
      <c r="J2144" s="90"/>
      <c r="K2144" s="1"/>
      <c r="L2144" s="74"/>
      <c r="M2144" s="633"/>
      <c r="N2144" s="274"/>
      <c r="O2144" s="94"/>
      <c r="P2144" s="94"/>
      <c r="Q2144" s="94"/>
      <c r="R2144" s="94"/>
      <c r="S2144" s="94"/>
      <c r="V2144" s="30"/>
      <c r="W2144" s="30"/>
      <c r="X2144" s="1"/>
      <c r="Y2144" s="95"/>
      <c r="Z2144" s="1"/>
      <c r="AA2144" s="94"/>
      <c r="AB2144" s="1"/>
      <c r="AC2144" s="1"/>
      <c r="AD2144" s="1"/>
      <c r="AE2144" s="30"/>
      <c r="AF2144" s="633"/>
      <c r="AG2144" s="94"/>
      <c r="AH2144" s="94"/>
      <c r="AI2144" s="94"/>
      <c r="AJ2144" s="94"/>
      <c r="AK2144" s="94"/>
      <c r="AL2144" s="94"/>
    </row>
    <row r="2145" spans="3:38">
      <c r="C2145" s="30"/>
      <c r="F2145" s="95"/>
      <c r="G2145" s="1"/>
      <c r="H2145" s="94"/>
      <c r="I2145" s="90"/>
      <c r="J2145" s="90"/>
      <c r="K2145" s="1"/>
      <c r="L2145" s="74"/>
      <c r="M2145" s="633"/>
      <c r="N2145" s="274"/>
      <c r="O2145" s="94"/>
      <c r="P2145" s="94"/>
      <c r="Q2145" s="94"/>
      <c r="R2145" s="94"/>
      <c r="S2145" s="94"/>
      <c r="V2145" s="30"/>
      <c r="W2145" s="30"/>
      <c r="X2145" s="1"/>
      <c r="Y2145" s="95"/>
      <c r="Z2145" s="1"/>
      <c r="AA2145" s="94"/>
      <c r="AB2145" s="1"/>
      <c r="AC2145" s="1"/>
      <c r="AD2145" s="1"/>
      <c r="AE2145" s="30"/>
      <c r="AF2145" s="633"/>
      <c r="AG2145" s="94"/>
      <c r="AH2145" s="94"/>
      <c r="AI2145" s="94"/>
      <c r="AJ2145" s="94"/>
      <c r="AK2145" s="94"/>
      <c r="AL2145" s="94"/>
    </row>
    <row r="2146" spans="3:38">
      <c r="C2146" s="30"/>
      <c r="F2146" s="95"/>
      <c r="G2146" s="1"/>
      <c r="H2146" s="94"/>
      <c r="I2146" s="90"/>
      <c r="J2146" s="90"/>
      <c r="K2146" s="1"/>
      <c r="L2146" s="74"/>
      <c r="M2146" s="633"/>
      <c r="N2146" s="274"/>
      <c r="O2146" s="94"/>
      <c r="P2146" s="94"/>
      <c r="Q2146" s="94"/>
      <c r="R2146" s="94"/>
      <c r="S2146" s="94"/>
      <c r="V2146" s="30"/>
      <c r="W2146" s="30"/>
      <c r="X2146" s="1"/>
      <c r="Y2146" s="95"/>
      <c r="Z2146" s="1"/>
      <c r="AA2146" s="94"/>
      <c r="AB2146" s="1"/>
      <c r="AC2146" s="1"/>
      <c r="AD2146" s="1"/>
      <c r="AE2146" s="30"/>
      <c r="AF2146" s="633"/>
      <c r="AG2146" s="94"/>
      <c r="AH2146" s="94"/>
      <c r="AI2146" s="94"/>
      <c r="AJ2146" s="94"/>
      <c r="AK2146" s="94"/>
      <c r="AL2146" s="94"/>
    </row>
    <row r="2147" spans="3:38">
      <c r="C2147" s="30"/>
      <c r="F2147" s="95"/>
      <c r="G2147" s="1"/>
      <c r="H2147" s="94"/>
      <c r="I2147" s="90"/>
      <c r="J2147" s="90"/>
      <c r="K2147" s="1"/>
      <c r="L2147" s="74"/>
      <c r="M2147" s="633"/>
      <c r="N2147" s="274"/>
      <c r="O2147" s="94"/>
      <c r="P2147" s="94"/>
      <c r="Q2147" s="94"/>
      <c r="R2147" s="94"/>
      <c r="S2147" s="94"/>
      <c r="V2147" s="30"/>
      <c r="W2147" s="30"/>
      <c r="X2147" s="1"/>
      <c r="Y2147" s="95"/>
      <c r="Z2147" s="1"/>
      <c r="AA2147" s="94"/>
      <c r="AB2147" s="1"/>
      <c r="AC2147" s="1"/>
      <c r="AD2147" s="1"/>
      <c r="AE2147" s="30"/>
      <c r="AF2147" s="633"/>
      <c r="AG2147" s="94"/>
      <c r="AH2147" s="94"/>
      <c r="AI2147" s="94"/>
      <c r="AJ2147" s="94"/>
      <c r="AK2147" s="94"/>
      <c r="AL2147" s="94"/>
    </row>
    <row r="2148" spans="3:38">
      <c r="C2148" s="30"/>
      <c r="F2148" s="95"/>
      <c r="G2148" s="1"/>
      <c r="H2148" s="94"/>
      <c r="I2148" s="90"/>
      <c r="J2148" s="90"/>
      <c r="K2148" s="1"/>
      <c r="L2148" s="74"/>
      <c r="M2148" s="633"/>
      <c r="N2148" s="274"/>
      <c r="O2148" s="94"/>
      <c r="P2148" s="94"/>
      <c r="Q2148" s="94"/>
      <c r="R2148" s="94"/>
      <c r="S2148" s="94"/>
      <c r="V2148" s="30"/>
      <c r="W2148" s="30"/>
      <c r="X2148" s="1"/>
      <c r="Y2148" s="95"/>
      <c r="Z2148" s="1"/>
      <c r="AA2148" s="94"/>
      <c r="AB2148" s="1"/>
      <c r="AC2148" s="1"/>
      <c r="AD2148" s="1"/>
      <c r="AE2148" s="30"/>
      <c r="AF2148" s="633"/>
      <c r="AG2148" s="94"/>
      <c r="AH2148" s="94"/>
      <c r="AI2148" s="94"/>
      <c r="AJ2148" s="94"/>
      <c r="AK2148" s="94"/>
      <c r="AL2148" s="94"/>
    </row>
    <row r="2149" spans="3:38">
      <c r="C2149" s="30"/>
      <c r="F2149" s="95"/>
      <c r="G2149" s="1"/>
      <c r="H2149" s="94"/>
      <c r="I2149" s="90"/>
      <c r="J2149" s="90"/>
      <c r="K2149" s="1"/>
      <c r="L2149" s="74"/>
      <c r="M2149" s="633"/>
      <c r="N2149" s="274"/>
      <c r="O2149" s="94"/>
      <c r="P2149" s="94"/>
      <c r="Q2149" s="94"/>
      <c r="R2149" s="94"/>
      <c r="S2149" s="94"/>
      <c r="V2149" s="30"/>
      <c r="W2149" s="30"/>
      <c r="X2149" s="1"/>
      <c r="Y2149" s="95"/>
      <c r="Z2149" s="1"/>
      <c r="AA2149" s="94"/>
      <c r="AB2149" s="1"/>
      <c r="AC2149" s="1"/>
      <c r="AD2149" s="1"/>
      <c r="AE2149" s="30"/>
      <c r="AF2149" s="633"/>
      <c r="AG2149" s="94"/>
      <c r="AH2149" s="94"/>
      <c r="AI2149" s="94"/>
      <c r="AJ2149" s="94"/>
      <c r="AK2149" s="94"/>
      <c r="AL2149" s="94"/>
    </row>
    <row r="2150" spans="3:38">
      <c r="C2150" s="30"/>
      <c r="F2150" s="95"/>
      <c r="G2150" s="1"/>
      <c r="H2150" s="94"/>
      <c r="I2150" s="90"/>
      <c r="J2150" s="90"/>
      <c r="K2150" s="1"/>
      <c r="L2150" s="74"/>
      <c r="M2150" s="633"/>
      <c r="N2150" s="274"/>
      <c r="O2150" s="94"/>
      <c r="P2150" s="94"/>
      <c r="Q2150" s="94"/>
      <c r="R2150" s="94"/>
      <c r="S2150" s="94"/>
      <c r="V2150" s="30"/>
      <c r="W2150" s="30"/>
      <c r="X2150" s="1"/>
      <c r="Y2150" s="95"/>
      <c r="Z2150" s="1"/>
      <c r="AA2150" s="94"/>
      <c r="AB2150" s="1"/>
      <c r="AC2150" s="1"/>
      <c r="AD2150" s="1"/>
      <c r="AE2150" s="30"/>
      <c r="AF2150" s="633"/>
      <c r="AG2150" s="94"/>
      <c r="AH2150" s="94"/>
      <c r="AI2150" s="94"/>
      <c r="AJ2150" s="94"/>
      <c r="AK2150" s="94"/>
      <c r="AL2150" s="94"/>
    </row>
    <row r="2151" spans="3:38">
      <c r="C2151" s="30"/>
      <c r="F2151" s="95"/>
      <c r="G2151" s="1"/>
      <c r="H2151" s="94"/>
      <c r="I2151" s="90"/>
      <c r="J2151" s="90"/>
      <c r="K2151" s="1"/>
      <c r="L2151" s="74"/>
      <c r="M2151" s="633"/>
      <c r="N2151" s="274"/>
      <c r="O2151" s="94"/>
      <c r="P2151" s="94"/>
      <c r="Q2151" s="94"/>
      <c r="R2151" s="94"/>
      <c r="S2151" s="94"/>
      <c r="V2151" s="30"/>
      <c r="W2151" s="30"/>
      <c r="X2151" s="1"/>
      <c r="Y2151" s="95"/>
      <c r="Z2151" s="1"/>
      <c r="AA2151" s="94"/>
      <c r="AB2151" s="1"/>
      <c r="AC2151" s="1"/>
      <c r="AD2151" s="1"/>
      <c r="AE2151" s="30"/>
      <c r="AF2151" s="633"/>
      <c r="AG2151" s="94"/>
      <c r="AH2151" s="94"/>
      <c r="AI2151" s="94"/>
      <c r="AJ2151" s="94"/>
      <c r="AK2151" s="94"/>
      <c r="AL2151" s="94"/>
    </row>
    <row r="2152" spans="3:38">
      <c r="C2152" s="30"/>
      <c r="F2152" s="95"/>
      <c r="G2152" s="1"/>
      <c r="H2152" s="94"/>
      <c r="I2152" s="90"/>
      <c r="J2152" s="90"/>
      <c r="K2152" s="1"/>
      <c r="L2152" s="74"/>
      <c r="M2152" s="633"/>
      <c r="N2152" s="274"/>
      <c r="O2152" s="94"/>
      <c r="P2152" s="94"/>
      <c r="Q2152" s="94"/>
      <c r="R2152" s="94"/>
      <c r="S2152" s="94"/>
      <c r="V2152" s="30"/>
      <c r="W2152" s="30"/>
      <c r="X2152" s="1"/>
      <c r="Y2152" s="95"/>
      <c r="Z2152" s="1"/>
      <c r="AA2152" s="94"/>
      <c r="AB2152" s="1"/>
      <c r="AC2152" s="1"/>
      <c r="AD2152" s="1"/>
      <c r="AE2152" s="30"/>
      <c r="AF2152" s="633"/>
      <c r="AG2152" s="94"/>
      <c r="AH2152" s="94"/>
      <c r="AI2152" s="94"/>
      <c r="AJ2152" s="94"/>
      <c r="AK2152" s="94"/>
      <c r="AL2152" s="94"/>
    </row>
    <row r="2153" spans="3:38">
      <c r="C2153" s="30"/>
      <c r="F2153" s="95"/>
      <c r="G2153" s="1"/>
      <c r="H2153" s="94"/>
      <c r="I2153" s="90"/>
      <c r="J2153" s="90"/>
      <c r="K2153" s="1"/>
      <c r="L2153" s="74"/>
      <c r="M2153" s="633"/>
      <c r="N2153" s="274"/>
      <c r="O2153" s="94"/>
      <c r="P2153" s="94"/>
      <c r="Q2153" s="94"/>
      <c r="R2153" s="94"/>
      <c r="S2153" s="94"/>
      <c r="V2153" s="30"/>
      <c r="W2153" s="30"/>
      <c r="X2153" s="1"/>
      <c r="Y2153" s="95"/>
      <c r="Z2153" s="1"/>
      <c r="AA2153" s="94"/>
      <c r="AB2153" s="1"/>
      <c r="AC2153" s="1"/>
      <c r="AD2153" s="1"/>
      <c r="AE2153" s="30"/>
      <c r="AF2153" s="633"/>
      <c r="AG2153" s="94"/>
      <c r="AH2153" s="94"/>
      <c r="AI2153" s="94"/>
      <c r="AJ2153" s="94"/>
      <c r="AK2153" s="94"/>
      <c r="AL2153" s="94"/>
    </row>
    <row r="2154" spans="3:38">
      <c r="C2154" s="30"/>
      <c r="F2154" s="95"/>
      <c r="G2154" s="1"/>
      <c r="H2154" s="94"/>
      <c r="I2154" s="90"/>
      <c r="J2154" s="90"/>
      <c r="K2154" s="1"/>
      <c r="L2154" s="74"/>
      <c r="M2154" s="633"/>
      <c r="N2154" s="274"/>
      <c r="O2154" s="94"/>
      <c r="P2154" s="94"/>
      <c r="Q2154" s="94"/>
      <c r="R2154" s="94"/>
      <c r="S2154" s="94"/>
      <c r="V2154" s="30"/>
      <c r="W2154" s="30"/>
      <c r="X2154" s="1"/>
      <c r="Y2154" s="95"/>
      <c r="Z2154" s="1"/>
      <c r="AA2154" s="94"/>
      <c r="AB2154" s="1"/>
      <c r="AC2154" s="1"/>
      <c r="AD2154" s="1"/>
      <c r="AE2154" s="30"/>
      <c r="AF2154" s="633"/>
      <c r="AG2154" s="94"/>
      <c r="AH2154" s="94"/>
      <c r="AI2154" s="94"/>
      <c r="AJ2154" s="94"/>
      <c r="AK2154" s="94"/>
      <c r="AL2154" s="94"/>
    </row>
    <row r="2155" spans="3:38">
      <c r="C2155" s="30"/>
      <c r="F2155" s="95"/>
      <c r="G2155" s="1"/>
      <c r="H2155" s="94"/>
      <c r="I2155" s="90"/>
      <c r="J2155" s="90"/>
      <c r="K2155" s="1"/>
      <c r="L2155" s="74"/>
      <c r="M2155" s="633"/>
      <c r="N2155" s="274"/>
      <c r="O2155" s="94"/>
      <c r="P2155" s="94"/>
      <c r="Q2155" s="94"/>
      <c r="R2155" s="94"/>
      <c r="S2155" s="94"/>
      <c r="V2155" s="30"/>
      <c r="W2155" s="30"/>
      <c r="X2155" s="1"/>
      <c r="Y2155" s="95"/>
      <c r="Z2155" s="1"/>
      <c r="AA2155" s="94"/>
      <c r="AB2155" s="1"/>
      <c r="AC2155" s="1"/>
      <c r="AD2155" s="1"/>
      <c r="AE2155" s="30"/>
      <c r="AF2155" s="633"/>
      <c r="AG2155" s="94"/>
      <c r="AH2155" s="94"/>
      <c r="AI2155" s="94"/>
      <c r="AJ2155" s="94"/>
      <c r="AK2155" s="94"/>
      <c r="AL2155" s="94"/>
    </row>
    <row r="2156" spans="3:38">
      <c r="C2156" s="30"/>
      <c r="F2156" s="95"/>
      <c r="G2156" s="1"/>
      <c r="H2156" s="94"/>
      <c r="I2156" s="90"/>
      <c r="J2156" s="90"/>
      <c r="K2156" s="1"/>
      <c r="L2156" s="74"/>
      <c r="M2156" s="633"/>
      <c r="N2156" s="274"/>
      <c r="O2156" s="94"/>
      <c r="P2156" s="94"/>
      <c r="Q2156" s="94"/>
      <c r="R2156" s="94"/>
      <c r="S2156" s="94"/>
      <c r="V2156" s="30"/>
      <c r="W2156" s="30"/>
      <c r="X2156" s="1"/>
      <c r="Y2156" s="95"/>
      <c r="Z2156" s="1"/>
      <c r="AA2156" s="94"/>
      <c r="AB2156" s="1"/>
      <c r="AC2156" s="1"/>
      <c r="AD2156" s="1"/>
      <c r="AE2156" s="30"/>
      <c r="AF2156" s="633"/>
      <c r="AG2156" s="94"/>
      <c r="AH2156" s="94"/>
      <c r="AI2156" s="94"/>
      <c r="AJ2156" s="94"/>
      <c r="AK2156" s="94"/>
      <c r="AL2156" s="94"/>
    </row>
    <row r="2157" spans="3:38">
      <c r="C2157" s="30"/>
      <c r="F2157" s="95"/>
      <c r="G2157" s="1"/>
      <c r="H2157" s="94"/>
      <c r="I2157" s="90"/>
      <c r="J2157" s="90"/>
      <c r="K2157" s="1"/>
      <c r="L2157" s="74"/>
      <c r="M2157" s="633"/>
      <c r="N2157" s="274"/>
      <c r="O2157" s="94"/>
      <c r="P2157" s="94"/>
      <c r="Q2157" s="94"/>
      <c r="R2157" s="94"/>
      <c r="S2157" s="94"/>
      <c r="V2157" s="30"/>
      <c r="W2157" s="30"/>
      <c r="X2157" s="1"/>
      <c r="Y2157" s="95"/>
      <c r="Z2157" s="1"/>
      <c r="AA2157" s="94"/>
      <c r="AB2157" s="1"/>
      <c r="AC2157" s="1"/>
      <c r="AD2157" s="1"/>
      <c r="AE2157" s="30"/>
      <c r="AF2157" s="633"/>
      <c r="AG2157" s="94"/>
      <c r="AH2157" s="94"/>
      <c r="AI2157" s="94"/>
      <c r="AJ2157" s="94"/>
      <c r="AK2157" s="94"/>
      <c r="AL2157" s="94"/>
    </row>
    <row r="2158" spans="3:38">
      <c r="C2158" s="30"/>
      <c r="F2158" s="95"/>
      <c r="G2158" s="1"/>
      <c r="H2158" s="94"/>
      <c r="I2158" s="90"/>
      <c r="J2158" s="90"/>
      <c r="K2158" s="1"/>
      <c r="L2158" s="74"/>
      <c r="M2158" s="633"/>
      <c r="N2158" s="274"/>
      <c r="O2158" s="94"/>
      <c r="P2158" s="94"/>
      <c r="Q2158" s="94"/>
      <c r="R2158" s="94"/>
      <c r="S2158" s="94"/>
      <c r="V2158" s="30"/>
      <c r="W2158" s="30"/>
      <c r="X2158" s="1"/>
      <c r="Y2158" s="95"/>
      <c r="Z2158" s="1"/>
      <c r="AA2158" s="94"/>
      <c r="AB2158" s="1"/>
      <c r="AC2158" s="1"/>
      <c r="AD2158" s="1"/>
      <c r="AE2158" s="30"/>
      <c r="AF2158" s="633"/>
      <c r="AG2158" s="94"/>
      <c r="AH2158" s="94"/>
      <c r="AI2158" s="94"/>
      <c r="AJ2158" s="94"/>
      <c r="AK2158" s="94"/>
      <c r="AL2158" s="94"/>
    </row>
    <row r="2159" spans="3:38">
      <c r="C2159" s="30"/>
      <c r="F2159" s="95"/>
      <c r="G2159" s="1"/>
      <c r="H2159" s="94"/>
      <c r="I2159" s="90"/>
      <c r="J2159" s="90"/>
      <c r="K2159" s="1"/>
      <c r="L2159" s="74"/>
      <c r="M2159" s="633"/>
      <c r="N2159" s="274"/>
      <c r="O2159" s="94"/>
      <c r="P2159" s="94"/>
      <c r="Q2159" s="94"/>
      <c r="R2159" s="94"/>
      <c r="S2159" s="94"/>
      <c r="V2159" s="30"/>
      <c r="W2159" s="30"/>
      <c r="X2159" s="1"/>
      <c r="Y2159" s="95"/>
      <c r="Z2159" s="1"/>
      <c r="AA2159" s="94"/>
      <c r="AB2159" s="1"/>
      <c r="AC2159" s="1"/>
      <c r="AD2159" s="1"/>
      <c r="AE2159" s="30"/>
      <c r="AF2159" s="633"/>
      <c r="AG2159" s="94"/>
      <c r="AH2159" s="94"/>
      <c r="AI2159" s="94"/>
      <c r="AJ2159" s="94"/>
      <c r="AK2159" s="94"/>
      <c r="AL2159" s="94"/>
    </row>
    <row r="2160" spans="3:38">
      <c r="C2160" s="30"/>
      <c r="F2160" s="95"/>
      <c r="G2160" s="1"/>
      <c r="H2160" s="94"/>
      <c r="I2160" s="90"/>
      <c r="J2160" s="90"/>
      <c r="K2160" s="1"/>
      <c r="L2160" s="74"/>
      <c r="M2160" s="633"/>
      <c r="N2160" s="274"/>
      <c r="O2160" s="94"/>
      <c r="P2160" s="94"/>
      <c r="Q2160" s="94"/>
      <c r="R2160" s="94"/>
      <c r="S2160" s="94"/>
      <c r="V2160" s="30"/>
      <c r="W2160" s="30"/>
      <c r="X2160" s="1"/>
      <c r="Y2160" s="95"/>
      <c r="Z2160" s="1"/>
      <c r="AA2160" s="94"/>
      <c r="AB2160" s="1"/>
      <c r="AC2160" s="1"/>
      <c r="AD2160" s="1"/>
      <c r="AE2160" s="30"/>
      <c r="AF2160" s="633"/>
      <c r="AG2160" s="94"/>
      <c r="AH2160" s="94"/>
      <c r="AI2160" s="94"/>
      <c r="AJ2160" s="94"/>
      <c r="AK2160" s="94"/>
      <c r="AL2160" s="94"/>
    </row>
    <row r="2161" spans="3:38">
      <c r="C2161" s="30"/>
      <c r="F2161" s="95"/>
      <c r="G2161" s="1"/>
      <c r="H2161" s="94"/>
      <c r="I2161" s="90"/>
      <c r="J2161" s="90"/>
      <c r="K2161" s="1"/>
      <c r="L2161" s="74"/>
      <c r="M2161" s="633"/>
      <c r="N2161" s="274"/>
      <c r="O2161" s="94"/>
      <c r="P2161" s="94"/>
      <c r="Q2161" s="94"/>
      <c r="R2161" s="94"/>
      <c r="S2161" s="94"/>
      <c r="V2161" s="30"/>
      <c r="W2161" s="30"/>
      <c r="X2161" s="1"/>
      <c r="Y2161" s="95"/>
      <c r="Z2161" s="1"/>
      <c r="AA2161" s="94"/>
      <c r="AB2161" s="1"/>
      <c r="AC2161" s="1"/>
      <c r="AD2161" s="1"/>
      <c r="AE2161" s="30"/>
      <c r="AF2161" s="633"/>
      <c r="AG2161" s="94"/>
      <c r="AH2161" s="94"/>
      <c r="AI2161" s="94"/>
      <c r="AJ2161" s="94"/>
      <c r="AK2161" s="94"/>
      <c r="AL2161" s="94"/>
    </row>
    <row r="2162" spans="3:38">
      <c r="C2162" s="30"/>
      <c r="F2162" s="95"/>
      <c r="G2162" s="1"/>
      <c r="H2162" s="94"/>
      <c r="I2162" s="90"/>
      <c r="J2162" s="90"/>
      <c r="K2162" s="1"/>
      <c r="L2162" s="74"/>
      <c r="M2162" s="633"/>
      <c r="N2162" s="274"/>
      <c r="O2162" s="94"/>
      <c r="P2162" s="94"/>
      <c r="Q2162" s="94"/>
      <c r="R2162" s="94"/>
      <c r="S2162" s="94"/>
      <c r="V2162" s="30"/>
      <c r="W2162" s="30"/>
      <c r="X2162" s="1"/>
      <c r="Y2162" s="95"/>
      <c r="Z2162" s="1"/>
      <c r="AA2162" s="94"/>
      <c r="AB2162" s="1"/>
      <c r="AC2162" s="1"/>
      <c r="AD2162" s="1"/>
      <c r="AE2162" s="30"/>
      <c r="AF2162" s="633"/>
      <c r="AG2162" s="94"/>
      <c r="AH2162" s="94"/>
      <c r="AI2162" s="94"/>
      <c r="AJ2162" s="94"/>
      <c r="AK2162" s="94"/>
      <c r="AL2162" s="94"/>
    </row>
    <row r="2163" spans="3:38">
      <c r="C2163" s="30"/>
      <c r="F2163" s="95"/>
      <c r="G2163" s="1"/>
      <c r="H2163" s="94"/>
      <c r="I2163" s="90"/>
      <c r="J2163" s="90"/>
      <c r="K2163" s="1"/>
      <c r="L2163" s="74"/>
      <c r="M2163" s="633"/>
      <c r="N2163" s="274"/>
      <c r="O2163" s="94"/>
      <c r="P2163" s="94"/>
      <c r="Q2163" s="94"/>
      <c r="R2163" s="94"/>
      <c r="S2163" s="94"/>
      <c r="V2163" s="30"/>
      <c r="W2163" s="30"/>
      <c r="X2163" s="1"/>
      <c r="Y2163" s="95"/>
      <c r="Z2163" s="1"/>
      <c r="AA2163" s="94"/>
      <c r="AB2163" s="1"/>
      <c r="AC2163" s="1"/>
      <c r="AD2163" s="1"/>
      <c r="AE2163" s="30"/>
      <c r="AF2163" s="633"/>
      <c r="AG2163" s="94"/>
      <c r="AH2163" s="94"/>
      <c r="AI2163" s="94"/>
      <c r="AJ2163" s="94"/>
      <c r="AK2163" s="94"/>
      <c r="AL2163" s="94"/>
    </row>
    <row r="2164" spans="3:38">
      <c r="C2164" s="30"/>
      <c r="F2164" s="95"/>
      <c r="G2164" s="1"/>
      <c r="H2164" s="94"/>
      <c r="I2164" s="90"/>
      <c r="J2164" s="90"/>
      <c r="K2164" s="1"/>
      <c r="L2164" s="74"/>
      <c r="M2164" s="633"/>
      <c r="N2164" s="274"/>
      <c r="O2164" s="94"/>
      <c r="P2164" s="94"/>
      <c r="Q2164" s="94"/>
      <c r="R2164" s="94"/>
      <c r="S2164" s="94"/>
      <c r="V2164" s="30"/>
      <c r="W2164" s="30"/>
      <c r="X2164" s="1"/>
      <c r="Y2164" s="95"/>
      <c r="Z2164" s="1"/>
      <c r="AA2164" s="94"/>
      <c r="AB2164" s="1"/>
      <c r="AC2164" s="1"/>
      <c r="AD2164" s="1"/>
      <c r="AE2164" s="30"/>
      <c r="AF2164" s="633"/>
      <c r="AG2164" s="94"/>
      <c r="AH2164" s="94"/>
      <c r="AI2164" s="94"/>
      <c r="AJ2164" s="94"/>
      <c r="AK2164" s="94"/>
      <c r="AL2164" s="94"/>
    </row>
    <row r="2165" spans="3:38">
      <c r="C2165" s="30"/>
      <c r="F2165" s="95"/>
      <c r="G2165" s="1"/>
      <c r="H2165" s="94"/>
      <c r="I2165" s="90"/>
      <c r="J2165" s="90"/>
      <c r="K2165" s="1"/>
      <c r="L2165" s="74"/>
      <c r="M2165" s="633"/>
      <c r="N2165" s="274"/>
      <c r="O2165" s="94"/>
      <c r="P2165" s="94"/>
      <c r="Q2165" s="94"/>
      <c r="R2165" s="94"/>
      <c r="S2165" s="94"/>
      <c r="V2165" s="30"/>
      <c r="W2165" s="30"/>
      <c r="X2165" s="1"/>
      <c r="Y2165" s="95"/>
      <c r="Z2165" s="1"/>
      <c r="AA2165" s="94"/>
      <c r="AB2165" s="1"/>
      <c r="AC2165" s="1"/>
      <c r="AD2165" s="1"/>
      <c r="AE2165" s="30"/>
      <c r="AF2165" s="633"/>
      <c r="AG2165" s="94"/>
      <c r="AH2165" s="94"/>
      <c r="AI2165" s="94"/>
      <c r="AJ2165" s="94"/>
      <c r="AK2165" s="94"/>
      <c r="AL2165" s="94"/>
    </row>
    <row r="2166" spans="3:38">
      <c r="C2166" s="30"/>
      <c r="F2166" s="95"/>
      <c r="G2166" s="1"/>
      <c r="H2166" s="94"/>
      <c r="I2166" s="90"/>
      <c r="J2166" s="90"/>
      <c r="K2166" s="1"/>
      <c r="L2166" s="74"/>
      <c r="M2166" s="633"/>
      <c r="N2166" s="274"/>
      <c r="O2166" s="94"/>
      <c r="P2166" s="94"/>
      <c r="Q2166" s="94"/>
      <c r="R2166" s="94"/>
      <c r="S2166" s="94"/>
      <c r="V2166" s="30"/>
      <c r="W2166" s="30"/>
      <c r="X2166" s="1"/>
      <c r="Y2166" s="95"/>
      <c r="Z2166" s="1"/>
      <c r="AA2166" s="94"/>
      <c r="AB2166" s="1"/>
      <c r="AC2166" s="1"/>
      <c r="AD2166" s="1"/>
      <c r="AE2166" s="30"/>
      <c r="AF2166" s="633"/>
      <c r="AG2166" s="94"/>
      <c r="AH2166" s="94"/>
      <c r="AI2166" s="94"/>
      <c r="AJ2166" s="94"/>
      <c r="AK2166" s="94"/>
      <c r="AL2166" s="94"/>
    </row>
    <row r="2167" spans="3:38">
      <c r="C2167" s="30"/>
      <c r="F2167" s="95"/>
      <c r="G2167" s="1"/>
      <c r="H2167" s="94"/>
      <c r="I2167" s="90"/>
      <c r="J2167" s="90"/>
      <c r="K2167" s="1"/>
      <c r="L2167" s="74"/>
      <c r="M2167" s="633"/>
      <c r="N2167" s="274"/>
      <c r="O2167" s="94"/>
      <c r="P2167" s="94"/>
      <c r="Q2167" s="94"/>
      <c r="R2167" s="94"/>
      <c r="S2167" s="94"/>
      <c r="V2167" s="30"/>
      <c r="W2167" s="30"/>
      <c r="X2167" s="1"/>
      <c r="Y2167" s="95"/>
      <c r="Z2167" s="1"/>
      <c r="AA2167" s="94"/>
      <c r="AB2167" s="1"/>
      <c r="AC2167" s="1"/>
      <c r="AD2167" s="1"/>
      <c r="AE2167" s="30"/>
      <c r="AF2167" s="633"/>
      <c r="AG2167" s="94"/>
      <c r="AH2167" s="94"/>
      <c r="AI2167" s="94"/>
      <c r="AJ2167" s="94"/>
      <c r="AK2167" s="94"/>
      <c r="AL2167" s="94"/>
    </row>
    <row r="2168" spans="3:38">
      <c r="C2168" s="30"/>
      <c r="F2168" s="95"/>
      <c r="G2168" s="1"/>
      <c r="H2168" s="94"/>
      <c r="I2168" s="90"/>
      <c r="J2168" s="90"/>
      <c r="K2168" s="1"/>
      <c r="L2168" s="74"/>
      <c r="M2168" s="633"/>
      <c r="N2168" s="274"/>
      <c r="O2168" s="94"/>
      <c r="P2168" s="94"/>
      <c r="Q2168" s="94"/>
      <c r="R2168" s="94"/>
      <c r="S2168" s="94"/>
      <c r="V2168" s="30"/>
      <c r="W2168" s="30"/>
      <c r="X2168" s="1"/>
      <c r="Y2168" s="95"/>
      <c r="Z2168" s="1"/>
      <c r="AA2168" s="94"/>
      <c r="AB2168" s="1"/>
      <c r="AC2168" s="1"/>
      <c r="AD2168" s="1"/>
      <c r="AE2168" s="30"/>
      <c r="AF2168" s="633"/>
      <c r="AG2168" s="94"/>
      <c r="AH2168" s="94"/>
      <c r="AI2168" s="94"/>
      <c r="AJ2168" s="94"/>
      <c r="AK2168" s="94"/>
      <c r="AL2168" s="94"/>
    </row>
    <row r="2169" spans="3:38">
      <c r="C2169" s="30"/>
      <c r="F2169" s="95"/>
      <c r="G2169" s="1"/>
      <c r="H2169" s="94"/>
      <c r="I2169" s="90"/>
      <c r="J2169" s="90"/>
      <c r="K2169" s="1"/>
      <c r="L2169" s="74"/>
      <c r="M2169" s="633"/>
      <c r="N2169" s="274"/>
      <c r="O2169" s="94"/>
      <c r="P2169" s="94"/>
      <c r="Q2169" s="94"/>
      <c r="R2169" s="94"/>
      <c r="S2169" s="94"/>
      <c r="V2169" s="30"/>
      <c r="W2169" s="30"/>
      <c r="X2169" s="1"/>
      <c r="Y2169" s="95"/>
      <c r="Z2169" s="1"/>
      <c r="AA2169" s="94"/>
      <c r="AB2169" s="1"/>
      <c r="AC2169" s="1"/>
      <c r="AD2169" s="1"/>
      <c r="AE2169" s="30"/>
      <c r="AF2169" s="633"/>
      <c r="AG2169" s="94"/>
      <c r="AH2169" s="94"/>
      <c r="AI2169" s="94"/>
      <c r="AJ2169" s="94"/>
      <c r="AK2169" s="94"/>
      <c r="AL2169" s="94"/>
    </row>
    <row r="2170" spans="3:38">
      <c r="C2170" s="30"/>
      <c r="F2170" s="95"/>
      <c r="G2170" s="1"/>
      <c r="H2170" s="94"/>
      <c r="I2170" s="90"/>
      <c r="J2170" s="90"/>
      <c r="K2170" s="1"/>
      <c r="L2170" s="74"/>
      <c r="M2170" s="633"/>
      <c r="N2170" s="274"/>
      <c r="O2170" s="94"/>
      <c r="P2170" s="94"/>
      <c r="Q2170" s="94"/>
      <c r="R2170" s="94"/>
      <c r="S2170" s="94"/>
      <c r="V2170" s="30"/>
      <c r="W2170" s="30"/>
      <c r="X2170" s="1"/>
      <c r="Y2170" s="95"/>
      <c r="Z2170" s="1"/>
      <c r="AA2170" s="94"/>
      <c r="AB2170" s="1"/>
      <c r="AC2170" s="1"/>
      <c r="AD2170" s="1"/>
      <c r="AE2170" s="30"/>
      <c r="AF2170" s="633"/>
      <c r="AG2170" s="94"/>
      <c r="AH2170" s="94"/>
      <c r="AI2170" s="94"/>
      <c r="AJ2170" s="94"/>
      <c r="AK2170" s="94"/>
      <c r="AL2170" s="94"/>
    </row>
    <row r="2171" spans="3:38">
      <c r="C2171" s="30"/>
      <c r="F2171" s="95"/>
      <c r="G2171" s="1"/>
      <c r="H2171" s="94"/>
      <c r="I2171" s="90"/>
      <c r="J2171" s="90"/>
      <c r="K2171" s="1"/>
      <c r="L2171" s="74"/>
      <c r="M2171" s="633"/>
      <c r="N2171" s="274"/>
      <c r="O2171" s="94"/>
      <c r="P2171" s="94"/>
      <c r="Q2171" s="94"/>
      <c r="R2171" s="94"/>
      <c r="S2171" s="94"/>
      <c r="V2171" s="30"/>
      <c r="W2171" s="30"/>
      <c r="X2171" s="1"/>
      <c r="Y2171" s="95"/>
      <c r="Z2171" s="1"/>
      <c r="AA2171" s="94"/>
      <c r="AB2171" s="1"/>
      <c r="AC2171" s="1"/>
      <c r="AD2171" s="1"/>
      <c r="AE2171" s="30"/>
      <c r="AF2171" s="633"/>
      <c r="AG2171" s="94"/>
      <c r="AH2171" s="94"/>
      <c r="AI2171" s="94"/>
      <c r="AJ2171" s="94"/>
      <c r="AK2171" s="94"/>
      <c r="AL2171" s="94"/>
    </row>
    <row r="2172" spans="3:38">
      <c r="C2172" s="30"/>
      <c r="F2172" s="95"/>
      <c r="G2172" s="1"/>
      <c r="H2172" s="94"/>
      <c r="I2172" s="90"/>
      <c r="J2172" s="90"/>
      <c r="K2172" s="1"/>
      <c r="L2172" s="74"/>
      <c r="M2172" s="633"/>
      <c r="N2172" s="274"/>
      <c r="O2172" s="94"/>
      <c r="P2172" s="94"/>
      <c r="Q2172" s="94"/>
      <c r="R2172" s="94"/>
      <c r="S2172" s="94"/>
      <c r="V2172" s="30"/>
      <c r="W2172" s="30"/>
      <c r="X2172" s="1"/>
      <c r="Y2172" s="95"/>
      <c r="Z2172" s="1"/>
      <c r="AA2172" s="94"/>
      <c r="AB2172" s="1"/>
      <c r="AC2172" s="1"/>
      <c r="AD2172" s="1"/>
      <c r="AE2172" s="30"/>
      <c r="AF2172" s="633"/>
      <c r="AG2172" s="94"/>
      <c r="AH2172" s="94"/>
      <c r="AI2172" s="94"/>
      <c r="AJ2172" s="94"/>
      <c r="AK2172" s="94"/>
      <c r="AL2172" s="94"/>
    </row>
    <row r="2173" spans="3:38">
      <c r="C2173" s="30"/>
      <c r="F2173" s="95"/>
      <c r="G2173" s="1"/>
      <c r="H2173" s="94"/>
      <c r="I2173" s="90"/>
      <c r="J2173" s="90"/>
      <c r="K2173" s="1"/>
      <c r="L2173" s="74"/>
      <c r="M2173" s="633"/>
      <c r="N2173" s="274"/>
      <c r="O2173" s="94"/>
      <c r="P2173" s="94"/>
      <c r="Q2173" s="94"/>
      <c r="R2173" s="94"/>
      <c r="S2173" s="94"/>
      <c r="V2173" s="30"/>
      <c r="W2173" s="30"/>
      <c r="X2173" s="1"/>
      <c r="Y2173" s="95"/>
      <c r="Z2173" s="1"/>
      <c r="AA2173" s="94"/>
      <c r="AB2173" s="1"/>
      <c r="AC2173" s="1"/>
      <c r="AD2173" s="1"/>
      <c r="AE2173" s="30"/>
      <c r="AF2173" s="633"/>
      <c r="AG2173" s="94"/>
      <c r="AH2173" s="94"/>
      <c r="AI2173" s="94"/>
      <c r="AJ2173" s="94"/>
      <c r="AK2173" s="94"/>
      <c r="AL2173" s="94"/>
    </row>
    <row r="2174" spans="3:38">
      <c r="C2174" s="30"/>
      <c r="F2174" s="95"/>
      <c r="G2174" s="1"/>
      <c r="H2174" s="94"/>
      <c r="I2174" s="90"/>
      <c r="J2174" s="90"/>
      <c r="K2174" s="1"/>
      <c r="L2174" s="74"/>
      <c r="M2174" s="633"/>
      <c r="N2174" s="274"/>
      <c r="O2174" s="94"/>
      <c r="P2174" s="94"/>
      <c r="Q2174" s="94"/>
      <c r="R2174" s="94"/>
      <c r="S2174" s="94"/>
      <c r="V2174" s="30"/>
      <c r="W2174" s="30"/>
      <c r="X2174" s="1"/>
      <c r="Y2174" s="95"/>
      <c r="Z2174" s="1"/>
      <c r="AA2174" s="94"/>
      <c r="AB2174" s="1"/>
      <c r="AC2174" s="1"/>
      <c r="AD2174" s="1"/>
      <c r="AE2174" s="30"/>
      <c r="AF2174" s="633"/>
      <c r="AG2174" s="94"/>
      <c r="AH2174" s="94"/>
      <c r="AI2174" s="94"/>
      <c r="AJ2174" s="94"/>
      <c r="AK2174" s="94"/>
      <c r="AL2174" s="94"/>
    </row>
    <row r="2175" spans="3:38">
      <c r="C2175" s="30"/>
      <c r="F2175" s="95"/>
      <c r="G2175" s="1"/>
      <c r="H2175" s="94"/>
      <c r="I2175" s="90"/>
      <c r="J2175" s="90"/>
      <c r="K2175" s="1"/>
      <c r="L2175" s="74"/>
      <c r="M2175" s="633"/>
      <c r="N2175" s="274"/>
      <c r="O2175" s="94"/>
      <c r="P2175" s="94"/>
      <c r="Q2175" s="94"/>
      <c r="R2175" s="94"/>
      <c r="S2175" s="94"/>
      <c r="V2175" s="30"/>
      <c r="W2175" s="30"/>
      <c r="X2175" s="1"/>
      <c r="Y2175" s="95"/>
      <c r="Z2175" s="1"/>
      <c r="AA2175" s="94"/>
      <c r="AB2175" s="1"/>
      <c r="AC2175" s="1"/>
      <c r="AD2175" s="1"/>
      <c r="AE2175" s="30"/>
      <c r="AF2175" s="633"/>
      <c r="AG2175" s="94"/>
      <c r="AH2175" s="94"/>
      <c r="AI2175" s="94"/>
      <c r="AJ2175" s="94"/>
      <c r="AK2175" s="94"/>
      <c r="AL2175" s="94"/>
    </row>
    <row r="2176" spans="3:38">
      <c r="C2176" s="30"/>
      <c r="F2176" s="95"/>
      <c r="G2176" s="1"/>
      <c r="H2176" s="94"/>
      <c r="I2176" s="90"/>
      <c r="J2176" s="90"/>
      <c r="K2176" s="1"/>
      <c r="L2176" s="74"/>
      <c r="M2176" s="633"/>
      <c r="N2176" s="274"/>
      <c r="O2176" s="94"/>
      <c r="P2176" s="94"/>
      <c r="Q2176" s="94"/>
      <c r="R2176" s="94"/>
      <c r="S2176" s="94"/>
      <c r="V2176" s="30"/>
      <c r="W2176" s="30"/>
      <c r="X2176" s="1"/>
      <c r="Y2176" s="95"/>
      <c r="Z2176" s="1"/>
      <c r="AA2176" s="94"/>
      <c r="AB2176" s="1"/>
      <c r="AC2176" s="1"/>
      <c r="AD2176" s="1"/>
      <c r="AE2176" s="30"/>
      <c r="AF2176" s="633"/>
      <c r="AG2176" s="94"/>
      <c r="AH2176" s="94"/>
      <c r="AI2176" s="94"/>
      <c r="AJ2176" s="94"/>
      <c r="AK2176" s="94"/>
      <c r="AL2176" s="94"/>
    </row>
    <row r="2177" spans="3:38">
      <c r="C2177" s="30"/>
      <c r="F2177" s="95"/>
      <c r="G2177" s="1"/>
      <c r="H2177" s="94"/>
      <c r="I2177" s="90"/>
      <c r="J2177" s="90"/>
      <c r="K2177" s="1"/>
      <c r="L2177" s="74"/>
      <c r="M2177" s="633"/>
      <c r="N2177" s="274"/>
      <c r="O2177" s="94"/>
      <c r="P2177" s="94"/>
      <c r="Q2177" s="94"/>
      <c r="R2177" s="94"/>
      <c r="S2177" s="94"/>
      <c r="V2177" s="30"/>
      <c r="W2177" s="30"/>
      <c r="X2177" s="1"/>
      <c r="Y2177" s="95"/>
      <c r="Z2177" s="1"/>
      <c r="AA2177" s="94"/>
      <c r="AB2177" s="1"/>
      <c r="AC2177" s="1"/>
      <c r="AD2177" s="1"/>
      <c r="AE2177" s="30"/>
      <c r="AF2177" s="633"/>
      <c r="AG2177" s="94"/>
      <c r="AH2177" s="94"/>
      <c r="AI2177" s="94"/>
      <c r="AJ2177" s="94"/>
      <c r="AK2177" s="94"/>
      <c r="AL2177" s="94"/>
    </row>
    <row r="2178" spans="3:38">
      <c r="C2178" s="30"/>
      <c r="F2178" s="95"/>
      <c r="G2178" s="1"/>
      <c r="H2178" s="94"/>
      <c r="I2178" s="90"/>
      <c r="J2178" s="90"/>
      <c r="K2178" s="1"/>
      <c r="L2178" s="74"/>
      <c r="M2178" s="633"/>
      <c r="N2178" s="274"/>
      <c r="O2178" s="94"/>
      <c r="P2178" s="94"/>
      <c r="Q2178" s="94"/>
      <c r="R2178" s="94"/>
      <c r="S2178" s="94"/>
      <c r="V2178" s="30"/>
      <c r="W2178" s="30"/>
      <c r="X2178" s="1"/>
      <c r="Y2178" s="95"/>
      <c r="Z2178" s="1"/>
      <c r="AA2178" s="94"/>
      <c r="AB2178" s="1"/>
      <c r="AC2178" s="1"/>
      <c r="AD2178" s="1"/>
      <c r="AE2178" s="30"/>
      <c r="AF2178" s="633"/>
      <c r="AG2178" s="94"/>
      <c r="AH2178" s="94"/>
      <c r="AI2178" s="94"/>
      <c r="AJ2178" s="94"/>
      <c r="AK2178" s="94"/>
      <c r="AL2178" s="94"/>
    </row>
    <row r="2179" spans="3:38">
      <c r="C2179" s="30"/>
      <c r="F2179" s="95"/>
      <c r="G2179" s="1"/>
      <c r="H2179" s="94"/>
      <c r="I2179" s="90"/>
      <c r="J2179" s="90"/>
      <c r="K2179" s="1"/>
      <c r="L2179" s="74"/>
      <c r="M2179" s="633"/>
      <c r="N2179" s="274"/>
      <c r="O2179" s="94"/>
      <c r="P2179" s="94"/>
      <c r="Q2179" s="94"/>
      <c r="R2179" s="94"/>
      <c r="S2179" s="94"/>
      <c r="V2179" s="30"/>
      <c r="W2179" s="30"/>
      <c r="X2179" s="1"/>
      <c r="Y2179" s="95"/>
      <c r="Z2179" s="1"/>
      <c r="AA2179" s="94"/>
      <c r="AB2179" s="1"/>
      <c r="AC2179" s="1"/>
      <c r="AD2179" s="1"/>
      <c r="AE2179" s="30"/>
      <c r="AF2179" s="633"/>
      <c r="AG2179" s="94"/>
      <c r="AH2179" s="94"/>
      <c r="AI2179" s="94"/>
      <c r="AJ2179" s="94"/>
      <c r="AK2179" s="94"/>
      <c r="AL2179" s="94"/>
    </row>
    <row r="2180" spans="3:38">
      <c r="C2180" s="30"/>
      <c r="F2180" s="95"/>
      <c r="G2180" s="1"/>
      <c r="H2180" s="94"/>
      <c r="I2180" s="90"/>
      <c r="J2180" s="90"/>
      <c r="K2180" s="1"/>
      <c r="L2180" s="74"/>
      <c r="M2180" s="633"/>
      <c r="N2180" s="274"/>
      <c r="O2180" s="94"/>
      <c r="P2180" s="94"/>
      <c r="Q2180" s="94"/>
      <c r="R2180" s="94"/>
      <c r="S2180" s="94"/>
      <c r="V2180" s="30"/>
      <c r="W2180" s="30"/>
      <c r="X2180" s="1"/>
      <c r="Y2180" s="95"/>
      <c r="Z2180" s="1"/>
      <c r="AA2180" s="94"/>
      <c r="AB2180" s="1"/>
      <c r="AC2180" s="1"/>
      <c r="AD2180" s="1"/>
      <c r="AE2180" s="30"/>
      <c r="AF2180" s="633"/>
      <c r="AG2180" s="94"/>
      <c r="AH2180" s="94"/>
      <c r="AI2180" s="94"/>
      <c r="AJ2180" s="94"/>
      <c r="AK2180" s="94"/>
      <c r="AL2180" s="94"/>
    </row>
    <row r="2181" spans="3:38">
      <c r="C2181" s="30"/>
      <c r="F2181" s="95"/>
      <c r="G2181" s="1"/>
      <c r="H2181" s="94"/>
      <c r="I2181" s="90"/>
      <c r="J2181" s="90"/>
      <c r="K2181" s="1"/>
      <c r="L2181" s="74"/>
      <c r="M2181" s="633"/>
      <c r="N2181" s="274"/>
      <c r="O2181" s="94"/>
      <c r="P2181" s="94"/>
      <c r="Q2181" s="94"/>
      <c r="R2181" s="94"/>
      <c r="S2181" s="94"/>
      <c r="V2181" s="30"/>
      <c r="W2181" s="30"/>
      <c r="X2181" s="1"/>
      <c r="Y2181" s="95"/>
      <c r="Z2181" s="1"/>
      <c r="AA2181" s="94"/>
      <c r="AB2181" s="1"/>
      <c r="AC2181" s="1"/>
      <c r="AD2181" s="1"/>
      <c r="AE2181" s="30"/>
      <c r="AF2181" s="633"/>
      <c r="AG2181" s="94"/>
      <c r="AH2181" s="94"/>
      <c r="AI2181" s="94"/>
      <c r="AJ2181" s="94"/>
      <c r="AK2181" s="94"/>
      <c r="AL2181" s="94"/>
    </row>
    <row r="2182" spans="3:38">
      <c r="C2182" s="30"/>
      <c r="F2182" s="95"/>
      <c r="G2182" s="1"/>
      <c r="H2182" s="94"/>
      <c r="I2182" s="90"/>
      <c r="J2182" s="90"/>
      <c r="K2182" s="1"/>
      <c r="L2182" s="74"/>
      <c r="M2182" s="633"/>
      <c r="N2182" s="274"/>
      <c r="O2182" s="94"/>
      <c r="P2182" s="94"/>
      <c r="Q2182" s="94"/>
      <c r="R2182" s="94"/>
      <c r="S2182" s="94"/>
      <c r="V2182" s="30"/>
      <c r="W2182" s="30"/>
      <c r="X2182" s="1"/>
      <c r="Y2182" s="95"/>
      <c r="Z2182" s="1"/>
      <c r="AA2182" s="94"/>
      <c r="AB2182" s="1"/>
      <c r="AC2182" s="1"/>
      <c r="AD2182" s="1"/>
      <c r="AE2182" s="30"/>
      <c r="AF2182" s="633"/>
      <c r="AG2182" s="94"/>
      <c r="AH2182" s="94"/>
      <c r="AI2182" s="94"/>
      <c r="AJ2182" s="94"/>
      <c r="AK2182" s="94"/>
      <c r="AL2182" s="94"/>
    </row>
    <row r="2183" spans="3:38">
      <c r="C2183" s="30"/>
      <c r="F2183" s="95"/>
      <c r="G2183" s="1"/>
      <c r="H2183" s="94"/>
      <c r="I2183" s="90"/>
      <c r="J2183" s="90"/>
      <c r="K2183" s="1"/>
      <c r="L2183" s="74"/>
      <c r="M2183" s="633"/>
      <c r="N2183" s="274"/>
      <c r="O2183" s="94"/>
      <c r="P2183" s="94"/>
      <c r="Q2183" s="94"/>
      <c r="R2183" s="94"/>
      <c r="S2183" s="94"/>
      <c r="V2183" s="30"/>
      <c r="W2183" s="30"/>
      <c r="X2183" s="1"/>
      <c r="Y2183" s="95"/>
      <c r="Z2183" s="1"/>
      <c r="AA2183" s="94"/>
      <c r="AB2183" s="1"/>
      <c r="AC2183" s="1"/>
      <c r="AD2183" s="1"/>
      <c r="AE2183" s="30"/>
      <c r="AF2183" s="633"/>
      <c r="AG2183" s="94"/>
      <c r="AH2183" s="94"/>
      <c r="AI2183" s="94"/>
      <c r="AJ2183" s="94"/>
      <c r="AK2183" s="94"/>
      <c r="AL2183" s="94"/>
    </row>
    <row r="2184" spans="3:38">
      <c r="C2184" s="30"/>
      <c r="F2184" s="95"/>
      <c r="G2184" s="1"/>
      <c r="H2184" s="94"/>
      <c r="I2184" s="90"/>
      <c r="J2184" s="90"/>
      <c r="K2184" s="1"/>
      <c r="L2184" s="74"/>
      <c r="M2184" s="633"/>
      <c r="N2184" s="274"/>
      <c r="O2184" s="94"/>
      <c r="P2184" s="94"/>
      <c r="Q2184" s="94"/>
      <c r="R2184" s="94"/>
      <c r="S2184" s="94"/>
      <c r="V2184" s="30"/>
      <c r="W2184" s="30"/>
      <c r="X2184" s="1"/>
      <c r="Y2184" s="95"/>
      <c r="Z2184" s="1"/>
      <c r="AA2184" s="94"/>
      <c r="AB2184" s="1"/>
      <c r="AC2184" s="1"/>
      <c r="AD2184" s="1"/>
      <c r="AE2184" s="30"/>
      <c r="AF2184" s="633"/>
      <c r="AG2184" s="94"/>
      <c r="AH2184" s="94"/>
      <c r="AI2184" s="94"/>
      <c r="AJ2184" s="94"/>
      <c r="AK2184" s="94"/>
      <c r="AL2184" s="94"/>
    </row>
    <row r="2185" spans="3:38">
      <c r="C2185" s="30"/>
      <c r="F2185" s="95"/>
      <c r="G2185" s="1"/>
      <c r="H2185" s="94"/>
      <c r="I2185" s="90"/>
      <c r="J2185" s="90"/>
      <c r="K2185" s="1"/>
      <c r="L2185" s="74"/>
      <c r="M2185" s="633"/>
      <c r="N2185" s="274"/>
      <c r="O2185" s="94"/>
      <c r="P2185" s="94"/>
      <c r="Q2185" s="94"/>
      <c r="R2185" s="94"/>
      <c r="S2185" s="94"/>
      <c r="V2185" s="30"/>
      <c r="W2185" s="30"/>
      <c r="X2185" s="1"/>
      <c r="Y2185" s="95"/>
      <c r="Z2185" s="1"/>
      <c r="AA2185" s="94"/>
      <c r="AB2185" s="1"/>
      <c r="AC2185" s="1"/>
      <c r="AD2185" s="1"/>
      <c r="AE2185" s="30"/>
      <c r="AF2185" s="633"/>
      <c r="AG2185" s="94"/>
      <c r="AH2185" s="94"/>
      <c r="AI2185" s="94"/>
      <c r="AJ2185" s="94"/>
      <c r="AK2185" s="94"/>
      <c r="AL2185" s="94"/>
    </row>
    <row r="2186" spans="3:38">
      <c r="C2186" s="30"/>
      <c r="F2186" s="95"/>
      <c r="G2186" s="1"/>
      <c r="H2186" s="94"/>
      <c r="I2186" s="90"/>
      <c r="J2186" s="90"/>
      <c r="K2186" s="1"/>
      <c r="L2186" s="74"/>
      <c r="M2186" s="633"/>
      <c r="N2186" s="274"/>
      <c r="O2186" s="94"/>
      <c r="P2186" s="94"/>
      <c r="Q2186" s="94"/>
      <c r="R2186" s="94"/>
      <c r="S2186" s="94"/>
      <c r="V2186" s="30"/>
      <c r="W2186" s="30"/>
      <c r="X2186" s="1"/>
      <c r="Y2186" s="95"/>
      <c r="Z2186" s="1"/>
      <c r="AA2186" s="94"/>
      <c r="AB2186" s="1"/>
      <c r="AC2186" s="1"/>
      <c r="AD2186" s="1"/>
      <c r="AE2186" s="30"/>
      <c r="AF2186" s="633"/>
      <c r="AG2186" s="94"/>
      <c r="AH2186" s="94"/>
      <c r="AI2186" s="94"/>
      <c r="AJ2186" s="94"/>
      <c r="AK2186" s="94"/>
      <c r="AL2186" s="94"/>
    </row>
    <row r="2187" spans="3:38">
      <c r="C2187" s="30"/>
      <c r="F2187" s="95"/>
      <c r="G2187" s="1"/>
      <c r="H2187" s="94"/>
      <c r="I2187" s="90"/>
      <c r="J2187" s="90"/>
      <c r="K2187" s="1"/>
      <c r="L2187" s="74"/>
      <c r="M2187" s="633"/>
      <c r="N2187" s="274"/>
      <c r="O2187" s="94"/>
      <c r="P2187" s="94"/>
      <c r="Q2187" s="94"/>
      <c r="R2187" s="94"/>
      <c r="S2187" s="94"/>
      <c r="V2187" s="30"/>
      <c r="W2187" s="30"/>
      <c r="X2187" s="1"/>
      <c r="Y2187" s="95"/>
      <c r="Z2187" s="1"/>
      <c r="AA2187" s="94"/>
      <c r="AB2187" s="1"/>
      <c r="AC2187" s="1"/>
      <c r="AD2187" s="1"/>
      <c r="AE2187" s="30"/>
      <c r="AF2187" s="633"/>
      <c r="AG2187" s="94"/>
      <c r="AH2187" s="94"/>
      <c r="AI2187" s="94"/>
      <c r="AJ2187" s="94"/>
      <c r="AK2187" s="94"/>
      <c r="AL2187" s="94"/>
    </row>
    <row r="2188" spans="3:38">
      <c r="C2188" s="30"/>
      <c r="F2188" s="95"/>
      <c r="G2188" s="1"/>
      <c r="H2188" s="94"/>
      <c r="I2188" s="90"/>
      <c r="J2188" s="90"/>
      <c r="K2188" s="1"/>
      <c r="L2188" s="74"/>
      <c r="M2188" s="633"/>
      <c r="N2188" s="274"/>
      <c r="O2188" s="94"/>
      <c r="P2188" s="94"/>
      <c r="Q2188" s="94"/>
      <c r="R2188" s="94"/>
      <c r="S2188" s="94"/>
      <c r="V2188" s="30"/>
      <c r="W2188" s="30"/>
      <c r="X2188" s="1"/>
      <c r="Y2188" s="95"/>
      <c r="Z2188" s="1"/>
      <c r="AA2188" s="94"/>
      <c r="AB2188" s="1"/>
      <c r="AC2188" s="1"/>
      <c r="AD2188" s="1"/>
      <c r="AE2188" s="30"/>
      <c r="AF2188" s="633"/>
      <c r="AG2188" s="94"/>
      <c r="AH2188" s="94"/>
      <c r="AI2188" s="94"/>
      <c r="AJ2188" s="94"/>
      <c r="AK2188" s="94"/>
      <c r="AL2188" s="94"/>
    </row>
    <row r="2189" spans="3:38">
      <c r="C2189" s="30"/>
      <c r="F2189" s="95"/>
      <c r="G2189" s="1"/>
      <c r="H2189" s="94"/>
      <c r="I2189" s="90"/>
      <c r="J2189" s="90"/>
      <c r="K2189" s="1"/>
      <c r="L2189" s="74"/>
      <c r="M2189" s="633"/>
      <c r="N2189" s="274"/>
      <c r="O2189" s="94"/>
      <c r="P2189" s="94"/>
      <c r="Q2189" s="94"/>
      <c r="R2189" s="94"/>
      <c r="S2189" s="94"/>
      <c r="V2189" s="30"/>
      <c r="W2189" s="30"/>
      <c r="X2189" s="1"/>
      <c r="Y2189" s="95"/>
      <c r="Z2189" s="1"/>
      <c r="AA2189" s="94"/>
      <c r="AB2189" s="1"/>
      <c r="AC2189" s="1"/>
      <c r="AD2189" s="1"/>
      <c r="AE2189" s="30"/>
      <c r="AF2189" s="633"/>
      <c r="AG2189" s="94"/>
      <c r="AH2189" s="94"/>
      <c r="AI2189" s="94"/>
      <c r="AJ2189" s="94"/>
      <c r="AK2189" s="94"/>
      <c r="AL2189" s="94"/>
    </row>
    <row r="2190" spans="3:38">
      <c r="C2190" s="30"/>
      <c r="F2190" s="95"/>
      <c r="G2190" s="1"/>
      <c r="H2190" s="94"/>
      <c r="I2190" s="90"/>
      <c r="J2190" s="90"/>
      <c r="K2190" s="1"/>
      <c r="L2190" s="74"/>
      <c r="M2190" s="633"/>
      <c r="N2190" s="274"/>
      <c r="O2190" s="94"/>
      <c r="P2190" s="94"/>
      <c r="Q2190" s="94"/>
      <c r="R2190" s="94"/>
      <c r="S2190" s="94"/>
      <c r="V2190" s="30"/>
      <c r="W2190" s="30"/>
      <c r="X2190" s="1"/>
      <c r="Y2190" s="95"/>
      <c r="Z2190" s="1"/>
      <c r="AA2190" s="94"/>
      <c r="AB2190" s="1"/>
      <c r="AC2190" s="1"/>
      <c r="AD2190" s="1"/>
      <c r="AE2190" s="30"/>
      <c r="AF2190" s="633"/>
      <c r="AG2190" s="94"/>
      <c r="AH2190" s="94"/>
      <c r="AI2190" s="94"/>
      <c r="AJ2190" s="94"/>
      <c r="AK2190" s="94"/>
      <c r="AL2190" s="94"/>
    </row>
    <row r="2191" spans="3:38">
      <c r="C2191" s="30"/>
      <c r="F2191" s="95"/>
      <c r="G2191" s="1"/>
      <c r="H2191" s="94"/>
      <c r="I2191" s="90"/>
      <c r="J2191" s="90"/>
      <c r="K2191" s="1"/>
      <c r="L2191" s="74"/>
      <c r="M2191" s="633"/>
      <c r="N2191" s="274"/>
      <c r="O2191" s="94"/>
      <c r="P2191" s="94"/>
      <c r="Q2191" s="94"/>
      <c r="R2191" s="94"/>
      <c r="S2191" s="94"/>
      <c r="V2191" s="30"/>
      <c r="W2191" s="30"/>
      <c r="X2191" s="1"/>
      <c r="Y2191" s="95"/>
      <c r="Z2191" s="1"/>
      <c r="AA2191" s="94"/>
      <c r="AB2191" s="1"/>
      <c r="AC2191" s="1"/>
      <c r="AD2191" s="1"/>
      <c r="AE2191" s="30"/>
      <c r="AF2191" s="633"/>
      <c r="AG2191" s="94"/>
      <c r="AH2191" s="94"/>
      <c r="AI2191" s="94"/>
      <c r="AJ2191" s="94"/>
      <c r="AK2191" s="94"/>
      <c r="AL2191" s="94"/>
    </row>
    <row r="2192" spans="3:38">
      <c r="C2192" s="30"/>
      <c r="F2192" s="95"/>
      <c r="G2192" s="1"/>
      <c r="H2192" s="94"/>
      <c r="I2192" s="90"/>
      <c r="J2192" s="90"/>
      <c r="K2192" s="1"/>
      <c r="L2192" s="74"/>
      <c r="M2192" s="633"/>
      <c r="N2192" s="274"/>
      <c r="O2192" s="94"/>
      <c r="P2192" s="94"/>
      <c r="Q2192" s="94"/>
      <c r="R2192" s="94"/>
      <c r="S2192" s="94"/>
      <c r="V2192" s="30"/>
      <c r="W2192" s="30"/>
      <c r="X2192" s="1"/>
      <c r="Y2192" s="95"/>
      <c r="Z2192" s="1"/>
      <c r="AA2192" s="94"/>
      <c r="AB2192" s="1"/>
      <c r="AC2192" s="1"/>
      <c r="AD2192" s="1"/>
      <c r="AE2192" s="30"/>
      <c r="AF2192" s="633"/>
      <c r="AG2192" s="94"/>
      <c r="AH2192" s="94"/>
      <c r="AI2192" s="94"/>
      <c r="AJ2192" s="94"/>
      <c r="AK2192" s="94"/>
      <c r="AL2192" s="94"/>
    </row>
    <row r="2193" spans="3:38">
      <c r="C2193" s="30"/>
      <c r="F2193" s="95"/>
      <c r="G2193" s="1"/>
      <c r="H2193" s="94"/>
      <c r="I2193" s="90"/>
      <c r="J2193" s="90"/>
      <c r="K2193" s="1"/>
      <c r="L2193" s="74"/>
      <c r="M2193" s="633"/>
      <c r="N2193" s="274"/>
      <c r="O2193" s="94"/>
      <c r="P2193" s="94"/>
      <c r="Q2193" s="94"/>
      <c r="R2193" s="94"/>
      <c r="S2193" s="94"/>
      <c r="V2193" s="30"/>
      <c r="W2193" s="30"/>
      <c r="X2193" s="1"/>
      <c r="Y2193" s="95"/>
      <c r="Z2193" s="1"/>
      <c r="AA2193" s="94"/>
      <c r="AB2193" s="1"/>
      <c r="AC2193" s="1"/>
      <c r="AD2193" s="1"/>
      <c r="AE2193" s="30"/>
      <c r="AF2193" s="633"/>
      <c r="AG2193" s="94"/>
      <c r="AH2193" s="94"/>
      <c r="AI2193" s="94"/>
      <c r="AJ2193" s="94"/>
      <c r="AK2193" s="94"/>
      <c r="AL2193" s="94"/>
    </row>
    <row r="2194" spans="3:38">
      <c r="C2194" s="30"/>
      <c r="F2194" s="95"/>
      <c r="G2194" s="1"/>
      <c r="H2194" s="94"/>
      <c r="I2194" s="90"/>
      <c r="J2194" s="90"/>
      <c r="K2194" s="1"/>
      <c r="L2194" s="74"/>
      <c r="M2194" s="633"/>
      <c r="N2194" s="274"/>
      <c r="O2194" s="94"/>
      <c r="P2194" s="94"/>
      <c r="Q2194" s="94"/>
      <c r="R2194" s="94"/>
      <c r="S2194" s="94"/>
      <c r="V2194" s="30"/>
      <c r="W2194" s="30"/>
      <c r="X2194" s="1"/>
      <c r="Y2194" s="95"/>
      <c r="Z2194" s="1"/>
      <c r="AA2194" s="94"/>
      <c r="AB2194" s="1"/>
      <c r="AC2194" s="1"/>
      <c r="AD2194" s="1"/>
      <c r="AE2194" s="30"/>
      <c r="AF2194" s="633"/>
      <c r="AG2194" s="94"/>
      <c r="AH2194" s="94"/>
      <c r="AI2194" s="94"/>
      <c r="AJ2194" s="94"/>
      <c r="AK2194" s="94"/>
      <c r="AL2194" s="94"/>
    </row>
    <row r="2195" spans="3:38">
      <c r="C2195" s="30"/>
      <c r="F2195" s="95"/>
      <c r="G2195" s="1"/>
      <c r="H2195" s="94"/>
      <c r="I2195" s="90"/>
      <c r="J2195" s="90"/>
      <c r="K2195" s="1"/>
      <c r="L2195" s="74"/>
      <c r="M2195" s="633"/>
      <c r="N2195" s="274"/>
      <c r="O2195" s="94"/>
      <c r="P2195" s="94"/>
      <c r="Q2195" s="94"/>
      <c r="R2195" s="94"/>
      <c r="S2195" s="94"/>
      <c r="V2195" s="30"/>
      <c r="W2195" s="30"/>
      <c r="X2195" s="1"/>
      <c r="Y2195" s="95"/>
      <c r="Z2195" s="1"/>
      <c r="AA2195" s="94"/>
      <c r="AB2195" s="1"/>
      <c r="AC2195" s="1"/>
      <c r="AD2195" s="1"/>
      <c r="AE2195" s="30"/>
      <c r="AF2195" s="633"/>
      <c r="AG2195" s="94"/>
      <c r="AH2195" s="94"/>
      <c r="AI2195" s="94"/>
      <c r="AJ2195" s="94"/>
      <c r="AK2195" s="94"/>
      <c r="AL2195" s="94"/>
    </row>
    <row r="2196" spans="3:38">
      <c r="C2196" s="30"/>
      <c r="F2196" s="95"/>
      <c r="G2196" s="1"/>
      <c r="H2196" s="94"/>
      <c r="I2196" s="90"/>
      <c r="J2196" s="90"/>
      <c r="K2196" s="1"/>
      <c r="L2196" s="74"/>
      <c r="M2196" s="633"/>
      <c r="N2196" s="274"/>
      <c r="O2196" s="94"/>
      <c r="P2196" s="94"/>
      <c r="Q2196" s="94"/>
      <c r="R2196" s="94"/>
      <c r="S2196" s="94"/>
      <c r="V2196" s="30"/>
      <c r="W2196" s="30"/>
      <c r="X2196" s="1"/>
      <c r="Y2196" s="95"/>
      <c r="Z2196" s="1"/>
      <c r="AA2196" s="94"/>
      <c r="AB2196" s="1"/>
      <c r="AC2196" s="1"/>
      <c r="AD2196" s="1"/>
      <c r="AE2196" s="30"/>
      <c r="AF2196" s="633"/>
      <c r="AG2196" s="94"/>
      <c r="AH2196" s="94"/>
      <c r="AI2196" s="94"/>
      <c r="AJ2196" s="94"/>
      <c r="AK2196" s="94"/>
      <c r="AL2196" s="94"/>
    </row>
    <row r="2197" spans="3:38">
      <c r="C2197" s="30"/>
      <c r="F2197" s="95"/>
      <c r="G2197" s="1"/>
      <c r="H2197" s="94"/>
      <c r="I2197" s="90"/>
      <c r="J2197" s="90"/>
      <c r="K2197" s="1"/>
      <c r="L2197" s="74"/>
      <c r="M2197" s="633"/>
      <c r="N2197" s="274"/>
      <c r="O2197" s="94"/>
      <c r="P2197" s="94"/>
      <c r="Q2197" s="94"/>
      <c r="R2197" s="94"/>
      <c r="S2197" s="94"/>
      <c r="V2197" s="30"/>
      <c r="W2197" s="30"/>
      <c r="X2197" s="1"/>
      <c r="Y2197" s="95"/>
      <c r="Z2197" s="1"/>
      <c r="AA2197" s="94"/>
      <c r="AB2197" s="1"/>
      <c r="AC2197" s="1"/>
      <c r="AD2197" s="1"/>
      <c r="AE2197" s="30"/>
      <c r="AF2197" s="633"/>
      <c r="AG2197" s="94"/>
      <c r="AH2197" s="94"/>
      <c r="AI2197" s="94"/>
      <c r="AJ2197" s="94"/>
      <c r="AK2197" s="94"/>
      <c r="AL2197" s="94"/>
    </row>
    <row r="2198" spans="3:38">
      <c r="C2198" s="30"/>
      <c r="F2198" s="95"/>
      <c r="G2198" s="1"/>
      <c r="H2198" s="94"/>
      <c r="I2198" s="90"/>
      <c r="J2198" s="90"/>
      <c r="K2198" s="1"/>
      <c r="L2198" s="74"/>
      <c r="M2198" s="633"/>
      <c r="N2198" s="274"/>
      <c r="O2198" s="94"/>
      <c r="P2198" s="94"/>
      <c r="Q2198" s="94"/>
      <c r="R2198" s="94"/>
      <c r="S2198" s="94"/>
      <c r="V2198" s="30"/>
      <c r="W2198" s="30"/>
      <c r="X2198" s="1"/>
      <c r="Y2198" s="95"/>
      <c r="Z2198" s="1"/>
      <c r="AA2198" s="94"/>
      <c r="AB2198" s="1"/>
      <c r="AC2198" s="1"/>
      <c r="AD2198" s="1"/>
      <c r="AE2198" s="30"/>
      <c r="AF2198" s="633"/>
      <c r="AG2198" s="94"/>
      <c r="AH2198" s="94"/>
      <c r="AI2198" s="94"/>
      <c r="AJ2198" s="94"/>
      <c r="AK2198" s="94"/>
      <c r="AL2198" s="94"/>
    </row>
    <row r="2199" spans="3:38">
      <c r="C2199" s="30"/>
      <c r="F2199" s="95"/>
      <c r="G2199" s="1"/>
      <c r="H2199" s="94"/>
      <c r="I2199" s="90"/>
      <c r="J2199" s="90"/>
      <c r="K2199" s="1"/>
      <c r="L2199" s="74"/>
      <c r="M2199" s="633"/>
      <c r="N2199" s="274"/>
      <c r="O2199" s="94"/>
      <c r="P2199" s="94"/>
      <c r="Q2199" s="94"/>
      <c r="R2199" s="94"/>
      <c r="S2199" s="94"/>
      <c r="V2199" s="30"/>
      <c r="W2199" s="30"/>
      <c r="X2199" s="1"/>
      <c r="Y2199" s="95"/>
      <c r="Z2199" s="1"/>
      <c r="AA2199" s="94"/>
      <c r="AB2199" s="1"/>
      <c r="AC2199" s="1"/>
      <c r="AD2199" s="1"/>
      <c r="AE2199" s="30"/>
      <c r="AF2199" s="633"/>
      <c r="AG2199" s="94"/>
      <c r="AH2199" s="94"/>
      <c r="AI2199" s="94"/>
      <c r="AJ2199" s="94"/>
      <c r="AK2199" s="94"/>
      <c r="AL2199" s="94"/>
    </row>
    <row r="2200" spans="3:38">
      <c r="C2200" s="30"/>
      <c r="F2200" s="95"/>
      <c r="G2200" s="1"/>
      <c r="H2200" s="94"/>
      <c r="I2200" s="90"/>
      <c r="J2200" s="90"/>
      <c r="K2200" s="1"/>
      <c r="L2200" s="74"/>
      <c r="M2200" s="633"/>
      <c r="N2200" s="274"/>
      <c r="O2200" s="94"/>
      <c r="P2200" s="94"/>
      <c r="Q2200" s="94"/>
      <c r="R2200" s="94"/>
      <c r="S2200" s="94"/>
      <c r="V2200" s="30"/>
      <c r="W2200" s="30"/>
      <c r="X2200" s="1"/>
      <c r="Y2200" s="95"/>
      <c r="Z2200" s="1"/>
      <c r="AA2200" s="94"/>
      <c r="AB2200" s="1"/>
      <c r="AC2200" s="1"/>
      <c r="AD2200" s="1"/>
      <c r="AE2200" s="30"/>
      <c r="AF2200" s="633"/>
      <c r="AG2200" s="94"/>
      <c r="AH2200" s="94"/>
      <c r="AI2200" s="94"/>
      <c r="AJ2200" s="94"/>
      <c r="AK2200" s="94"/>
      <c r="AL2200" s="94"/>
    </row>
    <row r="2201" spans="3:38">
      <c r="C2201" s="30"/>
      <c r="F2201" s="95"/>
      <c r="G2201" s="1"/>
      <c r="H2201" s="94"/>
      <c r="I2201" s="90"/>
      <c r="J2201" s="90"/>
      <c r="K2201" s="1"/>
      <c r="L2201" s="74"/>
      <c r="M2201" s="633"/>
      <c r="N2201" s="274"/>
      <c r="O2201" s="94"/>
      <c r="P2201" s="94"/>
      <c r="Q2201" s="94"/>
      <c r="R2201" s="94"/>
      <c r="S2201" s="94"/>
      <c r="V2201" s="30"/>
      <c r="W2201" s="30"/>
      <c r="X2201" s="1"/>
      <c r="Y2201" s="95"/>
      <c r="Z2201" s="1"/>
      <c r="AA2201" s="94"/>
      <c r="AB2201" s="1"/>
      <c r="AC2201" s="1"/>
      <c r="AD2201" s="1"/>
      <c r="AE2201" s="30"/>
      <c r="AF2201" s="633"/>
      <c r="AG2201" s="94"/>
      <c r="AH2201" s="94"/>
      <c r="AI2201" s="94"/>
      <c r="AJ2201" s="94"/>
      <c r="AK2201" s="94"/>
      <c r="AL2201" s="94"/>
    </row>
    <row r="2202" spans="3:38">
      <c r="C2202" s="30"/>
      <c r="F2202" s="95"/>
      <c r="G2202" s="1"/>
      <c r="H2202" s="94"/>
      <c r="I2202" s="90"/>
      <c r="J2202" s="90"/>
      <c r="K2202" s="1"/>
      <c r="L2202" s="74"/>
      <c r="M2202" s="633"/>
      <c r="N2202" s="274"/>
      <c r="O2202" s="94"/>
      <c r="P2202" s="94"/>
      <c r="Q2202" s="94"/>
      <c r="R2202" s="94"/>
      <c r="S2202" s="94"/>
      <c r="V2202" s="30"/>
      <c r="W2202" s="30"/>
      <c r="X2202" s="1"/>
      <c r="Y2202" s="95"/>
      <c r="Z2202" s="1"/>
      <c r="AA2202" s="94"/>
      <c r="AB2202" s="1"/>
      <c r="AC2202" s="1"/>
      <c r="AD2202" s="1"/>
      <c r="AE2202" s="30"/>
      <c r="AF2202" s="633"/>
      <c r="AG2202" s="94"/>
      <c r="AH2202" s="94"/>
      <c r="AI2202" s="94"/>
      <c r="AJ2202" s="94"/>
      <c r="AK2202" s="94"/>
      <c r="AL2202" s="94"/>
    </row>
    <row r="2203" spans="3:38">
      <c r="C2203" s="30"/>
      <c r="F2203" s="95"/>
      <c r="G2203" s="1"/>
      <c r="H2203" s="94"/>
      <c r="I2203" s="90"/>
      <c r="J2203" s="90"/>
      <c r="K2203" s="1"/>
      <c r="L2203" s="74"/>
      <c r="M2203" s="633"/>
      <c r="N2203" s="274"/>
      <c r="O2203" s="94"/>
      <c r="P2203" s="94"/>
      <c r="Q2203" s="94"/>
      <c r="R2203" s="94"/>
      <c r="S2203" s="94"/>
      <c r="V2203" s="30"/>
      <c r="W2203" s="30"/>
      <c r="X2203" s="1"/>
      <c r="Y2203" s="95"/>
      <c r="Z2203" s="1"/>
      <c r="AA2203" s="94"/>
      <c r="AB2203" s="1"/>
      <c r="AC2203" s="1"/>
      <c r="AD2203" s="1"/>
      <c r="AE2203" s="30"/>
      <c r="AF2203" s="633"/>
      <c r="AG2203" s="94"/>
      <c r="AH2203" s="94"/>
      <c r="AI2203" s="94"/>
      <c r="AJ2203" s="94"/>
      <c r="AK2203" s="94"/>
      <c r="AL2203" s="94"/>
    </row>
    <row r="2204" spans="3:38">
      <c r="C2204" s="30"/>
      <c r="F2204" s="95"/>
      <c r="G2204" s="1"/>
      <c r="H2204" s="94"/>
      <c r="I2204" s="90"/>
      <c r="J2204" s="90"/>
      <c r="K2204" s="1"/>
      <c r="L2204" s="74"/>
      <c r="M2204" s="633"/>
      <c r="N2204" s="274"/>
      <c r="O2204" s="94"/>
      <c r="P2204" s="94"/>
      <c r="Q2204" s="94"/>
      <c r="R2204" s="94"/>
      <c r="S2204" s="94"/>
      <c r="V2204" s="30"/>
      <c r="W2204" s="30"/>
      <c r="X2204" s="1"/>
      <c r="Y2204" s="95"/>
      <c r="Z2204" s="1"/>
      <c r="AA2204" s="94"/>
      <c r="AB2204" s="1"/>
      <c r="AC2204" s="1"/>
      <c r="AD2204" s="1"/>
      <c r="AE2204" s="30"/>
      <c r="AF2204" s="633"/>
      <c r="AG2204" s="94"/>
      <c r="AH2204" s="94"/>
      <c r="AI2204" s="94"/>
      <c r="AJ2204" s="94"/>
      <c r="AK2204" s="94"/>
      <c r="AL2204" s="94"/>
    </row>
    <row r="2205" spans="3:38">
      <c r="C2205" s="30"/>
      <c r="F2205" s="95"/>
      <c r="G2205" s="1"/>
      <c r="H2205" s="94"/>
      <c r="I2205" s="90"/>
      <c r="J2205" s="90"/>
      <c r="K2205" s="1"/>
      <c r="L2205" s="74"/>
      <c r="M2205" s="633"/>
      <c r="N2205" s="274"/>
      <c r="O2205" s="94"/>
      <c r="P2205" s="94"/>
      <c r="Q2205" s="94"/>
      <c r="R2205" s="94"/>
      <c r="S2205" s="94"/>
      <c r="V2205" s="30"/>
      <c r="W2205" s="30"/>
      <c r="X2205" s="1"/>
      <c r="Y2205" s="95"/>
      <c r="Z2205" s="1"/>
      <c r="AA2205" s="94"/>
      <c r="AB2205" s="1"/>
      <c r="AC2205" s="1"/>
      <c r="AD2205" s="1"/>
      <c r="AE2205" s="30"/>
      <c r="AF2205" s="633"/>
      <c r="AG2205" s="94"/>
      <c r="AH2205" s="94"/>
      <c r="AI2205" s="94"/>
      <c r="AJ2205" s="94"/>
      <c r="AK2205" s="94"/>
      <c r="AL2205" s="94"/>
    </row>
    <row r="2206" spans="3:38">
      <c r="C2206" s="30"/>
      <c r="F2206" s="95"/>
      <c r="G2206" s="1"/>
      <c r="H2206" s="94"/>
      <c r="I2206" s="90"/>
      <c r="J2206" s="90"/>
      <c r="K2206" s="1"/>
      <c r="L2206" s="74"/>
      <c r="M2206" s="633"/>
      <c r="N2206" s="274"/>
      <c r="O2206" s="94"/>
      <c r="P2206" s="94"/>
      <c r="Q2206" s="94"/>
      <c r="R2206" s="94"/>
      <c r="S2206" s="94"/>
      <c r="V2206" s="30"/>
      <c r="W2206" s="30"/>
      <c r="X2206" s="1"/>
      <c r="Y2206" s="95"/>
      <c r="Z2206" s="1"/>
      <c r="AA2206" s="94"/>
      <c r="AB2206" s="1"/>
      <c r="AC2206" s="1"/>
      <c r="AD2206" s="1"/>
      <c r="AE2206" s="30"/>
      <c r="AF2206" s="633"/>
      <c r="AG2206" s="94"/>
      <c r="AH2206" s="94"/>
      <c r="AI2206" s="94"/>
      <c r="AJ2206" s="94"/>
      <c r="AK2206" s="94"/>
      <c r="AL2206" s="94"/>
    </row>
    <row r="2207" spans="3:38">
      <c r="C2207" s="30"/>
      <c r="F2207" s="95"/>
      <c r="G2207" s="1"/>
      <c r="H2207" s="94"/>
      <c r="I2207" s="90"/>
      <c r="J2207" s="90"/>
      <c r="K2207" s="1"/>
      <c r="L2207" s="74"/>
      <c r="M2207" s="633"/>
      <c r="N2207" s="274"/>
      <c r="O2207" s="94"/>
      <c r="P2207" s="94"/>
      <c r="Q2207" s="94"/>
      <c r="R2207" s="94"/>
      <c r="S2207" s="94"/>
      <c r="V2207" s="30"/>
      <c r="W2207" s="30"/>
      <c r="X2207" s="1"/>
      <c r="Y2207" s="95"/>
      <c r="Z2207" s="1"/>
      <c r="AA2207" s="94"/>
      <c r="AB2207" s="1"/>
      <c r="AC2207" s="1"/>
      <c r="AD2207" s="1"/>
      <c r="AE2207" s="30"/>
      <c r="AF2207" s="633"/>
      <c r="AG2207" s="94"/>
      <c r="AH2207" s="94"/>
      <c r="AI2207" s="94"/>
      <c r="AJ2207" s="94"/>
      <c r="AK2207" s="94"/>
      <c r="AL2207" s="94"/>
    </row>
    <row r="2208" spans="3:38">
      <c r="C2208" s="30"/>
      <c r="F2208" s="95"/>
      <c r="G2208" s="1"/>
      <c r="H2208" s="94"/>
      <c r="I2208" s="90"/>
      <c r="J2208" s="90"/>
      <c r="K2208" s="1"/>
      <c r="L2208" s="74"/>
      <c r="M2208" s="633"/>
      <c r="N2208" s="274"/>
      <c r="O2208" s="94"/>
      <c r="P2208" s="94"/>
      <c r="Q2208" s="94"/>
      <c r="R2208" s="94"/>
      <c r="S2208" s="94"/>
      <c r="V2208" s="30"/>
      <c r="W2208" s="30"/>
      <c r="X2208" s="1"/>
      <c r="Y2208" s="95"/>
      <c r="Z2208" s="1"/>
      <c r="AA2208" s="94"/>
      <c r="AB2208" s="1"/>
      <c r="AC2208" s="1"/>
      <c r="AD2208" s="1"/>
      <c r="AE2208" s="30"/>
      <c r="AF2208" s="633"/>
      <c r="AG2208" s="94"/>
      <c r="AH2208" s="94"/>
      <c r="AI2208" s="94"/>
      <c r="AJ2208" s="94"/>
      <c r="AK2208" s="94"/>
      <c r="AL2208" s="94"/>
    </row>
    <row r="2209" spans="3:38">
      <c r="C2209" s="30"/>
      <c r="F2209" s="95"/>
      <c r="G2209" s="1"/>
      <c r="H2209" s="94"/>
      <c r="I2209" s="90"/>
      <c r="J2209" s="90"/>
      <c r="K2209" s="1"/>
      <c r="L2209" s="74"/>
      <c r="M2209" s="633"/>
      <c r="N2209" s="274"/>
      <c r="O2209" s="94"/>
      <c r="P2209" s="94"/>
      <c r="Q2209" s="94"/>
      <c r="R2209" s="94"/>
      <c r="S2209" s="94"/>
      <c r="V2209" s="30"/>
      <c r="W2209" s="30"/>
      <c r="X2209" s="1"/>
      <c r="Y2209" s="95"/>
      <c r="Z2209" s="1"/>
      <c r="AA2209" s="94"/>
      <c r="AB2209" s="1"/>
      <c r="AC2209" s="1"/>
      <c r="AD2209" s="1"/>
      <c r="AE2209" s="30"/>
      <c r="AF2209" s="633"/>
      <c r="AG2209" s="94"/>
      <c r="AH2209" s="94"/>
      <c r="AI2209" s="94"/>
      <c r="AJ2209" s="94"/>
      <c r="AK2209" s="94"/>
      <c r="AL2209" s="94"/>
    </row>
    <row r="2210" spans="3:38">
      <c r="C2210" s="30"/>
      <c r="F2210" s="95"/>
      <c r="G2210" s="1"/>
      <c r="H2210" s="94"/>
      <c r="I2210" s="90"/>
      <c r="J2210" s="90"/>
      <c r="K2210" s="1"/>
      <c r="L2210" s="74"/>
      <c r="M2210" s="633"/>
      <c r="N2210" s="274"/>
      <c r="O2210" s="94"/>
      <c r="P2210" s="94"/>
      <c r="Q2210" s="94"/>
      <c r="R2210" s="94"/>
      <c r="S2210" s="94"/>
      <c r="V2210" s="30"/>
      <c r="W2210" s="30"/>
      <c r="X2210" s="1"/>
      <c r="Y2210" s="95"/>
      <c r="Z2210" s="1"/>
      <c r="AA2210" s="94"/>
      <c r="AB2210" s="1"/>
      <c r="AC2210" s="1"/>
      <c r="AD2210" s="1"/>
      <c r="AE2210" s="30"/>
      <c r="AF2210" s="633"/>
      <c r="AG2210" s="94"/>
      <c r="AH2210" s="94"/>
      <c r="AI2210" s="94"/>
      <c r="AJ2210" s="94"/>
      <c r="AK2210" s="94"/>
      <c r="AL2210" s="94"/>
    </row>
    <row r="2211" spans="3:38">
      <c r="C2211" s="30"/>
      <c r="F2211" s="95"/>
      <c r="G2211" s="1"/>
      <c r="H2211" s="94"/>
      <c r="I2211" s="90"/>
      <c r="J2211" s="90"/>
      <c r="K2211" s="1"/>
      <c r="L2211" s="74"/>
      <c r="M2211" s="633"/>
      <c r="N2211" s="274"/>
      <c r="O2211" s="94"/>
      <c r="P2211" s="94"/>
      <c r="Q2211" s="94"/>
      <c r="R2211" s="94"/>
      <c r="S2211" s="94"/>
      <c r="V2211" s="30"/>
      <c r="W2211" s="30"/>
      <c r="X2211" s="1"/>
      <c r="Y2211" s="95"/>
      <c r="Z2211" s="1"/>
      <c r="AA2211" s="94"/>
      <c r="AB2211" s="1"/>
      <c r="AC2211" s="1"/>
      <c r="AD2211" s="1"/>
      <c r="AE2211" s="30"/>
      <c r="AF2211" s="633"/>
      <c r="AG2211" s="94"/>
      <c r="AH2211" s="94"/>
      <c r="AI2211" s="94"/>
      <c r="AJ2211" s="94"/>
      <c r="AK2211" s="94"/>
      <c r="AL2211" s="94"/>
    </row>
    <row r="2212" spans="3:38">
      <c r="C2212" s="30"/>
      <c r="F2212" s="95"/>
      <c r="G2212" s="1"/>
      <c r="H2212" s="94"/>
      <c r="I2212" s="90"/>
      <c r="J2212" s="90"/>
      <c r="K2212" s="1"/>
      <c r="L2212" s="74"/>
      <c r="M2212" s="633"/>
      <c r="N2212" s="274"/>
      <c r="O2212" s="94"/>
      <c r="P2212" s="94"/>
      <c r="Q2212" s="94"/>
      <c r="R2212" s="94"/>
      <c r="S2212" s="94"/>
      <c r="V2212" s="30"/>
      <c r="W2212" s="30"/>
      <c r="X2212" s="1"/>
      <c r="Y2212" s="95"/>
      <c r="Z2212" s="1"/>
      <c r="AA2212" s="94"/>
      <c r="AB2212" s="1"/>
      <c r="AC2212" s="1"/>
      <c r="AD2212" s="1"/>
      <c r="AE2212" s="30"/>
      <c r="AF2212" s="633"/>
      <c r="AG2212" s="94"/>
      <c r="AH2212" s="94"/>
      <c r="AI2212" s="94"/>
      <c r="AJ2212" s="94"/>
      <c r="AK2212" s="94"/>
      <c r="AL2212" s="94"/>
    </row>
    <row r="2213" spans="3:38">
      <c r="C2213" s="30"/>
      <c r="F2213" s="95"/>
      <c r="G2213" s="1"/>
      <c r="H2213" s="94"/>
      <c r="I2213" s="90"/>
      <c r="J2213" s="90"/>
      <c r="K2213" s="1"/>
      <c r="L2213" s="74"/>
      <c r="M2213" s="633"/>
      <c r="N2213" s="274"/>
      <c r="O2213" s="94"/>
      <c r="P2213" s="94"/>
      <c r="Q2213" s="94"/>
      <c r="R2213" s="94"/>
      <c r="S2213" s="94"/>
      <c r="V2213" s="30"/>
      <c r="W2213" s="30"/>
      <c r="X2213" s="1"/>
      <c r="Y2213" s="95"/>
      <c r="Z2213" s="1"/>
      <c r="AA2213" s="94"/>
      <c r="AB2213" s="1"/>
      <c r="AC2213" s="1"/>
      <c r="AD2213" s="1"/>
      <c r="AE2213" s="30"/>
      <c r="AF2213" s="633"/>
      <c r="AG2213" s="94"/>
      <c r="AH2213" s="94"/>
      <c r="AI2213" s="94"/>
      <c r="AJ2213" s="94"/>
      <c r="AK2213" s="94"/>
      <c r="AL2213" s="94"/>
    </row>
    <row r="2214" spans="3:38">
      <c r="C2214" s="30"/>
      <c r="F2214" s="95"/>
      <c r="G2214" s="1"/>
      <c r="H2214" s="94"/>
      <c r="I2214" s="90"/>
      <c r="J2214" s="90"/>
      <c r="K2214" s="1"/>
      <c r="L2214" s="74"/>
      <c r="M2214" s="633"/>
      <c r="N2214" s="274"/>
      <c r="O2214" s="94"/>
      <c r="P2214" s="94"/>
      <c r="Q2214" s="94"/>
      <c r="R2214" s="94"/>
      <c r="S2214" s="94"/>
      <c r="V2214" s="30"/>
      <c r="W2214" s="30"/>
      <c r="X2214" s="1"/>
      <c r="Y2214" s="95"/>
      <c r="Z2214" s="1"/>
      <c r="AA2214" s="94"/>
      <c r="AB2214" s="1"/>
      <c r="AC2214" s="1"/>
      <c r="AD2214" s="1"/>
      <c r="AE2214" s="30"/>
      <c r="AF2214" s="633"/>
      <c r="AG2214" s="94"/>
      <c r="AH2214" s="94"/>
      <c r="AI2214" s="94"/>
      <c r="AJ2214" s="94"/>
      <c r="AK2214" s="94"/>
      <c r="AL2214" s="94"/>
    </row>
    <row r="2215" spans="3:38">
      <c r="C2215" s="30"/>
      <c r="F2215" s="95"/>
      <c r="G2215" s="1"/>
      <c r="H2215" s="94"/>
      <c r="I2215" s="90"/>
      <c r="J2215" s="90"/>
      <c r="K2215" s="1"/>
      <c r="L2215" s="74"/>
      <c r="M2215" s="633"/>
      <c r="N2215" s="274"/>
      <c r="O2215" s="94"/>
      <c r="P2215" s="94"/>
      <c r="Q2215" s="94"/>
      <c r="R2215" s="94"/>
      <c r="S2215" s="94"/>
      <c r="V2215" s="30"/>
      <c r="W2215" s="30"/>
      <c r="X2215" s="1"/>
      <c r="Y2215" s="95"/>
      <c r="Z2215" s="1"/>
      <c r="AA2215" s="94"/>
      <c r="AB2215" s="1"/>
      <c r="AC2215" s="1"/>
      <c r="AD2215" s="1"/>
      <c r="AE2215" s="30"/>
      <c r="AF2215" s="633"/>
      <c r="AG2215" s="94"/>
      <c r="AH2215" s="94"/>
      <c r="AI2215" s="94"/>
      <c r="AJ2215" s="94"/>
      <c r="AK2215" s="94"/>
      <c r="AL2215" s="94"/>
    </row>
    <row r="2216" spans="3:38">
      <c r="C2216" s="30"/>
      <c r="F2216" s="95"/>
      <c r="G2216" s="1"/>
      <c r="H2216" s="94"/>
      <c r="I2216" s="90"/>
      <c r="J2216" s="90"/>
      <c r="K2216" s="1"/>
      <c r="L2216" s="74"/>
      <c r="M2216" s="633"/>
      <c r="N2216" s="274"/>
      <c r="O2216" s="94"/>
      <c r="P2216" s="94"/>
      <c r="Q2216" s="94"/>
      <c r="R2216" s="94"/>
      <c r="S2216" s="94"/>
      <c r="V2216" s="30"/>
      <c r="W2216" s="30"/>
      <c r="X2216" s="1"/>
      <c r="Y2216" s="95"/>
      <c r="Z2216" s="1"/>
      <c r="AA2216" s="94"/>
      <c r="AB2216" s="1"/>
      <c r="AC2216" s="1"/>
      <c r="AD2216" s="1"/>
      <c r="AE2216" s="30"/>
      <c r="AF2216" s="633"/>
      <c r="AG2216" s="94"/>
      <c r="AH2216" s="94"/>
      <c r="AI2216" s="94"/>
      <c r="AJ2216" s="94"/>
      <c r="AK2216" s="94"/>
      <c r="AL2216" s="94"/>
    </row>
    <row r="2217" spans="3:38">
      <c r="C2217" s="30"/>
      <c r="F2217" s="95"/>
      <c r="G2217" s="1"/>
      <c r="H2217" s="94"/>
      <c r="I2217" s="90"/>
      <c r="J2217" s="90"/>
      <c r="K2217" s="1"/>
      <c r="L2217" s="74"/>
      <c r="M2217" s="633"/>
      <c r="N2217" s="274"/>
      <c r="O2217" s="94"/>
      <c r="P2217" s="94"/>
      <c r="Q2217" s="94"/>
      <c r="R2217" s="94"/>
      <c r="S2217" s="94"/>
      <c r="V2217" s="30"/>
      <c r="W2217" s="30"/>
      <c r="X2217" s="1"/>
      <c r="Y2217" s="95"/>
      <c r="Z2217" s="1"/>
      <c r="AA2217" s="94"/>
      <c r="AB2217" s="1"/>
      <c r="AC2217" s="1"/>
      <c r="AD2217" s="1"/>
      <c r="AE2217" s="30"/>
      <c r="AF2217" s="633"/>
      <c r="AG2217" s="94"/>
      <c r="AH2217" s="94"/>
      <c r="AI2217" s="94"/>
      <c r="AJ2217" s="94"/>
      <c r="AK2217" s="94"/>
      <c r="AL2217" s="94"/>
    </row>
    <row r="2218" spans="3:38">
      <c r="C2218" s="30"/>
      <c r="F2218" s="95"/>
      <c r="G2218" s="1"/>
      <c r="H2218" s="94"/>
      <c r="I2218" s="90"/>
      <c r="J2218" s="90"/>
      <c r="K2218" s="1"/>
      <c r="L2218" s="74"/>
      <c r="M2218" s="633"/>
      <c r="N2218" s="274"/>
      <c r="O2218" s="94"/>
      <c r="P2218" s="94"/>
      <c r="Q2218" s="94"/>
      <c r="R2218" s="94"/>
      <c r="S2218" s="94"/>
      <c r="V2218" s="30"/>
      <c r="W2218" s="30"/>
      <c r="X2218" s="1"/>
      <c r="Y2218" s="95"/>
      <c r="Z2218" s="1"/>
      <c r="AA2218" s="94"/>
      <c r="AB2218" s="1"/>
      <c r="AC2218" s="1"/>
      <c r="AD2218" s="1"/>
      <c r="AE2218" s="30"/>
      <c r="AF2218" s="633"/>
      <c r="AG2218" s="94"/>
      <c r="AH2218" s="94"/>
      <c r="AI2218" s="94"/>
      <c r="AJ2218" s="94"/>
      <c r="AK2218" s="94"/>
      <c r="AL2218" s="94"/>
    </row>
    <row r="2219" spans="3:38">
      <c r="C2219" s="30"/>
      <c r="F2219" s="95"/>
      <c r="G2219" s="1"/>
      <c r="H2219" s="94"/>
      <c r="I2219" s="90"/>
      <c r="J2219" s="90"/>
      <c r="K2219" s="1"/>
      <c r="L2219" s="74"/>
      <c r="M2219" s="633"/>
      <c r="N2219" s="274"/>
      <c r="O2219" s="94"/>
      <c r="P2219" s="94"/>
      <c r="Q2219" s="94"/>
      <c r="R2219" s="94"/>
      <c r="S2219" s="94"/>
      <c r="V2219" s="30"/>
      <c r="W2219" s="30"/>
      <c r="X2219" s="1"/>
      <c r="Y2219" s="95"/>
      <c r="Z2219" s="1"/>
      <c r="AA2219" s="94"/>
      <c r="AB2219" s="1"/>
      <c r="AC2219" s="1"/>
      <c r="AD2219" s="1"/>
      <c r="AE2219" s="30"/>
      <c r="AF2219" s="633"/>
      <c r="AG2219" s="94"/>
      <c r="AH2219" s="94"/>
      <c r="AI2219" s="94"/>
      <c r="AJ2219" s="94"/>
      <c r="AK2219" s="94"/>
      <c r="AL2219" s="94"/>
    </row>
    <row r="2220" spans="3:38">
      <c r="C2220" s="30"/>
      <c r="F2220" s="95"/>
      <c r="G2220" s="1"/>
      <c r="H2220" s="94"/>
      <c r="I2220" s="90"/>
      <c r="J2220" s="90"/>
      <c r="K2220" s="1"/>
      <c r="L2220" s="74"/>
      <c r="M2220" s="633"/>
      <c r="N2220" s="274"/>
      <c r="O2220" s="94"/>
      <c r="P2220" s="94"/>
      <c r="Q2220" s="94"/>
      <c r="R2220" s="94"/>
      <c r="S2220" s="94"/>
      <c r="V2220" s="30"/>
      <c r="W2220" s="30"/>
      <c r="X2220" s="1"/>
      <c r="Y2220" s="95"/>
      <c r="Z2220" s="1"/>
      <c r="AA2220" s="94"/>
      <c r="AB2220" s="1"/>
      <c r="AC2220" s="1"/>
      <c r="AD2220" s="1"/>
      <c r="AE2220" s="30"/>
      <c r="AF2220" s="633"/>
      <c r="AG2220" s="94"/>
      <c r="AH2220" s="94"/>
      <c r="AI2220" s="94"/>
      <c r="AJ2220" s="94"/>
      <c r="AK2220" s="94"/>
      <c r="AL2220" s="94"/>
    </row>
    <row r="2221" spans="3:38">
      <c r="C2221" s="30"/>
      <c r="F2221" s="95"/>
      <c r="G2221" s="1"/>
      <c r="H2221" s="94"/>
      <c r="I2221" s="90"/>
      <c r="J2221" s="90"/>
      <c r="K2221" s="1"/>
      <c r="L2221" s="74"/>
      <c r="M2221" s="633"/>
      <c r="N2221" s="274"/>
      <c r="O2221" s="94"/>
      <c r="P2221" s="94"/>
      <c r="Q2221" s="94"/>
      <c r="R2221" s="94"/>
      <c r="S2221" s="94"/>
      <c r="V2221" s="30"/>
      <c r="W2221" s="30"/>
      <c r="X2221" s="1"/>
      <c r="Y2221" s="95"/>
      <c r="Z2221" s="1"/>
      <c r="AA2221" s="94"/>
      <c r="AB2221" s="1"/>
      <c r="AC2221" s="1"/>
      <c r="AD2221" s="1"/>
      <c r="AE2221" s="30"/>
      <c r="AF2221" s="633"/>
      <c r="AG2221" s="94"/>
      <c r="AH2221" s="94"/>
      <c r="AI2221" s="94"/>
      <c r="AJ2221" s="94"/>
      <c r="AK2221" s="94"/>
      <c r="AL2221" s="94"/>
    </row>
    <row r="2222" spans="3:38">
      <c r="C2222" s="30"/>
      <c r="F2222" s="95"/>
      <c r="G2222" s="1"/>
      <c r="H2222" s="94"/>
      <c r="I2222" s="90"/>
      <c r="J2222" s="90"/>
      <c r="K2222" s="1"/>
      <c r="L2222" s="74"/>
      <c r="M2222" s="633"/>
      <c r="N2222" s="274"/>
      <c r="O2222" s="94"/>
      <c r="P2222" s="94"/>
      <c r="Q2222" s="94"/>
      <c r="R2222" s="94"/>
      <c r="S2222" s="94"/>
      <c r="V2222" s="30"/>
      <c r="W2222" s="30"/>
      <c r="X2222" s="1"/>
      <c r="Y2222" s="95"/>
      <c r="Z2222" s="1"/>
      <c r="AA2222" s="94"/>
      <c r="AB2222" s="1"/>
      <c r="AC2222" s="1"/>
      <c r="AD2222" s="1"/>
      <c r="AE2222" s="30"/>
      <c r="AF2222" s="633"/>
      <c r="AG2222" s="94"/>
      <c r="AH2222" s="94"/>
      <c r="AI2222" s="94"/>
      <c r="AJ2222" s="94"/>
      <c r="AK2222" s="94"/>
      <c r="AL2222" s="94"/>
    </row>
    <row r="2223" spans="3:38">
      <c r="C2223" s="30"/>
      <c r="F2223" s="95"/>
      <c r="G2223" s="1"/>
      <c r="H2223" s="94"/>
      <c r="I2223" s="90"/>
      <c r="J2223" s="90"/>
      <c r="K2223" s="1"/>
      <c r="L2223" s="74"/>
      <c r="M2223" s="633"/>
      <c r="N2223" s="274"/>
      <c r="O2223" s="94"/>
      <c r="P2223" s="94"/>
      <c r="Q2223" s="94"/>
      <c r="R2223" s="94"/>
      <c r="S2223" s="94"/>
      <c r="V2223" s="30"/>
      <c r="W2223" s="30"/>
      <c r="X2223" s="1"/>
      <c r="Y2223" s="95"/>
      <c r="Z2223" s="1"/>
      <c r="AA2223" s="94"/>
      <c r="AB2223" s="1"/>
      <c r="AC2223" s="1"/>
      <c r="AD2223" s="1"/>
      <c r="AE2223" s="30"/>
      <c r="AF2223" s="633"/>
      <c r="AG2223" s="94"/>
      <c r="AH2223" s="94"/>
      <c r="AI2223" s="94"/>
      <c r="AJ2223" s="94"/>
      <c r="AK2223" s="94"/>
      <c r="AL2223" s="94"/>
    </row>
    <row r="2224" spans="3:38">
      <c r="C2224" s="30"/>
      <c r="F2224" s="95"/>
      <c r="G2224" s="1"/>
      <c r="H2224" s="94"/>
      <c r="I2224" s="90"/>
      <c r="J2224" s="90"/>
      <c r="K2224" s="1"/>
      <c r="L2224" s="74"/>
      <c r="M2224" s="633"/>
      <c r="N2224" s="274"/>
      <c r="O2224" s="94"/>
      <c r="P2224" s="94"/>
      <c r="Q2224" s="94"/>
      <c r="R2224" s="94"/>
      <c r="S2224" s="94"/>
      <c r="V2224" s="30"/>
      <c r="W2224" s="30"/>
      <c r="X2224" s="1"/>
      <c r="Y2224" s="95"/>
      <c r="Z2224" s="1"/>
      <c r="AA2224" s="94"/>
      <c r="AB2224" s="1"/>
      <c r="AC2224" s="1"/>
      <c r="AD2224" s="1"/>
      <c r="AE2224" s="30"/>
      <c r="AF2224" s="633"/>
      <c r="AG2224" s="94"/>
      <c r="AH2224" s="94"/>
      <c r="AI2224" s="94"/>
      <c r="AJ2224" s="94"/>
      <c r="AK2224" s="94"/>
      <c r="AL2224" s="94"/>
    </row>
    <row r="2225" spans="3:38">
      <c r="C2225" s="30"/>
      <c r="F2225" s="95"/>
      <c r="G2225" s="1"/>
      <c r="H2225" s="94"/>
      <c r="I2225" s="90"/>
      <c r="J2225" s="90"/>
      <c r="K2225" s="1"/>
      <c r="L2225" s="74"/>
      <c r="M2225" s="633"/>
      <c r="N2225" s="274"/>
      <c r="O2225" s="94"/>
      <c r="P2225" s="94"/>
      <c r="Q2225" s="94"/>
      <c r="R2225" s="94"/>
      <c r="S2225" s="94"/>
      <c r="V2225" s="30"/>
      <c r="W2225" s="30"/>
      <c r="X2225" s="1"/>
      <c r="Y2225" s="95"/>
      <c r="Z2225" s="1"/>
      <c r="AA2225" s="94"/>
      <c r="AB2225" s="1"/>
      <c r="AC2225" s="1"/>
      <c r="AD2225" s="1"/>
      <c r="AE2225" s="30"/>
      <c r="AF2225" s="633"/>
      <c r="AG2225" s="94"/>
      <c r="AH2225" s="94"/>
      <c r="AI2225" s="94"/>
      <c r="AJ2225" s="94"/>
      <c r="AK2225" s="94"/>
      <c r="AL2225" s="94"/>
    </row>
    <row r="2226" spans="3:38">
      <c r="C2226" s="30"/>
      <c r="F2226" s="95"/>
      <c r="G2226" s="1"/>
      <c r="H2226" s="94"/>
      <c r="I2226" s="90"/>
      <c r="J2226" s="90"/>
      <c r="K2226" s="1"/>
      <c r="L2226" s="74"/>
      <c r="M2226" s="633"/>
      <c r="N2226" s="274"/>
      <c r="O2226" s="94"/>
      <c r="P2226" s="94"/>
      <c r="Q2226" s="94"/>
      <c r="R2226" s="94"/>
      <c r="S2226" s="94"/>
      <c r="V2226" s="30"/>
      <c r="W2226" s="30"/>
      <c r="X2226" s="1"/>
      <c r="Y2226" s="95"/>
      <c r="Z2226" s="1"/>
      <c r="AA2226" s="94"/>
      <c r="AB2226" s="1"/>
      <c r="AC2226" s="1"/>
      <c r="AD2226" s="1"/>
      <c r="AE2226" s="30"/>
      <c r="AF2226" s="633"/>
      <c r="AG2226" s="94"/>
      <c r="AH2226" s="94"/>
      <c r="AI2226" s="94"/>
      <c r="AJ2226" s="94"/>
      <c r="AK2226" s="94"/>
      <c r="AL2226" s="94"/>
    </row>
    <row r="2227" spans="3:38">
      <c r="C2227" s="30"/>
      <c r="F2227" s="95"/>
      <c r="G2227" s="1"/>
      <c r="H2227" s="94"/>
      <c r="I2227" s="90"/>
      <c r="J2227" s="90"/>
      <c r="K2227" s="1"/>
      <c r="L2227" s="74"/>
      <c r="M2227" s="633"/>
      <c r="N2227" s="274"/>
      <c r="O2227" s="94"/>
      <c r="P2227" s="94"/>
      <c r="Q2227" s="94"/>
      <c r="R2227" s="94"/>
      <c r="S2227" s="94"/>
      <c r="V2227" s="30"/>
      <c r="W2227" s="30"/>
      <c r="X2227" s="1"/>
      <c r="Y2227" s="95"/>
      <c r="Z2227" s="1"/>
      <c r="AA2227" s="94"/>
      <c r="AB2227" s="1"/>
      <c r="AC2227" s="1"/>
      <c r="AD2227" s="1"/>
      <c r="AE2227" s="30"/>
      <c r="AF2227" s="633"/>
      <c r="AG2227" s="94"/>
      <c r="AH2227" s="94"/>
      <c r="AI2227" s="94"/>
      <c r="AJ2227" s="94"/>
      <c r="AK2227" s="94"/>
      <c r="AL2227" s="94"/>
    </row>
    <row r="2228" spans="3:38">
      <c r="C2228" s="30"/>
      <c r="F2228" s="95"/>
      <c r="G2228" s="1"/>
      <c r="H2228" s="94"/>
      <c r="I2228" s="90"/>
      <c r="J2228" s="90"/>
      <c r="K2228" s="1"/>
      <c r="L2228" s="74"/>
      <c r="M2228" s="633"/>
      <c r="N2228" s="274"/>
      <c r="O2228" s="94"/>
      <c r="P2228" s="94"/>
      <c r="Q2228" s="94"/>
      <c r="R2228" s="94"/>
      <c r="S2228" s="94"/>
      <c r="V2228" s="30"/>
      <c r="W2228" s="30"/>
      <c r="X2228" s="1"/>
      <c r="Y2228" s="95"/>
      <c r="Z2228" s="1"/>
      <c r="AA2228" s="94"/>
      <c r="AB2228" s="1"/>
      <c r="AC2228" s="1"/>
      <c r="AD2228" s="1"/>
      <c r="AE2228" s="30"/>
      <c r="AF2228" s="633"/>
      <c r="AG2228" s="94"/>
      <c r="AH2228" s="94"/>
      <c r="AI2228" s="94"/>
      <c r="AJ2228" s="94"/>
      <c r="AK2228" s="94"/>
      <c r="AL2228" s="94"/>
    </row>
    <row r="2229" spans="3:38">
      <c r="C2229" s="30"/>
      <c r="F2229" s="95"/>
      <c r="G2229" s="1"/>
      <c r="H2229" s="94"/>
      <c r="I2229" s="90"/>
      <c r="J2229" s="90"/>
      <c r="K2229" s="1"/>
      <c r="L2229" s="74"/>
      <c r="M2229" s="633"/>
      <c r="N2229" s="274"/>
      <c r="O2229" s="94"/>
      <c r="P2229" s="94"/>
      <c r="Q2229" s="94"/>
      <c r="R2229" s="94"/>
      <c r="S2229" s="94"/>
      <c r="V2229" s="30"/>
      <c r="W2229" s="30"/>
      <c r="X2229" s="1"/>
      <c r="Y2229" s="95"/>
      <c r="Z2229" s="1"/>
      <c r="AA2229" s="94"/>
      <c r="AB2229" s="1"/>
      <c r="AC2229" s="1"/>
      <c r="AD2229" s="1"/>
      <c r="AE2229" s="30"/>
      <c r="AF2229" s="633"/>
      <c r="AG2229" s="94"/>
      <c r="AH2229" s="94"/>
      <c r="AI2229" s="94"/>
      <c r="AJ2229" s="94"/>
      <c r="AK2229" s="94"/>
      <c r="AL2229" s="94"/>
    </row>
    <row r="2230" spans="3:38">
      <c r="C2230" s="30"/>
      <c r="F2230" s="95"/>
      <c r="G2230" s="1"/>
      <c r="H2230" s="94"/>
      <c r="I2230" s="90"/>
      <c r="J2230" s="90"/>
      <c r="K2230" s="1"/>
      <c r="L2230" s="74"/>
      <c r="M2230" s="633"/>
      <c r="N2230" s="274"/>
      <c r="O2230" s="94"/>
      <c r="P2230" s="94"/>
      <c r="Q2230" s="94"/>
      <c r="R2230" s="94"/>
      <c r="S2230" s="94"/>
      <c r="V2230" s="30"/>
      <c r="W2230" s="30"/>
      <c r="X2230" s="1"/>
      <c r="Y2230" s="95"/>
      <c r="Z2230" s="1"/>
      <c r="AA2230" s="94"/>
      <c r="AB2230" s="1"/>
      <c r="AC2230" s="1"/>
      <c r="AD2230" s="1"/>
      <c r="AE2230" s="30"/>
      <c r="AF2230" s="633"/>
      <c r="AG2230" s="94"/>
      <c r="AH2230" s="94"/>
      <c r="AI2230" s="94"/>
      <c r="AJ2230" s="94"/>
      <c r="AK2230" s="94"/>
      <c r="AL2230" s="94"/>
    </row>
    <row r="2231" spans="3:38">
      <c r="C2231" s="30"/>
      <c r="F2231" s="95"/>
      <c r="G2231" s="1"/>
      <c r="H2231" s="94"/>
      <c r="I2231" s="90"/>
      <c r="J2231" s="90"/>
      <c r="K2231" s="1"/>
      <c r="L2231" s="74"/>
      <c r="M2231" s="633"/>
      <c r="N2231" s="274"/>
      <c r="O2231" s="94"/>
      <c r="P2231" s="94"/>
      <c r="Q2231" s="94"/>
      <c r="R2231" s="94"/>
      <c r="S2231" s="94"/>
      <c r="V2231" s="30"/>
      <c r="W2231" s="30"/>
      <c r="X2231" s="1"/>
      <c r="Y2231" s="95"/>
      <c r="Z2231" s="1"/>
      <c r="AA2231" s="94"/>
      <c r="AB2231" s="1"/>
      <c r="AC2231" s="1"/>
      <c r="AD2231" s="1"/>
      <c r="AE2231" s="30"/>
      <c r="AF2231" s="633"/>
      <c r="AG2231" s="94"/>
      <c r="AH2231" s="94"/>
      <c r="AI2231" s="94"/>
      <c r="AJ2231" s="94"/>
      <c r="AK2231" s="94"/>
      <c r="AL2231" s="94"/>
    </row>
    <row r="2232" spans="3:38">
      <c r="C2232" s="30"/>
      <c r="F2232" s="95"/>
      <c r="G2232" s="1"/>
      <c r="H2232" s="94"/>
      <c r="I2232" s="90"/>
      <c r="J2232" s="90"/>
      <c r="K2232" s="1"/>
      <c r="L2232" s="74"/>
      <c r="M2232" s="633"/>
      <c r="N2232" s="274"/>
      <c r="O2232" s="94"/>
      <c r="P2232" s="94"/>
      <c r="Q2232" s="94"/>
      <c r="R2232" s="94"/>
      <c r="S2232" s="94"/>
      <c r="V2232" s="30"/>
      <c r="W2232" s="30"/>
      <c r="X2232" s="1"/>
      <c r="Y2232" s="95"/>
      <c r="Z2232" s="1"/>
      <c r="AA2232" s="94"/>
      <c r="AB2232" s="1"/>
      <c r="AC2232" s="1"/>
      <c r="AD2232" s="1"/>
      <c r="AE2232" s="30"/>
      <c r="AF2232" s="633"/>
      <c r="AG2232" s="94"/>
      <c r="AH2232" s="94"/>
      <c r="AI2232" s="94"/>
      <c r="AJ2232" s="94"/>
      <c r="AK2232" s="94"/>
      <c r="AL2232" s="94"/>
    </row>
    <row r="2233" spans="3:38">
      <c r="C2233" s="30"/>
      <c r="F2233" s="95"/>
      <c r="G2233" s="1"/>
      <c r="H2233" s="94"/>
      <c r="I2233" s="90"/>
      <c r="J2233" s="90"/>
      <c r="K2233" s="1"/>
      <c r="L2233" s="74"/>
      <c r="M2233" s="633"/>
      <c r="N2233" s="274"/>
      <c r="O2233" s="94"/>
      <c r="P2233" s="94"/>
      <c r="Q2233" s="94"/>
      <c r="R2233" s="94"/>
      <c r="S2233" s="94"/>
      <c r="V2233" s="30"/>
      <c r="W2233" s="30"/>
      <c r="X2233" s="1"/>
      <c r="Y2233" s="95"/>
      <c r="Z2233" s="1"/>
      <c r="AA2233" s="94"/>
      <c r="AB2233" s="1"/>
      <c r="AC2233" s="1"/>
      <c r="AD2233" s="1"/>
      <c r="AE2233" s="30"/>
      <c r="AF2233" s="633"/>
      <c r="AG2233" s="94"/>
      <c r="AH2233" s="94"/>
      <c r="AI2233" s="94"/>
      <c r="AJ2233" s="94"/>
      <c r="AK2233" s="94"/>
      <c r="AL2233" s="94"/>
    </row>
    <row r="2234" spans="3:38">
      <c r="C2234" s="30"/>
      <c r="F2234" s="95"/>
      <c r="G2234" s="1"/>
      <c r="H2234" s="94"/>
      <c r="I2234" s="90"/>
      <c r="J2234" s="90"/>
      <c r="K2234" s="1"/>
      <c r="L2234" s="74"/>
      <c r="M2234" s="633"/>
      <c r="N2234" s="274"/>
      <c r="O2234" s="94"/>
      <c r="P2234" s="94"/>
      <c r="Q2234" s="94"/>
      <c r="R2234" s="94"/>
      <c r="S2234" s="94"/>
      <c r="V2234" s="30"/>
      <c r="W2234" s="30"/>
      <c r="X2234" s="1"/>
      <c r="Y2234" s="95"/>
      <c r="Z2234" s="1"/>
      <c r="AA2234" s="94"/>
      <c r="AB2234" s="1"/>
      <c r="AC2234" s="1"/>
      <c r="AD2234" s="1"/>
      <c r="AE2234" s="30"/>
      <c r="AF2234" s="633"/>
      <c r="AG2234" s="94"/>
      <c r="AH2234" s="94"/>
      <c r="AI2234" s="94"/>
      <c r="AJ2234" s="94"/>
      <c r="AK2234" s="94"/>
      <c r="AL2234" s="94"/>
    </row>
    <row r="2235" spans="3:38">
      <c r="C2235" s="30"/>
      <c r="F2235" s="95"/>
      <c r="G2235" s="1"/>
      <c r="H2235" s="94"/>
      <c r="I2235" s="90"/>
      <c r="J2235" s="90"/>
      <c r="K2235" s="1"/>
      <c r="L2235" s="74"/>
      <c r="M2235" s="633"/>
      <c r="N2235" s="274"/>
      <c r="O2235" s="94"/>
      <c r="P2235" s="94"/>
      <c r="Q2235" s="94"/>
      <c r="R2235" s="94"/>
      <c r="S2235" s="94"/>
      <c r="V2235" s="30"/>
      <c r="W2235" s="30"/>
      <c r="X2235" s="1"/>
      <c r="Y2235" s="95"/>
      <c r="Z2235" s="1"/>
      <c r="AA2235" s="94"/>
      <c r="AB2235" s="1"/>
      <c r="AC2235" s="1"/>
      <c r="AD2235" s="1"/>
      <c r="AE2235" s="30"/>
      <c r="AF2235" s="633"/>
      <c r="AG2235" s="94"/>
      <c r="AH2235" s="94"/>
      <c r="AI2235" s="94"/>
      <c r="AJ2235" s="94"/>
      <c r="AK2235" s="94"/>
      <c r="AL2235" s="94"/>
    </row>
    <row r="2236" spans="3:38">
      <c r="C2236" s="30"/>
      <c r="F2236" s="95"/>
      <c r="G2236" s="1"/>
      <c r="H2236" s="94"/>
      <c r="I2236" s="90"/>
      <c r="J2236" s="90"/>
      <c r="K2236" s="1"/>
      <c r="L2236" s="74"/>
      <c r="M2236" s="633"/>
      <c r="N2236" s="274"/>
      <c r="O2236" s="94"/>
      <c r="P2236" s="94"/>
      <c r="Q2236" s="94"/>
      <c r="R2236" s="94"/>
      <c r="S2236" s="94"/>
      <c r="V2236" s="30"/>
      <c r="W2236" s="30"/>
      <c r="X2236" s="1"/>
      <c r="Y2236" s="95"/>
      <c r="Z2236" s="1"/>
      <c r="AA2236" s="94"/>
      <c r="AB2236" s="1"/>
      <c r="AC2236" s="1"/>
      <c r="AD2236" s="1"/>
      <c r="AE2236" s="30"/>
      <c r="AF2236" s="633"/>
      <c r="AG2236" s="94"/>
      <c r="AH2236" s="94"/>
      <c r="AI2236" s="94"/>
      <c r="AJ2236" s="94"/>
      <c r="AK2236" s="94"/>
      <c r="AL2236" s="94"/>
    </row>
    <row r="2237" spans="3:38">
      <c r="C2237" s="30"/>
      <c r="F2237" s="95"/>
      <c r="G2237" s="1"/>
      <c r="H2237" s="94"/>
      <c r="I2237" s="90"/>
      <c r="J2237" s="90"/>
      <c r="K2237" s="1"/>
      <c r="L2237" s="74"/>
      <c r="M2237" s="633"/>
      <c r="N2237" s="274"/>
      <c r="O2237" s="94"/>
      <c r="P2237" s="94"/>
      <c r="Q2237" s="94"/>
      <c r="R2237" s="94"/>
      <c r="S2237" s="94"/>
      <c r="V2237" s="30"/>
      <c r="W2237" s="30"/>
      <c r="X2237" s="1"/>
      <c r="Y2237" s="95"/>
      <c r="Z2237" s="1"/>
      <c r="AA2237" s="94"/>
      <c r="AB2237" s="1"/>
      <c r="AC2237" s="1"/>
      <c r="AD2237" s="1"/>
      <c r="AE2237" s="30"/>
      <c r="AF2237" s="633"/>
      <c r="AG2237" s="94"/>
      <c r="AH2237" s="94"/>
      <c r="AI2237" s="94"/>
      <c r="AJ2237" s="94"/>
      <c r="AK2237" s="94"/>
      <c r="AL2237" s="94"/>
    </row>
    <row r="2238" spans="3:38">
      <c r="C2238" s="30"/>
      <c r="F2238" s="95"/>
      <c r="G2238" s="1"/>
      <c r="H2238" s="94"/>
      <c r="I2238" s="90"/>
      <c r="J2238" s="90"/>
      <c r="K2238" s="1"/>
      <c r="L2238" s="74"/>
      <c r="M2238" s="633"/>
      <c r="N2238" s="274"/>
      <c r="O2238" s="94"/>
      <c r="P2238" s="94"/>
      <c r="Q2238" s="94"/>
      <c r="R2238" s="94"/>
      <c r="S2238" s="94"/>
      <c r="V2238" s="30"/>
      <c r="W2238" s="30"/>
      <c r="X2238" s="1"/>
      <c r="Y2238" s="95"/>
      <c r="Z2238" s="1"/>
      <c r="AA2238" s="94"/>
      <c r="AB2238" s="1"/>
      <c r="AC2238" s="1"/>
      <c r="AD2238" s="1"/>
      <c r="AE2238" s="30"/>
      <c r="AF2238" s="633"/>
      <c r="AG2238" s="94"/>
      <c r="AH2238" s="94"/>
      <c r="AI2238" s="94"/>
      <c r="AJ2238" s="94"/>
      <c r="AK2238" s="94"/>
      <c r="AL2238" s="94"/>
    </row>
    <row r="2239" spans="3:38">
      <c r="C2239" s="30"/>
      <c r="F2239" s="95"/>
      <c r="G2239" s="1"/>
      <c r="H2239" s="94"/>
      <c r="I2239" s="90"/>
      <c r="J2239" s="90"/>
      <c r="K2239" s="1"/>
      <c r="L2239" s="74"/>
      <c r="M2239" s="633"/>
      <c r="N2239" s="274"/>
      <c r="O2239" s="94"/>
      <c r="P2239" s="94"/>
      <c r="Q2239" s="94"/>
      <c r="R2239" s="94"/>
      <c r="S2239" s="94"/>
      <c r="V2239" s="30"/>
      <c r="W2239" s="30"/>
      <c r="X2239" s="1"/>
      <c r="Y2239" s="95"/>
      <c r="Z2239" s="1"/>
      <c r="AA2239" s="94"/>
      <c r="AB2239" s="1"/>
      <c r="AC2239" s="1"/>
      <c r="AD2239" s="1"/>
      <c r="AE2239" s="30"/>
      <c r="AF2239" s="633"/>
      <c r="AG2239" s="94"/>
      <c r="AH2239" s="94"/>
      <c r="AI2239" s="94"/>
      <c r="AJ2239" s="94"/>
      <c r="AK2239" s="94"/>
      <c r="AL2239" s="94"/>
    </row>
    <row r="2240" spans="3:38">
      <c r="C2240" s="30"/>
      <c r="F2240" s="95"/>
      <c r="G2240" s="1"/>
      <c r="H2240" s="94"/>
      <c r="I2240" s="90"/>
      <c r="J2240" s="90"/>
      <c r="K2240" s="1"/>
      <c r="L2240" s="74"/>
      <c r="M2240" s="633"/>
      <c r="N2240" s="274"/>
      <c r="O2240" s="94"/>
      <c r="P2240" s="94"/>
      <c r="Q2240" s="94"/>
      <c r="R2240" s="94"/>
      <c r="S2240" s="94"/>
      <c r="V2240" s="30"/>
      <c r="W2240" s="30"/>
      <c r="X2240" s="1"/>
      <c r="Y2240" s="95"/>
      <c r="Z2240" s="1"/>
      <c r="AA2240" s="94"/>
      <c r="AB2240" s="1"/>
      <c r="AC2240" s="1"/>
      <c r="AD2240" s="1"/>
      <c r="AE2240" s="30"/>
      <c r="AF2240" s="633"/>
      <c r="AG2240" s="94"/>
      <c r="AH2240" s="94"/>
      <c r="AI2240" s="94"/>
      <c r="AJ2240" s="94"/>
      <c r="AK2240" s="94"/>
      <c r="AL2240" s="94"/>
    </row>
    <row r="2241" spans="3:38">
      <c r="C2241" s="30"/>
      <c r="F2241" s="95"/>
      <c r="G2241" s="1"/>
      <c r="H2241" s="94"/>
      <c r="I2241" s="90"/>
      <c r="J2241" s="90"/>
      <c r="K2241" s="1"/>
      <c r="L2241" s="74"/>
      <c r="M2241" s="633"/>
      <c r="N2241" s="274"/>
      <c r="O2241" s="94"/>
      <c r="P2241" s="94"/>
      <c r="Q2241" s="94"/>
      <c r="R2241" s="94"/>
      <c r="S2241" s="94"/>
      <c r="V2241" s="30"/>
      <c r="W2241" s="30"/>
      <c r="X2241" s="1"/>
      <c r="Y2241" s="95"/>
      <c r="Z2241" s="1"/>
      <c r="AA2241" s="94"/>
      <c r="AB2241" s="1"/>
      <c r="AC2241" s="1"/>
      <c r="AD2241" s="1"/>
      <c r="AE2241" s="30"/>
      <c r="AF2241" s="633"/>
      <c r="AG2241" s="94"/>
      <c r="AH2241" s="94"/>
      <c r="AI2241" s="94"/>
      <c r="AJ2241" s="94"/>
      <c r="AK2241" s="94"/>
      <c r="AL2241" s="94"/>
    </row>
    <row r="2242" spans="3:38">
      <c r="C2242" s="30"/>
      <c r="F2242" s="95"/>
      <c r="G2242" s="1"/>
      <c r="H2242" s="94"/>
      <c r="I2242" s="90"/>
      <c r="J2242" s="90"/>
      <c r="K2242" s="1"/>
      <c r="L2242" s="74"/>
      <c r="M2242" s="633"/>
      <c r="N2242" s="274"/>
      <c r="O2242" s="94"/>
      <c r="P2242" s="94"/>
      <c r="Q2242" s="94"/>
      <c r="R2242" s="94"/>
      <c r="S2242" s="94"/>
      <c r="V2242" s="30"/>
      <c r="W2242" s="30"/>
      <c r="X2242" s="1"/>
      <c r="Y2242" s="95"/>
      <c r="Z2242" s="1"/>
      <c r="AA2242" s="94"/>
      <c r="AB2242" s="1"/>
      <c r="AC2242" s="1"/>
      <c r="AD2242" s="1"/>
      <c r="AE2242" s="30"/>
      <c r="AF2242" s="633"/>
      <c r="AG2242" s="94"/>
      <c r="AH2242" s="94"/>
      <c r="AI2242" s="94"/>
      <c r="AJ2242" s="94"/>
      <c r="AK2242" s="94"/>
      <c r="AL2242" s="94"/>
    </row>
    <row r="2243" spans="3:38">
      <c r="C2243" s="30"/>
      <c r="F2243" s="95"/>
      <c r="G2243" s="1"/>
      <c r="H2243" s="94"/>
      <c r="I2243" s="90"/>
      <c r="J2243" s="90"/>
      <c r="K2243" s="1"/>
      <c r="L2243" s="74"/>
      <c r="M2243" s="633"/>
      <c r="N2243" s="274"/>
      <c r="O2243" s="94"/>
      <c r="P2243" s="94"/>
      <c r="Q2243" s="94"/>
      <c r="R2243" s="94"/>
      <c r="S2243" s="94"/>
      <c r="V2243" s="30"/>
      <c r="W2243" s="30"/>
      <c r="X2243" s="1"/>
      <c r="Y2243" s="95"/>
      <c r="Z2243" s="1"/>
      <c r="AA2243" s="94"/>
      <c r="AB2243" s="1"/>
      <c r="AC2243" s="1"/>
      <c r="AD2243" s="1"/>
      <c r="AE2243" s="30"/>
      <c r="AF2243" s="633"/>
      <c r="AG2243" s="94"/>
      <c r="AH2243" s="94"/>
      <c r="AI2243" s="94"/>
      <c r="AJ2243" s="94"/>
      <c r="AK2243" s="94"/>
      <c r="AL2243" s="94"/>
    </row>
    <row r="2244" spans="3:38">
      <c r="C2244" s="30"/>
      <c r="F2244" s="95"/>
      <c r="G2244" s="1"/>
      <c r="H2244" s="94"/>
      <c r="I2244" s="90"/>
      <c r="J2244" s="90"/>
      <c r="K2244" s="1"/>
      <c r="L2244" s="74"/>
      <c r="M2244" s="633"/>
      <c r="N2244" s="274"/>
      <c r="O2244" s="94"/>
      <c r="P2244" s="94"/>
      <c r="Q2244" s="94"/>
      <c r="R2244" s="94"/>
      <c r="S2244" s="94"/>
      <c r="V2244" s="30"/>
      <c r="W2244" s="30"/>
      <c r="X2244" s="1"/>
      <c r="Y2244" s="95"/>
      <c r="Z2244" s="1"/>
      <c r="AA2244" s="94"/>
      <c r="AB2244" s="1"/>
      <c r="AC2244" s="1"/>
      <c r="AD2244" s="1"/>
      <c r="AE2244" s="30"/>
      <c r="AF2244" s="633"/>
      <c r="AG2244" s="94"/>
      <c r="AH2244" s="94"/>
      <c r="AI2244" s="94"/>
      <c r="AJ2244" s="94"/>
      <c r="AK2244" s="94"/>
      <c r="AL2244" s="94"/>
    </row>
    <row r="2245" spans="3:38">
      <c r="C2245" s="30"/>
      <c r="F2245" s="95"/>
      <c r="G2245" s="1"/>
      <c r="H2245" s="94"/>
      <c r="I2245" s="90"/>
      <c r="J2245" s="90"/>
      <c r="K2245" s="1"/>
      <c r="L2245" s="74"/>
      <c r="M2245" s="633"/>
      <c r="N2245" s="274"/>
      <c r="O2245" s="94"/>
      <c r="P2245" s="94"/>
      <c r="Q2245" s="94"/>
      <c r="R2245" s="94"/>
      <c r="S2245" s="94"/>
      <c r="V2245" s="30"/>
      <c r="W2245" s="30"/>
      <c r="X2245" s="1"/>
      <c r="Y2245" s="95"/>
      <c r="Z2245" s="1"/>
      <c r="AA2245" s="94"/>
      <c r="AB2245" s="1"/>
      <c r="AC2245" s="1"/>
      <c r="AD2245" s="1"/>
      <c r="AE2245" s="30"/>
      <c r="AF2245" s="633"/>
      <c r="AG2245" s="94"/>
      <c r="AH2245" s="94"/>
      <c r="AI2245" s="94"/>
      <c r="AJ2245" s="94"/>
      <c r="AK2245" s="94"/>
      <c r="AL2245" s="94"/>
    </row>
    <row r="2246" spans="3:38">
      <c r="C2246" s="30"/>
      <c r="F2246" s="95"/>
      <c r="G2246" s="1"/>
      <c r="H2246" s="94"/>
      <c r="I2246" s="90"/>
      <c r="J2246" s="90"/>
      <c r="K2246" s="1"/>
      <c r="L2246" s="74"/>
      <c r="M2246" s="633"/>
      <c r="N2246" s="274"/>
      <c r="O2246" s="94"/>
      <c r="P2246" s="94"/>
      <c r="Q2246" s="94"/>
      <c r="R2246" s="94"/>
      <c r="S2246" s="94"/>
      <c r="V2246" s="30"/>
      <c r="W2246" s="30"/>
      <c r="X2246" s="1"/>
      <c r="Y2246" s="95"/>
      <c r="Z2246" s="1"/>
      <c r="AA2246" s="94"/>
      <c r="AB2246" s="1"/>
      <c r="AC2246" s="1"/>
      <c r="AD2246" s="1"/>
      <c r="AE2246" s="30"/>
      <c r="AF2246" s="633"/>
      <c r="AG2246" s="94"/>
      <c r="AH2246" s="94"/>
      <c r="AI2246" s="94"/>
      <c r="AJ2246" s="94"/>
      <c r="AK2246" s="94"/>
      <c r="AL2246" s="94"/>
    </row>
    <row r="2247" spans="3:38">
      <c r="C2247" s="30"/>
      <c r="F2247" s="95"/>
      <c r="G2247" s="1"/>
      <c r="H2247" s="94"/>
      <c r="I2247" s="90"/>
      <c r="J2247" s="90"/>
      <c r="K2247" s="1"/>
      <c r="L2247" s="74"/>
      <c r="M2247" s="633"/>
      <c r="N2247" s="274"/>
      <c r="O2247" s="94"/>
      <c r="P2247" s="94"/>
      <c r="Q2247" s="94"/>
      <c r="R2247" s="94"/>
      <c r="S2247" s="94"/>
      <c r="V2247" s="30"/>
      <c r="W2247" s="30"/>
      <c r="X2247" s="1"/>
      <c r="Y2247" s="95"/>
      <c r="Z2247" s="1"/>
      <c r="AA2247" s="94"/>
      <c r="AB2247" s="1"/>
      <c r="AC2247" s="1"/>
      <c r="AD2247" s="1"/>
      <c r="AE2247" s="30"/>
      <c r="AF2247" s="633"/>
      <c r="AG2247" s="94"/>
      <c r="AH2247" s="94"/>
      <c r="AI2247" s="94"/>
      <c r="AJ2247" s="94"/>
      <c r="AK2247" s="94"/>
      <c r="AL2247" s="94"/>
    </row>
    <row r="2248" spans="3:38">
      <c r="C2248" s="30"/>
      <c r="F2248" s="95"/>
      <c r="G2248" s="1"/>
      <c r="H2248" s="94"/>
      <c r="I2248" s="90"/>
      <c r="J2248" s="90"/>
      <c r="K2248" s="1"/>
      <c r="L2248" s="74"/>
      <c r="M2248" s="633"/>
      <c r="N2248" s="274"/>
      <c r="O2248" s="94"/>
      <c r="P2248" s="94"/>
      <c r="Q2248" s="94"/>
      <c r="R2248" s="94"/>
      <c r="S2248" s="94"/>
      <c r="V2248" s="30"/>
      <c r="W2248" s="30"/>
      <c r="X2248" s="1"/>
      <c r="Y2248" s="95"/>
      <c r="Z2248" s="1"/>
      <c r="AA2248" s="94"/>
      <c r="AB2248" s="1"/>
      <c r="AC2248" s="1"/>
      <c r="AD2248" s="1"/>
      <c r="AE2248" s="30"/>
      <c r="AF2248" s="633"/>
      <c r="AG2248" s="94"/>
      <c r="AH2248" s="94"/>
      <c r="AI2248" s="94"/>
      <c r="AJ2248" s="94"/>
      <c r="AK2248" s="94"/>
      <c r="AL2248" s="94"/>
    </row>
    <row r="2249" spans="3:38">
      <c r="C2249" s="30"/>
      <c r="F2249" s="95"/>
      <c r="G2249" s="1"/>
      <c r="H2249" s="94"/>
      <c r="I2249" s="90"/>
      <c r="J2249" s="90"/>
      <c r="K2249" s="1"/>
      <c r="L2249" s="74"/>
      <c r="M2249" s="633"/>
      <c r="N2249" s="274"/>
      <c r="O2249" s="94"/>
      <c r="P2249" s="94"/>
      <c r="Q2249" s="94"/>
      <c r="R2249" s="94"/>
      <c r="S2249" s="94"/>
      <c r="V2249" s="30"/>
      <c r="W2249" s="30"/>
      <c r="X2249" s="1"/>
      <c r="Y2249" s="95"/>
      <c r="Z2249" s="1"/>
      <c r="AA2249" s="94"/>
      <c r="AB2249" s="1"/>
      <c r="AC2249" s="1"/>
      <c r="AD2249" s="1"/>
      <c r="AE2249" s="30"/>
      <c r="AF2249" s="633"/>
      <c r="AG2249" s="94"/>
      <c r="AH2249" s="94"/>
      <c r="AI2249" s="94"/>
      <c r="AJ2249" s="94"/>
      <c r="AK2249" s="94"/>
      <c r="AL2249" s="94"/>
    </row>
    <row r="2250" spans="3:38">
      <c r="C2250" s="30"/>
      <c r="F2250" s="95"/>
      <c r="G2250" s="1"/>
      <c r="H2250" s="94"/>
      <c r="I2250" s="90"/>
      <c r="J2250" s="90"/>
      <c r="K2250" s="1"/>
      <c r="L2250" s="74"/>
      <c r="M2250" s="633"/>
      <c r="N2250" s="274"/>
      <c r="O2250" s="94"/>
      <c r="P2250" s="94"/>
      <c r="Q2250" s="94"/>
      <c r="R2250" s="94"/>
      <c r="S2250" s="94"/>
      <c r="V2250" s="30"/>
      <c r="W2250" s="30"/>
      <c r="X2250" s="1"/>
      <c r="Y2250" s="95"/>
      <c r="Z2250" s="1"/>
      <c r="AA2250" s="94"/>
      <c r="AB2250" s="1"/>
      <c r="AC2250" s="1"/>
      <c r="AD2250" s="1"/>
      <c r="AE2250" s="30"/>
      <c r="AF2250" s="633"/>
      <c r="AG2250" s="94"/>
      <c r="AH2250" s="94"/>
      <c r="AI2250" s="94"/>
      <c r="AJ2250" s="94"/>
      <c r="AK2250" s="94"/>
      <c r="AL2250" s="94"/>
    </row>
    <row r="2251" spans="3:38">
      <c r="C2251" s="30"/>
      <c r="F2251" s="95"/>
      <c r="G2251" s="1"/>
      <c r="H2251" s="94"/>
      <c r="I2251" s="90"/>
      <c r="J2251" s="90"/>
      <c r="K2251" s="1"/>
      <c r="L2251" s="74"/>
      <c r="M2251" s="633"/>
      <c r="N2251" s="274"/>
      <c r="O2251" s="94"/>
      <c r="P2251" s="94"/>
      <c r="Q2251" s="94"/>
      <c r="R2251" s="94"/>
      <c r="S2251" s="94"/>
      <c r="V2251" s="30"/>
      <c r="W2251" s="30"/>
      <c r="X2251" s="1"/>
      <c r="Y2251" s="95"/>
      <c r="Z2251" s="1"/>
      <c r="AA2251" s="94"/>
      <c r="AB2251" s="1"/>
      <c r="AC2251" s="1"/>
      <c r="AD2251" s="1"/>
      <c r="AE2251" s="30"/>
      <c r="AF2251" s="633"/>
      <c r="AG2251" s="94"/>
      <c r="AH2251" s="94"/>
      <c r="AI2251" s="94"/>
      <c r="AJ2251" s="94"/>
      <c r="AK2251" s="94"/>
      <c r="AL2251" s="94"/>
    </row>
    <row r="2252" spans="3:38">
      <c r="C2252" s="30"/>
      <c r="F2252" s="95"/>
      <c r="G2252" s="1"/>
      <c r="H2252" s="94"/>
      <c r="I2252" s="90"/>
      <c r="J2252" s="90"/>
      <c r="K2252" s="1"/>
      <c r="L2252" s="74"/>
      <c r="M2252" s="633"/>
      <c r="N2252" s="274"/>
      <c r="O2252" s="94"/>
      <c r="P2252" s="94"/>
      <c r="Q2252" s="94"/>
      <c r="R2252" s="94"/>
      <c r="S2252" s="94"/>
      <c r="V2252" s="30"/>
      <c r="W2252" s="30"/>
      <c r="X2252" s="1"/>
      <c r="Y2252" s="95"/>
      <c r="Z2252" s="1"/>
      <c r="AA2252" s="94"/>
      <c r="AB2252" s="1"/>
      <c r="AC2252" s="1"/>
      <c r="AD2252" s="1"/>
      <c r="AE2252" s="30"/>
      <c r="AF2252" s="633"/>
      <c r="AG2252" s="94"/>
      <c r="AH2252" s="94"/>
      <c r="AI2252" s="94"/>
      <c r="AJ2252" s="94"/>
      <c r="AK2252" s="94"/>
      <c r="AL2252" s="94"/>
    </row>
    <row r="2253" spans="3:38">
      <c r="C2253" s="30"/>
      <c r="F2253" s="95"/>
      <c r="G2253" s="1"/>
      <c r="H2253" s="94"/>
      <c r="I2253" s="90"/>
      <c r="J2253" s="90"/>
      <c r="K2253" s="1"/>
      <c r="L2253" s="74"/>
      <c r="M2253" s="633"/>
      <c r="N2253" s="274"/>
      <c r="O2253" s="94"/>
      <c r="P2253" s="94"/>
      <c r="Q2253" s="94"/>
      <c r="R2253" s="94"/>
      <c r="S2253" s="94"/>
      <c r="V2253" s="30"/>
      <c r="W2253" s="30"/>
      <c r="X2253" s="1"/>
      <c r="Y2253" s="95"/>
      <c r="Z2253" s="1"/>
      <c r="AA2253" s="94"/>
      <c r="AB2253" s="1"/>
      <c r="AC2253" s="1"/>
      <c r="AD2253" s="1"/>
      <c r="AE2253" s="30"/>
      <c r="AF2253" s="633"/>
      <c r="AG2253" s="94"/>
      <c r="AH2253" s="94"/>
      <c r="AI2253" s="94"/>
      <c r="AJ2253" s="94"/>
      <c r="AK2253" s="94"/>
      <c r="AL2253" s="94"/>
    </row>
    <row r="2254" spans="3:38">
      <c r="C2254" s="30"/>
      <c r="F2254" s="95"/>
      <c r="G2254" s="1"/>
      <c r="H2254" s="94"/>
      <c r="I2254" s="90"/>
      <c r="J2254" s="90"/>
      <c r="K2254" s="1"/>
      <c r="L2254" s="74"/>
      <c r="M2254" s="633"/>
      <c r="N2254" s="274"/>
      <c r="O2254" s="94"/>
      <c r="P2254" s="94"/>
      <c r="Q2254" s="94"/>
      <c r="R2254" s="94"/>
      <c r="S2254" s="94"/>
      <c r="V2254" s="30"/>
      <c r="W2254" s="30"/>
      <c r="X2254" s="1"/>
      <c r="Y2254" s="95"/>
      <c r="Z2254" s="1"/>
      <c r="AA2254" s="94"/>
      <c r="AB2254" s="1"/>
      <c r="AC2254" s="1"/>
      <c r="AD2254" s="1"/>
      <c r="AE2254" s="30"/>
      <c r="AF2254" s="633"/>
      <c r="AG2254" s="94"/>
      <c r="AH2254" s="94"/>
      <c r="AI2254" s="94"/>
      <c r="AJ2254" s="94"/>
      <c r="AK2254" s="94"/>
      <c r="AL2254" s="94"/>
    </row>
    <row r="2255" spans="3:38">
      <c r="C2255" s="30"/>
      <c r="F2255" s="95"/>
      <c r="G2255" s="1"/>
      <c r="H2255" s="94"/>
      <c r="I2255" s="90"/>
      <c r="J2255" s="90"/>
      <c r="K2255" s="1"/>
      <c r="L2255" s="74"/>
      <c r="M2255" s="633"/>
      <c r="N2255" s="274"/>
      <c r="O2255" s="94"/>
      <c r="P2255" s="94"/>
      <c r="Q2255" s="94"/>
      <c r="R2255" s="94"/>
      <c r="S2255" s="94"/>
      <c r="V2255" s="30"/>
      <c r="W2255" s="30"/>
      <c r="X2255" s="1"/>
      <c r="Y2255" s="95"/>
      <c r="Z2255" s="1"/>
      <c r="AA2255" s="94"/>
      <c r="AB2255" s="1"/>
      <c r="AC2255" s="1"/>
      <c r="AD2255" s="1"/>
      <c r="AE2255" s="30"/>
      <c r="AF2255" s="633"/>
      <c r="AG2255" s="94"/>
      <c r="AH2255" s="94"/>
      <c r="AI2255" s="94"/>
      <c r="AJ2255" s="94"/>
      <c r="AK2255" s="94"/>
      <c r="AL2255" s="94"/>
    </row>
    <row r="2256" spans="3:38">
      <c r="C2256" s="30"/>
      <c r="F2256" s="95"/>
      <c r="G2256" s="1"/>
      <c r="H2256" s="94"/>
      <c r="I2256" s="90"/>
      <c r="J2256" s="90"/>
      <c r="K2256" s="1"/>
      <c r="L2256" s="74"/>
      <c r="M2256" s="633"/>
      <c r="N2256" s="274"/>
      <c r="O2256" s="94"/>
      <c r="P2256" s="94"/>
      <c r="Q2256" s="94"/>
      <c r="R2256" s="94"/>
      <c r="S2256" s="94"/>
      <c r="V2256" s="30"/>
      <c r="W2256" s="30"/>
      <c r="X2256" s="1"/>
      <c r="Y2256" s="95"/>
      <c r="Z2256" s="1"/>
      <c r="AA2256" s="94"/>
      <c r="AB2256" s="1"/>
      <c r="AC2256" s="1"/>
      <c r="AD2256" s="1"/>
      <c r="AE2256" s="30"/>
      <c r="AF2256" s="633"/>
      <c r="AG2256" s="94"/>
      <c r="AH2256" s="94"/>
      <c r="AI2256" s="94"/>
      <c r="AJ2256" s="94"/>
      <c r="AK2256" s="94"/>
      <c r="AL2256" s="94"/>
    </row>
    <row r="2257" spans="3:38">
      <c r="C2257" s="30"/>
      <c r="F2257" s="95"/>
      <c r="G2257" s="1"/>
      <c r="H2257" s="94"/>
      <c r="I2257" s="90"/>
      <c r="J2257" s="90"/>
      <c r="K2257" s="1"/>
      <c r="L2257" s="74"/>
      <c r="M2257" s="633"/>
      <c r="N2257" s="274"/>
      <c r="O2257" s="94"/>
      <c r="P2257" s="94"/>
      <c r="Q2257" s="94"/>
      <c r="R2257" s="94"/>
      <c r="S2257" s="94"/>
      <c r="V2257" s="30"/>
      <c r="W2257" s="30"/>
      <c r="X2257" s="1"/>
      <c r="Y2257" s="95"/>
      <c r="Z2257" s="1"/>
      <c r="AA2257" s="94"/>
      <c r="AB2257" s="1"/>
      <c r="AC2257" s="1"/>
      <c r="AD2257" s="1"/>
      <c r="AE2257" s="30"/>
      <c r="AF2257" s="633"/>
      <c r="AG2257" s="94"/>
      <c r="AH2257" s="94"/>
      <c r="AI2257" s="94"/>
      <c r="AJ2257" s="94"/>
      <c r="AK2257" s="94"/>
      <c r="AL2257" s="94"/>
    </row>
    <row r="2258" spans="3:38">
      <c r="C2258" s="30"/>
      <c r="F2258" s="95"/>
      <c r="G2258" s="1"/>
      <c r="H2258" s="94"/>
      <c r="I2258" s="90"/>
      <c r="J2258" s="90"/>
      <c r="K2258" s="1"/>
      <c r="L2258" s="74"/>
      <c r="M2258" s="633"/>
      <c r="N2258" s="274"/>
      <c r="O2258" s="94"/>
      <c r="P2258" s="94"/>
      <c r="Q2258" s="94"/>
      <c r="R2258" s="94"/>
      <c r="S2258" s="94"/>
      <c r="V2258" s="30"/>
      <c r="W2258" s="30"/>
      <c r="X2258" s="1"/>
      <c r="Y2258" s="95"/>
      <c r="Z2258" s="1"/>
      <c r="AA2258" s="94"/>
      <c r="AB2258" s="1"/>
      <c r="AC2258" s="1"/>
      <c r="AD2258" s="1"/>
      <c r="AE2258" s="30"/>
      <c r="AF2258" s="633"/>
      <c r="AG2258" s="94"/>
      <c r="AH2258" s="94"/>
      <c r="AI2258" s="94"/>
      <c r="AJ2258" s="94"/>
      <c r="AK2258" s="94"/>
      <c r="AL2258" s="94"/>
    </row>
    <row r="2259" spans="3:38">
      <c r="C2259" s="30"/>
      <c r="F2259" s="95"/>
      <c r="G2259" s="1"/>
      <c r="H2259" s="94"/>
      <c r="I2259" s="90"/>
      <c r="J2259" s="90"/>
      <c r="K2259" s="1"/>
      <c r="L2259" s="74"/>
      <c r="M2259" s="633"/>
      <c r="N2259" s="274"/>
      <c r="O2259" s="94"/>
      <c r="P2259" s="94"/>
      <c r="Q2259" s="94"/>
      <c r="R2259" s="94"/>
      <c r="S2259" s="94"/>
      <c r="V2259" s="30"/>
      <c r="W2259" s="30"/>
      <c r="X2259" s="1"/>
      <c r="Y2259" s="95"/>
      <c r="Z2259" s="1"/>
      <c r="AA2259" s="94"/>
      <c r="AB2259" s="1"/>
      <c r="AC2259" s="1"/>
      <c r="AD2259" s="1"/>
      <c r="AE2259" s="30"/>
      <c r="AF2259" s="633"/>
      <c r="AG2259" s="94"/>
      <c r="AH2259" s="94"/>
      <c r="AI2259" s="94"/>
      <c r="AJ2259" s="94"/>
      <c r="AK2259" s="94"/>
      <c r="AL2259" s="94"/>
    </row>
    <row r="2260" spans="3:38">
      <c r="C2260" s="30"/>
      <c r="F2260" s="95"/>
      <c r="G2260" s="1"/>
      <c r="H2260" s="94"/>
      <c r="I2260" s="90"/>
      <c r="J2260" s="90"/>
      <c r="K2260" s="1"/>
      <c r="L2260" s="74"/>
      <c r="M2260" s="633"/>
      <c r="N2260" s="274"/>
      <c r="O2260" s="94"/>
      <c r="P2260" s="94"/>
      <c r="Q2260" s="94"/>
      <c r="R2260" s="94"/>
      <c r="S2260" s="94"/>
      <c r="V2260" s="30"/>
      <c r="W2260" s="30"/>
      <c r="X2260" s="1"/>
      <c r="Y2260" s="95"/>
      <c r="Z2260" s="1"/>
      <c r="AA2260" s="94"/>
      <c r="AB2260" s="1"/>
      <c r="AC2260" s="1"/>
      <c r="AD2260" s="1"/>
      <c r="AE2260" s="30"/>
      <c r="AF2260" s="633"/>
      <c r="AG2260" s="94"/>
      <c r="AH2260" s="94"/>
      <c r="AI2260" s="94"/>
      <c r="AJ2260" s="94"/>
      <c r="AK2260" s="94"/>
      <c r="AL2260" s="94"/>
    </row>
    <row r="2261" spans="3:38">
      <c r="C2261" s="30"/>
      <c r="F2261" s="95"/>
      <c r="G2261" s="1"/>
      <c r="H2261" s="94"/>
      <c r="I2261" s="90"/>
      <c r="J2261" s="90"/>
      <c r="K2261" s="1"/>
      <c r="L2261" s="74"/>
      <c r="M2261" s="633"/>
      <c r="N2261" s="274"/>
      <c r="O2261" s="94"/>
      <c r="P2261" s="94"/>
      <c r="Q2261" s="94"/>
      <c r="R2261" s="94"/>
      <c r="S2261" s="94"/>
      <c r="V2261" s="30"/>
      <c r="W2261" s="30"/>
      <c r="X2261" s="1"/>
      <c r="Y2261" s="95"/>
      <c r="Z2261" s="1"/>
      <c r="AA2261" s="94"/>
      <c r="AB2261" s="1"/>
      <c r="AC2261" s="1"/>
      <c r="AD2261" s="1"/>
      <c r="AE2261" s="30"/>
      <c r="AF2261" s="633"/>
      <c r="AG2261" s="94"/>
      <c r="AH2261" s="94"/>
      <c r="AI2261" s="94"/>
      <c r="AJ2261" s="94"/>
      <c r="AK2261" s="94"/>
      <c r="AL2261" s="94"/>
    </row>
    <row r="2262" spans="3:38">
      <c r="C2262" s="30"/>
      <c r="F2262" s="95"/>
      <c r="G2262" s="1"/>
      <c r="H2262" s="94"/>
      <c r="I2262" s="90"/>
      <c r="J2262" s="90"/>
      <c r="K2262" s="1"/>
      <c r="L2262" s="74"/>
      <c r="M2262" s="633"/>
      <c r="N2262" s="274"/>
      <c r="O2262" s="94"/>
      <c r="P2262" s="94"/>
      <c r="Q2262" s="94"/>
      <c r="R2262" s="94"/>
      <c r="S2262" s="94"/>
      <c r="V2262" s="30"/>
      <c r="W2262" s="30"/>
      <c r="X2262" s="1"/>
      <c r="Y2262" s="95"/>
      <c r="Z2262" s="1"/>
      <c r="AA2262" s="94"/>
      <c r="AB2262" s="1"/>
      <c r="AC2262" s="1"/>
      <c r="AD2262" s="1"/>
      <c r="AE2262" s="30"/>
      <c r="AF2262" s="633"/>
      <c r="AG2262" s="94"/>
      <c r="AH2262" s="94"/>
      <c r="AI2262" s="94"/>
      <c r="AJ2262" s="94"/>
      <c r="AK2262" s="94"/>
      <c r="AL2262" s="94"/>
    </row>
    <row r="2263" spans="3:38">
      <c r="C2263" s="30"/>
      <c r="F2263" s="95"/>
      <c r="G2263" s="1"/>
      <c r="H2263" s="94"/>
      <c r="I2263" s="90"/>
      <c r="J2263" s="90"/>
      <c r="K2263" s="1"/>
      <c r="L2263" s="74"/>
      <c r="M2263" s="633"/>
      <c r="N2263" s="274"/>
      <c r="O2263" s="94"/>
      <c r="P2263" s="94"/>
      <c r="Q2263" s="94"/>
      <c r="R2263" s="94"/>
      <c r="S2263" s="94"/>
      <c r="V2263" s="30"/>
      <c r="W2263" s="30"/>
      <c r="X2263" s="1"/>
      <c r="Y2263" s="95"/>
      <c r="Z2263" s="1"/>
      <c r="AA2263" s="94"/>
      <c r="AB2263" s="1"/>
      <c r="AC2263" s="1"/>
      <c r="AD2263" s="1"/>
      <c r="AE2263" s="30"/>
      <c r="AF2263" s="633"/>
      <c r="AG2263" s="94"/>
      <c r="AH2263" s="94"/>
      <c r="AI2263" s="94"/>
      <c r="AJ2263" s="94"/>
      <c r="AK2263" s="94"/>
      <c r="AL2263" s="94"/>
    </row>
    <row r="2264" spans="3:38">
      <c r="C2264" s="30"/>
      <c r="F2264" s="95"/>
      <c r="G2264" s="1"/>
      <c r="H2264" s="94"/>
      <c r="I2264" s="90"/>
      <c r="J2264" s="90"/>
      <c r="K2264" s="1"/>
      <c r="L2264" s="74"/>
      <c r="M2264" s="633"/>
      <c r="N2264" s="274"/>
      <c r="O2264" s="94"/>
      <c r="P2264" s="94"/>
      <c r="Q2264" s="94"/>
      <c r="R2264" s="94"/>
      <c r="S2264" s="94"/>
      <c r="V2264" s="30"/>
      <c r="W2264" s="30"/>
      <c r="X2264" s="1"/>
      <c r="Y2264" s="95"/>
      <c r="Z2264" s="1"/>
      <c r="AA2264" s="94"/>
      <c r="AB2264" s="1"/>
      <c r="AC2264" s="1"/>
      <c r="AD2264" s="1"/>
      <c r="AE2264" s="30"/>
      <c r="AF2264" s="633"/>
      <c r="AG2264" s="94"/>
      <c r="AH2264" s="94"/>
      <c r="AI2264" s="94"/>
      <c r="AJ2264" s="94"/>
      <c r="AK2264" s="94"/>
      <c r="AL2264" s="94"/>
    </row>
    <row r="2265" spans="3:38">
      <c r="C2265" s="30"/>
      <c r="F2265" s="95"/>
      <c r="G2265" s="1"/>
      <c r="H2265" s="94"/>
      <c r="I2265" s="90"/>
      <c r="J2265" s="90"/>
      <c r="K2265" s="1"/>
      <c r="L2265" s="74"/>
      <c r="M2265" s="633"/>
      <c r="N2265" s="274"/>
      <c r="O2265" s="94"/>
      <c r="P2265" s="94"/>
      <c r="Q2265" s="94"/>
      <c r="R2265" s="94"/>
      <c r="S2265" s="94"/>
      <c r="V2265" s="30"/>
      <c r="W2265" s="30"/>
      <c r="X2265" s="1"/>
      <c r="Y2265" s="95"/>
      <c r="Z2265" s="1"/>
      <c r="AA2265" s="94"/>
      <c r="AB2265" s="1"/>
      <c r="AC2265" s="1"/>
      <c r="AD2265" s="1"/>
      <c r="AE2265" s="30"/>
      <c r="AF2265" s="633"/>
      <c r="AG2265" s="94"/>
      <c r="AH2265" s="94"/>
      <c r="AI2265" s="94"/>
      <c r="AJ2265" s="94"/>
      <c r="AK2265" s="94"/>
      <c r="AL2265" s="94"/>
    </row>
    <row r="2266" spans="3:38">
      <c r="C2266" s="30"/>
      <c r="F2266" s="95"/>
      <c r="G2266" s="1"/>
      <c r="H2266" s="94"/>
      <c r="I2266" s="90"/>
      <c r="J2266" s="90"/>
      <c r="K2266" s="1"/>
      <c r="L2266" s="74"/>
      <c r="M2266" s="633"/>
      <c r="N2266" s="274"/>
      <c r="O2266" s="94"/>
      <c r="P2266" s="94"/>
      <c r="Q2266" s="94"/>
      <c r="R2266" s="94"/>
      <c r="S2266" s="94"/>
      <c r="V2266" s="30"/>
      <c r="W2266" s="30"/>
      <c r="X2266" s="1"/>
      <c r="Y2266" s="95"/>
      <c r="Z2266" s="1"/>
      <c r="AA2266" s="94"/>
      <c r="AB2266" s="1"/>
      <c r="AC2266" s="1"/>
      <c r="AD2266" s="1"/>
      <c r="AE2266" s="30"/>
      <c r="AF2266" s="633"/>
      <c r="AG2266" s="94"/>
      <c r="AH2266" s="94"/>
      <c r="AI2266" s="94"/>
      <c r="AJ2266" s="94"/>
      <c r="AK2266" s="94"/>
      <c r="AL2266" s="94"/>
    </row>
    <row r="2267" spans="3:38">
      <c r="C2267" s="30"/>
      <c r="F2267" s="95"/>
      <c r="G2267" s="1"/>
      <c r="H2267" s="94"/>
      <c r="I2267" s="90"/>
      <c r="J2267" s="90"/>
      <c r="K2267" s="1"/>
      <c r="L2267" s="74"/>
      <c r="M2267" s="633"/>
      <c r="N2267" s="274"/>
      <c r="O2267" s="94"/>
      <c r="P2267" s="94"/>
      <c r="Q2267" s="94"/>
      <c r="R2267" s="94"/>
      <c r="S2267" s="94"/>
      <c r="V2267" s="30"/>
      <c r="W2267" s="30"/>
      <c r="X2267" s="1"/>
      <c r="Y2267" s="95"/>
      <c r="Z2267" s="1"/>
      <c r="AA2267" s="94"/>
      <c r="AB2267" s="1"/>
      <c r="AC2267" s="1"/>
      <c r="AD2267" s="1"/>
      <c r="AE2267" s="30"/>
      <c r="AF2267" s="633"/>
      <c r="AG2267" s="94"/>
      <c r="AH2267" s="94"/>
      <c r="AI2267" s="94"/>
      <c r="AJ2267" s="94"/>
      <c r="AK2267" s="94"/>
      <c r="AL2267" s="94"/>
    </row>
    <row r="2268" spans="3:38">
      <c r="C2268" s="30"/>
      <c r="F2268" s="95"/>
      <c r="G2268" s="1"/>
      <c r="H2268" s="94"/>
      <c r="I2268" s="90"/>
      <c r="J2268" s="90"/>
      <c r="K2268" s="1"/>
      <c r="L2268" s="74"/>
      <c r="M2268" s="633"/>
      <c r="N2268" s="274"/>
      <c r="O2268" s="94"/>
      <c r="P2268" s="94"/>
      <c r="Q2268" s="94"/>
      <c r="R2268" s="94"/>
      <c r="S2268" s="94"/>
      <c r="V2268" s="30"/>
      <c r="W2268" s="30"/>
      <c r="X2268" s="1"/>
      <c r="Y2268" s="95"/>
      <c r="Z2268" s="1"/>
      <c r="AA2268" s="94"/>
      <c r="AB2268" s="1"/>
      <c r="AC2268" s="1"/>
      <c r="AD2268" s="1"/>
      <c r="AE2268" s="30"/>
      <c r="AF2268" s="633"/>
      <c r="AG2268" s="94"/>
      <c r="AH2268" s="94"/>
      <c r="AI2268" s="94"/>
      <c r="AJ2268" s="94"/>
      <c r="AK2268" s="94"/>
      <c r="AL2268" s="94"/>
    </row>
    <row r="2269" spans="3:38">
      <c r="C2269" s="30"/>
      <c r="F2269" s="95"/>
      <c r="G2269" s="1"/>
      <c r="H2269" s="94"/>
      <c r="I2269" s="90"/>
      <c r="J2269" s="90"/>
      <c r="K2269" s="1"/>
      <c r="L2269" s="74"/>
      <c r="M2269" s="633"/>
      <c r="N2269" s="274"/>
      <c r="O2269" s="94"/>
      <c r="P2269" s="94"/>
      <c r="Q2269" s="94"/>
      <c r="R2269" s="94"/>
      <c r="S2269" s="94"/>
      <c r="V2269" s="30"/>
      <c r="W2269" s="30"/>
      <c r="X2269" s="1"/>
      <c r="Y2269" s="95"/>
      <c r="Z2269" s="1"/>
      <c r="AA2269" s="94"/>
      <c r="AB2269" s="1"/>
      <c r="AC2269" s="1"/>
      <c r="AD2269" s="1"/>
      <c r="AE2269" s="30"/>
      <c r="AF2269" s="633"/>
      <c r="AG2269" s="94"/>
      <c r="AH2269" s="94"/>
      <c r="AI2269" s="94"/>
      <c r="AJ2269" s="94"/>
      <c r="AK2269" s="94"/>
      <c r="AL2269" s="94"/>
    </row>
    <row r="2270" spans="3:38">
      <c r="C2270" s="30"/>
      <c r="F2270" s="95"/>
      <c r="G2270" s="1"/>
      <c r="H2270" s="94"/>
      <c r="I2270" s="90"/>
      <c r="J2270" s="90"/>
      <c r="K2270" s="1"/>
      <c r="L2270" s="74"/>
      <c r="M2270" s="633"/>
      <c r="N2270" s="274"/>
      <c r="O2270" s="94"/>
      <c r="P2270" s="94"/>
      <c r="Q2270" s="94"/>
      <c r="R2270" s="94"/>
      <c r="S2270" s="94"/>
      <c r="V2270" s="30"/>
      <c r="W2270" s="30"/>
      <c r="X2270" s="1"/>
      <c r="Y2270" s="95"/>
      <c r="Z2270" s="1"/>
      <c r="AA2270" s="94"/>
      <c r="AB2270" s="1"/>
      <c r="AC2270" s="1"/>
      <c r="AD2270" s="1"/>
      <c r="AE2270" s="30"/>
      <c r="AF2270" s="633"/>
      <c r="AG2270" s="94"/>
      <c r="AH2270" s="94"/>
      <c r="AI2270" s="94"/>
      <c r="AJ2270" s="94"/>
      <c r="AK2270" s="94"/>
      <c r="AL2270" s="94"/>
    </row>
    <row r="2271" spans="3:38">
      <c r="C2271" s="30"/>
      <c r="F2271" s="95"/>
      <c r="G2271" s="1"/>
      <c r="H2271" s="94"/>
      <c r="I2271" s="90"/>
      <c r="J2271" s="90"/>
      <c r="K2271" s="1"/>
      <c r="L2271" s="74"/>
      <c r="M2271" s="633"/>
      <c r="N2271" s="274"/>
      <c r="O2271" s="94"/>
      <c r="P2271" s="94"/>
      <c r="Q2271" s="94"/>
      <c r="R2271" s="94"/>
      <c r="S2271" s="94"/>
      <c r="V2271" s="30"/>
      <c r="W2271" s="30"/>
      <c r="X2271" s="1"/>
      <c r="Y2271" s="95"/>
      <c r="Z2271" s="1"/>
      <c r="AA2271" s="94"/>
      <c r="AB2271" s="1"/>
      <c r="AC2271" s="1"/>
      <c r="AD2271" s="1"/>
      <c r="AE2271" s="30"/>
      <c r="AF2271" s="633"/>
      <c r="AG2271" s="94"/>
      <c r="AH2271" s="94"/>
      <c r="AI2271" s="94"/>
      <c r="AJ2271" s="94"/>
      <c r="AK2271" s="94"/>
      <c r="AL2271" s="94"/>
    </row>
    <row r="2272" spans="3:38">
      <c r="C2272" s="30"/>
      <c r="F2272" s="95"/>
      <c r="G2272" s="1"/>
      <c r="H2272" s="94"/>
      <c r="I2272" s="90"/>
      <c r="J2272" s="90"/>
      <c r="K2272" s="1"/>
      <c r="L2272" s="74"/>
      <c r="M2272" s="633"/>
      <c r="N2272" s="274"/>
      <c r="O2272" s="94"/>
      <c r="P2272" s="94"/>
      <c r="Q2272" s="94"/>
      <c r="R2272" s="94"/>
      <c r="S2272" s="94"/>
      <c r="V2272" s="30"/>
      <c r="W2272" s="30"/>
      <c r="X2272" s="1"/>
      <c r="Y2272" s="95"/>
      <c r="Z2272" s="1"/>
      <c r="AA2272" s="94"/>
      <c r="AB2272" s="1"/>
      <c r="AC2272" s="1"/>
      <c r="AD2272" s="1"/>
      <c r="AE2272" s="30"/>
      <c r="AF2272" s="633"/>
      <c r="AG2272" s="94"/>
      <c r="AH2272" s="94"/>
      <c r="AI2272" s="94"/>
      <c r="AJ2272" s="94"/>
      <c r="AK2272" s="94"/>
      <c r="AL2272" s="94"/>
    </row>
    <row r="2273" spans="3:38">
      <c r="C2273" s="30"/>
      <c r="F2273" s="95"/>
      <c r="G2273" s="1"/>
      <c r="H2273" s="94"/>
      <c r="I2273" s="90"/>
      <c r="J2273" s="90"/>
      <c r="K2273" s="1"/>
      <c r="L2273" s="74"/>
      <c r="M2273" s="633"/>
      <c r="N2273" s="274"/>
      <c r="O2273" s="94"/>
      <c r="P2273" s="94"/>
      <c r="Q2273" s="94"/>
      <c r="R2273" s="94"/>
      <c r="S2273" s="94"/>
      <c r="V2273" s="30"/>
      <c r="W2273" s="30"/>
      <c r="X2273" s="1"/>
      <c r="Y2273" s="95"/>
      <c r="Z2273" s="1"/>
      <c r="AA2273" s="94"/>
      <c r="AB2273" s="1"/>
      <c r="AC2273" s="1"/>
      <c r="AD2273" s="1"/>
      <c r="AE2273" s="30"/>
      <c r="AF2273" s="633"/>
      <c r="AG2273" s="94"/>
      <c r="AH2273" s="94"/>
      <c r="AI2273" s="94"/>
      <c r="AJ2273" s="94"/>
      <c r="AK2273" s="94"/>
      <c r="AL2273" s="94"/>
    </row>
    <row r="2274" spans="3:38">
      <c r="C2274" s="30"/>
      <c r="F2274" s="95"/>
      <c r="G2274" s="1"/>
      <c r="H2274" s="94"/>
      <c r="I2274" s="90"/>
      <c r="J2274" s="90"/>
      <c r="K2274" s="1"/>
      <c r="L2274" s="74"/>
      <c r="M2274" s="633"/>
      <c r="N2274" s="274"/>
      <c r="O2274" s="94"/>
      <c r="P2274" s="94"/>
      <c r="Q2274" s="94"/>
      <c r="R2274" s="94"/>
      <c r="S2274" s="94"/>
      <c r="V2274" s="30"/>
      <c r="W2274" s="30"/>
      <c r="X2274" s="1"/>
      <c r="Y2274" s="95"/>
      <c r="Z2274" s="1"/>
      <c r="AA2274" s="94"/>
      <c r="AB2274" s="1"/>
      <c r="AC2274" s="1"/>
      <c r="AD2274" s="1"/>
      <c r="AE2274" s="30"/>
      <c r="AF2274" s="633"/>
      <c r="AG2274" s="94"/>
      <c r="AH2274" s="94"/>
      <c r="AI2274" s="94"/>
      <c r="AJ2274" s="94"/>
      <c r="AK2274" s="94"/>
      <c r="AL2274" s="94"/>
    </row>
    <row r="2275" spans="3:38">
      <c r="C2275" s="30"/>
      <c r="F2275" s="95"/>
      <c r="G2275" s="1"/>
      <c r="H2275" s="94"/>
      <c r="I2275" s="90"/>
      <c r="J2275" s="90"/>
      <c r="K2275" s="1"/>
      <c r="L2275" s="74"/>
      <c r="M2275" s="633"/>
      <c r="N2275" s="274"/>
      <c r="O2275" s="94"/>
      <c r="P2275" s="94"/>
      <c r="Q2275" s="94"/>
      <c r="R2275" s="94"/>
      <c r="S2275" s="94"/>
      <c r="V2275" s="30"/>
      <c r="W2275" s="30"/>
      <c r="X2275" s="1"/>
      <c r="Y2275" s="95"/>
      <c r="Z2275" s="1"/>
      <c r="AA2275" s="94"/>
      <c r="AB2275" s="1"/>
      <c r="AC2275" s="1"/>
      <c r="AD2275" s="1"/>
      <c r="AE2275" s="30"/>
      <c r="AF2275" s="633"/>
      <c r="AG2275" s="94"/>
      <c r="AH2275" s="94"/>
      <c r="AI2275" s="94"/>
      <c r="AJ2275" s="94"/>
      <c r="AK2275" s="94"/>
      <c r="AL2275" s="94"/>
    </row>
    <row r="2276" spans="3:38">
      <c r="C2276" s="30"/>
      <c r="F2276" s="95"/>
      <c r="G2276" s="1"/>
      <c r="H2276" s="94"/>
      <c r="I2276" s="90"/>
      <c r="J2276" s="90"/>
      <c r="K2276" s="1"/>
      <c r="L2276" s="74"/>
      <c r="M2276" s="633"/>
      <c r="N2276" s="274"/>
      <c r="O2276" s="94"/>
      <c r="P2276" s="94"/>
      <c r="Q2276" s="94"/>
      <c r="R2276" s="94"/>
      <c r="S2276" s="94"/>
      <c r="V2276" s="30"/>
      <c r="W2276" s="30"/>
      <c r="X2276" s="1"/>
      <c r="Y2276" s="95"/>
      <c r="Z2276" s="1"/>
      <c r="AA2276" s="94"/>
      <c r="AB2276" s="1"/>
      <c r="AC2276" s="1"/>
      <c r="AD2276" s="1"/>
      <c r="AE2276" s="30"/>
      <c r="AF2276" s="633"/>
      <c r="AG2276" s="94"/>
      <c r="AH2276" s="94"/>
      <c r="AI2276" s="94"/>
      <c r="AJ2276" s="94"/>
      <c r="AK2276" s="94"/>
      <c r="AL2276" s="94"/>
    </row>
    <row r="2277" spans="3:38">
      <c r="C2277" s="30"/>
      <c r="F2277" s="95"/>
      <c r="G2277" s="1"/>
      <c r="H2277" s="94"/>
      <c r="I2277" s="90"/>
      <c r="J2277" s="90"/>
      <c r="K2277" s="1"/>
      <c r="L2277" s="74"/>
      <c r="M2277" s="633"/>
      <c r="N2277" s="274"/>
      <c r="O2277" s="94"/>
      <c r="P2277" s="94"/>
      <c r="Q2277" s="94"/>
      <c r="R2277" s="94"/>
      <c r="S2277" s="94"/>
      <c r="V2277" s="30"/>
      <c r="W2277" s="30"/>
      <c r="X2277" s="1"/>
      <c r="Y2277" s="95"/>
      <c r="Z2277" s="1"/>
      <c r="AA2277" s="94"/>
      <c r="AB2277" s="1"/>
      <c r="AC2277" s="1"/>
      <c r="AD2277" s="1"/>
      <c r="AE2277" s="30"/>
      <c r="AF2277" s="633"/>
      <c r="AG2277" s="94"/>
      <c r="AH2277" s="94"/>
      <c r="AI2277" s="94"/>
      <c r="AJ2277" s="94"/>
      <c r="AK2277" s="94"/>
      <c r="AL2277" s="94"/>
    </row>
    <row r="2278" spans="3:38">
      <c r="C2278" s="30"/>
      <c r="F2278" s="95"/>
      <c r="G2278" s="1"/>
      <c r="H2278" s="94"/>
      <c r="I2278" s="90"/>
      <c r="J2278" s="90"/>
      <c r="K2278" s="1"/>
      <c r="L2278" s="74"/>
      <c r="M2278" s="633"/>
      <c r="N2278" s="274"/>
      <c r="O2278" s="94"/>
      <c r="P2278" s="94"/>
      <c r="Q2278" s="94"/>
      <c r="R2278" s="94"/>
      <c r="S2278" s="94"/>
      <c r="V2278" s="30"/>
      <c r="W2278" s="30"/>
      <c r="X2278" s="1"/>
      <c r="Y2278" s="95"/>
      <c r="Z2278" s="1"/>
      <c r="AA2278" s="94"/>
      <c r="AB2278" s="1"/>
      <c r="AC2278" s="1"/>
      <c r="AD2278" s="1"/>
      <c r="AE2278" s="30"/>
      <c r="AF2278" s="633"/>
      <c r="AG2278" s="94"/>
      <c r="AH2278" s="94"/>
      <c r="AI2278" s="94"/>
      <c r="AJ2278" s="94"/>
      <c r="AK2278" s="94"/>
      <c r="AL2278" s="94"/>
    </row>
    <row r="2279" spans="3:38">
      <c r="C2279" s="30"/>
      <c r="F2279" s="95"/>
      <c r="G2279" s="1"/>
      <c r="H2279" s="94"/>
      <c r="I2279" s="90"/>
      <c r="J2279" s="90"/>
      <c r="K2279" s="1"/>
      <c r="L2279" s="74"/>
      <c r="M2279" s="633"/>
      <c r="N2279" s="274"/>
      <c r="O2279" s="94"/>
      <c r="P2279" s="94"/>
      <c r="Q2279" s="94"/>
      <c r="R2279" s="94"/>
      <c r="S2279" s="94"/>
      <c r="V2279" s="30"/>
      <c r="W2279" s="30"/>
      <c r="X2279" s="1"/>
      <c r="Y2279" s="95"/>
      <c r="Z2279" s="1"/>
      <c r="AA2279" s="94"/>
      <c r="AB2279" s="1"/>
      <c r="AC2279" s="1"/>
      <c r="AD2279" s="1"/>
      <c r="AE2279" s="30"/>
      <c r="AF2279" s="633"/>
      <c r="AG2279" s="94"/>
      <c r="AH2279" s="94"/>
      <c r="AI2279" s="94"/>
      <c r="AJ2279" s="94"/>
      <c r="AK2279" s="94"/>
      <c r="AL2279" s="94"/>
    </row>
    <row r="2280" spans="3:38">
      <c r="C2280" s="30"/>
      <c r="F2280" s="95"/>
      <c r="G2280" s="1"/>
      <c r="H2280" s="94"/>
      <c r="I2280" s="90"/>
      <c r="J2280" s="90"/>
      <c r="K2280" s="1"/>
      <c r="L2280" s="74"/>
      <c r="M2280" s="633"/>
      <c r="N2280" s="274"/>
      <c r="O2280" s="94"/>
      <c r="P2280" s="94"/>
      <c r="Q2280" s="94"/>
      <c r="R2280" s="94"/>
      <c r="S2280" s="94"/>
      <c r="V2280" s="30"/>
      <c r="W2280" s="30"/>
      <c r="X2280" s="1"/>
      <c r="Y2280" s="95"/>
      <c r="Z2280" s="1"/>
      <c r="AA2280" s="94"/>
      <c r="AB2280" s="1"/>
      <c r="AC2280" s="1"/>
      <c r="AD2280" s="1"/>
      <c r="AE2280" s="30"/>
      <c r="AF2280" s="633"/>
      <c r="AG2280" s="94"/>
      <c r="AH2280" s="94"/>
      <c r="AI2280" s="94"/>
      <c r="AJ2280" s="94"/>
      <c r="AK2280" s="94"/>
      <c r="AL2280" s="94"/>
    </row>
    <row r="2281" spans="3:38">
      <c r="C2281" s="30"/>
      <c r="F2281" s="95"/>
      <c r="G2281" s="1"/>
      <c r="H2281" s="94"/>
      <c r="I2281" s="90"/>
      <c r="J2281" s="90"/>
      <c r="K2281" s="1"/>
      <c r="L2281" s="74"/>
      <c r="M2281" s="633"/>
      <c r="N2281" s="274"/>
      <c r="O2281" s="94"/>
      <c r="P2281" s="94"/>
      <c r="Q2281" s="94"/>
      <c r="R2281" s="94"/>
      <c r="S2281" s="94"/>
      <c r="V2281" s="30"/>
      <c r="W2281" s="30"/>
      <c r="X2281" s="1"/>
      <c r="Y2281" s="95"/>
      <c r="Z2281" s="1"/>
      <c r="AA2281" s="94"/>
      <c r="AB2281" s="1"/>
      <c r="AC2281" s="1"/>
      <c r="AD2281" s="1"/>
      <c r="AE2281" s="30"/>
      <c r="AF2281" s="633"/>
      <c r="AG2281" s="94"/>
      <c r="AH2281" s="94"/>
      <c r="AI2281" s="94"/>
      <c r="AJ2281" s="94"/>
      <c r="AK2281" s="94"/>
      <c r="AL2281" s="94"/>
    </row>
    <row r="2282" spans="3:38">
      <c r="C2282" s="30"/>
      <c r="F2282" s="95"/>
      <c r="G2282" s="1"/>
      <c r="H2282" s="94"/>
      <c r="I2282" s="90"/>
      <c r="J2282" s="90"/>
      <c r="K2282" s="1"/>
      <c r="L2282" s="74"/>
      <c r="M2282" s="633"/>
      <c r="N2282" s="274"/>
      <c r="O2282" s="94"/>
      <c r="P2282" s="94"/>
      <c r="Q2282" s="94"/>
      <c r="R2282" s="94"/>
      <c r="S2282" s="94"/>
      <c r="V2282" s="30"/>
      <c r="W2282" s="30"/>
      <c r="X2282" s="1"/>
      <c r="Y2282" s="95"/>
      <c r="Z2282" s="1"/>
      <c r="AA2282" s="94"/>
      <c r="AB2282" s="1"/>
      <c r="AC2282" s="1"/>
      <c r="AD2282" s="1"/>
      <c r="AE2282" s="30"/>
      <c r="AF2282" s="633"/>
      <c r="AG2282" s="94"/>
      <c r="AH2282" s="94"/>
      <c r="AI2282" s="94"/>
      <c r="AJ2282" s="94"/>
      <c r="AK2282" s="94"/>
      <c r="AL2282" s="94"/>
    </row>
    <row r="2283" spans="3:38">
      <c r="C2283" s="30"/>
      <c r="F2283" s="95"/>
      <c r="G2283" s="1"/>
      <c r="H2283" s="94"/>
      <c r="I2283" s="90"/>
      <c r="J2283" s="90"/>
      <c r="K2283" s="1"/>
      <c r="L2283" s="74"/>
      <c r="M2283" s="633"/>
      <c r="N2283" s="274"/>
      <c r="O2283" s="94"/>
      <c r="P2283" s="94"/>
      <c r="Q2283" s="94"/>
      <c r="R2283" s="94"/>
      <c r="S2283" s="94"/>
      <c r="V2283" s="30"/>
      <c r="W2283" s="30"/>
      <c r="X2283" s="1"/>
      <c r="Y2283" s="95"/>
      <c r="Z2283" s="1"/>
      <c r="AA2283" s="94"/>
      <c r="AB2283" s="1"/>
      <c r="AC2283" s="1"/>
      <c r="AD2283" s="1"/>
      <c r="AE2283" s="30"/>
      <c r="AF2283" s="633"/>
      <c r="AG2283" s="94"/>
      <c r="AH2283" s="94"/>
      <c r="AI2283" s="94"/>
      <c r="AJ2283" s="94"/>
      <c r="AK2283" s="94"/>
      <c r="AL2283" s="94"/>
    </row>
    <row r="2284" spans="3:38">
      <c r="C2284" s="30"/>
      <c r="F2284" s="95"/>
      <c r="G2284" s="1"/>
      <c r="H2284" s="94"/>
      <c r="I2284" s="90"/>
      <c r="J2284" s="90"/>
      <c r="K2284" s="1"/>
      <c r="L2284" s="74"/>
      <c r="M2284" s="633"/>
      <c r="N2284" s="274"/>
      <c r="O2284" s="94"/>
      <c r="P2284" s="94"/>
      <c r="Q2284" s="94"/>
      <c r="R2284" s="94"/>
      <c r="S2284" s="94"/>
      <c r="V2284" s="30"/>
      <c r="W2284" s="30"/>
      <c r="X2284" s="1"/>
      <c r="Y2284" s="95"/>
      <c r="Z2284" s="1"/>
      <c r="AA2284" s="94"/>
      <c r="AB2284" s="1"/>
      <c r="AC2284" s="1"/>
      <c r="AD2284" s="1"/>
      <c r="AE2284" s="30"/>
      <c r="AF2284" s="633"/>
      <c r="AG2284" s="94"/>
      <c r="AH2284" s="94"/>
      <c r="AI2284" s="94"/>
      <c r="AJ2284" s="94"/>
      <c r="AK2284" s="94"/>
      <c r="AL2284" s="94"/>
    </row>
    <row r="2285" spans="3:38">
      <c r="C2285" s="30"/>
      <c r="F2285" s="95"/>
      <c r="G2285" s="1"/>
      <c r="H2285" s="94"/>
      <c r="I2285" s="90"/>
      <c r="J2285" s="90"/>
      <c r="K2285" s="1"/>
      <c r="L2285" s="74"/>
      <c r="M2285" s="633"/>
      <c r="N2285" s="274"/>
      <c r="O2285" s="94"/>
      <c r="P2285" s="94"/>
      <c r="Q2285" s="94"/>
      <c r="R2285" s="94"/>
      <c r="S2285" s="94"/>
      <c r="V2285" s="30"/>
      <c r="W2285" s="30"/>
      <c r="X2285" s="1"/>
      <c r="Y2285" s="95"/>
      <c r="Z2285" s="1"/>
      <c r="AA2285" s="94"/>
      <c r="AB2285" s="1"/>
      <c r="AC2285" s="1"/>
      <c r="AD2285" s="1"/>
      <c r="AE2285" s="30"/>
      <c r="AF2285" s="633"/>
      <c r="AG2285" s="94"/>
      <c r="AH2285" s="94"/>
      <c r="AI2285" s="94"/>
      <c r="AJ2285" s="94"/>
      <c r="AK2285" s="94"/>
      <c r="AL2285" s="94"/>
    </row>
    <row r="2286" spans="3:38">
      <c r="C2286" s="30"/>
      <c r="F2286" s="95"/>
      <c r="G2286" s="1"/>
      <c r="H2286" s="94"/>
      <c r="I2286" s="90"/>
      <c r="J2286" s="90"/>
      <c r="K2286" s="1"/>
      <c r="L2286" s="74"/>
      <c r="M2286" s="633"/>
      <c r="N2286" s="274"/>
      <c r="O2286" s="94"/>
      <c r="P2286" s="94"/>
      <c r="Q2286" s="94"/>
      <c r="R2286" s="94"/>
      <c r="S2286" s="94"/>
      <c r="V2286" s="30"/>
      <c r="W2286" s="30"/>
      <c r="X2286" s="1"/>
      <c r="Y2286" s="95"/>
      <c r="Z2286" s="1"/>
      <c r="AA2286" s="94"/>
      <c r="AB2286" s="1"/>
      <c r="AC2286" s="1"/>
      <c r="AD2286" s="1"/>
      <c r="AE2286" s="30"/>
      <c r="AF2286" s="633"/>
      <c r="AG2286" s="94"/>
      <c r="AH2286" s="94"/>
      <c r="AI2286" s="94"/>
      <c r="AJ2286" s="94"/>
      <c r="AK2286" s="94"/>
      <c r="AL2286" s="94"/>
    </row>
    <row r="2287" spans="3:38">
      <c r="C2287" s="30"/>
      <c r="F2287" s="95"/>
      <c r="G2287" s="1"/>
      <c r="H2287" s="94"/>
      <c r="I2287" s="90"/>
      <c r="J2287" s="90"/>
      <c r="K2287" s="1"/>
      <c r="L2287" s="74"/>
      <c r="M2287" s="633"/>
      <c r="N2287" s="274"/>
      <c r="O2287" s="94"/>
      <c r="P2287" s="94"/>
      <c r="Q2287" s="94"/>
      <c r="R2287" s="94"/>
      <c r="S2287" s="94"/>
      <c r="V2287" s="30"/>
      <c r="W2287" s="30"/>
      <c r="X2287" s="1"/>
      <c r="Y2287" s="95"/>
      <c r="Z2287" s="1"/>
      <c r="AA2287" s="94"/>
      <c r="AB2287" s="1"/>
      <c r="AC2287" s="1"/>
      <c r="AD2287" s="1"/>
      <c r="AE2287" s="30"/>
      <c r="AF2287" s="633"/>
      <c r="AG2287" s="94"/>
      <c r="AH2287" s="94"/>
      <c r="AI2287" s="94"/>
      <c r="AJ2287" s="94"/>
      <c r="AK2287" s="94"/>
      <c r="AL2287" s="94"/>
    </row>
    <row r="2288" spans="3:38">
      <c r="C2288" s="30"/>
      <c r="F2288" s="95"/>
      <c r="G2288" s="1"/>
      <c r="H2288" s="94"/>
      <c r="I2288" s="90"/>
      <c r="J2288" s="90"/>
      <c r="K2288" s="1"/>
      <c r="L2288" s="74"/>
      <c r="M2288" s="633"/>
      <c r="N2288" s="274"/>
      <c r="O2288" s="94"/>
      <c r="P2288" s="94"/>
      <c r="Q2288" s="94"/>
      <c r="R2288" s="94"/>
      <c r="S2288" s="94"/>
      <c r="V2288" s="30"/>
      <c r="W2288" s="30"/>
      <c r="X2288" s="1"/>
      <c r="Y2288" s="95"/>
      <c r="Z2288" s="1"/>
      <c r="AA2288" s="94"/>
      <c r="AB2288" s="1"/>
      <c r="AC2288" s="1"/>
      <c r="AD2288" s="1"/>
      <c r="AE2288" s="30"/>
      <c r="AF2288" s="633"/>
      <c r="AG2288" s="94"/>
      <c r="AH2288" s="94"/>
      <c r="AI2288" s="94"/>
      <c r="AJ2288" s="94"/>
      <c r="AK2288" s="94"/>
      <c r="AL2288" s="94"/>
    </row>
    <row r="2289" spans="3:38">
      <c r="C2289" s="30"/>
      <c r="F2289" s="95"/>
      <c r="G2289" s="1"/>
      <c r="H2289" s="94"/>
      <c r="I2289" s="90"/>
      <c r="J2289" s="90"/>
      <c r="K2289" s="1"/>
      <c r="L2289" s="74"/>
      <c r="M2289" s="633"/>
      <c r="N2289" s="274"/>
      <c r="O2289" s="94"/>
      <c r="P2289" s="94"/>
      <c r="Q2289" s="94"/>
      <c r="R2289" s="94"/>
      <c r="S2289" s="94"/>
      <c r="V2289" s="30"/>
      <c r="W2289" s="30"/>
      <c r="X2289" s="1"/>
      <c r="Y2289" s="95"/>
      <c r="Z2289" s="1"/>
      <c r="AA2289" s="94"/>
      <c r="AB2289" s="1"/>
      <c r="AC2289" s="1"/>
      <c r="AD2289" s="1"/>
      <c r="AE2289" s="30"/>
      <c r="AF2289" s="633"/>
      <c r="AG2289" s="94"/>
      <c r="AH2289" s="94"/>
      <c r="AI2289" s="94"/>
      <c r="AJ2289" s="94"/>
      <c r="AK2289" s="94"/>
      <c r="AL2289" s="94"/>
    </row>
    <row r="2290" spans="3:38">
      <c r="C2290" s="30"/>
      <c r="F2290" s="95"/>
      <c r="G2290" s="1"/>
      <c r="H2290" s="94"/>
      <c r="I2290" s="90"/>
      <c r="J2290" s="90"/>
      <c r="K2290" s="1"/>
      <c r="L2290" s="74"/>
      <c r="M2290" s="633"/>
      <c r="N2290" s="274"/>
      <c r="O2290" s="94"/>
      <c r="P2290" s="94"/>
      <c r="Q2290" s="94"/>
      <c r="R2290" s="94"/>
      <c r="S2290" s="94"/>
      <c r="V2290" s="30"/>
      <c r="W2290" s="30"/>
      <c r="X2290" s="1"/>
      <c r="Y2290" s="95"/>
      <c r="Z2290" s="1"/>
      <c r="AA2290" s="94"/>
      <c r="AB2290" s="1"/>
      <c r="AC2290" s="1"/>
      <c r="AD2290" s="1"/>
      <c r="AE2290" s="30"/>
      <c r="AF2290" s="633"/>
      <c r="AG2290" s="94"/>
      <c r="AH2290" s="94"/>
      <c r="AI2290" s="94"/>
      <c r="AJ2290" s="94"/>
      <c r="AK2290" s="94"/>
      <c r="AL2290" s="94"/>
    </row>
    <row r="2291" spans="3:38">
      <c r="C2291" s="30"/>
      <c r="F2291" s="95"/>
      <c r="G2291" s="1"/>
      <c r="H2291" s="94"/>
      <c r="I2291" s="90"/>
      <c r="J2291" s="90"/>
      <c r="K2291" s="1"/>
      <c r="L2291" s="74"/>
      <c r="M2291" s="633"/>
      <c r="N2291" s="274"/>
      <c r="O2291" s="94"/>
      <c r="P2291" s="94"/>
      <c r="Q2291" s="94"/>
      <c r="R2291" s="94"/>
      <c r="S2291" s="94"/>
      <c r="V2291" s="30"/>
      <c r="W2291" s="30"/>
      <c r="X2291" s="1"/>
      <c r="Y2291" s="95"/>
      <c r="Z2291" s="1"/>
      <c r="AA2291" s="94"/>
      <c r="AB2291" s="1"/>
      <c r="AC2291" s="1"/>
      <c r="AD2291" s="1"/>
      <c r="AE2291" s="30"/>
      <c r="AF2291" s="633"/>
      <c r="AG2291" s="94"/>
      <c r="AH2291" s="94"/>
      <c r="AI2291" s="94"/>
      <c r="AJ2291" s="94"/>
      <c r="AK2291" s="94"/>
      <c r="AL2291" s="94"/>
    </row>
    <row r="2292" spans="3:38">
      <c r="C2292" s="30"/>
      <c r="F2292" s="95"/>
      <c r="G2292" s="1"/>
      <c r="H2292" s="94"/>
      <c r="I2292" s="90"/>
      <c r="J2292" s="90"/>
      <c r="K2292" s="1"/>
      <c r="L2292" s="74"/>
      <c r="M2292" s="633"/>
      <c r="N2292" s="274"/>
      <c r="O2292" s="94"/>
      <c r="P2292" s="94"/>
      <c r="Q2292" s="94"/>
      <c r="R2292" s="94"/>
      <c r="S2292" s="94"/>
      <c r="V2292" s="30"/>
      <c r="W2292" s="30"/>
      <c r="X2292" s="1"/>
      <c r="Y2292" s="95"/>
      <c r="Z2292" s="1"/>
      <c r="AA2292" s="94"/>
      <c r="AB2292" s="1"/>
      <c r="AC2292" s="1"/>
      <c r="AD2292" s="1"/>
      <c r="AE2292" s="30"/>
      <c r="AF2292" s="633"/>
      <c r="AG2292" s="94"/>
      <c r="AH2292" s="94"/>
      <c r="AI2292" s="94"/>
      <c r="AJ2292" s="94"/>
      <c r="AK2292" s="94"/>
      <c r="AL2292" s="94"/>
    </row>
    <row r="2293" spans="3:38">
      <c r="C2293" s="30"/>
      <c r="F2293" s="95"/>
      <c r="G2293" s="1"/>
      <c r="H2293" s="94"/>
      <c r="I2293" s="90"/>
      <c r="J2293" s="90"/>
      <c r="K2293" s="1"/>
      <c r="L2293" s="74"/>
      <c r="M2293" s="633"/>
      <c r="N2293" s="274"/>
      <c r="O2293" s="94"/>
      <c r="P2293" s="94"/>
      <c r="Q2293" s="94"/>
      <c r="R2293" s="94"/>
      <c r="S2293" s="94"/>
      <c r="V2293" s="30"/>
      <c r="W2293" s="30"/>
      <c r="X2293" s="1"/>
      <c r="Y2293" s="95"/>
      <c r="Z2293" s="1"/>
      <c r="AA2293" s="94"/>
      <c r="AB2293" s="1"/>
      <c r="AC2293" s="1"/>
      <c r="AD2293" s="1"/>
      <c r="AE2293" s="30"/>
      <c r="AF2293" s="633"/>
      <c r="AG2293" s="94"/>
      <c r="AH2293" s="94"/>
      <c r="AI2293" s="94"/>
      <c r="AJ2293" s="94"/>
      <c r="AK2293" s="94"/>
      <c r="AL2293" s="94"/>
    </row>
    <row r="2294" spans="3:38">
      <c r="C2294" s="30"/>
      <c r="F2294" s="95"/>
      <c r="G2294" s="1"/>
      <c r="H2294" s="94"/>
      <c r="I2294" s="90"/>
      <c r="J2294" s="90"/>
      <c r="K2294" s="1"/>
      <c r="L2294" s="74"/>
      <c r="M2294" s="633"/>
      <c r="N2294" s="274"/>
      <c r="O2294" s="94"/>
      <c r="P2294" s="94"/>
      <c r="Q2294" s="94"/>
      <c r="R2294" s="94"/>
      <c r="S2294" s="94"/>
      <c r="V2294" s="30"/>
      <c r="W2294" s="30"/>
      <c r="X2294" s="1"/>
      <c r="Y2294" s="95"/>
      <c r="Z2294" s="1"/>
      <c r="AA2294" s="94"/>
      <c r="AB2294" s="1"/>
      <c r="AC2294" s="1"/>
      <c r="AD2294" s="1"/>
      <c r="AE2294" s="30"/>
      <c r="AF2294" s="633"/>
      <c r="AG2294" s="94"/>
      <c r="AH2294" s="94"/>
      <c r="AI2294" s="94"/>
      <c r="AJ2294" s="94"/>
      <c r="AK2294" s="94"/>
      <c r="AL2294" s="94"/>
    </row>
    <row r="2295" spans="3:38">
      <c r="C2295" s="30"/>
      <c r="F2295" s="95"/>
      <c r="G2295" s="1"/>
      <c r="H2295" s="94"/>
      <c r="I2295" s="90"/>
      <c r="J2295" s="90"/>
      <c r="K2295" s="1"/>
      <c r="L2295" s="74"/>
      <c r="M2295" s="633"/>
      <c r="N2295" s="274"/>
      <c r="O2295" s="94"/>
      <c r="P2295" s="94"/>
      <c r="Q2295" s="94"/>
      <c r="R2295" s="94"/>
      <c r="S2295" s="94"/>
      <c r="V2295" s="30"/>
      <c r="W2295" s="30"/>
      <c r="X2295" s="1"/>
      <c r="Y2295" s="95"/>
      <c r="Z2295" s="1"/>
      <c r="AA2295" s="94"/>
      <c r="AB2295" s="1"/>
      <c r="AC2295" s="1"/>
      <c r="AD2295" s="1"/>
      <c r="AE2295" s="30"/>
      <c r="AF2295" s="633"/>
      <c r="AG2295" s="94"/>
      <c r="AH2295" s="94"/>
      <c r="AI2295" s="94"/>
      <c r="AJ2295" s="94"/>
      <c r="AK2295" s="94"/>
      <c r="AL2295" s="94"/>
    </row>
    <row r="2296" spans="3:38">
      <c r="C2296" s="30"/>
      <c r="F2296" s="95"/>
      <c r="G2296" s="1"/>
      <c r="H2296" s="94"/>
      <c r="I2296" s="90"/>
      <c r="J2296" s="90"/>
      <c r="K2296" s="1"/>
      <c r="L2296" s="74"/>
      <c r="M2296" s="633"/>
      <c r="N2296" s="274"/>
      <c r="O2296" s="94"/>
      <c r="P2296" s="94"/>
      <c r="Q2296" s="94"/>
      <c r="R2296" s="94"/>
      <c r="S2296" s="94"/>
      <c r="V2296" s="30"/>
      <c r="W2296" s="30"/>
      <c r="X2296" s="1"/>
      <c r="Y2296" s="95"/>
      <c r="Z2296" s="1"/>
      <c r="AA2296" s="94"/>
      <c r="AB2296" s="1"/>
      <c r="AC2296" s="1"/>
      <c r="AD2296" s="1"/>
      <c r="AE2296" s="30"/>
      <c r="AF2296" s="633"/>
      <c r="AG2296" s="94"/>
      <c r="AH2296" s="94"/>
      <c r="AI2296" s="94"/>
      <c r="AJ2296" s="94"/>
      <c r="AK2296" s="94"/>
      <c r="AL2296" s="94"/>
    </row>
    <row r="2297" spans="3:38">
      <c r="C2297" s="30"/>
      <c r="F2297" s="95"/>
      <c r="G2297" s="1"/>
      <c r="H2297" s="94"/>
      <c r="I2297" s="90"/>
      <c r="J2297" s="90"/>
      <c r="K2297" s="1"/>
      <c r="L2297" s="74"/>
      <c r="M2297" s="633"/>
      <c r="N2297" s="274"/>
      <c r="O2297" s="94"/>
      <c r="P2297" s="94"/>
      <c r="Q2297" s="94"/>
      <c r="R2297" s="94"/>
      <c r="S2297" s="94"/>
      <c r="V2297" s="30"/>
      <c r="W2297" s="30"/>
      <c r="X2297" s="1"/>
      <c r="Y2297" s="95"/>
      <c r="Z2297" s="1"/>
      <c r="AA2297" s="94"/>
      <c r="AB2297" s="1"/>
      <c r="AC2297" s="1"/>
      <c r="AD2297" s="1"/>
      <c r="AE2297" s="30"/>
      <c r="AF2297" s="633"/>
      <c r="AG2297" s="94"/>
      <c r="AH2297" s="94"/>
      <c r="AI2297" s="94"/>
      <c r="AJ2297" s="94"/>
      <c r="AK2297" s="94"/>
      <c r="AL2297" s="94"/>
    </row>
    <row r="2298" spans="3:38">
      <c r="C2298" s="30"/>
      <c r="F2298" s="95"/>
      <c r="G2298" s="1"/>
      <c r="H2298" s="94"/>
      <c r="I2298" s="90"/>
      <c r="J2298" s="90"/>
      <c r="K2298" s="1"/>
      <c r="L2298" s="74"/>
      <c r="M2298" s="633"/>
      <c r="N2298" s="274"/>
      <c r="O2298" s="94"/>
      <c r="P2298" s="94"/>
      <c r="Q2298" s="94"/>
      <c r="R2298" s="94"/>
      <c r="S2298" s="94"/>
      <c r="V2298" s="30"/>
      <c r="W2298" s="30"/>
      <c r="X2298" s="1"/>
      <c r="Y2298" s="95"/>
      <c r="Z2298" s="1"/>
      <c r="AA2298" s="94"/>
      <c r="AB2298" s="1"/>
      <c r="AC2298" s="1"/>
      <c r="AD2298" s="1"/>
      <c r="AE2298" s="30"/>
      <c r="AF2298" s="633"/>
      <c r="AG2298" s="94"/>
      <c r="AH2298" s="94"/>
      <c r="AI2298" s="94"/>
      <c r="AJ2298" s="94"/>
      <c r="AK2298" s="94"/>
      <c r="AL2298" s="94"/>
    </row>
    <row r="2299" spans="3:38">
      <c r="C2299" s="30"/>
      <c r="F2299" s="95"/>
      <c r="G2299" s="1"/>
      <c r="H2299" s="94"/>
      <c r="I2299" s="90"/>
      <c r="J2299" s="90"/>
      <c r="K2299" s="1"/>
      <c r="L2299" s="74"/>
      <c r="M2299" s="633"/>
      <c r="N2299" s="274"/>
      <c r="O2299" s="94"/>
      <c r="P2299" s="94"/>
      <c r="Q2299" s="94"/>
      <c r="R2299" s="94"/>
      <c r="S2299" s="94"/>
      <c r="V2299" s="30"/>
      <c r="W2299" s="30"/>
      <c r="X2299" s="1"/>
      <c r="Y2299" s="95"/>
      <c r="Z2299" s="1"/>
      <c r="AA2299" s="94"/>
      <c r="AB2299" s="1"/>
      <c r="AC2299" s="1"/>
      <c r="AD2299" s="1"/>
      <c r="AE2299" s="30"/>
      <c r="AF2299" s="633"/>
      <c r="AG2299" s="94"/>
      <c r="AH2299" s="94"/>
      <c r="AI2299" s="94"/>
      <c r="AJ2299" s="94"/>
      <c r="AK2299" s="94"/>
      <c r="AL2299" s="94"/>
    </row>
    <row r="2300" spans="3:38">
      <c r="C2300" s="30"/>
      <c r="F2300" s="95"/>
      <c r="G2300" s="1"/>
      <c r="H2300" s="94"/>
      <c r="I2300" s="90"/>
      <c r="J2300" s="90"/>
      <c r="K2300" s="1"/>
      <c r="L2300" s="74"/>
      <c r="M2300" s="633"/>
      <c r="N2300" s="274"/>
      <c r="O2300" s="94"/>
      <c r="P2300" s="94"/>
      <c r="Q2300" s="94"/>
      <c r="R2300" s="94"/>
      <c r="S2300" s="94"/>
      <c r="V2300" s="30"/>
      <c r="W2300" s="30"/>
      <c r="X2300" s="1"/>
      <c r="Y2300" s="95"/>
      <c r="Z2300" s="1"/>
      <c r="AA2300" s="94"/>
      <c r="AB2300" s="1"/>
      <c r="AC2300" s="1"/>
      <c r="AD2300" s="1"/>
      <c r="AE2300" s="30"/>
      <c r="AF2300" s="633"/>
      <c r="AG2300" s="94"/>
      <c r="AH2300" s="94"/>
      <c r="AI2300" s="94"/>
      <c r="AJ2300" s="94"/>
      <c r="AK2300" s="94"/>
      <c r="AL2300" s="94"/>
    </row>
    <row r="2301" spans="3:38">
      <c r="C2301" s="30"/>
      <c r="F2301" s="95"/>
      <c r="G2301" s="1"/>
      <c r="H2301" s="94"/>
      <c r="I2301" s="90"/>
      <c r="J2301" s="90"/>
      <c r="K2301" s="1"/>
      <c r="L2301" s="74"/>
      <c r="M2301" s="633"/>
      <c r="N2301" s="274"/>
      <c r="O2301" s="94"/>
      <c r="P2301" s="94"/>
      <c r="Q2301" s="94"/>
      <c r="R2301" s="94"/>
      <c r="S2301" s="94"/>
      <c r="V2301" s="30"/>
      <c r="W2301" s="30"/>
      <c r="X2301" s="1"/>
      <c r="Y2301" s="95"/>
      <c r="Z2301" s="1"/>
      <c r="AA2301" s="94"/>
      <c r="AB2301" s="1"/>
      <c r="AC2301" s="1"/>
      <c r="AD2301" s="1"/>
      <c r="AE2301" s="30"/>
      <c r="AF2301" s="633"/>
      <c r="AG2301" s="94"/>
      <c r="AH2301" s="94"/>
      <c r="AI2301" s="94"/>
      <c r="AJ2301" s="94"/>
      <c r="AK2301" s="94"/>
      <c r="AL2301" s="94"/>
    </row>
    <row r="2302" spans="3:38">
      <c r="C2302" s="30"/>
      <c r="F2302" s="95"/>
      <c r="G2302" s="1"/>
      <c r="H2302" s="94"/>
      <c r="I2302" s="90"/>
      <c r="J2302" s="90"/>
      <c r="K2302" s="1"/>
      <c r="L2302" s="74"/>
      <c r="M2302" s="633"/>
      <c r="N2302" s="274"/>
      <c r="O2302" s="94"/>
      <c r="P2302" s="94"/>
      <c r="Q2302" s="94"/>
      <c r="R2302" s="94"/>
      <c r="S2302" s="94"/>
      <c r="V2302" s="30"/>
      <c r="W2302" s="30"/>
      <c r="X2302" s="1"/>
      <c r="Y2302" s="95"/>
      <c r="Z2302" s="1"/>
      <c r="AA2302" s="94"/>
      <c r="AB2302" s="1"/>
      <c r="AC2302" s="1"/>
      <c r="AD2302" s="1"/>
      <c r="AE2302" s="30"/>
      <c r="AF2302" s="633"/>
      <c r="AG2302" s="94"/>
      <c r="AH2302" s="94"/>
      <c r="AI2302" s="94"/>
      <c r="AJ2302" s="94"/>
      <c r="AK2302" s="94"/>
      <c r="AL2302" s="94"/>
    </row>
    <row r="2303" spans="3:38">
      <c r="C2303" s="30"/>
      <c r="F2303" s="95"/>
      <c r="G2303" s="1"/>
      <c r="H2303" s="94"/>
      <c r="I2303" s="90"/>
      <c r="J2303" s="90"/>
      <c r="K2303" s="1"/>
      <c r="L2303" s="74"/>
      <c r="M2303" s="633"/>
      <c r="N2303" s="274"/>
      <c r="O2303" s="94"/>
      <c r="P2303" s="94"/>
      <c r="Q2303" s="94"/>
      <c r="R2303" s="94"/>
      <c r="S2303" s="94"/>
      <c r="V2303" s="30"/>
      <c r="W2303" s="30"/>
      <c r="X2303" s="1"/>
      <c r="Y2303" s="95"/>
      <c r="Z2303" s="1"/>
      <c r="AA2303" s="94"/>
      <c r="AB2303" s="1"/>
      <c r="AC2303" s="1"/>
      <c r="AD2303" s="1"/>
      <c r="AE2303" s="30"/>
      <c r="AF2303" s="633"/>
      <c r="AG2303" s="94"/>
      <c r="AH2303" s="94"/>
      <c r="AI2303" s="94"/>
      <c r="AJ2303" s="94"/>
      <c r="AK2303" s="94"/>
      <c r="AL2303" s="94"/>
    </row>
    <row r="2304" spans="3:38">
      <c r="C2304" s="30"/>
      <c r="F2304" s="95"/>
      <c r="G2304" s="1"/>
      <c r="H2304" s="94"/>
      <c r="I2304" s="90"/>
      <c r="J2304" s="90"/>
      <c r="K2304" s="1"/>
      <c r="L2304" s="74"/>
      <c r="M2304" s="633"/>
      <c r="N2304" s="274"/>
      <c r="O2304" s="94"/>
      <c r="P2304" s="94"/>
      <c r="Q2304" s="94"/>
      <c r="R2304" s="94"/>
      <c r="S2304" s="94"/>
      <c r="V2304" s="30"/>
      <c r="W2304" s="30"/>
      <c r="X2304" s="1"/>
      <c r="Y2304" s="95"/>
      <c r="Z2304" s="1"/>
      <c r="AA2304" s="94"/>
      <c r="AB2304" s="1"/>
      <c r="AC2304" s="1"/>
      <c r="AD2304" s="1"/>
      <c r="AE2304" s="30"/>
      <c r="AF2304" s="633"/>
      <c r="AG2304" s="94"/>
      <c r="AH2304" s="94"/>
      <c r="AI2304" s="94"/>
      <c r="AJ2304" s="94"/>
      <c r="AK2304" s="94"/>
      <c r="AL2304" s="94"/>
    </row>
    <row r="2305" spans="3:38">
      <c r="C2305" s="30"/>
      <c r="F2305" s="95"/>
      <c r="G2305" s="1"/>
      <c r="H2305" s="94"/>
      <c r="I2305" s="90"/>
      <c r="J2305" s="90"/>
      <c r="K2305" s="1"/>
      <c r="L2305" s="74"/>
      <c r="M2305" s="633"/>
      <c r="N2305" s="274"/>
      <c r="O2305" s="94"/>
      <c r="P2305" s="94"/>
      <c r="Q2305" s="94"/>
      <c r="R2305" s="94"/>
      <c r="S2305" s="94"/>
      <c r="V2305" s="30"/>
      <c r="W2305" s="30"/>
      <c r="X2305" s="1"/>
      <c r="Y2305" s="95"/>
      <c r="Z2305" s="1"/>
      <c r="AA2305" s="94"/>
      <c r="AB2305" s="1"/>
      <c r="AC2305" s="1"/>
      <c r="AD2305" s="1"/>
      <c r="AE2305" s="30"/>
      <c r="AF2305" s="633"/>
      <c r="AG2305" s="94"/>
      <c r="AH2305" s="94"/>
      <c r="AI2305" s="94"/>
      <c r="AJ2305" s="94"/>
      <c r="AK2305" s="94"/>
      <c r="AL2305" s="94"/>
    </row>
    <row r="2306" spans="3:38">
      <c r="C2306" s="30"/>
      <c r="F2306" s="95"/>
      <c r="G2306" s="1"/>
      <c r="H2306" s="94"/>
      <c r="I2306" s="90"/>
      <c r="J2306" s="90"/>
      <c r="K2306" s="1"/>
      <c r="L2306" s="74"/>
      <c r="M2306" s="633"/>
      <c r="N2306" s="274"/>
      <c r="O2306" s="94"/>
      <c r="P2306" s="94"/>
      <c r="Q2306" s="94"/>
      <c r="R2306" s="94"/>
      <c r="S2306" s="94"/>
      <c r="V2306" s="30"/>
      <c r="W2306" s="30"/>
      <c r="X2306" s="1"/>
      <c r="Y2306" s="95"/>
      <c r="Z2306" s="1"/>
      <c r="AA2306" s="94"/>
      <c r="AB2306" s="1"/>
      <c r="AC2306" s="1"/>
      <c r="AD2306" s="1"/>
      <c r="AE2306" s="30"/>
      <c r="AF2306" s="633"/>
      <c r="AG2306" s="94"/>
      <c r="AH2306" s="94"/>
      <c r="AI2306" s="94"/>
      <c r="AJ2306" s="94"/>
      <c r="AK2306" s="94"/>
      <c r="AL2306" s="94"/>
    </row>
    <row r="2307" spans="3:38">
      <c r="C2307" s="30"/>
      <c r="F2307" s="95"/>
      <c r="G2307" s="1"/>
      <c r="H2307" s="94"/>
      <c r="I2307" s="90"/>
      <c r="J2307" s="90"/>
      <c r="K2307" s="1"/>
      <c r="L2307" s="74"/>
      <c r="M2307" s="633"/>
      <c r="N2307" s="274"/>
      <c r="O2307" s="94"/>
      <c r="P2307" s="94"/>
      <c r="Q2307" s="94"/>
      <c r="R2307" s="94"/>
      <c r="S2307" s="94"/>
      <c r="V2307" s="30"/>
      <c r="W2307" s="30"/>
      <c r="X2307" s="1"/>
      <c r="Y2307" s="95"/>
      <c r="Z2307" s="1"/>
      <c r="AA2307" s="94"/>
      <c r="AB2307" s="1"/>
      <c r="AC2307" s="1"/>
      <c r="AD2307" s="1"/>
      <c r="AE2307" s="30"/>
      <c r="AF2307" s="633"/>
      <c r="AG2307" s="94"/>
      <c r="AH2307" s="94"/>
      <c r="AI2307" s="94"/>
      <c r="AJ2307" s="94"/>
      <c r="AK2307" s="94"/>
      <c r="AL2307" s="94"/>
    </row>
    <row r="2308" spans="3:38">
      <c r="C2308" s="30"/>
      <c r="F2308" s="95"/>
      <c r="G2308" s="1"/>
      <c r="H2308" s="94"/>
      <c r="I2308" s="90"/>
      <c r="J2308" s="90"/>
      <c r="K2308" s="1"/>
      <c r="L2308" s="74"/>
      <c r="M2308" s="633"/>
      <c r="N2308" s="274"/>
      <c r="O2308" s="94"/>
      <c r="P2308" s="94"/>
      <c r="Q2308" s="94"/>
      <c r="R2308" s="94"/>
      <c r="S2308" s="94"/>
      <c r="V2308" s="30"/>
      <c r="W2308" s="30"/>
      <c r="X2308" s="1"/>
      <c r="Y2308" s="95"/>
      <c r="Z2308" s="1"/>
      <c r="AA2308" s="94"/>
      <c r="AB2308" s="1"/>
      <c r="AC2308" s="1"/>
      <c r="AD2308" s="1"/>
      <c r="AE2308" s="30"/>
      <c r="AF2308" s="633"/>
      <c r="AG2308" s="94"/>
      <c r="AH2308" s="94"/>
      <c r="AI2308" s="94"/>
      <c r="AJ2308" s="94"/>
      <c r="AK2308" s="94"/>
      <c r="AL2308" s="94"/>
    </row>
    <row r="2309" spans="3:38">
      <c r="C2309" s="30"/>
      <c r="F2309" s="95"/>
      <c r="G2309" s="1"/>
      <c r="H2309" s="94"/>
      <c r="I2309" s="90"/>
      <c r="J2309" s="90"/>
      <c r="K2309" s="1"/>
      <c r="L2309" s="74"/>
      <c r="M2309" s="633"/>
      <c r="N2309" s="274"/>
      <c r="O2309" s="94"/>
      <c r="P2309" s="94"/>
      <c r="Q2309" s="94"/>
      <c r="R2309" s="94"/>
      <c r="S2309" s="94"/>
      <c r="V2309" s="30"/>
      <c r="W2309" s="30"/>
      <c r="X2309" s="1"/>
      <c r="Y2309" s="95"/>
      <c r="Z2309" s="1"/>
      <c r="AA2309" s="94"/>
      <c r="AB2309" s="1"/>
      <c r="AC2309" s="1"/>
      <c r="AD2309" s="1"/>
      <c r="AE2309" s="30"/>
      <c r="AF2309" s="633"/>
      <c r="AG2309" s="94"/>
      <c r="AH2309" s="94"/>
      <c r="AI2309" s="94"/>
      <c r="AJ2309" s="94"/>
      <c r="AK2309" s="94"/>
      <c r="AL2309" s="94"/>
    </row>
    <row r="2310" spans="3:38">
      <c r="C2310" s="30"/>
      <c r="F2310" s="95"/>
      <c r="G2310" s="1"/>
      <c r="H2310" s="94"/>
      <c r="I2310" s="90"/>
      <c r="J2310" s="90"/>
      <c r="K2310" s="1"/>
      <c r="L2310" s="74"/>
      <c r="M2310" s="633"/>
      <c r="N2310" s="274"/>
      <c r="O2310" s="94"/>
      <c r="P2310" s="94"/>
      <c r="Q2310" s="94"/>
      <c r="R2310" s="94"/>
      <c r="S2310" s="94"/>
      <c r="V2310" s="30"/>
      <c r="W2310" s="30"/>
      <c r="X2310" s="1"/>
      <c r="Y2310" s="95"/>
      <c r="Z2310" s="1"/>
      <c r="AA2310" s="94"/>
      <c r="AB2310" s="1"/>
      <c r="AC2310" s="1"/>
      <c r="AD2310" s="1"/>
      <c r="AE2310" s="30"/>
      <c r="AF2310" s="633"/>
      <c r="AG2310" s="94"/>
      <c r="AH2310" s="94"/>
      <c r="AI2310" s="94"/>
      <c r="AJ2310" s="94"/>
      <c r="AK2310" s="94"/>
      <c r="AL2310" s="94"/>
    </row>
    <row r="2311" spans="3:38">
      <c r="C2311" s="30"/>
      <c r="F2311" s="95"/>
      <c r="G2311" s="1"/>
      <c r="H2311" s="94"/>
      <c r="I2311" s="90"/>
      <c r="J2311" s="90"/>
      <c r="K2311" s="1"/>
      <c r="L2311" s="74"/>
      <c r="M2311" s="633"/>
      <c r="N2311" s="274"/>
      <c r="O2311" s="94"/>
      <c r="P2311" s="94"/>
      <c r="Q2311" s="94"/>
      <c r="R2311" s="94"/>
      <c r="S2311" s="94"/>
      <c r="V2311" s="30"/>
      <c r="W2311" s="30"/>
      <c r="X2311" s="1"/>
      <c r="Y2311" s="95"/>
      <c r="Z2311" s="1"/>
      <c r="AA2311" s="94"/>
      <c r="AB2311" s="1"/>
      <c r="AC2311" s="1"/>
      <c r="AD2311" s="1"/>
      <c r="AE2311" s="30"/>
      <c r="AF2311" s="633"/>
      <c r="AG2311" s="94"/>
      <c r="AH2311" s="94"/>
      <c r="AI2311" s="94"/>
      <c r="AJ2311" s="94"/>
      <c r="AK2311" s="94"/>
      <c r="AL2311" s="94"/>
    </row>
    <row r="2312" spans="3:38">
      <c r="C2312" s="30"/>
      <c r="F2312" s="95"/>
      <c r="G2312" s="1"/>
      <c r="H2312" s="94"/>
      <c r="I2312" s="90"/>
      <c r="J2312" s="90"/>
      <c r="K2312" s="1"/>
      <c r="L2312" s="74"/>
      <c r="M2312" s="633"/>
      <c r="N2312" s="274"/>
      <c r="O2312" s="94"/>
      <c r="P2312" s="94"/>
      <c r="Q2312" s="94"/>
      <c r="R2312" s="94"/>
      <c r="S2312" s="94"/>
      <c r="V2312" s="30"/>
      <c r="W2312" s="30"/>
      <c r="X2312" s="1"/>
      <c r="Y2312" s="95"/>
      <c r="Z2312" s="1"/>
      <c r="AA2312" s="94"/>
      <c r="AB2312" s="1"/>
      <c r="AC2312" s="1"/>
      <c r="AD2312" s="1"/>
      <c r="AE2312" s="30"/>
      <c r="AF2312" s="633"/>
      <c r="AG2312" s="94"/>
      <c r="AH2312" s="94"/>
      <c r="AI2312" s="94"/>
      <c r="AJ2312" s="94"/>
      <c r="AK2312" s="94"/>
      <c r="AL2312" s="94"/>
    </row>
    <row r="2313" spans="3:38">
      <c r="C2313" s="30"/>
      <c r="F2313" s="95"/>
      <c r="G2313" s="1"/>
      <c r="H2313" s="94"/>
      <c r="I2313" s="90"/>
      <c r="J2313" s="90"/>
      <c r="K2313" s="1"/>
      <c r="L2313" s="74"/>
      <c r="M2313" s="633"/>
      <c r="N2313" s="274"/>
      <c r="O2313" s="94"/>
      <c r="P2313" s="94"/>
      <c r="Q2313" s="94"/>
      <c r="R2313" s="94"/>
      <c r="S2313" s="94"/>
      <c r="V2313" s="30"/>
      <c r="W2313" s="30"/>
      <c r="X2313" s="1"/>
      <c r="Y2313" s="95"/>
      <c r="Z2313" s="1"/>
      <c r="AA2313" s="94"/>
      <c r="AB2313" s="1"/>
      <c r="AC2313" s="1"/>
      <c r="AD2313" s="1"/>
      <c r="AE2313" s="30"/>
      <c r="AF2313" s="633"/>
      <c r="AG2313" s="94"/>
      <c r="AH2313" s="94"/>
      <c r="AI2313" s="94"/>
      <c r="AJ2313" s="94"/>
      <c r="AK2313" s="94"/>
      <c r="AL2313" s="94"/>
    </row>
    <row r="2314" spans="3:38">
      <c r="C2314" s="30"/>
      <c r="F2314" s="95"/>
      <c r="G2314" s="1"/>
      <c r="H2314" s="94"/>
      <c r="I2314" s="90"/>
      <c r="J2314" s="90"/>
      <c r="K2314" s="1"/>
      <c r="L2314" s="74"/>
      <c r="M2314" s="633"/>
      <c r="N2314" s="274"/>
      <c r="O2314" s="94"/>
      <c r="P2314" s="94"/>
      <c r="Q2314" s="94"/>
      <c r="R2314" s="94"/>
      <c r="S2314" s="94"/>
      <c r="V2314" s="30"/>
      <c r="W2314" s="30"/>
      <c r="X2314" s="1"/>
      <c r="Y2314" s="95"/>
      <c r="Z2314" s="1"/>
      <c r="AA2314" s="94"/>
      <c r="AB2314" s="1"/>
      <c r="AC2314" s="1"/>
      <c r="AD2314" s="1"/>
      <c r="AE2314" s="30"/>
      <c r="AF2314" s="633"/>
      <c r="AG2314" s="94"/>
      <c r="AH2314" s="94"/>
      <c r="AI2314" s="94"/>
      <c r="AJ2314" s="94"/>
      <c r="AK2314" s="94"/>
      <c r="AL2314" s="94"/>
    </row>
    <row r="2315" spans="3:38">
      <c r="C2315" s="30"/>
      <c r="F2315" s="95"/>
      <c r="G2315" s="1"/>
      <c r="H2315" s="94"/>
      <c r="I2315" s="90"/>
      <c r="J2315" s="90"/>
      <c r="K2315" s="1"/>
      <c r="L2315" s="74"/>
      <c r="M2315" s="633"/>
      <c r="N2315" s="274"/>
      <c r="O2315" s="94"/>
      <c r="P2315" s="94"/>
      <c r="Q2315" s="94"/>
      <c r="R2315" s="94"/>
      <c r="S2315" s="94"/>
      <c r="V2315" s="30"/>
      <c r="W2315" s="30"/>
      <c r="X2315" s="1"/>
      <c r="Y2315" s="95"/>
      <c r="Z2315" s="1"/>
      <c r="AA2315" s="94"/>
      <c r="AB2315" s="1"/>
      <c r="AC2315" s="1"/>
      <c r="AD2315" s="1"/>
      <c r="AE2315" s="30"/>
      <c r="AF2315" s="633"/>
      <c r="AG2315" s="94"/>
      <c r="AH2315" s="94"/>
      <c r="AI2315" s="94"/>
      <c r="AJ2315" s="94"/>
      <c r="AK2315" s="94"/>
      <c r="AL2315" s="94"/>
    </row>
    <row r="2316" spans="3:38">
      <c r="C2316" s="30"/>
      <c r="F2316" s="95"/>
      <c r="G2316" s="1"/>
      <c r="H2316" s="94"/>
      <c r="I2316" s="90"/>
      <c r="J2316" s="90"/>
      <c r="K2316" s="1"/>
      <c r="L2316" s="74"/>
      <c r="M2316" s="633"/>
      <c r="N2316" s="274"/>
      <c r="O2316" s="94"/>
      <c r="P2316" s="94"/>
      <c r="Q2316" s="94"/>
      <c r="R2316" s="94"/>
      <c r="S2316" s="94"/>
      <c r="V2316" s="30"/>
      <c r="W2316" s="30"/>
      <c r="X2316" s="1"/>
      <c r="Y2316" s="95"/>
      <c r="Z2316" s="1"/>
      <c r="AA2316" s="94"/>
      <c r="AB2316" s="1"/>
      <c r="AC2316" s="1"/>
      <c r="AD2316" s="1"/>
      <c r="AE2316" s="30"/>
      <c r="AF2316" s="633"/>
      <c r="AG2316" s="94"/>
      <c r="AH2316" s="94"/>
      <c r="AI2316" s="94"/>
      <c r="AJ2316" s="94"/>
      <c r="AK2316" s="94"/>
      <c r="AL2316" s="94"/>
    </row>
    <row r="2317" spans="3:38">
      <c r="C2317" s="30"/>
      <c r="F2317" s="95"/>
      <c r="G2317" s="1"/>
      <c r="H2317" s="94"/>
      <c r="I2317" s="90"/>
      <c r="J2317" s="90"/>
      <c r="K2317" s="1"/>
      <c r="L2317" s="74"/>
      <c r="M2317" s="633"/>
      <c r="N2317" s="274"/>
      <c r="O2317" s="94"/>
      <c r="P2317" s="94"/>
      <c r="Q2317" s="94"/>
      <c r="R2317" s="94"/>
      <c r="S2317" s="94"/>
      <c r="V2317" s="30"/>
      <c r="W2317" s="30"/>
      <c r="X2317" s="1"/>
      <c r="Y2317" s="95"/>
      <c r="Z2317" s="1"/>
      <c r="AA2317" s="94"/>
      <c r="AB2317" s="1"/>
      <c r="AC2317" s="1"/>
      <c r="AD2317" s="1"/>
      <c r="AE2317" s="30"/>
      <c r="AF2317" s="633"/>
      <c r="AG2317" s="94"/>
      <c r="AH2317" s="94"/>
      <c r="AI2317" s="94"/>
      <c r="AJ2317" s="94"/>
      <c r="AK2317" s="94"/>
      <c r="AL2317" s="94"/>
    </row>
    <row r="2318" spans="3:38">
      <c r="C2318" s="30"/>
      <c r="F2318" s="95"/>
      <c r="G2318" s="1"/>
      <c r="H2318" s="94"/>
      <c r="I2318" s="90"/>
      <c r="J2318" s="90"/>
      <c r="K2318" s="1"/>
      <c r="L2318" s="74"/>
      <c r="M2318" s="633"/>
      <c r="N2318" s="274"/>
      <c r="O2318" s="94"/>
      <c r="P2318" s="94"/>
      <c r="Q2318" s="94"/>
      <c r="R2318" s="94"/>
      <c r="S2318" s="94"/>
      <c r="V2318" s="30"/>
      <c r="W2318" s="30"/>
      <c r="X2318" s="1"/>
      <c r="Y2318" s="95"/>
      <c r="Z2318" s="1"/>
      <c r="AA2318" s="94"/>
      <c r="AB2318" s="1"/>
      <c r="AC2318" s="1"/>
      <c r="AD2318" s="1"/>
      <c r="AE2318" s="30"/>
      <c r="AF2318" s="633"/>
      <c r="AG2318" s="94"/>
      <c r="AH2318" s="94"/>
      <c r="AI2318" s="94"/>
      <c r="AJ2318" s="94"/>
      <c r="AK2318" s="94"/>
      <c r="AL2318" s="94"/>
    </row>
    <row r="2319" spans="3:38">
      <c r="C2319" s="30"/>
      <c r="F2319" s="95"/>
      <c r="G2319" s="1"/>
      <c r="H2319" s="94"/>
      <c r="I2319" s="90"/>
      <c r="J2319" s="90"/>
      <c r="K2319" s="1"/>
      <c r="L2319" s="74"/>
      <c r="M2319" s="633"/>
      <c r="N2319" s="274"/>
      <c r="O2319" s="94"/>
      <c r="P2319" s="94"/>
      <c r="Q2319" s="94"/>
      <c r="R2319" s="94"/>
      <c r="S2319" s="94"/>
      <c r="V2319" s="30"/>
      <c r="W2319" s="30"/>
      <c r="X2319" s="1"/>
      <c r="Y2319" s="95"/>
      <c r="Z2319" s="1"/>
      <c r="AA2319" s="94"/>
      <c r="AB2319" s="1"/>
      <c r="AC2319" s="1"/>
      <c r="AD2319" s="1"/>
      <c r="AE2319" s="30"/>
      <c r="AF2319" s="633"/>
      <c r="AG2319" s="94"/>
      <c r="AH2319" s="94"/>
      <c r="AI2319" s="94"/>
      <c r="AJ2319" s="94"/>
      <c r="AK2319" s="94"/>
      <c r="AL2319" s="94"/>
    </row>
    <row r="2320" spans="3:38">
      <c r="C2320" s="30"/>
      <c r="F2320" s="95"/>
      <c r="G2320" s="1"/>
      <c r="H2320" s="94"/>
      <c r="I2320" s="90"/>
      <c r="J2320" s="90"/>
      <c r="K2320" s="1"/>
      <c r="L2320" s="74"/>
      <c r="M2320" s="633"/>
      <c r="N2320" s="274"/>
      <c r="O2320" s="94"/>
      <c r="P2320" s="94"/>
      <c r="Q2320" s="94"/>
      <c r="R2320" s="94"/>
      <c r="S2320" s="94"/>
      <c r="V2320" s="30"/>
      <c r="W2320" s="30"/>
      <c r="X2320" s="1"/>
      <c r="Y2320" s="95"/>
      <c r="Z2320" s="1"/>
      <c r="AA2320" s="94"/>
      <c r="AB2320" s="1"/>
      <c r="AC2320" s="1"/>
      <c r="AD2320" s="1"/>
      <c r="AE2320" s="30"/>
      <c r="AF2320" s="633"/>
      <c r="AG2320" s="94"/>
      <c r="AH2320" s="94"/>
      <c r="AI2320" s="94"/>
      <c r="AJ2320" s="94"/>
      <c r="AK2320" s="94"/>
      <c r="AL2320" s="94"/>
    </row>
    <row r="2321" spans="3:38">
      <c r="C2321" s="30"/>
      <c r="F2321" s="95"/>
      <c r="G2321" s="1"/>
      <c r="H2321" s="94"/>
      <c r="I2321" s="90"/>
      <c r="J2321" s="90"/>
      <c r="K2321" s="1"/>
      <c r="L2321" s="74"/>
      <c r="M2321" s="633"/>
      <c r="N2321" s="274"/>
      <c r="O2321" s="94"/>
      <c r="P2321" s="94"/>
      <c r="Q2321" s="94"/>
      <c r="R2321" s="94"/>
      <c r="S2321" s="94"/>
      <c r="V2321" s="30"/>
      <c r="W2321" s="30"/>
      <c r="X2321" s="1"/>
      <c r="Y2321" s="95"/>
      <c r="Z2321" s="1"/>
      <c r="AA2321" s="94"/>
      <c r="AB2321" s="1"/>
      <c r="AC2321" s="1"/>
      <c r="AD2321" s="1"/>
      <c r="AE2321" s="30"/>
      <c r="AF2321" s="633"/>
      <c r="AG2321" s="94"/>
      <c r="AH2321" s="94"/>
      <c r="AI2321" s="94"/>
      <c r="AJ2321" s="94"/>
      <c r="AK2321" s="94"/>
      <c r="AL2321" s="94"/>
    </row>
    <row r="2322" spans="3:38">
      <c r="C2322" s="30"/>
      <c r="F2322" s="95"/>
      <c r="G2322" s="1"/>
      <c r="H2322" s="94"/>
      <c r="I2322" s="90"/>
      <c r="J2322" s="90"/>
      <c r="K2322" s="1"/>
      <c r="L2322" s="74"/>
      <c r="M2322" s="633"/>
      <c r="N2322" s="274"/>
      <c r="O2322" s="94"/>
      <c r="P2322" s="94"/>
      <c r="Q2322" s="94"/>
      <c r="R2322" s="94"/>
      <c r="S2322" s="94"/>
      <c r="V2322" s="30"/>
      <c r="W2322" s="30"/>
      <c r="X2322" s="1"/>
      <c r="Y2322" s="95"/>
      <c r="Z2322" s="1"/>
      <c r="AA2322" s="94"/>
      <c r="AB2322" s="1"/>
      <c r="AC2322" s="1"/>
      <c r="AD2322" s="1"/>
      <c r="AE2322" s="30"/>
      <c r="AF2322" s="633"/>
      <c r="AG2322" s="94"/>
      <c r="AH2322" s="94"/>
      <c r="AI2322" s="94"/>
      <c r="AJ2322" s="94"/>
      <c r="AK2322" s="94"/>
      <c r="AL2322" s="94"/>
    </row>
    <row r="2323" spans="3:38">
      <c r="C2323" s="30"/>
      <c r="F2323" s="95"/>
      <c r="G2323" s="1"/>
      <c r="H2323" s="94"/>
      <c r="I2323" s="90"/>
      <c r="J2323" s="90"/>
      <c r="K2323" s="1"/>
      <c r="L2323" s="74"/>
      <c r="M2323" s="633"/>
      <c r="N2323" s="274"/>
      <c r="O2323" s="94"/>
      <c r="P2323" s="94"/>
      <c r="Q2323" s="94"/>
      <c r="R2323" s="94"/>
      <c r="S2323" s="94"/>
      <c r="V2323" s="30"/>
      <c r="W2323" s="30"/>
      <c r="X2323" s="1"/>
      <c r="Y2323" s="95"/>
      <c r="Z2323" s="1"/>
      <c r="AA2323" s="94"/>
      <c r="AB2323" s="1"/>
      <c r="AC2323" s="1"/>
      <c r="AD2323" s="1"/>
      <c r="AE2323" s="30"/>
      <c r="AF2323" s="633"/>
      <c r="AG2323" s="94"/>
      <c r="AH2323" s="94"/>
      <c r="AI2323" s="94"/>
      <c r="AJ2323" s="94"/>
      <c r="AK2323" s="94"/>
      <c r="AL2323" s="94"/>
    </row>
    <row r="2324" spans="3:38">
      <c r="C2324" s="30"/>
      <c r="F2324" s="95"/>
      <c r="G2324" s="1"/>
      <c r="H2324" s="94"/>
      <c r="I2324" s="90"/>
      <c r="J2324" s="90"/>
      <c r="K2324" s="1"/>
      <c r="L2324" s="74"/>
      <c r="M2324" s="633"/>
      <c r="N2324" s="274"/>
      <c r="O2324" s="94"/>
      <c r="P2324" s="94"/>
      <c r="Q2324" s="94"/>
      <c r="R2324" s="94"/>
      <c r="S2324" s="94"/>
      <c r="V2324" s="30"/>
      <c r="W2324" s="30"/>
      <c r="X2324" s="1"/>
      <c r="Y2324" s="95"/>
      <c r="Z2324" s="1"/>
      <c r="AA2324" s="94"/>
      <c r="AB2324" s="1"/>
      <c r="AC2324" s="1"/>
      <c r="AD2324" s="1"/>
      <c r="AE2324" s="30"/>
      <c r="AF2324" s="633"/>
      <c r="AG2324" s="94"/>
      <c r="AH2324" s="94"/>
      <c r="AI2324" s="94"/>
      <c r="AJ2324" s="94"/>
      <c r="AK2324" s="94"/>
      <c r="AL2324" s="94"/>
    </row>
    <row r="2325" spans="3:38">
      <c r="C2325" s="30"/>
      <c r="F2325" s="95"/>
      <c r="G2325" s="1"/>
      <c r="H2325" s="94"/>
      <c r="I2325" s="90"/>
      <c r="J2325" s="90"/>
      <c r="K2325" s="1"/>
      <c r="L2325" s="74"/>
      <c r="M2325" s="633"/>
      <c r="N2325" s="274"/>
      <c r="O2325" s="94"/>
      <c r="P2325" s="94"/>
      <c r="Q2325" s="94"/>
      <c r="R2325" s="94"/>
      <c r="S2325" s="94"/>
      <c r="V2325" s="30"/>
      <c r="W2325" s="30"/>
      <c r="X2325" s="1"/>
      <c r="Y2325" s="95"/>
      <c r="Z2325" s="1"/>
      <c r="AA2325" s="94"/>
      <c r="AB2325" s="1"/>
      <c r="AC2325" s="1"/>
      <c r="AD2325" s="1"/>
      <c r="AE2325" s="30"/>
      <c r="AF2325" s="633"/>
      <c r="AG2325" s="94"/>
      <c r="AH2325" s="94"/>
      <c r="AI2325" s="94"/>
      <c r="AJ2325" s="94"/>
      <c r="AK2325" s="94"/>
      <c r="AL2325" s="94"/>
    </row>
    <row r="2326" spans="3:38">
      <c r="C2326" s="30"/>
      <c r="F2326" s="95"/>
      <c r="G2326" s="1"/>
      <c r="H2326" s="94"/>
      <c r="I2326" s="90"/>
      <c r="J2326" s="90"/>
      <c r="K2326" s="1"/>
      <c r="L2326" s="74"/>
      <c r="M2326" s="633"/>
      <c r="N2326" s="274"/>
      <c r="O2326" s="94"/>
      <c r="P2326" s="94"/>
      <c r="Q2326" s="94"/>
      <c r="R2326" s="94"/>
      <c r="S2326" s="94"/>
      <c r="V2326" s="30"/>
      <c r="W2326" s="30"/>
      <c r="X2326" s="1"/>
      <c r="Y2326" s="95"/>
      <c r="Z2326" s="1"/>
      <c r="AA2326" s="94"/>
      <c r="AB2326" s="1"/>
      <c r="AC2326" s="1"/>
      <c r="AD2326" s="1"/>
      <c r="AE2326" s="30"/>
      <c r="AF2326" s="633"/>
      <c r="AG2326" s="94"/>
      <c r="AH2326" s="94"/>
      <c r="AI2326" s="94"/>
      <c r="AJ2326" s="94"/>
      <c r="AK2326" s="94"/>
      <c r="AL2326" s="94"/>
    </row>
    <row r="2327" spans="3:38">
      <c r="C2327" s="30"/>
      <c r="F2327" s="95"/>
      <c r="G2327" s="1"/>
      <c r="H2327" s="94"/>
      <c r="I2327" s="90"/>
      <c r="J2327" s="90"/>
      <c r="K2327" s="1"/>
      <c r="L2327" s="74"/>
      <c r="M2327" s="633"/>
      <c r="N2327" s="274"/>
      <c r="O2327" s="94"/>
      <c r="P2327" s="94"/>
      <c r="Q2327" s="94"/>
      <c r="R2327" s="94"/>
      <c r="S2327" s="94"/>
      <c r="V2327" s="30"/>
      <c r="W2327" s="30"/>
      <c r="X2327" s="1"/>
      <c r="Y2327" s="95"/>
      <c r="Z2327" s="1"/>
      <c r="AA2327" s="94"/>
      <c r="AB2327" s="1"/>
      <c r="AC2327" s="1"/>
      <c r="AD2327" s="1"/>
      <c r="AE2327" s="30"/>
      <c r="AF2327" s="633"/>
      <c r="AG2327" s="94"/>
      <c r="AH2327" s="94"/>
      <c r="AI2327" s="94"/>
      <c r="AJ2327" s="94"/>
      <c r="AK2327" s="94"/>
      <c r="AL2327" s="94"/>
    </row>
    <row r="2328" spans="3:38">
      <c r="C2328" s="30"/>
      <c r="F2328" s="95"/>
      <c r="G2328" s="1"/>
      <c r="H2328" s="94"/>
      <c r="I2328" s="90"/>
      <c r="J2328" s="90"/>
      <c r="K2328" s="1"/>
      <c r="L2328" s="74"/>
      <c r="M2328" s="633"/>
      <c r="N2328" s="274"/>
      <c r="O2328" s="94"/>
      <c r="P2328" s="94"/>
      <c r="Q2328" s="94"/>
      <c r="R2328" s="94"/>
      <c r="S2328" s="94"/>
      <c r="V2328" s="30"/>
      <c r="W2328" s="30"/>
      <c r="X2328" s="1"/>
      <c r="Y2328" s="95"/>
      <c r="Z2328" s="1"/>
      <c r="AA2328" s="94"/>
      <c r="AB2328" s="1"/>
      <c r="AC2328" s="1"/>
      <c r="AD2328" s="1"/>
      <c r="AE2328" s="30"/>
      <c r="AF2328" s="633"/>
      <c r="AG2328" s="94"/>
      <c r="AH2328" s="94"/>
      <c r="AI2328" s="94"/>
      <c r="AJ2328" s="94"/>
      <c r="AK2328" s="94"/>
      <c r="AL2328" s="94"/>
    </row>
    <row r="2329" spans="3:38">
      <c r="C2329" s="30"/>
      <c r="F2329" s="95"/>
      <c r="G2329" s="1"/>
      <c r="H2329" s="94"/>
      <c r="I2329" s="90"/>
      <c r="J2329" s="90"/>
      <c r="K2329" s="1"/>
      <c r="L2329" s="74"/>
      <c r="M2329" s="633"/>
      <c r="N2329" s="274"/>
      <c r="O2329" s="94"/>
      <c r="P2329" s="94"/>
      <c r="Q2329" s="94"/>
      <c r="R2329" s="94"/>
      <c r="S2329" s="94"/>
      <c r="V2329" s="30"/>
      <c r="W2329" s="30"/>
      <c r="X2329" s="1"/>
      <c r="Y2329" s="95"/>
      <c r="Z2329" s="1"/>
      <c r="AA2329" s="94"/>
      <c r="AB2329" s="1"/>
      <c r="AC2329" s="1"/>
      <c r="AD2329" s="1"/>
      <c r="AE2329" s="30"/>
      <c r="AF2329" s="633"/>
      <c r="AG2329" s="94"/>
      <c r="AH2329" s="94"/>
      <c r="AI2329" s="94"/>
      <c r="AJ2329" s="94"/>
      <c r="AK2329" s="94"/>
      <c r="AL2329" s="94"/>
    </row>
    <row r="2330" spans="3:38">
      <c r="C2330" s="30"/>
      <c r="F2330" s="95"/>
      <c r="G2330" s="1"/>
      <c r="H2330" s="94"/>
      <c r="I2330" s="90"/>
      <c r="J2330" s="90"/>
      <c r="K2330" s="1"/>
      <c r="L2330" s="74"/>
      <c r="M2330" s="633"/>
      <c r="N2330" s="274"/>
      <c r="O2330" s="94"/>
      <c r="P2330" s="94"/>
      <c r="Q2330" s="94"/>
      <c r="R2330" s="94"/>
      <c r="S2330" s="94"/>
      <c r="V2330" s="30"/>
      <c r="W2330" s="30"/>
      <c r="X2330" s="1"/>
      <c r="Y2330" s="95"/>
      <c r="Z2330" s="1"/>
      <c r="AA2330" s="94"/>
      <c r="AB2330" s="1"/>
      <c r="AC2330" s="1"/>
      <c r="AD2330" s="1"/>
      <c r="AE2330" s="30"/>
      <c r="AF2330" s="633"/>
      <c r="AG2330" s="94"/>
      <c r="AH2330" s="94"/>
      <c r="AI2330" s="94"/>
      <c r="AJ2330" s="94"/>
      <c r="AK2330" s="94"/>
      <c r="AL2330" s="94"/>
    </row>
    <row r="2331" spans="3:38">
      <c r="C2331" s="30"/>
      <c r="F2331" s="95"/>
      <c r="G2331" s="1"/>
      <c r="H2331" s="94"/>
      <c r="I2331" s="90"/>
      <c r="J2331" s="90"/>
      <c r="K2331" s="1"/>
      <c r="L2331" s="74"/>
      <c r="M2331" s="633"/>
      <c r="N2331" s="274"/>
      <c r="O2331" s="94"/>
      <c r="P2331" s="94"/>
      <c r="Q2331" s="94"/>
      <c r="R2331" s="94"/>
      <c r="S2331" s="94"/>
      <c r="V2331" s="30"/>
      <c r="W2331" s="30"/>
      <c r="X2331" s="1"/>
      <c r="Y2331" s="95"/>
      <c r="Z2331" s="1"/>
      <c r="AA2331" s="94"/>
      <c r="AB2331" s="1"/>
      <c r="AC2331" s="1"/>
      <c r="AD2331" s="1"/>
      <c r="AE2331" s="30"/>
      <c r="AF2331" s="633"/>
      <c r="AG2331" s="94"/>
      <c r="AH2331" s="94"/>
      <c r="AI2331" s="94"/>
      <c r="AJ2331" s="94"/>
      <c r="AK2331" s="94"/>
      <c r="AL2331" s="94"/>
    </row>
    <row r="2332" spans="3:38">
      <c r="C2332" s="30"/>
      <c r="F2332" s="95"/>
      <c r="G2332" s="1"/>
      <c r="H2332" s="94"/>
      <c r="I2332" s="90"/>
      <c r="J2332" s="90"/>
      <c r="K2332" s="1"/>
      <c r="L2332" s="74"/>
      <c r="M2332" s="633"/>
      <c r="N2332" s="274"/>
      <c r="O2332" s="94"/>
      <c r="P2332" s="94"/>
      <c r="Q2332" s="94"/>
      <c r="R2332" s="94"/>
      <c r="S2332" s="94"/>
      <c r="V2332" s="30"/>
      <c r="W2332" s="30"/>
      <c r="X2332" s="1"/>
      <c r="Y2332" s="95"/>
      <c r="Z2332" s="1"/>
      <c r="AA2332" s="94"/>
      <c r="AB2332" s="1"/>
      <c r="AC2332" s="1"/>
      <c r="AD2332" s="1"/>
      <c r="AE2332" s="30"/>
      <c r="AF2332" s="633"/>
      <c r="AG2332" s="94"/>
      <c r="AH2332" s="94"/>
      <c r="AI2332" s="94"/>
      <c r="AJ2332" s="94"/>
      <c r="AK2332" s="94"/>
      <c r="AL2332" s="94"/>
    </row>
    <row r="2333" spans="3:38">
      <c r="C2333" s="30"/>
      <c r="F2333" s="95"/>
      <c r="G2333" s="1"/>
      <c r="H2333" s="94"/>
      <c r="I2333" s="90"/>
      <c r="J2333" s="90"/>
      <c r="K2333" s="1"/>
      <c r="L2333" s="74"/>
      <c r="M2333" s="633"/>
      <c r="N2333" s="274"/>
      <c r="O2333" s="94"/>
      <c r="P2333" s="94"/>
      <c r="Q2333" s="94"/>
      <c r="R2333" s="94"/>
      <c r="S2333" s="94"/>
      <c r="V2333" s="30"/>
      <c r="W2333" s="30"/>
      <c r="X2333" s="1"/>
      <c r="Y2333" s="95"/>
      <c r="Z2333" s="1"/>
      <c r="AA2333" s="94"/>
      <c r="AB2333" s="1"/>
      <c r="AC2333" s="1"/>
      <c r="AD2333" s="1"/>
      <c r="AE2333" s="30"/>
      <c r="AF2333" s="633"/>
      <c r="AG2333" s="94"/>
      <c r="AH2333" s="94"/>
      <c r="AI2333" s="94"/>
      <c r="AJ2333" s="94"/>
      <c r="AK2333" s="94"/>
      <c r="AL2333" s="94"/>
    </row>
    <row r="2334" spans="3:38">
      <c r="C2334" s="30"/>
      <c r="F2334" s="95"/>
      <c r="G2334" s="1"/>
      <c r="H2334" s="94"/>
      <c r="I2334" s="90"/>
      <c r="J2334" s="90"/>
      <c r="K2334" s="1"/>
      <c r="L2334" s="74"/>
      <c r="M2334" s="633"/>
      <c r="N2334" s="274"/>
      <c r="O2334" s="94"/>
      <c r="P2334" s="94"/>
      <c r="Q2334" s="94"/>
      <c r="R2334" s="94"/>
      <c r="S2334" s="94"/>
      <c r="V2334" s="30"/>
      <c r="W2334" s="30"/>
      <c r="X2334" s="1"/>
      <c r="Y2334" s="95"/>
      <c r="Z2334" s="1"/>
      <c r="AA2334" s="94"/>
      <c r="AB2334" s="1"/>
      <c r="AC2334" s="1"/>
      <c r="AD2334" s="1"/>
      <c r="AE2334" s="30"/>
      <c r="AF2334" s="633"/>
      <c r="AG2334" s="94"/>
      <c r="AH2334" s="94"/>
      <c r="AI2334" s="94"/>
      <c r="AJ2334" s="94"/>
      <c r="AK2334" s="94"/>
      <c r="AL2334" s="94"/>
    </row>
    <row r="2335" spans="3:38">
      <c r="C2335" s="30"/>
      <c r="F2335" s="95"/>
      <c r="G2335" s="1"/>
      <c r="H2335" s="94"/>
      <c r="I2335" s="90"/>
      <c r="J2335" s="90"/>
      <c r="K2335" s="1"/>
      <c r="L2335" s="74"/>
      <c r="M2335" s="633"/>
      <c r="N2335" s="274"/>
      <c r="O2335" s="94"/>
      <c r="P2335" s="94"/>
      <c r="Q2335" s="94"/>
      <c r="R2335" s="94"/>
      <c r="S2335" s="94"/>
      <c r="V2335" s="30"/>
      <c r="W2335" s="30"/>
      <c r="X2335" s="1"/>
      <c r="Y2335" s="95"/>
      <c r="Z2335" s="1"/>
      <c r="AA2335" s="94"/>
      <c r="AB2335" s="1"/>
      <c r="AC2335" s="1"/>
      <c r="AD2335" s="1"/>
      <c r="AE2335" s="30"/>
      <c r="AF2335" s="633"/>
      <c r="AG2335" s="94"/>
      <c r="AH2335" s="94"/>
      <c r="AI2335" s="94"/>
      <c r="AJ2335" s="94"/>
      <c r="AK2335" s="94"/>
      <c r="AL2335" s="94"/>
    </row>
    <row r="2336" spans="3:38">
      <c r="C2336" s="30"/>
      <c r="F2336" s="95"/>
      <c r="G2336" s="1"/>
      <c r="H2336" s="94"/>
      <c r="I2336" s="90"/>
      <c r="J2336" s="90"/>
      <c r="K2336" s="1"/>
      <c r="L2336" s="74"/>
      <c r="M2336" s="633"/>
      <c r="N2336" s="274"/>
      <c r="O2336" s="94"/>
      <c r="P2336" s="94"/>
      <c r="Q2336" s="94"/>
      <c r="R2336" s="94"/>
      <c r="S2336" s="94"/>
      <c r="V2336" s="30"/>
      <c r="W2336" s="30"/>
      <c r="X2336" s="1"/>
      <c r="Y2336" s="95"/>
      <c r="Z2336" s="1"/>
      <c r="AA2336" s="94"/>
      <c r="AB2336" s="1"/>
      <c r="AC2336" s="1"/>
      <c r="AD2336" s="1"/>
      <c r="AE2336" s="30"/>
      <c r="AF2336" s="633"/>
      <c r="AG2336" s="94"/>
      <c r="AH2336" s="94"/>
      <c r="AI2336" s="94"/>
      <c r="AJ2336" s="94"/>
      <c r="AK2336" s="94"/>
      <c r="AL2336" s="94"/>
    </row>
    <row r="2337" spans="3:38">
      <c r="C2337" s="30"/>
      <c r="F2337" s="95"/>
      <c r="G2337" s="1"/>
      <c r="H2337" s="94"/>
      <c r="I2337" s="90"/>
      <c r="J2337" s="90"/>
      <c r="K2337" s="1"/>
      <c r="L2337" s="74"/>
      <c r="M2337" s="633"/>
      <c r="N2337" s="274"/>
      <c r="O2337" s="94"/>
      <c r="P2337" s="94"/>
      <c r="Q2337" s="94"/>
      <c r="R2337" s="94"/>
      <c r="S2337" s="94"/>
      <c r="V2337" s="30"/>
      <c r="W2337" s="30"/>
      <c r="X2337" s="1"/>
      <c r="Y2337" s="95"/>
      <c r="Z2337" s="1"/>
      <c r="AA2337" s="94"/>
      <c r="AB2337" s="1"/>
      <c r="AC2337" s="1"/>
      <c r="AD2337" s="1"/>
      <c r="AE2337" s="30"/>
      <c r="AF2337" s="633"/>
      <c r="AG2337" s="94"/>
      <c r="AH2337" s="94"/>
      <c r="AI2337" s="94"/>
      <c r="AJ2337" s="94"/>
      <c r="AK2337" s="94"/>
      <c r="AL2337" s="94"/>
    </row>
    <row r="2338" spans="3:38">
      <c r="C2338" s="30"/>
      <c r="F2338" s="95"/>
      <c r="G2338" s="1"/>
      <c r="H2338" s="94"/>
      <c r="I2338" s="90"/>
      <c r="J2338" s="90"/>
      <c r="K2338" s="1"/>
      <c r="L2338" s="74"/>
      <c r="M2338" s="633"/>
      <c r="N2338" s="274"/>
      <c r="O2338" s="94"/>
      <c r="P2338" s="94"/>
      <c r="Q2338" s="94"/>
      <c r="R2338" s="94"/>
      <c r="S2338" s="94"/>
      <c r="V2338" s="30"/>
      <c r="W2338" s="30"/>
      <c r="X2338" s="1"/>
      <c r="Y2338" s="95"/>
      <c r="Z2338" s="1"/>
      <c r="AA2338" s="94"/>
      <c r="AB2338" s="1"/>
      <c r="AC2338" s="1"/>
      <c r="AD2338" s="1"/>
      <c r="AE2338" s="30"/>
      <c r="AF2338" s="633"/>
      <c r="AG2338" s="94"/>
      <c r="AH2338" s="94"/>
      <c r="AI2338" s="94"/>
      <c r="AJ2338" s="94"/>
      <c r="AK2338" s="94"/>
      <c r="AL2338" s="94"/>
    </row>
    <row r="2339" spans="3:38">
      <c r="C2339" s="30"/>
      <c r="F2339" s="95"/>
      <c r="G2339" s="1"/>
      <c r="H2339" s="94"/>
      <c r="I2339" s="90"/>
      <c r="J2339" s="90"/>
      <c r="K2339" s="1"/>
      <c r="L2339" s="74"/>
      <c r="M2339" s="633"/>
      <c r="N2339" s="274"/>
      <c r="O2339" s="94"/>
      <c r="P2339" s="94"/>
      <c r="Q2339" s="94"/>
      <c r="R2339" s="94"/>
      <c r="S2339" s="94"/>
      <c r="V2339" s="30"/>
      <c r="W2339" s="30"/>
      <c r="X2339" s="1"/>
      <c r="Y2339" s="95"/>
      <c r="Z2339" s="1"/>
      <c r="AA2339" s="94"/>
      <c r="AB2339" s="1"/>
      <c r="AC2339" s="1"/>
      <c r="AD2339" s="1"/>
      <c r="AE2339" s="30"/>
      <c r="AF2339" s="633"/>
      <c r="AG2339" s="94"/>
      <c r="AH2339" s="94"/>
      <c r="AI2339" s="94"/>
      <c r="AJ2339" s="94"/>
      <c r="AK2339" s="94"/>
      <c r="AL2339" s="94"/>
    </row>
    <row r="2340" spans="3:38">
      <c r="C2340" s="30"/>
      <c r="F2340" s="95"/>
      <c r="G2340" s="1"/>
      <c r="H2340" s="94"/>
      <c r="I2340" s="90"/>
      <c r="J2340" s="90"/>
      <c r="K2340" s="1"/>
      <c r="L2340" s="74"/>
      <c r="M2340" s="633"/>
      <c r="N2340" s="274"/>
      <c r="O2340" s="94"/>
      <c r="P2340" s="94"/>
      <c r="Q2340" s="94"/>
      <c r="R2340" s="94"/>
      <c r="S2340" s="94"/>
      <c r="V2340" s="30"/>
      <c r="W2340" s="30"/>
      <c r="X2340" s="1"/>
      <c r="Y2340" s="95"/>
      <c r="Z2340" s="1"/>
      <c r="AA2340" s="94"/>
      <c r="AB2340" s="1"/>
      <c r="AC2340" s="1"/>
      <c r="AD2340" s="1"/>
      <c r="AE2340" s="30"/>
      <c r="AF2340" s="633"/>
      <c r="AG2340" s="94"/>
      <c r="AH2340" s="94"/>
      <c r="AI2340" s="94"/>
      <c r="AJ2340" s="94"/>
      <c r="AK2340" s="94"/>
      <c r="AL2340" s="94"/>
    </row>
    <row r="2341" spans="3:38">
      <c r="C2341" s="30"/>
      <c r="F2341" s="95"/>
      <c r="G2341" s="1"/>
      <c r="H2341" s="94"/>
      <c r="I2341" s="90"/>
      <c r="J2341" s="90"/>
      <c r="K2341" s="1"/>
      <c r="L2341" s="74"/>
      <c r="M2341" s="633"/>
      <c r="N2341" s="274"/>
      <c r="O2341" s="94"/>
      <c r="P2341" s="94"/>
      <c r="Q2341" s="94"/>
      <c r="R2341" s="94"/>
      <c r="S2341" s="94"/>
      <c r="V2341" s="30"/>
      <c r="W2341" s="30"/>
      <c r="X2341" s="1"/>
      <c r="Y2341" s="95"/>
      <c r="Z2341" s="1"/>
      <c r="AA2341" s="94"/>
      <c r="AB2341" s="1"/>
      <c r="AC2341" s="1"/>
      <c r="AD2341" s="1"/>
      <c r="AE2341" s="30"/>
      <c r="AF2341" s="633"/>
      <c r="AG2341" s="94"/>
      <c r="AH2341" s="94"/>
      <c r="AI2341" s="94"/>
      <c r="AJ2341" s="94"/>
      <c r="AK2341" s="94"/>
      <c r="AL2341" s="94"/>
    </row>
    <row r="2342" spans="3:38">
      <c r="C2342" s="30"/>
      <c r="F2342" s="95"/>
      <c r="G2342" s="1"/>
      <c r="H2342" s="94"/>
      <c r="I2342" s="90"/>
      <c r="J2342" s="90"/>
      <c r="K2342" s="1"/>
      <c r="L2342" s="74"/>
      <c r="M2342" s="633"/>
      <c r="N2342" s="274"/>
      <c r="O2342" s="94"/>
      <c r="P2342" s="94"/>
      <c r="Q2342" s="94"/>
      <c r="R2342" s="94"/>
      <c r="S2342" s="94"/>
      <c r="V2342" s="30"/>
      <c r="W2342" s="30"/>
      <c r="X2342" s="1"/>
      <c r="Y2342" s="95"/>
      <c r="Z2342" s="1"/>
      <c r="AA2342" s="94"/>
      <c r="AB2342" s="1"/>
      <c r="AC2342" s="1"/>
      <c r="AD2342" s="1"/>
      <c r="AE2342" s="30"/>
      <c r="AF2342" s="633"/>
      <c r="AG2342" s="94"/>
      <c r="AH2342" s="94"/>
      <c r="AI2342" s="94"/>
      <c r="AJ2342" s="94"/>
      <c r="AK2342" s="94"/>
      <c r="AL2342" s="94"/>
    </row>
    <row r="2343" spans="3:38">
      <c r="C2343" s="30"/>
      <c r="F2343" s="95"/>
      <c r="G2343" s="1"/>
      <c r="H2343" s="94"/>
      <c r="I2343" s="90"/>
      <c r="J2343" s="90"/>
      <c r="K2343" s="1"/>
      <c r="L2343" s="74"/>
      <c r="M2343" s="633"/>
      <c r="N2343" s="274"/>
      <c r="O2343" s="94"/>
      <c r="P2343" s="94"/>
      <c r="Q2343" s="94"/>
      <c r="R2343" s="94"/>
      <c r="S2343" s="94"/>
      <c r="V2343" s="30"/>
      <c r="W2343" s="30"/>
      <c r="X2343" s="1"/>
      <c r="Y2343" s="95"/>
      <c r="Z2343" s="1"/>
      <c r="AA2343" s="94"/>
      <c r="AB2343" s="1"/>
      <c r="AC2343" s="1"/>
      <c r="AD2343" s="1"/>
      <c r="AE2343" s="30"/>
      <c r="AF2343" s="633"/>
      <c r="AG2343" s="94"/>
      <c r="AH2343" s="94"/>
      <c r="AI2343" s="94"/>
      <c r="AJ2343" s="94"/>
      <c r="AK2343" s="94"/>
      <c r="AL2343" s="94"/>
    </row>
    <row r="2344" spans="3:38">
      <c r="C2344" s="30"/>
      <c r="F2344" s="95"/>
      <c r="G2344" s="1"/>
      <c r="H2344" s="94"/>
      <c r="I2344" s="90"/>
      <c r="J2344" s="90"/>
      <c r="K2344" s="1"/>
      <c r="L2344" s="74"/>
      <c r="M2344" s="633"/>
      <c r="N2344" s="274"/>
      <c r="O2344" s="94"/>
      <c r="P2344" s="94"/>
      <c r="Q2344" s="94"/>
      <c r="R2344" s="94"/>
      <c r="S2344" s="94"/>
      <c r="V2344" s="30"/>
      <c r="W2344" s="30"/>
      <c r="X2344" s="1"/>
      <c r="Y2344" s="95"/>
      <c r="Z2344" s="1"/>
      <c r="AA2344" s="94"/>
      <c r="AB2344" s="1"/>
      <c r="AC2344" s="1"/>
      <c r="AD2344" s="1"/>
      <c r="AE2344" s="30"/>
      <c r="AF2344" s="633"/>
      <c r="AG2344" s="94"/>
      <c r="AH2344" s="94"/>
      <c r="AI2344" s="94"/>
      <c r="AJ2344" s="94"/>
      <c r="AK2344" s="94"/>
      <c r="AL2344" s="94"/>
    </row>
    <row r="2345" spans="3:38">
      <c r="C2345" s="30"/>
      <c r="F2345" s="95"/>
      <c r="G2345" s="1"/>
      <c r="H2345" s="94"/>
      <c r="I2345" s="90"/>
      <c r="J2345" s="90"/>
      <c r="K2345" s="1"/>
      <c r="L2345" s="74"/>
      <c r="M2345" s="633"/>
      <c r="N2345" s="274"/>
      <c r="O2345" s="94"/>
      <c r="P2345" s="94"/>
      <c r="Q2345" s="94"/>
      <c r="R2345" s="94"/>
      <c r="S2345" s="94"/>
      <c r="V2345" s="30"/>
      <c r="W2345" s="30"/>
      <c r="X2345" s="1"/>
      <c r="Y2345" s="95"/>
      <c r="Z2345" s="1"/>
      <c r="AA2345" s="94"/>
      <c r="AB2345" s="1"/>
      <c r="AC2345" s="1"/>
      <c r="AD2345" s="1"/>
      <c r="AE2345" s="30"/>
      <c r="AF2345" s="633"/>
      <c r="AG2345" s="94"/>
      <c r="AH2345" s="94"/>
      <c r="AI2345" s="94"/>
      <c r="AJ2345" s="94"/>
      <c r="AK2345" s="94"/>
      <c r="AL2345" s="94"/>
    </row>
    <row r="2346" spans="3:38">
      <c r="C2346" s="30"/>
      <c r="F2346" s="95"/>
      <c r="G2346" s="1"/>
      <c r="H2346" s="94"/>
      <c r="I2346" s="90"/>
      <c r="J2346" s="90"/>
      <c r="K2346" s="1"/>
      <c r="L2346" s="74"/>
      <c r="M2346" s="633"/>
      <c r="N2346" s="274"/>
      <c r="O2346" s="94"/>
      <c r="P2346" s="94"/>
      <c r="Q2346" s="94"/>
      <c r="R2346" s="94"/>
      <c r="S2346" s="94"/>
      <c r="V2346" s="30"/>
      <c r="W2346" s="30"/>
      <c r="X2346" s="1"/>
      <c r="Y2346" s="95"/>
      <c r="Z2346" s="1"/>
      <c r="AA2346" s="94"/>
      <c r="AB2346" s="1"/>
      <c r="AC2346" s="1"/>
      <c r="AD2346" s="1"/>
      <c r="AE2346" s="30"/>
      <c r="AF2346" s="633"/>
      <c r="AG2346" s="94"/>
      <c r="AH2346" s="94"/>
      <c r="AI2346" s="94"/>
      <c r="AJ2346" s="94"/>
      <c r="AK2346" s="94"/>
      <c r="AL2346" s="94"/>
    </row>
    <row r="2347" spans="3:38">
      <c r="C2347" s="30"/>
      <c r="F2347" s="95"/>
      <c r="G2347" s="1"/>
      <c r="H2347" s="94"/>
      <c r="I2347" s="90"/>
      <c r="J2347" s="90"/>
      <c r="K2347" s="1"/>
      <c r="L2347" s="74"/>
      <c r="M2347" s="633"/>
      <c r="N2347" s="274"/>
      <c r="O2347" s="94"/>
      <c r="P2347" s="94"/>
      <c r="Q2347" s="94"/>
      <c r="R2347" s="94"/>
      <c r="S2347" s="94"/>
      <c r="V2347" s="30"/>
      <c r="W2347" s="30"/>
      <c r="X2347" s="1"/>
      <c r="Y2347" s="95"/>
      <c r="Z2347" s="1"/>
      <c r="AA2347" s="94"/>
      <c r="AB2347" s="1"/>
      <c r="AC2347" s="1"/>
      <c r="AD2347" s="1"/>
      <c r="AE2347" s="30"/>
      <c r="AF2347" s="633"/>
      <c r="AG2347" s="94"/>
      <c r="AH2347" s="94"/>
      <c r="AI2347" s="94"/>
      <c r="AJ2347" s="94"/>
      <c r="AK2347" s="94"/>
      <c r="AL2347" s="94"/>
    </row>
    <row r="2348" spans="3:38">
      <c r="C2348" s="30"/>
      <c r="F2348" s="95"/>
      <c r="G2348" s="1"/>
      <c r="H2348" s="94"/>
      <c r="I2348" s="90"/>
      <c r="J2348" s="90"/>
      <c r="K2348" s="1"/>
      <c r="L2348" s="74"/>
      <c r="M2348" s="633"/>
      <c r="N2348" s="274"/>
      <c r="O2348" s="94"/>
      <c r="P2348" s="94"/>
      <c r="Q2348" s="94"/>
      <c r="R2348" s="94"/>
      <c r="S2348" s="94"/>
      <c r="V2348" s="30"/>
      <c r="W2348" s="30"/>
      <c r="X2348" s="1"/>
      <c r="Y2348" s="95"/>
      <c r="Z2348" s="1"/>
      <c r="AA2348" s="94"/>
      <c r="AB2348" s="1"/>
      <c r="AC2348" s="1"/>
      <c r="AD2348" s="1"/>
      <c r="AE2348" s="30"/>
      <c r="AF2348" s="633"/>
      <c r="AG2348" s="94"/>
      <c r="AH2348" s="94"/>
      <c r="AI2348" s="94"/>
      <c r="AJ2348" s="94"/>
      <c r="AK2348" s="94"/>
      <c r="AL2348" s="94"/>
    </row>
    <row r="2349" spans="3:38">
      <c r="C2349" s="30"/>
      <c r="F2349" s="95"/>
      <c r="G2349" s="1"/>
      <c r="H2349" s="94"/>
      <c r="I2349" s="90"/>
      <c r="J2349" s="90"/>
      <c r="K2349" s="1"/>
      <c r="L2349" s="74"/>
      <c r="M2349" s="633"/>
      <c r="N2349" s="274"/>
      <c r="O2349" s="94"/>
      <c r="P2349" s="94"/>
      <c r="Q2349" s="94"/>
      <c r="R2349" s="94"/>
      <c r="S2349" s="94"/>
      <c r="V2349" s="30"/>
      <c r="W2349" s="30"/>
      <c r="X2349" s="1"/>
      <c r="Y2349" s="95"/>
      <c r="Z2349" s="1"/>
      <c r="AA2349" s="94"/>
      <c r="AB2349" s="1"/>
      <c r="AC2349" s="1"/>
      <c r="AD2349" s="1"/>
      <c r="AE2349" s="30"/>
      <c r="AF2349" s="633"/>
      <c r="AG2349" s="94"/>
      <c r="AH2349" s="94"/>
      <c r="AI2349" s="94"/>
      <c r="AJ2349" s="94"/>
      <c r="AK2349" s="94"/>
      <c r="AL2349" s="94"/>
    </row>
    <row r="2350" spans="3:38">
      <c r="C2350" s="30"/>
      <c r="F2350" s="95"/>
      <c r="G2350" s="1"/>
      <c r="H2350" s="94"/>
      <c r="I2350" s="90"/>
      <c r="J2350" s="90"/>
      <c r="K2350" s="1"/>
      <c r="L2350" s="74"/>
      <c r="M2350" s="633"/>
      <c r="N2350" s="274"/>
      <c r="O2350" s="94"/>
      <c r="P2350" s="94"/>
      <c r="Q2350" s="94"/>
      <c r="R2350" s="94"/>
      <c r="S2350" s="94"/>
      <c r="V2350" s="30"/>
      <c r="W2350" s="30"/>
      <c r="X2350" s="1"/>
      <c r="Y2350" s="95"/>
      <c r="Z2350" s="1"/>
      <c r="AA2350" s="94"/>
      <c r="AB2350" s="1"/>
      <c r="AC2350" s="1"/>
      <c r="AD2350" s="1"/>
      <c r="AE2350" s="30"/>
      <c r="AF2350" s="633"/>
      <c r="AG2350" s="94"/>
      <c r="AH2350" s="94"/>
      <c r="AI2350" s="94"/>
      <c r="AJ2350" s="94"/>
      <c r="AK2350" s="94"/>
      <c r="AL2350" s="94"/>
    </row>
    <row r="2351" spans="3:38">
      <c r="C2351" s="30"/>
      <c r="F2351" s="95"/>
      <c r="G2351" s="1"/>
      <c r="H2351" s="94"/>
      <c r="I2351" s="90"/>
      <c r="J2351" s="90"/>
      <c r="K2351" s="1"/>
      <c r="L2351" s="74"/>
      <c r="M2351" s="633"/>
      <c r="N2351" s="274"/>
      <c r="O2351" s="94"/>
      <c r="P2351" s="94"/>
      <c r="Q2351" s="94"/>
      <c r="R2351" s="94"/>
      <c r="S2351" s="94"/>
      <c r="V2351" s="30"/>
      <c r="W2351" s="30"/>
      <c r="X2351" s="1"/>
      <c r="Y2351" s="95"/>
      <c r="Z2351" s="1"/>
      <c r="AA2351" s="94"/>
      <c r="AB2351" s="1"/>
      <c r="AC2351" s="1"/>
      <c r="AD2351" s="1"/>
      <c r="AE2351" s="30"/>
      <c r="AF2351" s="633"/>
      <c r="AG2351" s="94"/>
      <c r="AH2351" s="94"/>
      <c r="AI2351" s="94"/>
      <c r="AJ2351" s="94"/>
      <c r="AK2351" s="94"/>
      <c r="AL2351" s="94"/>
    </row>
    <row r="2352" spans="3:38">
      <c r="C2352" s="30"/>
      <c r="F2352" s="95"/>
      <c r="G2352" s="1"/>
      <c r="H2352" s="94"/>
      <c r="I2352" s="90"/>
      <c r="J2352" s="90"/>
      <c r="K2352" s="1"/>
      <c r="L2352" s="74"/>
      <c r="M2352" s="633"/>
      <c r="N2352" s="274"/>
      <c r="O2352" s="94"/>
      <c r="P2352" s="94"/>
      <c r="Q2352" s="94"/>
      <c r="R2352" s="94"/>
      <c r="S2352" s="94"/>
      <c r="V2352" s="30"/>
      <c r="W2352" s="30"/>
      <c r="X2352" s="1"/>
      <c r="Y2352" s="95"/>
      <c r="Z2352" s="1"/>
      <c r="AA2352" s="94"/>
      <c r="AB2352" s="1"/>
      <c r="AC2352" s="1"/>
      <c r="AD2352" s="1"/>
      <c r="AE2352" s="30"/>
      <c r="AF2352" s="633"/>
      <c r="AG2352" s="94"/>
      <c r="AH2352" s="94"/>
      <c r="AI2352" s="94"/>
      <c r="AJ2352" s="94"/>
      <c r="AK2352" s="94"/>
      <c r="AL2352" s="94"/>
    </row>
    <row r="2353" spans="3:38">
      <c r="C2353" s="30"/>
      <c r="F2353" s="95"/>
      <c r="G2353" s="1"/>
      <c r="H2353" s="94"/>
      <c r="I2353" s="90"/>
      <c r="J2353" s="90"/>
      <c r="K2353" s="1"/>
      <c r="L2353" s="74"/>
      <c r="M2353" s="633"/>
      <c r="N2353" s="274"/>
      <c r="O2353" s="94"/>
      <c r="P2353" s="94"/>
      <c r="Q2353" s="94"/>
      <c r="R2353" s="94"/>
      <c r="S2353" s="94"/>
      <c r="V2353" s="30"/>
      <c r="W2353" s="30"/>
      <c r="X2353" s="1"/>
      <c r="Y2353" s="95"/>
      <c r="Z2353" s="1"/>
      <c r="AA2353" s="94"/>
      <c r="AB2353" s="1"/>
      <c r="AC2353" s="1"/>
      <c r="AD2353" s="1"/>
      <c r="AE2353" s="30"/>
      <c r="AF2353" s="633"/>
      <c r="AG2353" s="94"/>
      <c r="AH2353" s="94"/>
      <c r="AI2353" s="94"/>
      <c r="AJ2353" s="94"/>
      <c r="AK2353" s="94"/>
      <c r="AL2353" s="94"/>
    </row>
    <row r="2354" spans="3:38">
      <c r="C2354" s="30"/>
      <c r="F2354" s="95"/>
      <c r="G2354" s="1"/>
      <c r="H2354" s="94"/>
      <c r="I2354" s="90"/>
      <c r="J2354" s="90"/>
      <c r="K2354" s="1"/>
      <c r="L2354" s="74"/>
      <c r="M2354" s="633"/>
      <c r="N2354" s="274"/>
      <c r="O2354" s="94"/>
      <c r="P2354" s="94"/>
      <c r="Q2354" s="94"/>
      <c r="R2354" s="94"/>
      <c r="S2354" s="94"/>
      <c r="V2354" s="30"/>
      <c r="W2354" s="30"/>
      <c r="X2354" s="1"/>
      <c r="Y2354" s="95"/>
      <c r="Z2354" s="1"/>
      <c r="AA2354" s="94"/>
      <c r="AB2354" s="1"/>
      <c r="AC2354" s="1"/>
      <c r="AD2354" s="1"/>
      <c r="AE2354" s="30"/>
      <c r="AF2354" s="633"/>
      <c r="AG2354" s="94"/>
      <c r="AH2354" s="94"/>
      <c r="AI2354" s="94"/>
      <c r="AJ2354" s="94"/>
      <c r="AK2354" s="94"/>
      <c r="AL2354" s="94"/>
    </row>
    <row r="2355" spans="3:38">
      <c r="C2355" s="30"/>
      <c r="F2355" s="95"/>
      <c r="G2355" s="1"/>
      <c r="H2355" s="94"/>
      <c r="I2355" s="90"/>
      <c r="J2355" s="90"/>
      <c r="K2355" s="1"/>
      <c r="L2355" s="74"/>
      <c r="M2355" s="633"/>
      <c r="N2355" s="274"/>
      <c r="O2355" s="94"/>
      <c r="P2355" s="94"/>
      <c r="Q2355" s="94"/>
      <c r="R2355" s="94"/>
      <c r="S2355" s="94"/>
      <c r="V2355" s="30"/>
      <c r="W2355" s="30"/>
      <c r="X2355" s="1"/>
      <c r="Y2355" s="95"/>
      <c r="Z2355" s="1"/>
      <c r="AA2355" s="94"/>
      <c r="AB2355" s="1"/>
      <c r="AC2355" s="1"/>
      <c r="AD2355" s="1"/>
      <c r="AE2355" s="30"/>
      <c r="AF2355" s="633"/>
      <c r="AG2355" s="94"/>
      <c r="AH2355" s="94"/>
      <c r="AI2355" s="94"/>
      <c r="AJ2355" s="94"/>
      <c r="AK2355" s="94"/>
      <c r="AL2355" s="94"/>
    </row>
    <row r="2356" spans="3:38">
      <c r="C2356" s="30"/>
      <c r="F2356" s="95"/>
      <c r="G2356" s="1"/>
      <c r="H2356" s="94"/>
      <c r="I2356" s="90"/>
      <c r="J2356" s="90"/>
      <c r="K2356" s="1"/>
      <c r="L2356" s="74"/>
      <c r="M2356" s="633"/>
      <c r="N2356" s="274"/>
      <c r="O2356" s="94"/>
      <c r="P2356" s="94"/>
      <c r="Q2356" s="94"/>
      <c r="R2356" s="94"/>
      <c r="S2356" s="94"/>
      <c r="V2356" s="30"/>
      <c r="W2356" s="30"/>
      <c r="X2356" s="1"/>
      <c r="Y2356" s="95"/>
      <c r="Z2356" s="1"/>
      <c r="AA2356" s="94"/>
      <c r="AB2356" s="1"/>
      <c r="AC2356" s="1"/>
      <c r="AD2356" s="1"/>
      <c r="AE2356" s="30"/>
      <c r="AF2356" s="633"/>
      <c r="AG2356" s="94"/>
      <c r="AH2356" s="94"/>
      <c r="AI2356" s="94"/>
      <c r="AJ2356" s="94"/>
      <c r="AK2356" s="94"/>
      <c r="AL2356" s="94"/>
    </row>
    <row r="2357" spans="3:38">
      <c r="C2357" s="30"/>
      <c r="F2357" s="95"/>
      <c r="G2357" s="1"/>
      <c r="H2357" s="94"/>
      <c r="I2357" s="90"/>
      <c r="J2357" s="90"/>
      <c r="K2357" s="1"/>
      <c r="L2357" s="74"/>
      <c r="M2357" s="633"/>
      <c r="N2357" s="274"/>
      <c r="O2357" s="94"/>
      <c r="P2357" s="94"/>
      <c r="Q2357" s="94"/>
      <c r="R2357" s="94"/>
      <c r="S2357" s="94"/>
      <c r="V2357" s="30"/>
      <c r="W2357" s="30"/>
      <c r="X2357" s="1"/>
      <c r="Y2357" s="95"/>
      <c r="Z2357" s="1"/>
      <c r="AA2357" s="94"/>
      <c r="AB2357" s="1"/>
      <c r="AC2357" s="1"/>
      <c r="AD2357" s="1"/>
      <c r="AE2357" s="30"/>
      <c r="AF2357" s="633"/>
      <c r="AG2357" s="94"/>
      <c r="AH2357" s="94"/>
      <c r="AI2357" s="94"/>
      <c r="AJ2357" s="94"/>
      <c r="AK2357" s="94"/>
      <c r="AL2357" s="94"/>
    </row>
    <row r="2358" spans="3:38">
      <c r="C2358" s="30"/>
      <c r="F2358" s="95"/>
      <c r="G2358" s="1"/>
      <c r="H2358" s="94"/>
      <c r="I2358" s="90"/>
      <c r="J2358" s="90"/>
      <c r="K2358" s="1"/>
      <c r="L2358" s="74"/>
      <c r="M2358" s="633"/>
      <c r="N2358" s="274"/>
      <c r="O2358" s="94"/>
      <c r="P2358" s="94"/>
      <c r="Q2358" s="94"/>
      <c r="R2358" s="94"/>
      <c r="S2358" s="94"/>
      <c r="V2358" s="30"/>
      <c r="W2358" s="30"/>
      <c r="X2358" s="1"/>
      <c r="Y2358" s="95"/>
      <c r="Z2358" s="1"/>
      <c r="AA2358" s="94"/>
      <c r="AB2358" s="1"/>
      <c r="AC2358" s="1"/>
      <c r="AD2358" s="1"/>
      <c r="AE2358" s="30"/>
      <c r="AF2358" s="633"/>
      <c r="AG2358" s="94"/>
      <c r="AH2358" s="94"/>
      <c r="AI2358" s="94"/>
      <c r="AJ2358" s="94"/>
      <c r="AK2358" s="94"/>
      <c r="AL2358" s="94"/>
    </row>
    <row r="2359" spans="3:38">
      <c r="C2359" s="30"/>
      <c r="F2359" s="95"/>
      <c r="G2359" s="1"/>
      <c r="H2359" s="94"/>
      <c r="I2359" s="90"/>
      <c r="J2359" s="90"/>
      <c r="K2359" s="1"/>
      <c r="L2359" s="74"/>
      <c r="M2359" s="633"/>
      <c r="N2359" s="274"/>
      <c r="O2359" s="94"/>
      <c r="P2359" s="94"/>
      <c r="Q2359" s="94"/>
      <c r="R2359" s="94"/>
      <c r="S2359" s="94"/>
      <c r="V2359" s="30"/>
      <c r="W2359" s="30"/>
      <c r="X2359" s="1"/>
      <c r="Y2359" s="95"/>
      <c r="Z2359" s="1"/>
      <c r="AA2359" s="94"/>
      <c r="AB2359" s="1"/>
      <c r="AC2359" s="1"/>
      <c r="AD2359" s="1"/>
      <c r="AE2359" s="30"/>
      <c r="AF2359" s="633"/>
      <c r="AG2359" s="94"/>
      <c r="AH2359" s="94"/>
      <c r="AI2359" s="94"/>
      <c r="AJ2359" s="94"/>
      <c r="AK2359" s="94"/>
      <c r="AL2359" s="94"/>
    </row>
    <row r="2360" spans="3:38">
      <c r="C2360" s="30"/>
      <c r="F2360" s="95"/>
      <c r="G2360" s="1"/>
      <c r="H2360" s="94"/>
      <c r="I2360" s="90"/>
      <c r="J2360" s="90"/>
      <c r="K2360" s="1"/>
      <c r="L2360" s="74"/>
      <c r="M2360" s="633"/>
      <c r="N2360" s="274"/>
      <c r="O2360" s="94"/>
      <c r="P2360" s="94"/>
      <c r="Q2360" s="94"/>
      <c r="R2360" s="94"/>
      <c r="S2360" s="94"/>
      <c r="V2360" s="30"/>
      <c r="W2360" s="30"/>
      <c r="X2360" s="1"/>
      <c r="Y2360" s="95"/>
      <c r="Z2360" s="1"/>
      <c r="AA2360" s="94"/>
      <c r="AB2360" s="1"/>
      <c r="AC2360" s="1"/>
      <c r="AD2360" s="1"/>
      <c r="AE2360" s="30"/>
      <c r="AF2360" s="633"/>
      <c r="AG2360" s="94"/>
      <c r="AH2360" s="94"/>
      <c r="AI2360" s="94"/>
      <c r="AJ2360" s="94"/>
      <c r="AK2360" s="94"/>
      <c r="AL2360" s="94"/>
    </row>
    <row r="2361" spans="3:38">
      <c r="C2361" s="30"/>
      <c r="F2361" s="95"/>
      <c r="G2361" s="1"/>
      <c r="H2361" s="94"/>
      <c r="I2361" s="90"/>
      <c r="J2361" s="90"/>
      <c r="K2361" s="1"/>
      <c r="L2361" s="74"/>
      <c r="M2361" s="633"/>
      <c r="N2361" s="274"/>
      <c r="O2361" s="94"/>
      <c r="P2361" s="94"/>
      <c r="Q2361" s="94"/>
      <c r="R2361" s="94"/>
      <c r="S2361" s="94"/>
      <c r="V2361" s="30"/>
      <c r="W2361" s="30"/>
      <c r="X2361" s="1"/>
      <c r="Y2361" s="95"/>
      <c r="Z2361" s="1"/>
      <c r="AA2361" s="94"/>
      <c r="AB2361" s="1"/>
      <c r="AC2361" s="1"/>
      <c r="AD2361" s="1"/>
      <c r="AE2361" s="30"/>
      <c r="AF2361" s="633"/>
      <c r="AG2361" s="94"/>
      <c r="AH2361" s="94"/>
      <c r="AI2361" s="94"/>
      <c r="AJ2361" s="94"/>
      <c r="AK2361" s="94"/>
      <c r="AL2361" s="94"/>
    </row>
    <row r="2362" spans="3:38">
      <c r="C2362" s="30"/>
      <c r="F2362" s="95"/>
      <c r="G2362" s="1"/>
      <c r="H2362" s="94"/>
      <c r="I2362" s="90"/>
      <c r="J2362" s="90"/>
      <c r="K2362" s="1"/>
      <c r="L2362" s="74"/>
      <c r="M2362" s="633"/>
      <c r="N2362" s="274"/>
      <c r="O2362" s="94"/>
      <c r="P2362" s="94"/>
      <c r="Q2362" s="94"/>
      <c r="R2362" s="94"/>
      <c r="S2362" s="94"/>
      <c r="V2362" s="30"/>
      <c r="W2362" s="30"/>
      <c r="X2362" s="1"/>
      <c r="Y2362" s="95"/>
      <c r="Z2362" s="1"/>
      <c r="AA2362" s="94"/>
      <c r="AB2362" s="1"/>
      <c r="AC2362" s="1"/>
      <c r="AD2362" s="1"/>
      <c r="AE2362" s="30"/>
      <c r="AF2362" s="633"/>
      <c r="AG2362" s="94"/>
      <c r="AH2362" s="94"/>
      <c r="AI2362" s="94"/>
      <c r="AJ2362" s="94"/>
      <c r="AK2362" s="94"/>
      <c r="AL2362" s="94"/>
    </row>
    <row r="2363" spans="3:38">
      <c r="C2363" s="30"/>
      <c r="F2363" s="95"/>
      <c r="G2363" s="1"/>
      <c r="H2363" s="94"/>
      <c r="I2363" s="90"/>
      <c r="J2363" s="90"/>
      <c r="K2363" s="1"/>
      <c r="L2363" s="74"/>
      <c r="M2363" s="633"/>
      <c r="N2363" s="274"/>
      <c r="O2363" s="94"/>
      <c r="P2363" s="94"/>
      <c r="Q2363" s="94"/>
      <c r="R2363" s="94"/>
      <c r="S2363" s="94"/>
      <c r="V2363" s="30"/>
      <c r="W2363" s="30"/>
      <c r="X2363" s="1"/>
      <c r="Y2363" s="95"/>
      <c r="Z2363" s="1"/>
      <c r="AA2363" s="94"/>
      <c r="AB2363" s="1"/>
      <c r="AC2363" s="1"/>
      <c r="AD2363" s="1"/>
      <c r="AE2363" s="30"/>
      <c r="AF2363" s="633"/>
      <c r="AG2363" s="94"/>
      <c r="AH2363" s="94"/>
      <c r="AI2363" s="94"/>
      <c r="AJ2363" s="94"/>
      <c r="AK2363" s="94"/>
      <c r="AL2363" s="94"/>
    </row>
    <row r="2364" spans="3:38">
      <c r="C2364" s="30"/>
      <c r="F2364" s="95"/>
      <c r="G2364" s="1"/>
      <c r="H2364" s="94"/>
      <c r="I2364" s="90"/>
      <c r="J2364" s="90"/>
      <c r="K2364" s="1"/>
      <c r="L2364" s="74"/>
      <c r="M2364" s="633"/>
      <c r="N2364" s="274"/>
      <c r="O2364" s="94"/>
      <c r="P2364" s="94"/>
      <c r="Q2364" s="94"/>
      <c r="R2364" s="94"/>
      <c r="S2364" s="94"/>
      <c r="V2364" s="30"/>
      <c r="W2364" s="30"/>
      <c r="X2364" s="1"/>
      <c r="Y2364" s="95"/>
      <c r="Z2364" s="1"/>
      <c r="AA2364" s="94"/>
      <c r="AB2364" s="1"/>
      <c r="AC2364" s="1"/>
      <c r="AD2364" s="1"/>
      <c r="AE2364" s="30"/>
      <c r="AF2364" s="633"/>
      <c r="AG2364" s="94"/>
      <c r="AH2364" s="94"/>
      <c r="AI2364" s="94"/>
      <c r="AJ2364" s="94"/>
      <c r="AK2364" s="94"/>
      <c r="AL2364" s="94"/>
    </row>
    <row r="2365" spans="3:38">
      <c r="C2365" s="30"/>
      <c r="F2365" s="95"/>
      <c r="G2365" s="1"/>
      <c r="H2365" s="94"/>
      <c r="I2365" s="90"/>
      <c r="J2365" s="90"/>
      <c r="K2365" s="1"/>
      <c r="L2365" s="74"/>
      <c r="M2365" s="633"/>
      <c r="N2365" s="274"/>
      <c r="O2365" s="94"/>
      <c r="P2365" s="94"/>
      <c r="Q2365" s="94"/>
      <c r="R2365" s="94"/>
      <c r="S2365" s="94"/>
      <c r="V2365" s="30"/>
      <c r="W2365" s="30"/>
      <c r="X2365" s="1"/>
      <c r="Y2365" s="95"/>
      <c r="Z2365" s="1"/>
      <c r="AA2365" s="94"/>
      <c r="AB2365" s="1"/>
      <c r="AC2365" s="1"/>
      <c r="AD2365" s="1"/>
      <c r="AE2365" s="30"/>
      <c r="AF2365" s="633"/>
      <c r="AG2365" s="94"/>
      <c r="AH2365" s="94"/>
      <c r="AI2365" s="94"/>
      <c r="AJ2365" s="94"/>
      <c r="AK2365" s="94"/>
      <c r="AL2365" s="94"/>
    </row>
    <row r="2366" spans="3:38">
      <c r="C2366" s="30"/>
      <c r="F2366" s="95"/>
      <c r="G2366" s="1"/>
      <c r="H2366" s="94"/>
      <c r="I2366" s="90"/>
      <c r="J2366" s="90"/>
      <c r="K2366" s="1"/>
      <c r="L2366" s="74"/>
      <c r="M2366" s="633"/>
      <c r="N2366" s="274"/>
      <c r="O2366" s="94"/>
      <c r="P2366" s="94"/>
      <c r="Q2366" s="94"/>
      <c r="R2366" s="94"/>
      <c r="S2366" s="94"/>
      <c r="V2366" s="30"/>
      <c r="W2366" s="30"/>
      <c r="X2366" s="1"/>
      <c r="Y2366" s="95"/>
      <c r="Z2366" s="1"/>
      <c r="AA2366" s="94"/>
      <c r="AB2366" s="1"/>
      <c r="AC2366" s="1"/>
      <c r="AD2366" s="1"/>
      <c r="AE2366" s="30"/>
      <c r="AF2366" s="633"/>
      <c r="AG2366" s="94"/>
      <c r="AH2366" s="94"/>
      <c r="AI2366" s="94"/>
      <c r="AJ2366" s="94"/>
      <c r="AK2366" s="94"/>
      <c r="AL2366" s="94"/>
    </row>
    <row r="2367" spans="3:38">
      <c r="C2367" s="30"/>
      <c r="F2367" s="95"/>
      <c r="G2367" s="1"/>
      <c r="H2367" s="94"/>
      <c r="I2367" s="90"/>
      <c r="J2367" s="90"/>
      <c r="K2367" s="1"/>
      <c r="L2367" s="74"/>
      <c r="M2367" s="633"/>
      <c r="N2367" s="274"/>
      <c r="O2367" s="94"/>
      <c r="P2367" s="94"/>
      <c r="Q2367" s="94"/>
      <c r="R2367" s="94"/>
      <c r="S2367" s="94"/>
      <c r="V2367" s="30"/>
      <c r="W2367" s="30"/>
      <c r="X2367" s="1"/>
      <c r="Y2367" s="95"/>
      <c r="Z2367" s="1"/>
      <c r="AA2367" s="94"/>
      <c r="AB2367" s="1"/>
      <c r="AC2367" s="1"/>
      <c r="AD2367" s="1"/>
      <c r="AE2367" s="30"/>
      <c r="AF2367" s="633"/>
      <c r="AG2367" s="94"/>
      <c r="AH2367" s="94"/>
      <c r="AI2367" s="94"/>
      <c r="AJ2367" s="94"/>
      <c r="AK2367" s="94"/>
      <c r="AL2367" s="94"/>
    </row>
    <row r="2368" spans="3:38">
      <c r="C2368" s="30"/>
      <c r="F2368" s="95"/>
      <c r="G2368" s="1"/>
      <c r="H2368" s="94"/>
      <c r="I2368" s="90"/>
      <c r="J2368" s="90"/>
      <c r="K2368" s="1"/>
      <c r="L2368" s="74"/>
      <c r="M2368" s="633"/>
      <c r="N2368" s="274"/>
      <c r="O2368" s="94"/>
      <c r="P2368" s="94"/>
      <c r="Q2368" s="94"/>
      <c r="R2368" s="94"/>
      <c r="S2368" s="94"/>
      <c r="V2368" s="30"/>
      <c r="W2368" s="30"/>
      <c r="X2368" s="1"/>
      <c r="Y2368" s="95"/>
      <c r="Z2368" s="1"/>
      <c r="AA2368" s="94"/>
      <c r="AB2368" s="1"/>
      <c r="AC2368" s="1"/>
      <c r="AD2368" s="1"/>
      <c r="AE2368" s="30"/>
      <c r="AF2368" s="633"/>
      <c r="AG2368" s="94"/>
      <c r="AH2368" s="94"/>
      <c r="AI2368" s="94"/>
      <c r="AJ2368" s="94"/>
      <c r="AK2368" s="94"/>
      <c r="AL2368" s="94"/>
    </row>
    <row r="2369" spans="3:38">
      <c r="C2369" s="30"/>
      <c r="F2369" s="95"/>
      <c r="G2369" s="1"/>
      <c r="H2369" s="94"/>
      <c r="I2369" s="90"/>
      <c r="J2369" s="90"/>
      <c r="K2369" s="1"/>
      <c r="L2369" s="74"/>
      <c r="M2369" s="633"/>
      <c r="N2369" s="274"/>
      <c r="O2369" s="94"/>
      <c r="P2369" s="94"/>
      <c r="Q2369" s="94"/>
      <c r="R2369" s="94"/>
      <c r="S2369" s="94"/>
      <c r="V2369" s="30"/>
      <c r="W2369" s="30"/>
      <c r="X2369" s="1"/>
      <c r="Y2369" s="95"/>
      <c r="Z2369" s="1"/>
      <c r="AA2369" s="94"/>
      <c r="AB2369" s="1"/>
      <c r="AC2369" s="1"/>
      <c r="AD2369" s="1"/>
      <c r="AE2369" s="30"/>
      <c r="AF2369" s="633"/>
      <c r="AG2369" s="94"/>
      <c r="AH2369" s="94"/>
      <c r="AI2369" s="94"/>
      <c r="AJ2369" s="94"/>
      <c r="AK2369" s="94"/>
      <c r="AL2369" s="94"/>
    </row>
    <row r="2370" spans="3:38">
      <c r="C2370" s="30"/>
      <c r="F2370" s="95"/>
      <c r="G2370" s="1"/>
      <c r="H2370" s="94"/>
      <c r="I2370" s="90"/>
      <c r="J2370" s="90"/>
      <c r="K2370" s="1"/>
      <c r="L2370" s="74"/>
      <c r="M2370" s="633"/>
      <c r="N2370" s="274"/>
      <c r="O2370" s="94"/>
      <c r="P2370" s="94"/>
      <c r="Q2370" s="94"/>
      <c r="R2370" s="94"/>
      <c r="S2370" s="94"/>
      <c r="V2370" s="30"/>
      <c r="W2370" s="30"/>
      <c r="X2370" s="1"/>
      <c r="Y2370" s="95"/>
      <c r="Z2370" s="1"/>
      <c r="AA2370" s="94"/>
      <c r="AB2370" s="1"/>
      <c r="AC2370" s="1"/>
      <c r="AD2370" s="1"/>
      <c r="AE2370" s="30"/>
      <c r="AF2370" s="633"/>
      <c r="AG2370" s="94"/>
      <c r="AH2370" s="94"/>
      <c r="AI2370" s="94"/>
      <c r="AJ2370" s="94"/>
      <c r="AK2370" s="94"/>
      <c r="AL2370" s="94"/>
    </row>
    <row r="2371" spans="3:38">
      <c r="C2371" s="30"/>
      <c r="F2371" s="95"/>
      <c r="G2371" s="1"/>
      <c r="H2371" s="94"/>
      <c r="I2371" s="90"/>
      <c r="J2371" s="90"/>
      <c r="K2371" s="1"/>
      <c r="L2371" s="74"/>
      <c r="M2371" s="633"/>
      <c r="N2371" s="274"/>
      <c r="O2371" s="94"/>
      <c r="P2371" s="94"/>
      <c r="Q2371" s="94"/>
      <c r="R2371" s="94"/>
      <c r="S2371" s="94"/>
      <c r="V2371" s="30"/>
      <c r="W2371" s="30"/>
      <c r="X2371" s="1"/>
      <c r="Y2371" s="95"/>
      <c r="Z2371" s="1"/>
      <c r="AA2371" s="94"/>
      <c r="AB2371" s="1"/>
      <c r="AC2371" s="1"/>
      <c r="AD2371" s="1"/>
      <c r="AE2371" s="30"/>
      <c r="AF2371" s="633"/>
      <c r="AG2371" s="94"/>
      <c r="AH2371" s="94"/>
      <c r="AI2371" s="94"/>
      <c r="AJ2371" s="94"/>
      <c r="AK2371" s="94"/>
      <c r="AL2371" s="94"/>
    </row>
    <row r="2372" spans="3:38">
      <c r="C2372" s="30"/>
      <c r="F2372" s="95"/>
      <c r="G2372" s="1"/>
      <c r="H2372" s="94"/>
      <c r="I2372" s="90"/>
      <c r="J2372" s="90"/>
      <c r="K2372" s="1"/>
      <c r="L2372" s="74"/>
      <c r="M2372" s="633"/>
      <c r="N2372" s="274"/>
      <c r="O2372" s="94"/>
      <c r="P2372" s="94"/>
      <c r="Q2372" s="94"/>
      <c r="R2372" s="94"/>
      <c r="S2372" s="94"/>
      <c r="V2372" s="30"/>
      <c r="W2372" s="30"/>
      <c r="X2372" s="1"/>
      <c r="Y2372" s="95"/>
      <c r="Z2372" s="1"/>
      <c r="AA2372" s="94"/>
      <c r="AB2372" s="1"/>
      <c r="AC2372" s="1"/>
      <c r="AD2372" s="1"/>
      <c r="AE2372" s="30"/>
      <c r="AF2372" s="633"/>
      <c r="AG2372" s="94"/>
      <c r="AH2372" s="94"/>
      <c r="AI2372" s="94"/>
      <c r="AJ2372" s="94"/>
      <c r="AK2372" s="94"/>
      <c r="AL2372" s="94"/>
    </row>
    <row r="2373" spans="3:38">
      <c r="C2373" s="30"/>
      <c r="F2373" s="95"/>
      <c r="G2373" s="1"/>
      <c r="H2373" s="94"/>
      <c r="I2373" s="90"/>
      <c r="J2373" s="90"/>
      <c r="K2373" s="1"/>
      <c r="L2373" s="74"/>
      <c r="M2373" s="633"/>
      <c r="N2373" s="274"/>
      <c r="O2373" s="94"/>
      <c r="P2373" s="94"/>
      <c r="Q2373" s="94"/>
      <c r="R2373" s="94"/>
      <c r="S2373" s="94"/>
      <c r="V2373" s="30"/>
      <c r="W2373" s="30"/>
      <c r="X2373" s="1"/>
      <c r="Y2373" s="95"/>
      <c r="Z2373" s="1"/>
      <c r="AA2373" s="94"/>
      <c r="AB2373" s="1"/>
      <c r="AC2373" s="1"/>
      <c r="AD2373" s="1"/>
      <c r="AE2373" s="30"/>
      <c r="AF2373" s="633"/>
      <c r="AG2373" s="94"/>
      <c r="AH2373" s="94"/>
      <c r="AI2373" s="94"/>
      <c r="AJ2373" s="94"/>
      <c r="AK2373" s="94"/>
      <c r="AL2373" s="94"/>
    </row>
    <row r="2374" spans="3:38">
      <c r="C2374" s="30"/>
      <c r="F2374" s="95"/>
      <c r="G2374" s="1"/>
      <c r="H2374" s="94"/>
      <c r="I2374" s="90"/>
      <c r="J2374" s="90"/>
      <c r="K2374" s="1"/>
      <c r="L2374" s="74"/>
      <c r="M2374" s="633"/>
      <c r="N2374" s="274"/>
      <c r="O2374" s="94"/>
      <c r="P2374" s="94"/>
      <c r="Q2374" s="94"/>
      <c r="R2374" s="94"/>
      <c r="S2374" s="94"/>
      <c r="V2374" s="30"/>
      <c r="W2374" s="30"/>
      <c r="X2374" s="1"/>
      <c r="Y2374" s="95"/>
      <c r="Z2374" s="1"/>
      <c r="AA2374" s="94"/>
      <c r="AB2374" s="1"/>
      <c r="AC2374" s="1"/>
      <c r="AD2374" s="1"/>
      <c r="AE2374" s="30"/>
      <c r="AF2374" s="633"/>
      <c r="AG2374" s="94"/>
      <c r="AH2374" s="94"/>
      <c r="AI2374" s="94"/>
      <c r="AJ2374" s="94"/>
      <c r="AK2374" s="94"/>
      <c r="AL2374" s="94"/>
    </row>
    <row r="2375" spans="3:38">
      <c r="C2375" s="30"/>
      <c r="F2375" s="95"/>
      <c r="G2375" s="1"/>
      <c r="H2375" s="94"/>
      <c r="I2375" s="90"/>
      <c r="J2375" s="90"/>
      <c r="K2375" s="1"/>
      <c r="L2375" s="74"/>
      <c r="M2375" s="633"/>
      <c r="N2375" s="274"/>
      <c r="O2375" s="94"/>
      <c r="P2375" s="94"/>
      <c r="Q2375" s="94"/>
      <c r="R2375" s="94"/>
      <c r="S2375" s="94"/>
      <c r="V2375" s="30"/>
      <c r="W2375" s="30"/>
      <c r="X2375" s="1"/>
      <c r="Y2375" s="95"/>
      <c r="Z2375" s="1"/>
      <c r="AA2375" s="94"/>
      <c r="AB2375" s="1"/>
      <c r="AC2375" s="1"/>
      <c r="AD2375" s="1"/>
      <c r="AE2375" s="30"/>
      <c r="AF2375" s="633"/>
      <c r="AG2375" s="94"/>
      <c r="AH2375" s="94"/>
      <c r="AI2375" s="94"/>
      <c r="AJ2375" s="94"/>
      <c r="AK2375" s="94"/>
      <c r="AL2375" s="94"/>
    </row>
    <row r="2376" spans="3:38">
      <c r="C2376" s="30"/>
      <c r="F2376" s="95"/>
      <c r="G2376" s="1"/>
      <c r="H2376" s="94"/>
      <c r="I2376" s="90"/>
      <c r="J2376" s="90"/>
      <c r="K2376" s="1"/>
      <c r="L2376" s="74"/>
      <c r="M2376" s="633"/>
      <c r="N2376" s="274"/>
      <c r="O2376" s="94"/>
      <c r="P2376" s="94"/>
      <c r="Q2376" s="94"/>
      <c r="R2376" s="94"/>
      <c r="S2376" s="94"/>
      <c r="V2376" s="30"/>
      <c r="W2376" s="30"/>
      <c r="X2376" s="1"/>
      <c r="Y2376" s="95"/>
      <c r="Z2376" s="1"/>
      <c r="AA2376" s="94"/>
      <c r="AB2376" s="1"/>
      <c r="AC2376" s="1"/>
      <c r="AD2376" s="1"/>
      <c r="AE2376" s="30"/>
      <c r="AF2376" s="633"/>
      <c r="AG2376" s="94"/>
      <c r="AH2376" s="94"/>
      <c r="AI2376" s="94"/>
      <c r="AJ2376" s="94"/>
      <c r="AK2376" s="94"/>
      <c r="AL2376" s="94"/>
    </row>
    <row r="2377" spans="3:38">
      <c r="C2377" s="30"/>
      <c r="F2377" s="95"/>
      <c r="G2377" s="1"/>
      <c r="H2377" s="94"/>
      <c r="I2377" s="90"/>
      <c r="J2377" s="90"/>
      <c r="K2377" s="1"/>
      <c r="L2377" s="74"/>
      <c r="M2377" s="633"/>
      <c r="N2377" s="274"/>
      <c r="O2377" s="94"/>
      <c r="P2377" s="94"/>
      <c r="Q2377" s="94"/>
      <c r="R2377" s="94"/>
      <c r="S2377" s="94"/>
      <c r="V2377" s="30"/>
      <c r="W2377" s="30"/>
      <c r="X2377" s="1"/>
      <c r="Y2377" s="95"/>
      <c r="Z2377" s="1"/>
      <c r="AA2377" s="94"/>
      <c r="AB2377" s="1"/>
      <c r="AC2377" s="1"/>
      <c r="AD2377" s="1"/>
      <c r="AE2377" s="30"/>
      <c r="AF2377" s="633"/>
      <c r="AG2377" s="94"/>
      <c r="AH2377" s="94"/>
      <c r="AI2377" s="94"/>
      <c r="AJ2377" s="94"/>
      <c r="AK2377" s="94"/>
      <c r="AL2377" s="94"/>
    </row>
    <row r="2378" spans="3:38">
      <c r="C2378" s="30"/>
      <c r="F2378" s="95"/>
      <c r="G2378" s="1"/>
      <c r="H2378" s="94"/>
      <c r="I2378" s="90"/>
      <c r="J2378" s="90"/>
      <c r="K2378" s="1"/>
      <c r="L2378" s="74"/>
      <c r="M2378" s="633"/>
      <c r="N2378" s="274"/>
      <c r="O2378" s="94"/>
      <c r="P2378" s="94"/>
      <c r="Q2378" s="94"/>
      <c r="R2378" s="94"/>
      <c r="S2378" s="94"/>
      <c r="V2378" s="30"/>
      <c r="W2378" s="30"/>
      <c r="X2378" s="1"/>
      <c r="Y2378" s="95"/>
      <c r="Z2378" s="1"/>
      <c r="AA2378" s="94"/>
      <c r="AB2378" s="1"/>
      <c r="AC2378" s="1"/>
      <c r="AD2378" s="1"/>
      <c r="AE2378" s="30"/>
      <c r="AF2378" s="633"/>
      <c r="AG2378" s="94"/>
      <c r="AH2378" s="94"/>
      <c r="AI2378" s="94"/>
      <c r="AJ2378" s="94"/>
      <c r="AK2378" s="94"/>
      <c r="AL2378" s="94"/>
    </row>
    <row r="2379" spans="3:38">
      <c r="C2379" s="30"/>
      <c r="F2379" s="95"/>
      <c r="G2379" s="1"/>
      <c r="H2379" s="94"/>
      <c r="I2379" s="90"/>
      <c r="J2379" s="90"/>
      <c r="K2379" s="1"/>
      <c r="L2379" s="74"/>
      <c r="M2379" s="633"/>
      <c r="N2379" s="274"/>
      <c r="O2379" s="94"/>
      <c r="P2379" s="94"/>
      <c r="Q2379" s="94"/>
      <c r="R2379" s="94"/>
      <c r="S2379" s="94"/>
      <c r="V2379" s="30"/>
      <c r="W2379" s="30"/>
      <c r="X2379" s="1"/>
      <c r="Y2379" s="95"/>
      <c r="Z2379" s="1"/>
      <c r="AA2379" s="94"/>
      <c r="AB2379" s="1"/>
      <c r="AC2379" s="1"/>
      <c r="AD2379" s="1"/>
      <c r="AE2379" s="30"/>
      <c r="AF2379" s="633"/>
      <c r="AG2379" s="94"/>
      <c r="AH2379" s="94"/>
      <c r="AI2379" s="94"/>
      <c r="AJ2379" s="94"/>
      <c r="AK2379" s="94"/>
      <c r="AL2379" s="94"/>
    </row>
    <row r="2380" spans="3:38">
      <c r="C2380" s="30"/>
      <c r="F2380" s="95"/>
      <c r="G2380" s="1"/>
      <c r="H2380" s="94"/>
      <c r="I2380" s="90"/>
      <c r="J2380" s="90"/>
      <c r="K2380" s="1"/>
      <c r="L2380" s="74"/>
      <c r="M2380" s="633"/>
      <c r="N2380" s="274"/>
      <c r="O2380" s="94"/>
      <c r="P2380" s="94"/>
      <c r="Q2380" s="94"/>
      <c r="R2380" s="94"/>
      <c r="S2380" s="94"/>
      <c r="V2380" s="30"/>
      <c r="W2380" s="30"/>
      <c r="X2380" s="1"/>
      <c r="Y2380" s="95"/>
      <c r="Z2380" s="1"/>
      <c r="AA2380" s="94"/>
      <c r="AB2380" s="1"/>
      <c r="AC2380" s="1"/>
      <c r="AD2380" s="1"/>
      <c r="AE2380" s="30"/>
      <c r="AF2380" s="633"/>
      <c r="AG2380" s="94"/>
      <c r="AH2380" s="94"/>
      <c r="AI2380" s="94"/>
      <c r="AJ2380" s="94"/>
      <c r="AK2380" s="94"/>
      <c r="AL2380" s="94"/>
    </row>
    <row r="2381" spans="3:38">
      <c r="C2381" s="30"/>
      <c r="F2381" s="95"/>
      <c r="G2381" s="1"/>
      <c r="H2381" s="94"/>
      <c r="I2381" s="90"/>
      <c r="J2381" s="90"/>
      <c r="K2381" s="1"/>
      <c r="L2381" s="74"/>
      <c r="M2381" s="633"/>
      <c r="N2381" s="274"/>
      <c r="O2381" s="94"/>
      <c r="P2381" s="94"/>
      <c r="Q2381" s="94"/>
      <c r="R2381" s="94"/>
      <c r="S2381" s="94"/>
      <c r="V2381" s="30"/>
      <c r="W2381" s="30"/>
      <c r="X2381" s="1"/>
      <c r="Y2381" s="95"/>
      <c r="Z2381" s="1"/>
      <c r="AA2381" s="94"/>
      <c r="AB2381" s="1"/>
      <c r="AC2381" s="1"/>
      <c r="AD2381" s="1"/>
      <c r="AE2381" s="30"/>
      <c r="AF2381" s="633"/>
      <c r="AG2381" s="94"/>
      <c r="AH2381" s="94"/>
      <c r="AI2381" s="94"/>
      <c r="AJ2381" s="94"/>
      <c r="AK2381" s="94"/>
      <c r="AL2381" s="94"/>
    </row>
    <row r="2382" spans="3:38">
      <c r="C2382" s="30"/>
      <c r="F2382" s="95"/>
      <c r="G2382" s="1"/>
      <c r="H2382" s="94"/>
      <c r="I2382" s="90"/>
      <c r="J2382" s="90"/>
      <c r="K2382" s="1"/>
      <c r="L2382" s="74"/>
      <c r="M2382" s="633"/>
      <c r="N2382" s="274"/>
      <c r="O2382" s="94"/>
      <c r="P2382" s="94"/>
      <c r="Q2382" s="94"/>
      <c r="R2382" s="94"/>
      <c r="S2382" s="94"/>
      <c r="V2382" s="30"/>
      <c r="W2382" s="30"/>
      <c r="X2382" s="1"/>
      <c r="Y2382" s="95"/>
      <c r="Z2382" s="1"/>
      <c r="AA2382" s="94"/>
      <c r="AB2382" s="1"/>
      <c r="AC2382" s="1"/>
      <c r="AD2382" s="1"/>
      <c r="AE2382" s="30"/>
      <c r="AF2382" s="633"/>
      <c r="AG2382" s="94"/>
      <c r="AH2382" s="94"/>
      <c r="AI2382" s="94"/>
      <c r="AJ2382" s="94"/>
      <c r="AK2382" s="94"/>
      <c r="AL2382" s="94"/>
    </row>
    <row r="2383" spans="3:38">
      <c r="C2383" s="30"/>
      <c r="F2383" s="95"/>
      <c r="G2383" s="1"/>
      <c r="H2383" s="94"/>
      <c r="I2383" s="90"/>
      <c r="J2383" s="90"/>
      <c r="K2383" s="1"/>
      <c r="L2383" s="74"/>
      <c r="M2383" s="633"/>
      <c r="N2383" s="274"/>
      <c r="O2383" s="94"/>
      <c r="P2383" s="94"/>
      <c r="Q2383" s="94"/>
      <c r="R2383" s="94"/>
      <c r="S2383" s="94"/>
      <c r="V2383" s="30"/>
      <c r="W2383" s="30"/>
      <c r="X2383" s="1"/>
      <c r="Y2383" s="95"/>
      <c r="Z2383" s="1"/>
      <c r="AA2383" s="94"/>
      <c r="AB2383" s="1"/>
      <c r="AC2383" s="1"/>
      <c r="AD2383" s="1"/>
      <c r="AE2383" s="30"/>
      <c r="AF2383" s="633"/>
      <c r="AG2383" s="94"/>
      <c r="AH2383" s="94"/>
      <c r="AI2383" s="94"/>
      <c r="AJ2383" s="94"/>
      <c r="AK2383" s="94"/>
      <c r="AL2383" s="94"/>
    </row>
    <row r="2384" spans="3:38">
      <c r="C2384" s="30"/>
      <c r="F2384" s="95"/>
      <c r="G2384" s="1"/>
      <c r="H2384" s="94"/>
      <c r="I2384" s="90"/>
      <c r="J2384" s="90"/>
      <c r="K2384" s="1"/>
      <c r="L2384" s="74"/>
      <c r="M2384" s="633"/>
      <c r="N2384" s="274"/>
      <c r="O2384" s="94"/>
      <c r="P2384" s="94"/>
      <c r="Q2384" s="94"/>
      <c r="R2384" s="94"/>
      <c r="S2384" s="94"/>
      <c r="V2384" s="30"/>
      <c r="W2384" s="30"/>
      <c r="X2384" s="1"/>
      <c r="Y2384" s="95"/>
      <c r="Z2384" s="1"/>
      <c r="AA2384" s="94"/>
      <c r="AB2384" s="1"/>
      <c r="AC2384" s="1"/>
      <c r="AD2384" s="1"/>
      <c r="AE2384" s="30"/>
      <c r="AF2384" s="633"/>
      <c r="AG2384" s="94"/>
      <c r="AH2384" s="94"/>
      <c r="AI2384" s="94"/>
      <c r="AJ2384" s="94"/>
      <c r="AK2384" s="94"/>
      <c r="AL2384" s="94"/>
    </row>
    <row r="2385" spans="3:38">
      <c r="C2385" s="30"/>
      <c r="F2385" s="95"/>
      <c r="G2385" s="1"/>
      <c r="H2385" s="94"/>
      <c r="I2385" s="90"/>
      <c r="J2385" s="90"/>
      <c r="K2385" s="1"/>
      <c r="L2385" s="74"/>
      <c r="M2385" s="633"/>
      <c r="N2385" s="274"/>
      <c r="O2385" s="94"/>
      <c r="P2385" s="94"/>
      <c r="Q2385" s="94"/>
      <c r="R2385" s="94"/>
      <c r="S2385" s="94"/>
      <c r="V2385" s="30"/>
      <c r="W2385" s="30"/>
      <c r="X2385" s="1"/>
      <c r="Y2385" s="95"/>
      <c r="Z2385" s="1"/>
      <c r="AA2385" s="94"/>
      <c r="AB2385" s="1"/>
      <c r="AC2385" s="1"/>
      <c r="AD2385" s="1"/>
      <c r="AE2385" s="30"/>
      <c r="AF2385" s="633"/>
      <c r="AG2385" s="94"/>
      <c r="AH2385" s="94"/>
      <c r="AI2385" s="94"/>
      <c r="AJ2385" s="94"/>
      <c r="AK2385" s="94"/>
      <c r="AL2385" s="94"/>
    </row>
    <row r="2386" spans="3:38">
      <c r="C2386" s="30"/>
      <c r="F2386" s="95"/>
      <c r="G2386" s="1"/>
      <c r="H2386" s="94"/>
      <c r="I2386" s="90"/>
      <c r="J2386" s="90"/>
      <c r="K2386" s="1"/>
      <c r="L2386" s="74"/>
      <c r="M2386" s="633"/>
      <c r="N2386" s="274"/>
      <c r="O2386" s="94"/>
      <c r="P2386" s="94"/>
      <c r="Q2386" s="94"/>
      <c r="R2386" s="94"/>
      <c r="S2386" s="94"/>
      <c r="V2386" s="30"/>
      <c r="W2386" s="30"/>
      <c r="X2386" s="1"/>
      <c r="Y2386" s="95"/>
      <c r="Z2386" s="1"/>
      <c r="AA2386" s="94"/>
      <c r="AB2386" s="1"/>
      <c r="AC2386" s="1"/>
      <c r="AD2386" s="1"/>
      <c r="AE2386" s="30"/>
      <c r="AF2386" s="633"/>
      <c r="AG2386" s="94"/>
      <c r="AH2386" s="94"/>
      <c r="AI2386" s="94"/>
      <c r="AJ2386" s="94"/>
      <c r="AK2386" s="94"/>
      <c r="AL2386" s="94"/>
    </row>
    <row r="2387" spans="3:38">
      <c r="C2387" s="30"/>
      <c r="F2387" s="95"/>
      <c r="G2387" s="1"/>
      <c r="H2387" s="94"/>
      <c r="I2387" s="90"/>
      <c r="J2387" s="90"/>
      <c r="K2387" s="1"/>
      <c r="L2387" s="74"/>
      <c r="M2387" s="633"/>
      <c r="N2387" s="274"/>
      <c r="O2387" s="94"/>
      <c r="P2387" s="94"/>
      <c r="Q2387" s="94"/>
      <c r="R2387" s="94"/>
      <c r="S2387" s="94"/>
      <c r="V2387" s="30"/>
      <c r="W2387" s="30"/>
      <c r="X2387" s="1"/>
      <c r="Y2387" s="95"/>
      <c r="Z2387" s="1"/>
      <c r="AA2387" s="94"/>
      <c r="AB2387" s="1"/>
      <c r="AC2387" s="1"/>
      <c r="AD2387" s="1"/>
      <c r="AE2387" s="30"/>
      <c r="AF2387" s="633"/>
      <c r="AG2387" s="94"/>
      <c r="AH2387" s="94"/>
      <c r="AI2387" s="94"/>
      <c r="AJ2387" s="94"/>
      <c r="AK2387" s="94"/>
      <c r="AL2387" s="94"/>
    </row>
    <row r="2388" spans="3:38">
      <c r="C2388" s="30"/>
      <c r="F2388" s="95"/>
      <c r="G2388" s="1"/>
      <c r="H2388" s="94"/>
      <c r="I2388" s="90"/>
      <c r="J2388" s="90"/>
      <c r="K2388" s="1"/>
      <c r="L2388" s="74"/>
      <c r="M2388" s="633"/>
      <c r="N2388" s="274"/>
      <c r="O2388" s="94"/>
      <c r="P2388" s="94"/>
      <c r="Q2388" s="94"/>
      <c r="R2388" s="94"/>
      <c r="S2388" s="94"/>
      <c r="V2388" s="30"/>
      <c r="W2388" s="30"/>
      <c r="X2388" s="1"/>
      <c r="Y2388" s="95"/>
      <c r="Z2388" s="1"/>
      <c r="AA2388" s="94"/>
      <c r="AB2388" s="1"/>
      <c r="AC2388" s="1"/>
      <c r="AD2388" s="1"/>
      <c r="AE2388" s="30"/>
      <c r="AF2388" s="633"/>
      <c r="AG2388" s="94"/>
      <c r="AH2388" s="94"/>
      <c r="AI2388" s="94"/>
      <c r="AJ2388" s="94"/>
      <c r="AK2388" s="94"/>
      <c r="AL2388" s="94"/>
    </row>
    <row r="2389" spans="3:38">
      <c r="C2389" s="30"/>
      <c r="F2389" s="95"/>
      <c r="G2389" s="1"/>
      <c r="H2389" s="94"/>
      <c r="I2389" s="90"/>
      <c r="J2389" s="90"/>
      <c r="K2389" s="1"/>
      <c r="L2389" s="74"/>
      <c r="M2389" s="633"/>
      <c r="N2389" s="274"/>
      <c r="O2389" s="94"/>
      <c r="P2389" s="94"/>
      <c r="Q2389" s="94"/>
      <c r="R2389" s="94"/>
      <c r="S2389" s="94"/>
      <c r="V2389" s="30"/>
      <c r="W2389" s="30"/>
      <c r="X2389" s="1"/>
      <c r="Y2389" s="95"/>
      <c r="Z2389" s="1"/>
      <c r="AA2389" s="94"/>
      <c r="AB2389" s="1"/>
      <c r="AC2389" s="1"/>
      <c r="AD2389" s="1"/>
      <c r="AE2389" s="30"/>
      <c r="AF2389" s="633"/>
      <c r="AG2389" s="94"/>
      <c r="AH2389" s="94"/>
      <c r="AI2389" s="94"/>
      <c r="AJ2389" s="94"/>
      <c r="AK2389" s="94"/>
      <c r="AL2389" s="94"/>
    </row>
    <row r="2390" spans="3:38">
      <c r="C2390" s="30"/>
      <c r="F2390" s="95"/>
      <c r="G2390" s="1"/>
      <c r="H2390" s="94"/>
      <c r="I2390" s="90"/>
      <c r="J2390" s="90"/>
      <c r="K2390" s="1"/>
      <c r="L2390" s="74"/>
      <c r="M2390" s="633"/>
      <c r="N2390" s="274"/>
      <c r="O2390" s="94"/>
      <c r="P2390" s="94"/>
      <c r="Q2390" s="94"/>
      <c r="R2390" s="94"/>
      <c r="S2390" s="94"/>
      <c r="V2390" s="30"/>
      <c r="W2390" s="30"/>
      <c r="X2390" s="1"/>
      <c r="Y2390" s="95"/>
      <c r="Z2390" s="1"/>
      <c r="AA2390" s="94"/>
      <c r="AB2390" s="1"/>
      <c r="AC2390" s="1"/>
      <c r="AD2390" s="1"/>
      <c r="AE2390" s="30"/>
      <c r="AF2390" s="633"/>
      <c r="AG2390" s="94"/>
      <c r="AH2390" s="94"/>
      <c r="AI2390" s="94"/>
      <c r="AJ2390" s="94"/>
      <c r="AK2390" s="94"/>
      <c r="AL2390" s="94"/>
    </row>
    <row r="2391" spans="3:38">
      <c r="C2391" s="30"/>
      <c r="F2391" s="95"/>
      <c r="G2391" s="1"/>
      <c r="H2391" s="94"/>
      <c r="I2391" s="90"/>
      <c r="J2391" s="90"/>
      <c r="K2391" s="1"/>
      <c r="L2391" s="74"/>
      <c r="M2391" s="633"/>
      <c r="N2391" s="274"/>
      <c r="O2391" s="94"/>
      <c r="P2391" s="94"/>
      <c r="Q2391" s="94"/>
      <c r="R2391" s="94"/>
      <c r="S2391" s="94"/>
      <c r="V2391" s="30"/>
      <c r="W2391" s="30"/>
      <c r="X2391" s="1"/>
      <c r="Y2391" s="95"/>
      <c r="Z2391" s="1"/>
      <c r="AA2391" s="94"/>
      <c r="AB2391" s="1"/>
      <c r="AC2391" s="1"/>
      <c r="AD2391" s="1"/>
      <c r="AE2391" s="30"/>
      <c r="AF2391" s="633"/>
      <c r="AG2391" s="94"/>
      <c r="AH2391" s="94"/>
      <c r="AI2391" s="94"/>
      <c r="AJ2391" s="94"/>
      <c r="AK2391" s="94"/>
      <c r="AL2391" s="94"/>
    </row>
    <row r="2392" spans="3:38">
      <c r="C2392" s="30"/>
      <c r="F2392" s="95"/>
      <c r="G2392" s="1"/>
      <c r="H2392" s="94"/>
      <c r="I2392" s="90"/>
      <c r="J2392" s="90"/>
      <c r="K2392" s="1"/>
      <c r="L2392" s="74"/>
      <c r="M2392" s="633"/>
      <c r="N2392" s="274"/>
      <c r="O2392" s="94"/>
      <c r="P2392" s="94"/>
      <c r="Q2392" s="94"/>
      <c r="R2392" s="94"/>
      <c r="S2392" s="94"/>
      <c r="V2392" s="30"/>
      <c r="W2392" s="30"/>
      <c r="X2392" s="1"/>
      <c r="Y2392" s="95"/>
      <c r="Z2392" s="1"/>
      <c r="AA2392" s="94"/>
      <c r="AB2392" s="1"/>
      <c r="AC2392" s="1"/>
      <c r="AD2392" s="1"/>
      <c r="AE2392" s="30"/>
      <c r="AF2392" s="633"/>
      <c r="AG2392" s="94"/>
      <c r="AH2392" s="94"/>
      <c r="AI2392" s="94"/>
      <c r="AJ2392" s="94"/>
      <c r="AK2392" s="94"/>
      <c r="AL2392" s="94"/>
    </row>
    <row r="2393" spans="3:38">
      <c r="C2393" s="30"/>
      <c r="F2393" s="95"/>
      <c r="G2393" s="1"/>
      <c r="H2393" s="94"/>
      <c r="I2393" s="90"/>
      <c r="J2393" s="90"/>
      <c r="K2393" s="1"/>
      <c r="L2393" s="74"/>
      <c r="M2393" s="633"/>
      <c r="N2393" s="274"/>
      <c r="O2393" s="94"/>
      <c r="P2393" s="94"/>
      <c r="Q2393" s="94"/>
      <c r="R2393" s="94"/>
      <c r="S2393" s="94"/>
      <c r="V2393" s="30"/>
      <c r="W2393" s="30"/>
      <c r="X2393" s="1"/>
      <c r="Y2393" s="95"/>
      <c r="Z2393" s="1"/>
      <c r="AA2393" s="94"/>
      <c r="AB2393" s="1"/>
      <c r="AC2393" s="1"/>
      <c r="AD2393" s="1"/>
      <c r="AE2393" s="30"/>
      <c r="AF2393" s="633"/>
      <c r="AG2393" s="94"/>
      <c r="AH2393" s="94"/>
      <c r="AI2393" s="94"/>
      <c r="AJ2393" s="94"/>
      <c r="AK2393" s="94"/>
      <c r="AL2393" s="94"/>
    </row>
    <row r="2394" spans="3:38">
      <c r="C2394" s="30"/>
      <c r="F2394" s="95"/>
      <c r="G2394" s="1"/>
      <c r="H2394" s="94"/>
      <c r="I2394" s="90"/>
      <c r="J2394" s="90"/>
      <c r="K2394" s="1"/>
      <c r="L2394" s="74"/>
      <c r="M2394" s="633"/>
      <c r="N2394" s="274"/>
      <c r="O2394" s="94"/>
      <c r="P2394" s="94"/>
      <c r="Q2394" s="94"/>
      <c r="R2394" s="94"/>
      <c r="S2394" s="94"/>
      <c r="V2394" s="30"/>
      <c r="W2394" s="30"/>
      <c r="X2394" s="1"/>
      <c r="Y2394" s="95"/>
      <c r="Z2394" s="1"/>
      <c r="AA2394" s="94"/>
      <c r="AB2394" s="1"/>
      <c r="AC2394" s="1"/>
      <c r="AD2394" s="1"/>
      <c r="AE2394" s="30"/>
      <c r="AF2394" s="633"/>
      <c r="AG2394" s="94"/>
      <c r="AH2394" s="94"/>
      <c r="AI2394" s="94"/>
      <c r="AJ2394" s="94"/>
      <c r="AK2394" s="94"/>
      <c r="AL2394" s="94"/>
    </row>
    <row r="2395" spans="3:38">
      <c r="C2395" s="30"/>
      <c r="F2395" s="95"/>
      <c r="G2395" s="1"/>
      <c r="H2395" s="94"/>
      <c r="I2395" s="90"/>
      <c r="J2395" s="90"/>
      <c r="K2395" s="1"/>
      <c r="L2395" s="74"/>
      <c r="M2395" s="633"/>
      <c r="N2395" s="274"/>
      <c r="O2395" s="94"/>
      <c r="P2395" s="94"/>
      <c r="Q2395" s="94"/>
      <c r="R2395" s="94"/>
      <c r="S2395" s="94"/>
      <c r="V2395" s="30"/>
      <c r="W2395" s="30"/>
      <c r="X2395" s="1"/>
      <c r="Y2395" s="95"/>
      <c r="Z2395" s="1"/>
      <c r="AA2395" s="94"/>
      <c r="AB2395" s="1"/>
      <c r="AC2395" s="1"/>
      <c r="AD2395" s="1"/>
      <c r="AE2395" s="30"/>
      <c r="AF2395" s="633"/>
      <c r="AG2395" s="94"/>
      <c r="AH2395" s="94"/>
      <c r="AI2395" s="94"/>
      <c r="AJ2395" s="94"/>
      <c r="AK2395" s="94"/>
      <c r="AL2395" s="94"/>
    </row>
    <row r="2396" spans="3:38">
      <c r="C2396" s="30"/>
      <c r="F2396" s="95"/>
      <c r="G2396" s="1"/>
      <c r="H2396" s="94"/>
      <c r="I2396" s="90"/>
      <c r="J2396" s="90"/>
      <c r="K2396" s="1"/>
      <c r="L2396" s="74"/>
      <c r="M2396" s="633"/>
      <c r="N2396" s="274"/>
      <c r="O2396" s="94"/>
      <c r="P2396" s="94"/>
      <c r="Q2396" s="94"/>
      <c r="R2396" s="94"/>
      <c r="S2396" s="94"/>
      <c r="V2396" s="30"/>
      <c r="W2396" s="30"/>
      <c r="X2396" s="1"/>
      <c r="Y2396" s="95"/>
      <c r="Z2396" s="1"/>
      <c r="AA2396" s="94"/>
      <c r="AB2396" s="1"/>
      <c r="AC2396" s="1"/>
      <c r="AD2396" s="1"/>
      <c r="AE2396" s="30"/>
      <c r="AF2396" s="633"/>
      <c r="AG2396" s="94"/>
      <c r="AH2396" s="94"/>
      <c r="AI2396" s="94"/>
      <c r="AJ2396" s="94"/>
      <c r="AK2396" s="94"/>
      <c r="AL2396" s="94"/>
    </row>
    <row r="2397" spans="3:38">
      <c r="C2397" s="30"/>
      <c r="F2397" s="95"/>
      <c r="G2397" s="1"/>
      <c r="H2397" s="94"/>
      <c r="I2397" s="90"/>
      <c r="J2397" s="90"/>
      <c r="K2397" s="1"/>
      <c r="L2397" s="74"/>
      <c r="M2397" s="633"/>
      <c r="N2397" s="274"/>
      <c r="O2397" s="94"/>
      <c r="P2397" s="94"/>
      <c r="Q2397" s="94"/>
      <c r="R2397" s="94"/>
      <c r="S2397" s="94"/>
      <c r="V2397" s="30"/>
      <c r="W2397" s="30"/>
      <c r="X2397" s="1"/>
      <c r="Y2397" s="95"/>
      <c r="Z2397" s="1"/>
      <c r="AA2397" s="94"/>
      <c r="AB2397" s="1"/>
      <c r="AC2397" s="1"/>
      <c r="AD2397" s="1"/>
      <c r="AE2397" s="30"/>
      <c r="AF2397" s="633"/>
      <c r="AG2397" s="94"/>
      <c r="AH2397" s="94"/>
      <c r="AI2397" s="94"/>
      <c r="AJ2397" s="94"/>
      <c r="AK2397" s="94"/>
      <c r="AL2397" s="94"/>
    </row>
    <row r="2398" spans="3:38">
      <c r="C2398" s="30"/>
      <c r="F2398" s="95"/>
      <c r="G2398" s="1"/>
      <c r="H2398" s="94"/>
      <c r="I2398" s="90"/>
      <c r="J2398" s="90"/>
      <c r="K2398" s="1"/>
      <c r="L2398" s="74"/>
      <c r="M2398" s="633"/>
      <c r="N2398" s="274"/>
      <c r="O2398" s="94"/>
      <c r="P2398" s="94"/>
      <c r="Q2398" s="94"/>
      <c r="R2398" s="94"/>
      <c r="S2398" s="94"/>
      <c r="V2398" s="30"/>
      <c r="W2398" s="30"/>
      <c r="X2398" s="1"/>
      <c r="Y2398" s="95"/>
      <c r="Z2398" s="1"/>
      <c r="AA2398" s="94"/>
      <c r="AB2398" s="1"/>
      <c r="AC2398" s="1"/>
      <c r="AD2398" s="1"/>
      <c r="AE2398" s="30"/>
      <c r="AF2398" s="633"/>
      <c r="AG2398" s="94"/>
      <c r="AH2398" s="94"/>
      <c r="AI2398" s="94"/>
      <c r="AJ2398" s="94"/>
      <c r="AK2398" s="94"/>
      <c r="AL2398" s="94"/>
    </row>
    <row r="2399" spans="3:38">
      <c r="C2399" s="30"/>
      <c r="F2399" s="95"/>
      <c r="G2399" s="1"/>
      <c r="H2399" s="94"/>
      <c r="I2399" s="90"/>
      <c r="J2399" s="90"/>
      <c r="K2399" s="1"/>
      <c r="L2399" s="74"/>
      <c r="M2399" s="633"/>
      <c r="N2399" s="274"/>
      <c r="O2399" s="94"/>
      <c r="P2399" s="94"/>
      <c r="Q2399" s="94"/>
      <c r="R2399" s="94"/>
      <c r="S2399" s="94"/>
      <c r="V2399" s="30"/>
      <c r="W2399" s="30"/>
      <c r="X2399" s="1"/>
      <c r="Y2399" s="95"/>
      <c r="Z2399" s="1"/>
      <c r="AA2399" s="94"/>
      <c r="AB2399" s="1"/>
      <c r="AC2399" s="1"/>
      <c r="AD2399" s="1"/>
      <c r="AE2399" s="30"/>
      <c r="AF2399" s="633"/>
      <c r="AG2399" s="94"/>
      <c r="AH2399" s="94"/>
      <c r="AI2399" s="94"/>
      <c r="AJ2399" s="94"/>
      <c r="AK2399" s="94"/>
      <c r="AL2399" s="94"/>
    </row>
    <row r="2400" spans="3:38">
      <c r="C2400" s="30"/>
      <c r="F2400" s="95"/>
      <c r="G2400" s="1"/>
      <c r="H2400" s="94"/>
      <c r="I2400" s="90"/>
      <c r="J2400" s="90"/>
      <c r="K2400" s="1"/>
      <c r="L2400" s="74"/>
      <c r="M2400" s="633"/>
      <c r="N2400" s="274"/>
      <c r="O2400" s="94"/>
      <c r="P2400" s="94"/>
      <c r="Q2400" s="94"/>
      <c r="R2400" s="94"/>
      <c r="S2400" s="94"/>
      <c r="V2400" s="30"/>
      <c r="W2400" s="30"/>
      <c r="X2400" s="1"/>
      <c r="Y2400" s="95"/>
      <c r="Z2400" s="1"/>
      <c r="AA2400" s="94"/>
      <c r="AB2400" s="1"/>
      <c r="AC2400" s="1"/>
      <c r="AD2400" s="1"/>
      <c r="AE2400" s="30"/>
      <c r="AF2400" s="633"/>
      <c r="AG2400" s="94"/>
      <c r="AH2400" s="94"/>
      <c r="AI2400" s="94"/>
      <c r="AJ2400" s="94"/>
      <c r="AK2400" s="94"/>
      <c r="AL2400" s="94"/>
    </row>
    <row r="2401" spans="3:38">
      <c r="C2401" s="30"/>
      <c r="F2401" s="95"/>
      <c r="G2401" s="1"/>
      <c r="H2401" s="94"/>
      <c r="I2401" s="90"/>
      <c r="J2401" s="90"/>
      <c r="K2401" s="1"/>
      <c r="L2401" s="74"/>
      <c r="M2401" s="633"/>
      <c r="N2401" s="274"/>
      <c r="O2401" s="94"/>
      <c r="P2401" s="94"/>
      <c r="Q2401" s="94"/>
      <c r="R2401" s="94"/>
      <c r="S2401" s="94"/>
      <c r="V2401" s="30"/>
      <c r="W2401" s="30"/>
      <c r="X2401" s="1"/>
      <c r="Y2401" s="95"/>
      <c r="Z2401" s="1"/>
      <c r="AA2401" s="94"/>
      <c r="AB2401" s="1"/>
      <c r="AC2401" s="1"/>
      <c r="AD2401" s="1"/>
      <c r="AE2401" s="30"/>
      <c r="AF2401" s="633"/>
      <c r="AG2401" s="94"/>
      <c r="AH2401" s="94"/>
      <c r="AI2401" s="94"/>
      <c r="AJ2401" s="94"/>
      <c r="AK2401" s="94"/>
      <c r="AL2401" s="94"/>
    </row>
    <row r="2402" spans="3:38">
      <c r="C2402" s="30"/>
      <c r="F2402" s="95"/>
      <c r="G2402" s="1"/>
      <c r="H2402" s="94"/>
      <c r="I2402" s="90"/>
      <c r="J2402" s="90"/>
      <c r="K2402" s="1"/>
      <c r="L2402" s="74"/>
      <c r="M2402" s="633"/>
      <c r="N2402" s="274"/>
      <c r="O2402" s="94"/>
      <c r="P2402" s="94"/>
      <c r="Q2402" s="94"/>
      <c r="R2402" s="94"/>
      <c r="S2402" s="94"/>
      <c r="V2402" s="30"/>
      <c r="W2402" s="30"/>
      <c r="X2402" s="1"/>
      <c r="Y2402" s="95"/>
      <c r="Z2402" s="1"/>
      <c r="AA2402" s="94"/>
      <c r="AB2402" s="1"/>
      <c r="AC2402" s="1"/>
      <c r="AD2402" s="1"/>
      <c r="AE2402" s="30"/>
      <c r="AF2402" s="633"/>
      <c r="AG2402" s="94"/>
      <c r="AH2402" s="94"/>
      <c r="AI2402" s="94"/>
      <c r="AJ2402" s="94"/>
      <c r="AK2402" s="94"/>
      <c r="AL2402" s="94"/>
    </row>
    <row r="2403" spans="3:38">
      <c r="C2403" s="30"/>
      <c r="F2403" s="95"/>
      <c r="G2403" s="1"/>
      <c r="H2403" s="94"/>
      <c r="I2403" s="90"/>
      <c r="J2403" s="90"/>
      <c r="K2403" s="1"/>
      <c r="L2403" s="74"/>
      <c r="M2403" s="633"/>
      <c r="N2403" s="274"/>
      <c r="O2403" s="94"/>
      <c r="P2403" s="94"/>
      <c r="Q2403" s="94"/>
      <c r="R2403" s="94"/>
      <c r="S2403" s="94"/>
      <c r="V2403" s="30"/>
      <c r="W2403" s="30"/>
      <c r="X2403" s="1"/>
      <c r="Y2403" s="95"/>
      <c r="Z2403" s="1"/>
      <c r="AA2403" s="94"/>
      <c r="AB2403" s="1"/>
      <c r="AC2403" s="1"/>
      <c r="AD2403" s="1"/>
      <c r="AE2403" s="30"/>
      <c r="AF2403" s="633"/>
      <c r="AG2403" s="94"/>
      <c r="AH2403" s="94"/>
      <c r="AI2403" s="94"/>
      <c r="AJ2403" s="94"/>
      <c r="AK2403" s="94"/>
      <c r="AL2403" s="94"/>
    </row>
    <row r="2404" spans="3:38">
      <c r="C2404" s="30"/>
      <c r="F2404" s="95"/>
      <c r="G2404" s="1"/>
      <c r="H2404" s="94"/>
      <c r="I2404" s="90"/>
      <c r="J2404" s="90"/>
      <c r="K2404" s="1"/>
      <c r="L2404" s="74"/>
      <c r="M2404" s="633"/>
      <c r="N2404" s="274"/>
      <c r="O2404" s="94"/>
      <c r="P2404" s="94"/>
      <c r="Q2404" s="94"/>
      <c r="R2404" s="94"/>
      <c r="S2404" s="94"/>
      <c r="V2404" s="30"/>
      <c r="W2404" s="30"/>
      <c r="X2404" s="1"/>
      <c r="Y2404" s="95"/>
      <c r="Z2404" s="1"/>
      <c r="AA2404" s="94"/>
      <c r="AB2404" s="1"/>
      <c r="AC2404" s="1"/>
      <c r="AD2404" s="1"/>
      <c r="AE2404" s="30"/>
      <c r="AF2404" s="633"/>
      <c r="AG2404" s="94"/>
      <c r="AH2404" s="94"/>
      <c r="AI2404" s="94"/>
      <c r="AJ2404" s="94"/>
      <c r="AK2404" s="94"/>
      <c r="AL2404" s="94"/>
    </row>
    <row r="2405" spans="3:38">
      <c r="C2405" s="30"/>
      <c r="F2405" s="95"/>
      <c r="G2405" s="1"/>
      <c r="H2405" s="94"/>
      <c r="I2405" s="90"/>
      <c r="J2405" s="90"/>
      <c r="K2405" s="1"/>
      <c r="L2405" s="74"/>
      <c r="M2405" s="633"/>
      <c r="N2405" s="274"/>
      <c r="O2405" s="94"/>
      <c r="P2405" s="94"/>
      <c r="Q2405" s="94"/>
      <c r="R2405" s="94"/>
      <c r="S2405" s="94"/>
      <c r="V2405" s="30"/>
      <c r="W2405" s="30"/>
      <c r="X2405" s="1"/>
      <c r="Y2405" s="95"/>
      <c r="Z2405" s="1"/>
      <c r="AA2405" s="94"/>
      <c r="AB2405" s="1"/>
      <c r="AC2405" s="1"/>
      <c r="AD2405" s="1"/>
      <c r="AE2405" s="30"/>
      <c r="AF2405" s="633"/>
      <c r="AG2405" s="94"/>
      <c r="AH2405" s="94"/>
      <c r="AI2405" s="94"/>
      <c r="AJ2405" s="94"/>
      <c r="AK2405" s="94"/>
      <c r="AL2405" s="94"/>
    </row>
    <row r="2406" spans="3:38">
      <c r="C2406" s="30"/>
      <c r="F2406" s="95"/>
      <c r="G2406" s="1"/>
      <c r="H2406" s="94"/>
      <c r="I2406" s="90"/>
      <c r="J2406" s="90"/>
      <c r="K2406" s="1"/>
      <c r="L2406" s="74"/>
      <c r="M2406" s="633"/>
      <c r="N2406" s="274"/>
      <c r="O2406" s="94"/>
      <c r="P2406" s="94"/>
      <c r="Q2406" s="94"/>
      <c r="R2406" s="94"/>
      <c r="S2406" s="94"/>
      <c r="V2406" s="30"/>
      <c r="W2406" s="30"/>
      <c r="X2406" s="1"/>
      <c r="Y2406" s="95"/>
      <c r="Z2406" s="1"/>
      <c r="AA2406" s="94"/>
      <c r="AB2406" s="1"/>
      <c r="AC2406" s="1"/>
      <c r="AD2406" s="1"/>
      <c r="AE2406" s="30"/>
      <c r="AF2406" s="633"/>
      <c r="AG2406" s="94"/>
      <c r="AH2406" s="94"/>
      <c r="AI2406" s="94"/>
      <c r="AJ2406" s="94"/>
      <c r="AK2406" s="94"/>
      <c r="AL2406" s="94"/>
    </row>
    <row r="2407" spans="3:38">
      <c r="C2407" s="30"/>
      <c r="F2407" s="95"/>
      <c r="G2407" s="1"/>
      <c r="H2407" s="94"/>
      <c r="I2407" s="90"/>
      <c r="J2407" s="90"/>
      <c r="K2407" s="1"/>
      <c r="L2407" s="74"/>
      <c r="M2407" s="633"/>
      <c r="N2407" s="274"/>
      <c r="O2407" s="94"/>
      <c r="P2407" s="94"/>
      <c r="Q2407" s="94"/>
      <c r="R2407" s="94"/>
      <c r="S2407" s="94"/>
      <c r="V2407" s="30"/>
      <c r="W2407" s="30"/>
      <c r="X2407" s="1"/>
      <c r="Y2407" s="95"/>
      <c r="Z2407" s="1"/>
      <c r="AA2407" s="94"/>
      <c r="AB2407" s="1"/>
      <c r="AC2407" s="1"/>
      <c r="AD2407" s="1"/>
      <c r="AE2407" s="30"/>
      <c r="AF2407" s="633"/>
      <c r="AG2407" s="94"/>
      <c r="AH2407" s="94"/>
      <c r="AI2407" s="94"/>
      <c r="AJ2407" s="94"/>
      <c r="AK2407" s="94"/>
      <c r="AL2407" s="94"/>
    </row>
    <row r="2408" spans="3:38">
      <c r="C2408" s="30"/>
      <c r="F2408" s="95"/>
      <c r="G2408" s="1"/>
      <c r="H2408" s="94"/>
      <c r="I2408" s="90"/>
      <c r="J2408" s="90"/>
      <c r="K2408" s="1"/>
      <c r="L2408" s="74"/>
      <c r="M2408" s="633"/>
      <c r="N2408" s="274"/>
      <c r="O2408" s="94"/>
      <c r="P2408" s="94"/>
      <c r="Q2408" s="94"/>
      <c r="R2408" s="94"/>
      <c r="S2408" s="94"/>
      <c r="V2408" s="30"/>
      <c r="W2408" s="30"/>
      <c r="X2408" s="1"/>
      <c r="Y2408" s="95"/>
      <c r="Z2408" s="1"/>
      <c r="AA2408" s="94"/>
      <c r="AB2408" s="1"/>
      <c r="AC2408" s="1"/>
      <c r="AD2408" s="1"/>
      <c r="AE2408" s="30"/>
      <c r="AF2408" s="633"/>
      <c r="AG2408" s="94"/>
      <c r="AH2408" s="94"/>
      <c r="AI2408" s="94"/>
      <c r="AJ2408" s="94"/>
      <c r="AK2408" s="94"/>
      <c r="AL2408" s="94"/>
    </row>
    <row r="2409" spans="3:38">
      <c r="C2409" s="30"/>
      <c r="F2409" s="95"/>
      <c r="G2409" s="1"/>
      <c r="H2409" s="94"/>
      <c r="I2409" s="90"/>
      <c r="J2409" s="90"/>
      <c r="K2409" s="1"/>
      <c r="L2409" s="74"/>
      <c r="M2409" s="633"/>
      <c r="N2409" s="274"/>
      <c r="O2409" s="94"/>
      <c r="P2409" s="94"/>
      <c r="Q2409" s="94"/>
      <c r="R2409" s="94"/>
      <c r="S2409" s="94"/>
      <c r="V2409" s="30"/>
      <c r="W2409" s="30"/>
      <c r="X2409" s="1"/>
      <c r="Y2409" s="95"/>
      <c r="Z2409" s="1"/>
      <c r="AA2409" s="94"/>
      <c r="AB2409" s="1"/>
      <c r="AC2409" s="1"/>
      <c r="AD2409" s="1"/>
      <c r="AE2409" s="30"/>
      <c r="AF2409" s="633"/>
      <c r="AG2409" s="94"/>
      <c r="AH2409" s="94"/>
      <c r="AI2409" s="94"/>
      <c r="AJ2409" s="94"/>
      <c r="AK2409" s="94"/>
      <c r="AL2409" s="94"/>
    </row>
    <row r="2410" spans="3:38">
      <c r="C2410" s="30"/>
      <c r="F2410" s="95"/>
      <c r="G2410" s="1"/>
      <c r="H2410" s="94"/>
      <c r="I2410" s="90"/>
      <c r="J2410" s="90"/>
      <c r="K2410" s="1"/>
      <c r="L2410" s="74"/>
      <c r="M2410" s="633"/>
      <c r="N2410" s="274"/>
      <c r="O2410" s="94"/>
      <c r="P2410" s="94"/>
      <c r="Q2410" s="94"/>
      <c r="R2410" s="94"/>
      <c r="S2410" s="94"/>
      <c r="V2410" s="30"/>
      <c r="W2410" s="30"/>
      <c r="X2410" s="1"/>
      <c r="Y2410" s="95"/>
      <c r="Z2410" s="1"/>
      <c r="AA2410" s="94"/>
      <c r="AB2410" s="1"/>
      <c r="AC2410" s="1"/>
      <c r="AD2410" s="1"/>
      <c r="AE2410" s="30"/>
      <c r="AF2410" s="633"/>
      <c r="AG2410" s="94"/>
      <c r="AH2410" s="94"/>
      <c r="AI2410" s="94"/>
      <c r="AJ2410" s="94"/>
      <c r="AK2410" s="94"/>
      <c r="AL2410" s="94"/>
    </row>
    <row r="2411" spans="3:38">
      <c r="C2411" s="30"/>
      <c r="F2411" s="95"/>
      <c r="G2411" s="1"/>
      <c r="H2411" s="94"/>
      <c r="I2411" s="90"/>
      <c r="J2411" s="90"/>
      <c r="K2411" s="1"/>
      <c r="L2411" s="74"/>
      <c r="M2411" s="633"/>
      <c r="N2411" s="274"/>
      <c r="O2411" s="94"/>
      <c r="P2411" s="94"/>
      <c r="Q2411" s="94"/>
      <c r="R2411" s="94"/>
      <c r="S2411" s="94"/>
      <c r="V2411" s="30"/>
      <c r="W2411" s="30"/>
      <c r="X2411" s="1"/>
      <c r="Y2411" s="95"/>
      <c r="Z2411" s="1"/>
      <c r="AA2411" s="94"/>
      <c r="AB2411" s="1"/>
      <c r="AC2411" s="1"/>
      <c r="AD2411" s="1"/>
      <c r="AE2411" s="30"/>
      <c r="AF2411" s="633"/>
      <c r="AG2411" s="94"/>
      <c r="AH2411" s="94"/>
      <c r="AI2411" s="94"/>
      <c r="AJ2411" s="94"/>
      <c r="AK2411" s="94"/>
      <c r="AL2411" s="94"/>
    </row>
    <row r="2412" spans="3:38">
      <c r="C2412" s="30"/>
      <c r="F2412" s="95"/>
      <c r="G2412" s="1"/>
      <c r="H2412" s="94"/>
      <c r="I2412" s="90"/>
      <c r="J2412" s="90"/>
      <c r="K2412" s="1"/>
      <c r="L2412" s="74"/>
      <c r="M2412" s="633"/>
      <c r="N2412" s="274"/>
      <c r="O2412" s="94"/>
      <c r="P2412" s="94"/>
      <c r="Q2412" s="94"/>
      <c r="R2412" s="94"/>
      <c r="S2412" s="94"/>
      <c r="V2412" s="30"/>
      <c r="W2412" s="30"/>
      <c r="X2412" s="1"/>
      <c r="Y2412" s="95"/>
      <c r="Z2412" s="1"/>
      <c r="AA2412" s="94"/>
      <c r="AB2412" s="1"/>
      <c r="AC2412" s="1"/>
      <c r="AD2412" s="1"/>
      <c r="AE2412" s="30"/>
      <c r="AF2412" s="633"/>
      <c r="AG2412" s="94"/>
      <c r="AH2412" s="94"/>
      <c r="AI2412" s="94"/>
      <c r="AJ2412" s="94"/>
      <c r="AK2412" s="94"/>
      <c r="AL2412" s="94"/>
    </row>
    <row r="2413" spans="3:38">
      <c r="C2413" s="30"/>
      <c r="F2413" s="95"/>
      <c r="G2413" s="1"/>
      <c r="H2413" s="94"/>
      <c r="I2413" s="90"/>
      <c r="J2413" s="90"/>
      <c r="K2413" s="1"/>
      <c r="L2413" s="74"/>
      <c r="M2413" s="633"/>
      <c r="N2413" s="274"/>
      <c r="O2413" s="94"/>
      <c r="P2413" s="94"/>
      <c r="Q2413" s="94"/>
      <c r="R2413" s="94"/>
      <c r="S2413" s="94"/>
      <c r="V2413" s="30"/>
      <c r="W2413" s="30"/>
      <c r="X2413" s="1"/>
      <c r="Y2413" s="95"/>
      <c r="Z2413" s="1"/>
      <c r="AA2413" s="94"/>
      <c r="AB2413" s="1"/>
      <c r="AC2413" s="1"/>
      <c r="AD2413" s="1"/>
      <c r="AE2413" s="30"/>
      <c r="AF2413" s="633"/>
      <c r="AG2413" s="94"/>
      <c r="AH2413" s="94"/>
      <c r="AI2413" s="94"/>
      <c r="AJ2413" s="94"/>
      <c r="AK2413" s="94"/>
      <c r="AL2413" s="94"/>
    </row>
    <row r="2414" spans="3:38">
      <c r="C2414" s="30"/>
      <c r="F2414" s="95"/>
      <c r="G2414" s="1"/>
      <c r="H2414" s="94"/>
      <c r="I2414" s="90"/>
      <c r="J2414" s="90"/>
      <c r="K2414" s="1"/>
      <c r="L2414" s="74"/>
      <c r="M2414" s="633"/>
      <c r="N2414" s="274"/>
      <c r="O2414" s="94"/>
      <c r="P2414" s="94"/>
      <c r="Q2414" s="94"/>
      <c r="R2414" s="94"/>
      <c r="S2414" s="94"/>
      <c r="V2414" s="30"/>
      <c r="W2414" s="30"/>
      <c r="X2414" s="1"/>
      <c r="Y2414" s="95"/>
      <c r="Z2414" s="1"/>
      <c r="AA2414" s="94"/>
      <c r="AB2414" s="1"/>
      <c r="AC2414" s="1"/>
      <c r="AD2414" s="1"/>
      <c r="AE2414" s="30"/>
      <c r="AF2414" s="633"/>
      <c r="AG2414" s="94"/>
      <c r="AH2414" s="94"/>
      <c r="AI2414" s="94"/>
      <c r="AJ2414" s="94"/>
      <c r="AK2414" s="94"/>
      <c r="AL2414" s="94"/>
    </row>
    <row r="2415" spans="3:38">
      <c r="C2415" s="30"/>
      <c r="F2415" s="95"/>
      <c r="G2415" s="1"/>
      <c r="H2415" s="94"/>
      <c r="I2415" s="90"/>
      <c r="J2415" s="90"/>
      <c r="K2415" s="1"/>
      <c r="L2415" s="74"/>
      <c r="M2415" s="633"/>
      <c r="N2415" s="274"/>
      <c r="O2415" s="94"/>
      <c r="P2415" s="94"/>
      <c r="Q2415" s="94"/>
      <c r="R2415" s="94"/>
      <c r="S2415" s="94"/>
      <c r="V2415" s="30"/>
      <c r="W2415" s="30"/>
      <c r="X2415" s="1"/>
      <c r="Y2415" s="95"/>
      <c r="Z2415" s="1"/>
      <c r="AA2415" s="94"/>
      <c r="AB2415" s="1"/>
      <c r="AC2415" s="1"/>
      <c r="AD2415" s="1"/>
      <c r="AE2415" s="30"/>
      <c r="AF2415" s="633"/>
      <c r="AG2415" s="94"/>
      <c r="AH2415" s="94"/>
      <c r="AI2415" s="94"/>
      <c r="AJ2415" s="94"/>
      <c r="AK2415" s="94"/>
      <c r="AL2415" s="94"/>
    </row>
    <row r="2416" spans="3:38">
      <c r="C2416" s="30"/>
      <c r="F2416" s="95"/>
      <c r="G2416" s="1"/>
      <c r="H2416" s="94"/>
      <c r="I2416" s="90"/>
      <c r="J2416" s="90"/>
      <c r="K2416" s="1"/>
      <c r="L2416" s="74"/>
      <c r="M2416" s="633"/>
      <c r="N2416" s="274"/>
      <c r="O2416" s="94"/>
      <c r="P2416" s="94"/>
      <c r="Q2416" s="94"/>
      <c r="R2416" s="94"/>
      <c r="S2416" s="94"/>
      <c r="V2416" s="30"/>
      <c r="W2416" s="30"/>
      <c r="X2416" s="1"/>
      <c r="Y2416" s="95"/>
      <c r="Z2416" s="1"/>
      <c r="AA2416" s="94"/>
      <c r="AB2416" s="1"/>
      <c r="AC2416" s="1"/>
      <c r="AD2416" s="1"/>
      <c r="AE2416" s="30"/>
      <c r="AF2416" s="633"/>
      <c r="AG2416" s="94"/>
      <c r="AH2416" s="94"/>
      <c r="AI2416" s="94"/>
      <c r="AJ2416" s="94"/>
      <c r="AK2416" s="94"/>
      <c r="AL2416" s="94"/>
    </row>
    <row r="2417" spans="3:38">
      <c r="C2417" s="30"/>
      <c r="F2417" s="95"/>
      <c r="G2417" s="1"/>
      <c r="H2417" s="94"/>
      <c r="I2417" s="90"/>
      <c r="J2417" s="90"/>
      <c r="K2417" s="1"/>
      <c r="L2417" s="74"/>
      <c r="M2417" s="633"/>
      <c r="N2417" s="274"/>
      <c r="O2417" s="94"/>
      <c r="P2417" s="94"/>
      <c r="Q2417" s="94"/>
      <c r="R2417" s="94"/>
      <c r="S2417" s="94"/>
      <c r="V2417" s="30"/>
      <c r="W2417" s="30"/>
      <c r="X2417" s="1"/>
      <c r="Y2417" s="95"/>
      <c r="Z2417" s="1"/>
      <c r="AA2417" s="94"/>
      <c r="AB2417" s="1"/>
      <c r="AC2417" s="1"/>
      <c r="AD2417" s="1"/>
      <c r="AE2417" s="30"/>
      <c r="AF2417" s="633"/>
      <c r="AG2417" s="94"/>
      <c r="AH2417" s="94"/>
      <c r="AI2417" s="94"/>
      <c r="AJ2417" s="94"/>
      <c r="AK2417" s="94"/>
      <c r="AL2417" s="94"/>
    </row>
    <row r="2418" spans="3:38">
      <c r="C2418" s="30"/>
      <c r="F2418" s="95"/>
      <c r="G2418" s="1"/>
      <c r="H2418" s="94"/>
      <c r="I2418" s="90"/>
      <c r="J2418" s="90"/>
      <c r="K2418" s="1"/>
      <c r="L2418" s="74"/>
      <c r="M2418" s="633"/>
      <c r="N2418" s="274"/>
      <c r="O2418" s="94"/>
      <c r="P2418" s="94"/>
      <c r="Q2418" s="94"/>
      <c r="R2418" s="94"/>
      <c r="S2418" s="94"/>
      <c r="V2418" s="30"/>
      <c r="W2418" s="30"/>
      <c r="X2418" s="1"/>
      <c r="Y2418" s="95"/>
      <c r="Z2418" s="1"/>
      <c r="AA2418" s="94"/>
      <c r="AB2418" s="1"/>
      <c r="AC2418" s="1"/>
      <c r="AD2418" s="1"/>
      <c r="AE2418" s="30"/>
      <c r="AF2418" s="633"/>
      <c r="AG2418" s="94"/>
      <c r="AH2418" s="94"/>
      <c r="AI2418" s="94"/>
      <c r="AJ2418" s="94"/>
      <c r="AK2418" s="94"/>
      <c r="AL2418" s="94"/>
    </row>
    <row r="2419" spans="3:38">
      <c r="C2419" s="30"/>
      <c r="F2419" s="95"/>
      <c r="G2419" s="1"/>
      <c r="H2419" s="94"/>
      <c r="I2419" s="90"/>
      <c r="J2419" s="90"/>
      <c r="K2419" s="1"/>
      <c r="L2419" s="74"/>
      <c r="M2419" s="633"/>
      <c r="N2419" s="274"/>
      <c r="O2419" s="94"/>
      <c r="P2419" s="94"/>
      <c r="Q2419" s="94"/>
      <c r="R2419" s="94"/>
      <c r="S2419" s="94"/>
      <c r="V2419" s="30"/>
      <c r="W2419" s="30"/>
      <c r="X2419" s="1"/>
      <c r="Y2419" s="95"/>
      <c r="Z2419" s="1"/>
      <c r="AA2419" s="94"/>
      <c r="AB2419" s="1"/>
      <c r="AC2419" s="1"/>
      <c r="AD2419" s="1"/>
      <c r="AE2419" s="30"/>
      <c r="AF2419" s="633"/>
      <c r="AG2419" s="94"/>
      <c r="AH2419" s="94"/>
      <c r="AI2419" s="94"/>
      <c r="AJ2419" s="94"/>
      <c r="AK2419" s="94"/>
      <c r="AL2419" s="94"/>
    </row>
    <row r="2420" spans="3:38">
      <c r="C2420" s="30"/>
      <c r="F2420" s="95"/>
      <c r="G2420" s="1"/>
      <c r="H2420" s="94"/>
      <c r="I2420" s="90"/>
      <c r="J2420" s="90"/>
      <c r="K2420" s="1"/>
      <c r="L2420" s="74"/>
      <c r="M2420" s="633"/>
      <c r="N2420" s="274"/>
      <c r="O2420" s="94"/>
      <c r="P2420" s="94"/>
      <c r="Q2420" s="94"/>
      <c r="R2420" s="94"/>
      <c r="S2420" s="94"/>
      <c r="V2420" s="30"/>
      <c r="W2420" s="30"/>
      <c r="X2420" s="1"/>
      <c r="Y2420" s="95"/>
      <c r="Z2420" s="1"/>
      <c r="AA2420" s="94"/>
      <c r="AB2420" s="1"/>
      <c r="AC2420" s="1"/>
      <c r="AD2420" s="1"/>
      <c r="AE2420" s="30"/>
      <c r="AF2420" s="633"/>
      <c r="AG2420" s="94"/>
      <c r="AH2420" s="94"/>
      <c r="AI2420" s="94"/>
      <c r="AJ2420" s="94"/>
      <c r="AK2420" s="94"/>
      <c r="AL2420" s="94"/>
    </row>
    <row r="2421" spans="3:38">
      <c r="C2421" s="30"/>
      <c r="F2421" s="95"/>
      <c r="G2421" s="1"/>
      <c r="H2421" s="94"/>
      <c r="I2421" s="90"/>
      <c r="J2421" s="90"/>
      <c r="K2421" s="1"/>
      <c r="L2421" s="74"/>
      <c r="M2421" s="633"/>
      <c r="N2421" s="274"/>
      <c r="O2421" s="94"/>
      <c r="P2421" s="94"/>
      <c r="Q2421" s="94"/>
      <c r="R2421" s="94"/>
      <c r="S2421" s="94"/>
      <c r="V2421" s="30"/>
      <c r="W2421" s="30"/>
      <c r="X2421" s="1"/>
      <c r="Y2421" s="95"/>
      <c r="Z2421" s="1"/>
      <c r="AA2421" s="94"/>
      <c r="AB2421" s="1"/>
      <c r="AC2421" s="1"/>
      <c r="AD2421" s="1"/>
      <c r="AE2421" s="30"/>
      <c r="AF2421" s="633"/>
      <c r="AG2421" s="94"/>
      <c r="AH2421" s="94"/>
      <c r="AI2421" s="94"/>
      <c r="AJ2421" s="94"/>
      <c r="AK2421" s="94"/>
      <c r="AL2421" s="94"/>
    </row>
    <row r="2422" spans="3:38">
      <c r="C2422" s="30"/>
      <c r="F2422" s="95"/>
      <c r="G2422" s="1"/>
      <c r="H2422" s="94"/>
      <c r="I2422" s="90"/>
      <c r="J2422" s="90"/>
      <c r="K2422" s="1"/>
      <c r="L2422" s="74"/>
      <c r="M2422" s="633"/>
      <c r="N2422" s="274"/>
      <c r="O2422" s="94"/>
      <c r="P2422" s="94"/>
      <c r="Q2422" s="94"/>
      <c r="R2422" s="94"/>
      <c r="S2422" s="94"/>
      <c r="V2422" s="30"/>
      <c r="W2422" s="30"/>
      <c r="X2422" s="1"/>
      <c r="Y2422" s="95"/>
      <c r="Z2422" s="1"/>
      <c r="AA2422" s="94"/>
      <c r="AB2422" s="1"/>
      <c r="AC2422" s="1"/>
      <c r="AD2422" s="1"/>
      <c r="AE2422" s="30"/>
      <c r="AF2422" s="633"/>
      <c r="AG2422" s="94"/>
      <c r="AH2422" s="94"/>
      <c r="AI2422" s="94"/>
      <c r="AJ2422" s="94"/>
      <c r="AK2422" s="94"/>
      <c r="AL2422" s="94"/>
    </row>
    <row r="2423" spans="3:38">
      <c r="C2423" s="30"/>
      <c r="F2423" s="95"/>
      <c r="G2423" s="1"/>
      <c r="H2423" s="94"/>
      <c r="I2423" s="90"/>
      <c r="J2423" s="90"/>
      <c r="K2423" s="1"/>
      <c r="L2423" s="74"/>
      <c r="M2423" s="633"/>
      <c r="N2423" s="274"/>
      <c r="O2423" s="94"/>
      <c r="P2423" s="94"/>
      <c r="Q2423" s="94"/>
      <c r="R2423" s="94"/>
      <c r="S2423" s="94"/>
      <c r="V2423" s="30"/>
      <c r="W2423" s="30"/>
      <c r="X2423" s="1"/>
      <c r="Y2423" s="95"/>
      <c r="Z2423" s="1"/>
      <c r="AA2423" s="94"/>
      <c r="AB2423" s="1"/>
      <c r="AC2423" s="1"/>
      <c r="AD2423" s="1"/>
      <c r="AE2423" s="30"/>
      <c r="AF2423" s="633"/>
      <c r="AG2423" s="94"/>
      <c r="AH2423" s="94"/>
      <c r="AI2423" s="94"/>
      <c r="AJ2423" s="94"/>
      <c r="AK2423" s="94"/>
      <c r="AL2423" s="94"/>
    </row>
    <row r="2424" spans="3:38">
      <c r="C2424" s="30"/>
      <c r="F2424" s="95"/>
      <c r="G2424" s="1"/>
      <c r="H2424" s="94"/>
      <c r="I2424" s="90"/>
      <c r="J2424" s="90"/>
      <c r="K2424" s="1"/>
      <c r="L2424" s="74"/>
      <c r="M2424" s="633"/>
      <c r="N2424" s="274"/>
      <c r="O2424" s="94"/>
      <c r="P2424" s="94"/>
      <c r="Q2424" s="94"/>
      <c r="R2424" s="94"/>
      <c r="S2424" s="94"/>
      <c r="V2424" s="30"/>
      <c r="W2424" s="30"/>
      <c r="X2424" s="1"/>
      <c r="Y2424" s="95"/>
      <c r="Z2424" s="1"/>
      <c r="AA2424" s="94"/>
      <c r="AB2424" s="1"/>
      <c r="AC2424" s="1"/>
      <c r="AD2424" s="1"/>
      <c r="AE2424" s="30"/>
      <c r="AF2424" s="633"/>
      <c r="AG2424" s="94"/>
      <c r="AH2424" s="94"/>
      <c r="AI2424" s="94"/>
      <c r="AJ2424" s="94"/>
      <c r="AK2424" s="94"/>
      <c r="AL2424" s="94"/>
    </row>
    <row r="2425" spans="3:38">
      <c r="C2425" s="30"/>
      <c r="F2425" s="95"/>
      <c r="G2425" s="1"/>
      <c r="H2425" s="94"/>
      <c r="I2425" s="90"/>
      <c r="J2425" s="90"/>
      <c r="K2425" s="1"/>
      <c r="L2425" s="74"/>
      <c r="M2425" s="633"/>
      <c r="N2425" s="274"/>
      <c r="O2425" s="94"/>
      <c r="P2425" s="94"/>
      <c r="Q2425" s="94"/>
      <c r="R2425" s="94"/>
      <c r="S2425" s="94"/>
      <c r="V2425" s="30"/>
      <c r="W2425" s="30"/>
      <c r="X2425" s="1"/>
      <c r="Y2425" s="95"/>
      <c r="Z2425" s="1"/>
      <c r="AA2425" s="94"/>
      <c r="AB2425" s="1"/>
      <c r="AC2425" s="1"/>
      <c r="AD2425" s="1"/>
      <c r="AE2425" s="30"/>
      <c r="AF2425" s="633"/>
      <c r="AG2425" s="94"/>
      <c r="AH2425" s="94"/>
      <c r="AI2425" s="94"/>
      <c r="AJ2425" s="94"/>
      <c r="AK2425" s="94"/>
      <c r="AL2425" s="94"/>
    </row>
    <row r="2426" spans="3:38">
      <c r="C2426" s="30"/>
      <c r="F2426" s="95"/>
      <c r="G2426" s="1"/>
      <c r="H2426" s="94"/>
      <c r="I2426" s="90"/>
      <c r="J2426" s="90"/>
      <c r="K2426" s="1"/>
      <c r="L2426" s="74"/>
      <c r="M2426" s="633"/>
      <c r="N2426" s="274"/>
      <c r="O2426" s="94"/>
      <c r="P2426" s="94"/>
      <c r="Q2426" s="94"/>
      <c r="R2426" s="94"/>
      <c r="S2426" s="94"/>
      <c r="V2426" s="30"/>
      <c r="W2426" s="30"/>
      <c r="X2426" s="1"/>
      <c r="Y2426" s="95"/>
      <c r="Z2426" s="1"/>
      <c r="AA2426" s="94"/>
      <c r="AB2426" s="1"/>
      <c r="AC2426" s="1"/>
      <c r="AD2426" s="1"/>
      <c r="AE2426" s="30"/>
      <c r="AF2426" s="633"/>
      <c r="AG2426" s="94"/>
      <c r="AH2426" s="94"/>
      <c r="AI2426" s="94"/>
      <c r="AJ2426" s="94"/>
      <c r="AK2426" s="94"/>
      <c r="AL2426" s="94"/>
    </row>
    <row r="2427" spans="3:38">
      <c r="C2427" s="30"/>
      <c r="F2427" s="95"/>
      <c r="G2427" s="1"/>
      <c r="H2427" s="94"/>
      <c r="I2427" s="90"/>
      <c r="J2427" s="90"/>
      <c r="K2427" s="1"/>
      <c r="L2427" s="74"/>
      <c r="M2427" s="633"/>
      <c r="N2427" s="274"/>
      <c r="O2427" s="94"/>
      <c r="P2427" s="94"/>
      <c r="Q2427" s="94"/>
      <c r="R2427" s="94"/>
      <c r="S2427" s="94"/>
      <c r="V2427" s="30"/>
      <c r="W2427" s="30"/>
      <c r="X2427" s="1"/>
      <c r="Y2427" s="95"/>
      <c r="Z2427" s="1"/>
      <c r="AA2427" s="94"/>
      <c r="AB2427" s="1"/>
      <c r="AC2427" s="1"/>
      <c r="AD2427" s="1"/>
      <c r="AE2427" s="30"/>
      <c r="AF2427" s="633"/>
      <c r="AG2427" s="94"/>
      <c r="AH2427" s="94"/>
      <c r="AI2427" s="94"/>
      <c r="AJ2427" s="94"/>
      <c r="AK2427" s="94"/>
      <c r="AL2427" s="94"/>
    </row>
    <row r="2428" spans="3:38">
      <c r="C2428" s="30"/>
      <c r="F2428" s="95"/>
      <c r="G2428" s="1"/>
      <c r="H2428" s="94"/>
      <c r="I2428" s="90"/>
      <c r="J2428" s="90"/>
      <c r="K2428" s="1"/>
      <c r="L2428" s="74"/>
      <c r="M2428" s="633"/>
      <c r="N2428" s="274"/>
      <c r="O2428" s="94"/>
      <c r="P2428" s="94"/>
      <c r="Q2428" s="94"/>
      <c r="R2428" s="94"/>
      <c r="S2428" s="94"/>
      <c r="V2428" s="30"/>
      <c r="W2428" s="30"/>
      <c r="X2428" s="1"/>
      <c r="Y2428" s="95"/>
      <c r="Z2428" s="1"/>
      <c r="AA2428" s="94"/>
      <c r="AB2428" s="1"/>
      <c r="AC2428" s="1"/>
      <c r="AD2428" s="1"/>
      <c r="AE2428" s="30"/>
      <c r="AF2428" s="633"/>
      <c r="AG2428" s="94"/>
      <c r="AH2428" s="94"/>
      <c r="AI2428" s="94"/>
      <c r="AJ2428" s="94"/>
      <c r="AK2428" s="94"/>
      <c r="AL2428" s="94"/>
    </row>
    <row r="2429" spans="3:38">
      <c r="C2429" s="30"/>
      <c r="F2429" s="95"/>
      <c r="G2429" s="1"/>
      <c r="H2429" s="94"/>
      <c r="I2429" s="90"/>
      <c r="J2429" s="90"/>
      <c r="K2429" s="1"/>
      <c r="L2429" s="74"/>
      <c r="M2429" s="633"/>
      <c r="N2429" s="274"/>
      <c r="O2429" s="94"/>
      <c r="P2429" s="94"/>
      <c r="Q2429" s="94"/>
      <c r="R2429" s="94"/>
      <c r="S2429" s="94"/>
      <c r="V2429" s="30"/>
      <c r="W2429" s="30"/>
      <c r="X2429" s="1"/>
      <c r="Y2429" s="95"/>
      <c r="Z2429" s="1"/>
      <c r="AA2429" s="94"/>
      <c r="AB2429" s="1"/>
      <c r="AC2429" s="1"/>
      <c r="AD2429" s="1"/>
      <c r="AE2429" s="30"/>
      <c r="AF2429" s="633"/>
      <c r="AG2429" s="94"/>
      <c r="AH2429" s="94"/>
      <c r="AI2429" s="94"/>
      <c r="AJ2429" s="94"/>
      <c r="AK2429" s="94"/>
      <c r="AL2429" s="94"/>
    </row>
    <row r="2430" spans="3:38">
      <c r="C2430" s="30"/>
      <c r="F2430" s="95"/>
      <c r="G2430" s="1"/>
      <c r="H2430" s="94"/>
      <c r="I2430" s="90"/>
      <c r="J2430" s="90"/>
      <c r="K2430" s="1"/>
      <c r="L2430" s="74"/>
      <c r="M2430" s="633"/>
      <c r="N2430" s="274"/>
      <c r="O2430" s="94"/>
      <c r="P2430" s="94"/>
      <c r="Q2430" s="94"/>
      <c r="R2430" s="94"/>
      <c r="S2430" s="94"/>
      <c r="V2430" s="30"/>
      <c r="W2430" s="30"/>
      <c r="X2430" s="1"/>
      <c r="Y2430" s="95"/>
      <c r="Z2430" s="1"/>
      <c r="AA2430" s="94"/>
      <c r="AB2430" s="1"/>
      <c r="AC2430" s="1"/>
      <c r="AD2430" s="1"/>
      <c r="AE2430" s="30"/>
      <c r="AF2430" s="633"/>
      <c r="AG2430" s="94"/>
      <c r="AH2430" s="94"/>
      <c r="AI2430" s="94"/>
      <c r="AJ2430" s="94"/>
      <c r="AK2430" s="94"/>
      <c r="AL2430" s="94"/>
    </row>
    <row r="2431" spans="3:38">
      <c r="C2431" s="30"/>
      <c r="F2431" s="95"/>
      <c r="G2431" s="1"/>
      <c r="H2431" s="94"/>
      <c r="I2431" s="90"/>
      <c r="J2431" s="90"/>
      <c r="K2431" s="1"/>
      <c r="L2431" s="74"/>
      <c r="M2431" s="633"/>
      <c r="N2431" s="274"/>
      <c r="O2431" s="94"/>
      <c r="P2431" s="94"/>
      <c r="Q2431" s="94"/>
      <c r="R2431" s="94"/>
      <c r="S2431" s="94"/>
      <c r="V2431" s="30"/>
      <c r="W2431" s="30"/>
      <c r="X2431" s="1"/>
      <c r="Y2431" s="95"/>
      <c r="Z2431" s="1"/>
      <c r="AA2431" s="94"/>
      <c r="AB2431" s="1"/>
      <c r="AC2431" s="1"/>
      <c r="AD2431" s="1"/>
      <c r="AE2431" s="30"/>
      <c r="AF2431" s="633"/>
      <c r="AG2431" s="94"/>
      <c r="AH2431" s="94"/>
      <c r="AI2431" s="94"/>
      <c r="AJ2431" s="94"/>
      <c r="AK2431" s="94"/>
      <c r="AL2431" s="94"/>
    </row>
    <row r="2432" spans="3:38">
      <c r="C2432" s="30"/>
      <c r="F2432" s="95"/>
      <c r="G2432" s="1"/>
      <c r="H2432" s="94"/>
      <c r="I2432" s="90"/>
      <c r="J2432" s="90"/>
      <c r="K2432" s="1"/>
      <c r="L2432" s="74"/>
      <c r="M2432" s="633"/>
      <c r="N2432" s="274"/>
      <c r="O2432" s="94"/>
      <c r="P2432" s="94"/>
      <c r="Q2432" s="94"/>
      <c r="R2432" s="94"/>
      <c r="S2432" s="94"/>
      <c r="V2432" s="30"/>
      <c r="W2432" s="30"/>
      <c r="X2432" s="1"/>
      <c r="Y2432" s="95"/>
      <c r="Z2432" s="1"/>
      <c r="AA2432" s="94"/>
      <c r="AB2432" s="1"/>
      <c r="AC2432" s="1"/>
      <c r="AD2432" s="1"/>
      <c r="AE2432" s="30"/>
      <c r="AF2432" s="633"/>
      <c r="AG2432" s="94"/>
      <c r="AH2432" s="94"/>
      <c r="AI2432" s="94"/>
      <c r="AJ2432" s="94"/>
      <c r="AK2432" s="94"/>
      <c r="AL2432" s="94"/>
    </row>
    <row r="2433" spans="3:38">
      <c r="C2433" s="30"/>
      <c r="F2433" s="95"/>
      <c r="G2433" s="1"/>
      <c r="H2433" s="94"/>
      <c r="I2433" s="90"/>
      <c r="J2433" s="90"/>
      <c r="K2433" s="1"/>
      <c r="L2433" s="74"/>
      <c r="M2433" s="633"/>
      <c r="N2433" s="274"/>
      <c r="O2433" s="94"/>
      <c r="P2433" s="94"/>
      <c r="Q2433" s="94"/>
      <c r="R2433" s="94"/>
      <c r="S2433" s="94"/>
      <c r="V2433" s="30"/>
      <c r="W2433" s="30"/>
      <c r="X2433" s="1"/>
      <c r="Y2433" s="95"/>
      <c r="Z2433" s="1"/>
      <c r="AA2433" s="94"/>
      <c r="AB2433" s="1"/>
      <c r="AC2433" s="1"/>
      <c r="AD2433" s="1"/>
      <c r="AE2433" s="30"/>
      <c r="AF2433" s="633"/>
      <c r="AG2433" s="94"/>
      <c r="AH2433" s="94"/>
      <c r="AI2433" s="94"/>
      <c r="AJ2433" s="94"/>
      <c r="AK2433" s="94"/>
      <c r="AL2433" s="94"/>
    </row>
    <row r="2434" spans="3:38">
      <c r="C2434" s="30"/>
      <c r="F2434" s="95"/>
      <c r="G2434" s="1"/>
      <c r="H2434" s="94"/>
      <c r="I2434" s="90"/>
      <c r="J2434" s="90"/>
      <c r="K2434" s="1"/>
      <c r="L2434" s="74"/>
      <c r="M2434" s="633"/>
      <c r="N2434" s="274"/>
      <c r="O2434" s="94"/>
      <c r="P2434" s="94"/>
      <c r="Q2434" s="94"/>
      <c r="R2434" s="94"/>
      <c r="S2434" s="94"/>
      <c r="V2434" s="30"/>
      <c r="W2434" s="30"/>
      <c r="X2434" s="1"/>
      <c r="Y2434" s="95"/>
      <c r="Z2434" s="1"/>
      <c r="AA2434" s="94"/>
      <c r="AB2434" s="1"/>
      <c r="AC2434" s="1"/>
      <c r="AD2434" s="1"/>
      <c r="AE2434" s="30"/>
      <c r="AF2434" s="633"/>
      <c r="AG2434" s="94"/>
      <c r="AH2434" s="94"/>
      <c r="AI2434" s="94"/>
      <c r="AJ2434" s="94"/>
      <c r="AK2434" s="94"/>
      <c r="AL2434" s="94"/>
    </row>
    <row r="2435" spans="3:38">
      <c r="C2435" s="30"/>
      <c r="F2435" s="95"/>
      <c r="G2435" s="1"/>
      <c r="H2435" s="94"/>
      <c r="I2435" s="90"/>
      <c r="J2435" s="90"/>
      <c r="K2435" s="1"/>
      <c r="L2435" s="74"/>
      <c r="M2435" s="633"/>
      <c r="N2435" s="274"/>
      <c r="O2435" s="94"/>
      <c r="P2435" s="94"/>
      <c r="Q2435" s="94"/>
      <c r="R2435" s="94"/>
      <c r="S2435" s="94"/>
      <c r="V2435" s="30"/>
      <c r="W2435" s="30"/>
      <c r="X2435" s="1"/>
      <c r="Y2435" s="95"/>
      <c r="Z2435" s="1"/>
      <c r="AA2435" s="94"/>
      <c r="AB2435" s="1"/>
      <c r="AC2435" s="1"/>
      <c r="AD2435" s="1"/>
      <c r="AE2435" s="30"/>
      <c r="AF2435" s="633"/>
      <c r="AG2435" s="94"/>
      <c r="AH2435" s="94"/>
      <c r="AI2435" s="94"/>
      <c r="AJ2435" s="94"/>
      <c r="AK2435" s="94"/>
      <c r="AL2435" s="94"/>
    </row>
    <row r="2436" spans="3:38">
      <c r="C2436" s="30"/>
      <c r="F2436" s="95"/>
      <c r="G2436" s="1"/>
      <c r="H2436" s="94"/>
      <c r="I2436" s="90"/>
      <c r="J2436" s="90"/>
      <c r="K2436" s="1"/>
      <c r="L2436" s="74"/>
      <c r="M2436" s="633"/>
      <c r="N2436" s="274"/>
      <c r="O2436" s="94"/>
      <c r="P2436" s="94"/>
      <c r="Q2436" s="94"/>
      <c r="R2436" s="94"/>
      <c r="S2436" s="94"/>
      <c r="V2436" s="30"/>
      <c r="W2436" s="30"/>
      <c r="X2436" s="1"/>
      <c r="Y2436" s="95"/>
      <c r="Z2436" s="1"/>
      <c r="AA2436" s="94"/>
      <c r="AB2436" s="1"/>
      <c r="AC2436" s="1"/>
      <c r="AD2436" s="1"/>
      <c r="AE2436" s="30"/>
      <c r="AF2436" s="633"/>
      <c r="AG2436" s="94"/>
      <c r="AH2436" s="94"/>
      <c r="AI2436" s="94"/>
      <c r="AJ2436" s="94"/>
      <c r="AK2436" s="94"/>
      <c r="AL2436" s="94"/>
    </row>
    <row r="2437" spans="3:38">
      <c r="C2437" s="30"/>
      <c r="F2437" s="95"/>
      <c r="G2437" s="1"/>
      <c r="H2437" s="94"/>
      <c r="I2437" s="90"/>
      <c r="J2437" s="90"/>
      <c r="K2437" s="1"/>
      <c r="L2437" s="74"/>
      <c r="M2437" s="633"/>
      <c r="N2437" s="274"/>
      <c r="O2437" s="94"/>
      <c r="P2437" s="94"/>
      <c r="Q2437" s="94"/>
      <c r="R2437" s="94"/>
      <c r="S2437" s="94"/>
      <c r="V2437" s="30"/>
      <c r="W2437" s="30"/>
      <c r="X2437" s="1"/>
      <c r="Y2437" s="95"/>
      <c r="Z2437" s="1"/>
      <c r="AA2437" s="94"/>
      <c r="AB2437" s="1"/>
      <c r="AC2437" s="1"/>
      <c r="AD2437" s="1"/>
      <c r="AE2437" s="30"/>
      <c r="AF2437" s="633"/>
      <c r="AG2437" s="94"/>
      <c r="AH2437" s="94"/>
      <c r="AI2437" s="94"/>
      <c r="AJ2437" s="94"/>
      <c r="AK2437" s="94"/>
      <c r="AL2437" s="94"/>
    </row>
    <row r="2438" spans="3:38">
      <c r="C2438" s="30"/>
      <c r="F2438" s="95"/>
      <c r="G2438" s="1"/>
      <c r="H2438" s="94"/>
      <c r="I2438" s="90"/>
      <c r="J2438" s="90"/>
      <c r="K2438" s="1"/>
      <c r="L2438" s="74"/>
      <c r="M2438" s="633"/>
      <c r="N2438" s="274"/>
      <c r="O2438" s="94"/>
      <c r="P2438" s="94"/>
      <c r="Q2438" s="94"/>
      <c r="R2438" s="94"/>
      <c r="S2438" s="94"/>
      <c r="V2438" s="30"/>
      <c r="W2438" s="30"/>
      <c r="X2438" s="1"/>
      <c r="Y2438" s="95"/>
      <c r="Z2438" s="1"/>
      <c r="AA2438" s="94"/>
      <c r="AB2438" s="1"/>
      <c r="AC2438" s="1"/>
      <c r="AD2438" s="1"/>
      <c r="AE2438" s="30"/>
      <c r="AF2438" s="633"/>
      <c r="AG2438" s="94"/>
      <c r="AH2438" s="94"/>
      <c r="AI2438" s="94"/>
      <c r="AJ2438" s="94"/>
      <c r="AK2438" s="94"/>
      <c r="AL2438" s="94"/>
    </row>
    <row r="2439" spans="3:38">
      <c r="C2439" s="30"/>
      <c r="F2439" s="95"/>
      <c r="G2439" s="1"/>
      <c r="H2439" s="94"/>
      <c r="I2439" s="90"/>
      <c r="J2439" s="90"/>
      <c r="K2439" s="1"/>
      <c r="L2439" s="74"/>
      <c r="M2439" s="633"/>
      <c r="N2439" s="274"/>
      <c r="O2439" s="94"/>
      <c r="P2439" s="94"/>
      <c r="Q2439" s="94"/>
      <c r="R2439" s="94"/>
      <c r="S2439" s="94"/>
      <c r="V2439" s="30"/>
      <c r="W2439" s="30"/>
      <c r="X2439" s="1"/>
      <c r="Y2439" s="95"/>
      <c r="Z2439" s="1"/>
      <c r="AA2439" s="94"/>
      <c r="AB2439" s="1"/>
      <c r="AC2439" s="1"/>
      <c r="AD2439" s="1"/>
      <c r="AE2439" s="30"/>
      <c r="AF2439" s="633"/>
      <c r="AG2439" s="94"/>
      <c r="AH2439" s="94"/>
      <c r="AI2439" s="94"/>
      <c r="AJ2439" s="94"/>
      <c r="AK2439" s="94"/>
      <c r="AL2439" s="94"/>
    </row>
    <row r="2440" spans="3:38">
      <c r="C2440" s="30"/>
      <c r="F2440" s="95"/>
      <c r="G2440" s="1"/>
      <c r="H2440" s="94"/>
      <c r="I2440" s="90"/>
      <c r="J2440" s="90"/>
      <c r="K2440" s="1"/>
      <c r="L2440" s="74"/>
      <c r="M2440" s="633"/>
      <c r="N2440" s="274"/>
      <c r="O2440" s="94"/>
      <c r="P2440" s="94"/>
      <c r="Q2440" s="94"/>
      <c r="R2440" s="94"/>
      <c r="S2440" s="94"/>
      <c r="V2440" s="30"/>
      <c r="W2440" s="30"/>
      <c r="X2440" s="1"/>
      <c r="Y2440" s="95"/>
      <c r="Z2440" s="1"/>
      <c r="AA2440" s="94"/>
      <c r="AB2440" s="1"/>
      <c r="AC2440" s="1"/>
      <c r="AD2440" s="1"/>
      <c r="AE2440" s="30"/>
      <c r="AF2440" s="633"/>
      <c r="AG2440" s="94"/>
      <c r="AH2440" s="94"/>
      <c r="AI2440" s="94"/>
      <c r="AJ2440" s="94"/>
      <c r="AK2440" s="94"/>
      <c r="AL2440" s="94"/>
    </row>
    <row r="2441" spans="3:38">
      <c r="C2441" s="30"/>
      <c r="F2441" s="95"/>
      <c r="G2441" s="1"/>
      <c r="H2441" s="94"/>
      <c r="I2441" s="90"/>
      <c r="J2441" s="90"/>
      <c r="K2441" s="1"/>
      <c r="L2441" s="74"/>
      <c r="M2441" s="633"/>
      <c r="N2441" s="274"/>
      <c r="O2441" s="94"/>
      <c r="P2441" s="94"/>
      <c r="Q2441" s="94"/>
      <c r="R2441" s="94"/>
      <c r="S2441" s="94"/>
      <c r="V2441" s="30"/>
      <c r="W2441" s="30"/>
      <c r="X2441" s="1"/>
      <c r="Y2441" s="95"/>
      <c r="Z2441" s="1"/>
      <c r="AA2441" s="94"/>
      <c r="AB2441" s="1"/>
      <c r="AC2441" s="1"/>
      <c r="AD2441" s="1"/>
      <c r="AE2441" s="30"/>
      <c r="AF2441" s="633"/>
      <c r="AG2441" s="94"/>
      <c r="AH2441" s="94"/>
      <c r="AI2441" s="94"/>
      <c r="AJ2441" s="94"/>
      <c r="AK2441" s="94"/>
      <c r="AL2441" s="94"/>
    </row>
    <row r="2442" spans="3:38">
      <c r="C2442" s="30"/>
      <c r="F2442" s="95"/>
      <c r="G2442" s="1"/>
      <c r="H2442" s="94"/>
      <c r="I2442" s="90"/>
      <c r="J2442" s="90"/>
      <c r="K2442" s="1"/>
      <c r="L2442" s="74"/>
      <c r="M2442" s="633"/>
      <c r="N2442" s="274"/>
      <c r="O2442" s="94"/>
      <c r="P2442" s="94"/>
      <c r="Q2442" s="94"/>
      <c r="R2442" s="94"/>
      <c r="S2442" s="94"/>
      <c r="V2442" s="30"/>
      <c r="W2442" s="30"/>
      <c r="X2442" s="1"/>
      <c r="Y2442" s="95"/>
      <c r="Z2442" s="1"/>
      <c r="AA2442" s="94"/>
      <c r="AB2442" s="1"/>
      <c r="AC2442" s="1"/>
      <c r="AD2442" s="1"/>
      <c r="AE2442" s="30"/>
      <c r="AF2442" s="633"/>
      <c r="AG2442" s="94"/>
      <c r="AH2442" s="94"/>
      <c r="AI2442" s="94"/>
      <c r="AJ2442" s="94"/>
      <c r="AK2442" s="94"/>
      <c r="AL2442" s="94"/>
    </row>
    <row r="2443" spans="3:38">
      <c r="C2443" s="30"/>
      <c r="F2443" s="95"/>
      <c r="G2443" s="1"/>
      <c r="H2443" s="94"/>
      <c r="I2443" s="90"/>
      <c r="J2443" s="90"/>
      <c r="K2443" s="1"/>
      <c r="L2443" s="74"/>
      <c r="M2443" s="633"/>
      <c r="N2443" s="274"/>
      <c r="O2443" s="94"/>
      <c r="P2443" s="94"/>
      <c r="Q2443" s="94"/>
      <c r="R2443" s="94"/>
      <c r="S2443" s="94"/>
      <c r="V2443" s="30"/>
      <c r="W2443" s="30"/>
      <c r="X2443" s="1"/>
      <c r="Y2443" s="95"/>
      <c r="Z2443" s="1"/>
      <c r="AA2443" s="94"/>
      <c r="AB2443" s="1"/>
      <c r="AC2443" s="1"/>
      <c r="AD2443" s="1"/>
      <c r="AE2443" s="30"/>
      <c r="AF2443" s="633"/>
      <c r="AG2443" s="94"/>
      <c r="AH2443" s="94"/>
      <c r="AI2443" s="94"/>
      <c r="AJ2443" s="94"/>
      <c r="AK2443" s="94"/>
      <c r="AL2443" s="94"/>
    </row>
    <row r="2444" spans="3:38">
      <c r="C2444" s="30"/>
      <c r="F2444" s="95"/>
      <c r="G2444" s="1"/>
      <c r="H2444" s="94"/>
      <c r="I2444" s="90"/>
      <c r="J2444" s="90"/>
      <c r="K2444" s="1"/>
      <c r="L2444" s="74"/>
      <c r="M2444" s="633"/>
      <c r="N2444" s="274"/>
      <c r="O2444" s="94"/>
      <c r="P2444" s="94"/>
      <c r="Q2444" s="94"/>
      <c r="R2444" s="94"/>
      <c r="S2444" s="94"/>
      <c r="V2444" s="30"/>
      <c r="W2444" s="30"/>
      <c r="X2444" s="1"/>
      <c r="Y2444" s="95"/>
      <c r="Z2444" s="1"/>
      <c r="AA2444" s="94"/>
      <c r="AB2444" s="1"/>
      <c r="AC2444" s="1"/>
      <c r="AD2444" s="1"/>
      <c r="AE2444" s="30"/>
      <c r="AF2444" s="633"/>
      <c r="AG2444" s="94"/>
      <c r="AH2444" s="94"/>
      <c r="AI2444" s="94"/>
      <c r="AJ2444" s="94"/>
      <c r="AK2444" s="94"/>
      <c r="AL2444" s="94"/>
    </row>
    <row r="2445" spans="3:38">
      <c r="C2445" s="30"/>
      <c r="F2445" s="95"/>
      <c r="G2445" s="1"/>
      <c r="H2445" s="94"/>
      <c r="I2445" s="90"/>
      <c r="J2445" s="90"/>
      <c r="K2445" s="1"/>
      <c r="L2445" s="74"/>
      <c r="M2445" s="633"/>
      <c r="N2445" s="274"/>
      <c r="O2445" s="94"/>
      <c r="P2445" s="94"/>
      <c r="Q2445" s="94"/>
      <c r="R2445" s="94"/>
      <c r="S2445" s="94"/>
      <c r="V2445" s="30"/>
      <c r="W2445" s="30"/>
      <c r="X2445" s="1"/>
      <c r="Y2445" s="95"/>
      <c r="Z2445" s="1"/>
      <c r="AA2445" s="94"/>
      <c r="AB2445" s="1"/>
      <c r="AC2445" s="1"/>
      <c r="AD2445" s="1"/>
      <c r="AE2445" s="30"/>
      <c r="AF2445" s="633"/>
      <c r="AG2445" s="94"/>
      <c r="AH2445" s="94"/>
      <c r="AI2445" s="94"/>
      <c r="AJ2445" s="94"/>
      <c r="AK2445" s="94"/>
      <c r="AL2445" s="94"/>
    </row>
    <row r="2446" spans="3:38">
      <c r="C2446" s="30"/>
      <c r="F2446" s="95"/>
      <c r="G2446" s="1"/>
      <c r="H2446" s="94"/>
      <c r="I2446" s="90"/>
      <c r="J2446" s="90"/>
      <c r="K2446" s="1"/>
      <c r="L2446" s="74"/>
      <c r="M2446" s="633"/>
      <c r="N2446" s="274"/>
      <c r="O2446" s="94"/>
      <c r="P2446" s="94"/>
      <c r="Q2446" s="94"/>
      <c r="R2446" s="94"/>
      <c r="S2446" s="94"/>
      <c r="V2446" s="30"/>
      <c r="W2446" s="30"/>
      <c r="X2446" s="1"/>
      <c r="Y2446" s="95"/>
      <c r="Z2446" s="1"/>
      <c r="AA2446" s="94"/>
      <c r="AB2446" s="1"/>
      <c r="AC2446" s="1"/>
      <c r="AD2446" s="1"/>
      <c r="AE2446" s="30"/>
      <c r="AF2446" s="633"/>
      <c r="AG2446" s="94"/>
      <c r="AH2446" s="94"/>
      <c r="AI2446" s="94"/>
      <c r="AJ2446" s="94"/>
      <c r="AK2446" s="94"/>
      <c r="AL2446" s="94"/>
    </row>
    <row r="2447" spans="3:38">
      <c r="C2447" s="30"/>
      <c r="F2447" s="95"/>
      <c r="G2447" s="1"/>
      <c r="H2447" s="94"/>
      <c r="I2447" s="90"/>
      <c r="J2447" s="90"/>
      <c r="K2447" s="1"/>
      <c r="L2447" s="74"/>
      <c r="M2447" s="633"/>
      <c r="N2447" s="274"/>
      <c r="O2447" s="94"/>
      <c r="P2447" s="94"/>
      <c r="Q2447" s="94"/>
      <c r="R2447" s="94"/>
      <c r="S2447" s="94"/>
      <c r="V2447" s="30"/>
      <c r="W2447" s="30"/>
      <c r="X2447" s="1"/>
      <c r="Y2447" s="95"/>
      <c r="Z2447" s="1"/>
      <c r="AA2447" s="94"/>
      <c r="AB2447" s="1"/>
      <c r="AC2447" s="1"/>
      <c r="AD2447" s="1"/>
      <c r="AE2447" s="30"/>
      <c r="AF2447" s="633"/>
      <c r="AG2447" s="94"/>
      <c r="AH2447" s="94"/>
      <c r="AI2447" s="94"/>
      <c r="AJ2447" s="94"/>
      <c r="AK2447" s="94"/>
      <c r="AL2447" s="94"/>
    </row>
    <row r="2448" spans="3:38">
      <c r="C2448" s="30"/>
      <c r="F2448" s="95"/>
      <c r="G2448" s="1"/>
      <c r="H2448" s="94"/>
      <c r="I2448" s="90"/>
      <c r="J2448" s="90"/>
      <c r="K2448" s="1"/>
      <c r="L2448" s="74"/>
      <c r="M2448" s="633"/>
      <c r="N2448" s="274"/>
      <c r="O2448" s="94"/>
      <c r="P2448" s="94"/>
      <c r="Q2448" s="94"/>
      <c r="R2448" s="94"/>
      <c r="S2448" s="94"/>
      <c r="V2448" s="30"/>
      <c r="W2448" s="30"/>
      <c r="X2448" s="1"/>
      <c r="Y2448" s="95"/>
      <c r="Z2448" s="1"/>
      <c r="AA2448" s="94"/>
      <c r="AB2448" s="1"/>
      <c r="AC2448" s="1"/>
      <c r="AD2448" s="1"/>
      <c r="AE2448" s="30"/>
      <c r="AF2448" s="633"/>
      <c r="AG2448" s="94"/>
      <c r="AH2448" s="94"/>
      <c r="AI2448" s="94"/>
      <c r="AJ2448" s="94"/>
      <c r="AK2448" s="94"/>
      <c r="AL2448" s="94"/>
    </row>
    <row r="2449" spans="3:38">
      <c r="C2449" s="30"/>
      <c r="F2449" s="95"/>
      <c r="G2449" s="1"/>
      <c r="H2449" s="94"/>
      <c r="I2449" s="90"/>
      <c r="J2449" s="90"/>
      <c r="K2449" s="1"/>
      <c r="L2449" s="74"/>
      <c r="M2449" s="633"/>
      <c r="N2449" s="274"/>
      <c r="O2449" s="94"/>
      <c r="P2449" s="94"/>
      <c r="Q2449" s="94"/>
      <c r="R2449" s="94"/>
      <c r="S2449" s="94"/>
      <c r="V2449" s="30"/>
      <c r="W2449" s="30"/>
      <c r="X2449" s="1"/>
      <c r="Y2449" s="95"/>
      <c r="Z2449" s="1"/>
      <c r="AA2449" s="94"/>
      <c r="AB2449" s="1"/>
      <c r="AC2449" s="1"/>
      <c r="AD2449" s="1"/>
      <c r="AE2449" s="30"/>
      <c r="AF2449" s="633"/>
      <c r="AG2449" s="94"/>
      <c r="AH2449" s="94"/>
      <c r="AI2449" s="94"/>
      <c r="AJ2449" s="94"/>
      <c r="AK2449" s="94"/>
      <c r="AL2449" s="94"/>
    </row>
    <row r="2450" spans="3:38">
      <c r="C2450" s="30"/>
      <c r="F2450" s="95"/>
      <c r="G2450" s="1"/>
      <c r="H2450" s="94"/>
      <c r="I2450" s="90"/>
      <c r="J2450" s="90"/>
      <c r="K2450" s="1"/>
      <c r="L2450" s="74"/>
      <c r="M2450" s="633"/>
      <c r="N2450" s="274"/>
      <c r="O2450" s="94"/>
      <c r="P2450" s="94"/>
      <c r="Q2450" s="94"/>
      <c r="R2450" s="94"/>
      <c r="S2450" s="94"/>
      <c r="V2450" s="30"/>
      <c r="W2450" s="30"/>
      <c r="X2450" s="1"/>
      <c r="Y2450" s="95"/>
      <c r="Z2450" s="1"/>
      <c r="AA2450" s="94"/>
      <c r="AB2450" s="1"/>
      <c r="AC2450" s="1"/>
      <c r="AD2450" s="1"/>
      <c r="AE2450" s="30"/>
      <c r="AF2450" s="633"/>
      <c r="AG2450" s="94"/>
      <c r="AH2450" s="94"/>
      <c r="AI2450" s="94"/>
      <c r="AJ2450" s="94"/>
      <c r="AK2450" s="94"/>
      <c r="AL2450" s="94"/>
    </row>
    <row r="2451" spans="3:38">
      <c r="C2451" s="30"/>
      <c r="F2451" s="95"/>
      <c r="G2451" s="1"/>
      <c r="H2451" s="94"/>
      <c r="I2451" s="90"/>
      <c r="J2451" s="90"/>
      <c r="K2451" s="1"/>
      <c r="L2451" s="74"/>
      <c r="M2451" s="633"/>
      <c r="N2451" s="274"/>
      <c r="O2451" s="94"/>
      <c r="P2451" s="94"/>
      <c r="Q2451" s="94"/>
      <c r="R2451" s="94"/>
      <c r="S2451" s="94"/>
      <c r="V2451" s="30"/>
      <c r="W2451" s="30"/>
      <c r="X2451" s="1"/>
      <c r="Y2451" s="95"/>
      <c r="Z2451" s="1"/>
      <c r="AA2451" s="94"/>
      <c r="AB2451" s="1"/>
      <c r="AC2451" s="1"/>
      <c r="AD2451" s="1"/>
      <c r="AE2451" s="30"/>
      <c r="AF2451" s="633"/>
      <c r="AG2451" s="94"/>
      <c r="AH2451" s="94"/>
      <c r="AI2451" s="94"/>
      <c r="AJ2451" s="94"/>
      <c r="AK2451" s="94"/>
      <c r="AL2451" s="94"/>
    </row>
    <row r="2452" spans="3:38">
      <c r="C2452" s="30"/>
      <c r="F2452" s="95"/>
      <c r="G2452" s="1"/>
      <c r="H2452" s="94"/>
      <c r="I2452" s="90"/>
      <c r="J2452" s="90"/>
      <c r="K2452" s="1"/>
      <c r="L2452" s="74"/>
      <c r="M2452" s="633"/>
      <c r="N2452" s="274"/>
      <c r="O2452" s="94"/>
      <c r="P2452" s="94"/>
      <c r="Q2452" s="94"/>
      <c r="R2452" s="94"/>
      <c r="S2452" s="94"/>
      <c r="V2452" s="30"/>
      <c r="W2452" s="30"/>
      <c r="X2452" s="1"/>
      <c r="Y2452" s="95"/>
      <c r="Z2452" s="1"/>
      <c r="AA2452" s="94"/>
      <c r="AB2452" s="1"/>
      <c r="AC2452" s="1"/>
      <c r="AD2452" s="1"/>
      <c r="AE2452" s="30"/>
      <c r="AF2452" s="633"/>
      <c r="AG2452" s="94"/>
      <c r="AH2452" s="94"/>
      <c r="AI2452" s="94"/>
      <c r="AJ2452" s="94"/>
      <c r="AK2452" s="94"/>
      <c r="AL2452" s="94"/>
    </row>
    <row r="2453" spans="3:38">
      <c r="C2453" s="30"/>
      <c r="F2453" s="95"/>
      <c r="G2453" s="1"/>
      <c r="H2453" s="94"/>
      <c r="I2453" s="90"/>
      <c r="J2453" s="90"/>
      <c r="K2453" s="1"/>
      <c r="L2453" s="74"/>
      <c r="M2453" s="633"/>
      <c r="N2453" s="274"/>
      <c r="O2453" s="94"/>
      <c r="P2453" s="94"/>
      <c r="Q2453" s="94"/>
      <c r="R2453" s="94"/>
      <c r="S2453" s="94"/>
      <c r="V2453" s="30"/>
      <c r="W2453" s="30"/>
      <c r="X2453" s="1"/>
      <c r="Y2453" s="95"/>
      <c r="Z2453" s="1"/>
      <c r="AA2453" s="94"/>
      <c r="AB2453" s="1"/>
      <c r="AC2453" s="1"/>
      <c r="AD2453" s="1"/>
      <c r="AE2453" s="30"/>
      <c r="AF2453" s="633"/>
      <c r="AG2453" s="94"/>
      <c r="AH2453" s="94"/>
      <c r="AI2453" s="94"/>
      <c r="AJ2453" s="94"/>
      <c r="AK2453" s="94"/>
      <c r="AL2453" s="94"/>
    </row>
    <row r="2454" spans="3:38">
      <c r="C2454" s="30"/>
      <c r="F2454" s="95"/>
      <c r="G2454" s="1"/>
      <c r="H2454" s="94"/>
      <c r="I2454" s="90"/>
      <c r="J2454" s="90"/>
      <c r="K2454" s="1"/>
      <c r="L2454" s="74"/>
      <c r="M2454" s="633"/>
      <c r="N2454" s="274"/>
      <c r="O2454" s="94"/>
      <c r="P2454" s="94"/>
      <c r="Q2454" s="94"/>
      <c r="R2454" s="94"/>
      <c r="S2454" s="94"/>
      <c r="V2454" s="30"/>
      <c r="W2454" s="30"/>
      <c r="X2454" s="1"/>
      <c r="Y2454" s="95"/>
      <c r="Z2454" s="1"/>
      <c r="AA2454" s="94"/>
      <c r="AB2454" s="1"/>
      <c r="AC2454" s="1"/>
      <c r="AD2454" s="1"/>
      <c r="AE2454" s="30"/>
      <c r="AF2454" s="633"/>
      <c r="AG2454" s="94"/>
      <c r="AH2454" s="94"/>
      <c r="AI2454" s="94"/>
      <c r="AJ2454" s="94"/>
      <c r="AK2454" s="94"/>
      <c r="AL2454" s="94"/>
    </row>
    <row r="2455" spans="3:38">
      <c r="C2455" s="30"/>
      <c r="F2455" s="95"/>
      <c r="G2455" s="1"/>
      <c r="H2455" s="94"/>
      <c r="I2455" s="90"/>
      <c r="J2455" s="90"/>
      <c r="K2455" s="1"/>
      <c r="L2455" s="74"/>
      <c r="M2455" s="633"/>
      <c r="N2455" s="274"/>
      <c r="O2455" s="94"/>
      <c r="P2455" s="94"/>
      <c r="Q2455" s="94"/>
      <c r="R2455" s="94"/>
      <c r="S2455" s="94"/>
      <c r="V2455" s="30"/>
      <c r="W2455" s="30"/>
      <c r="X2455" s="1"/>
      <c r="Y2455" s="95"/>
      <c r="Z2455" s="1"/>
      <c r="AA2455" s="94"/>
      <c r="AB2455" s="1"/>
      <c r="AC2455" s="1"/>
      <c r="AD2455" s="1"/>
      <c r="AE2455" s="30"/>
      <c r="AF2455" s="633"/>
      <c r="AG2455" s="94"/>
      <c r="AH2455" s="94"/>
      <c r="AI2455" s="94"/>
      <c r="AJ2455" s="94"/>
      <c r="AK2455" s="94"/>
      <c r="AL2455" s="94"/>
    </row>
    <row r="2456" spans="3:38">
      <c r="C2456" s="30"/>
      <c r="F2456" s="95"/>
      <c r="G2456" s="1"/>
      <c r="H2456" s="94"/>
      <c r="I2456" s="90"/>
      <c r="J2456" s="90"/>
      <c r="K2456" s="1"/>
      <c r="L2456" s="74"/>
      <c r="M2456" s="633"/>
      <c r="N2456" s="274"/>
      <c r="O2456" s="94"/>
      <c r="P2456" s="94"/>
      <c r="Q2456" s="94"/>
      <c r="R2456" s="94"/>
      <c r="S2456" s="94"/>
      <c r="V2456" s="30"/>
      <c r="W2456" s="30"/>
      <c r="X2456" s="1"/>
      <c r="Y2456" s="95"/>
      <c r="Z2456" s="1"/>
      <c r="AA2456" s="94"/>
      <c r="AB2456" s="1"/>
      <c r="AC2456" s="1"/>
      <c r="AD2456" s="1"/>
      <c r="AE2456" s="30"/>
      <c r="AF2456" s="633"/>
      <c r="AG2456" s="94"/>
      <c r="AH2456" s="94"/>
      <c r="AI2456" s="94"/>
      <c r="AJ2456" s="94"/>
      <c r="AK2456" s="94"/>
      <c r="AL2456" s="94"/>
    </row>
    <row r="2457" spans="3:38">
      <c r="C2457" s="30"/>
      <c r="F2457" s="95"/>
      <c r="G2457" s="1"/>
      <c r="H2457" s="94"/>
      <c r="I2457" s="90"/>
      <c r="J2457" s="90"/>
      <c r="K2457" s="1"/>
      <c r="L2457" s="74"/>
      <c r="M2457" s="633"/>
      <c r="N2457" s="274"/>
      <c r="O2457" s="94"/>
      <c r="P2457" s="94"/>
      <c r="Q2457" s="94"/>
      <c r="R2457" s="94"/>
      <c r="S2457" s="94"/>
      <c r="V2457" s="30"/>
      <c r="W2457" s="30"/>
      <c r="X2457" s="1"/>
      <c r="Y2457" s="95"/>
      <c r="Z2457" s="1"/>
      <c r="AA2457" s="94"/>
      <c r="AB2457" s="1"/>
      <c r="AC2457" s="1"/>
      <c r="AD2457" s="1"/>
      <c r="AE2457" s="30"/>
      <c r="AF2457" s="633"/>
      <c r="AG2457" s="94"/>
      <c r="AH2457" s="94"/>
      <c r="AI2457" s="94"/>
      <c r="AJ2457" s="94"/>
      <c r="AK2457" s="94"/>
      <c r="AL2457" s="94"/>
    </row>
    <row r="2458" spans="3:38">
      <c r="C2458" s="30"/>
      <c r="F2458" s="95"/>
      <c r="G2458" s="1"/>
      <c r="H2458" s="94"/>
      <c r="I2458" s="90"/>
      <c r="J2458" s="90"/>
      <c r="K2458" s="1"/>
      <c r="L2458" s="74"/>
      <c r="M2458" s="633"/>
      <c r="N2458" s="274"/>
      <c r="O2458" s="94"/>
      <c r="P2458" s="94"/>
      <c r="Q2458" s="94"/>
      <c r="R2458" s="94"/>
      <c r="S2458" s="94"/>
      <c r="V2458" s="30"/>
      <c r="W2458" s="30"/>
      <c r="X2458" s="1"/>
      <c r="Y2458" s="95"/>
      <c r="Z2458" s="1"/>
      <c r="AA2458" s="94"/>
      <c r="AB2458" s="1"/>
      <c r="AC2458" s="1"/>
      <c r="AD2458" s="1"/>
      <c r="AE2458" s="30"/>
      <c r="AF2458" s="633"/>
      <c r="AG2458" s="94"/>
      <c r="AH2458" s="94"/>
      <c r="AI2458" s="94"/>
      <c r="AJ2458" s="94"/>
      <c r="AK2458" s="94"/>
      <c r="AL2458" s="94"/>
    </row>
    <row r="2459" spans="3:38">
      <c r="C2459" s="30"/>
      <c r="F2459" s="95"/>
      <c r="G2459" s="1"/>
      <c r="H2459" s="94"/>
      <c r="I2459" s="90"/>
      <c r="J2459" s="90"/>
      <c r="K2459" s="1"/>
      <c r="L2459" s="74"/>
      <c r="M2459" s="633"/>
      <c r="N2459" s="274"/>
      <c r="O2459" s="94"/>
      <c r="P2459" s="94"/>
      <c r="Q2459" s="94"/>
      <c r="R2459" s="94"/>
      <c r="S2459" s="94"/>
      <c r="V2459" s="30"/>
      <c r="W2459" s="30"/>
      <c r="X2459" s="1"/>
      <c r="Y2459" s="95"/>
      <c r="Z2459" s="1"/>
      <c r="AA2459" s="94"/>
      <c r="AB2459" s="1"/>
      <c r="AC2459" s="1"/>
      <c r="AD2459" s="1"/>
      <c r="AE2459" s="30"/>
      <c r="AF2459" s="633"/>
      <c r="AG2459" s="94"/>
      <c r="AH2459" s="94"/>
      <c r="AI2459" s="94"/>
      <c r="AJ2459" s="94"/>
      <c r="AK2459" s="94"/>
      <c r="AL2459" s="94"/>
    </row>
    <row r="2460" spans="3:38">
      <c r="C2460" s="30"/>
      <c r="F2460" s="95"/>
      <c r="G2460" s="1"/>
      <c r="H2460" s="94"/>
      <c r="I2460" s="90"/>
      <c r="J2460" s="90"/>
      <c r="K2460" s="1"/>
      <c r="L2460" s="74"/>
      <c r="M2460" s="633"/>
      <c r="N2460" s="274"/>
      <c r="O2460" s="94"/>
      <c r="P2460" s="94"/>
      <c r="Q2460" s="94"/>
      <c r="R2460" s="94"/>
      <c r="S2460" s="94"/>
      <c r="V2460" s="30"/>
      <c r="W2460" s="30"/>
      <c r="X2460" s="1"/>
      <c r="Y2460" s="95"/>
      <c r="Z2460" s="1"/>
      <c r="AA2460" s="94"/>
      <c r="AB2460" s="1"/>
      <c r="AC2460" s="1"/>
      <c r="AD2460" s="1"/>
      <c r="AE2460" s="30"/>
      <c r="AF2460" s="633"/>
      <c r="AG2460" s="94"/>
      <c r="AH2460" s="94"/>
      <c r="AI2460" s="94"/>
      <c r="AJ2460" s="94"/>
      <c r="AK2460" s="94"/>
      <c r="AL2460" s="94"/>
    </row>
    <row r="2461" spans="3:38">
      <c r="C2461" s="30"/>
      <c r="F2461" s="95"/>
      <c r="G2461" s="1"/>
      <c r="H2461" s="94"/>
      <c r="I2461" s="90"/>
      <c r="J2461" s="90"/>
      <c r="K2461" s="1"/>
      <c r="L2461" s="74"/>
      <c r="M2461" s="633"/>
      <c r="N2461" s="274"/>
      <c r="O2461" s="94"/>
      <c r="P2461" s="94"/>
      <c r="Q2461" s="94"/>
      <c r="R2461" s="94"/>
      <c r="S2461" s="94"/>
      <c r="V2461" s="30"/>
      <c r="W2461" s="30"/>
      <c r="X2461" s="1"/>
      <c r="Y2461" s="95"/>
      <c r="Z2461" s="1"/>
      <c r="AA2461" s="94"/>
      <c r="AB2461" s="1"/>
      <c r="AC2461" s="1"/>
      <c r="AD2461" s="1"/>
      <c r="AE2461" s="30"/>
      <c r="AF2461" s="633"/>
      <c r="AG2461" s="94"/>
      <c r="AH2461" s="94"/>
      <c r="AI2461" s="94"/>
      <c r="AJ2461" s="94"/>
      <c r="AK2461" s="94"/>
      <c r="AL2461" s="94"/>
    </row>
    <row r="2462" spans="3:38">
      <c r="C2462" s="30"/>
      <c r="F2462" s="95"/>
      <c r="G2462" s="1"/>
      <c r="H2462" s="94"/>
      <c r="I2462" s="90"/>
      <c r="J2462" s="90"/>
      <c r="K2462" s="1"/>
      <c r="L2462" s="74"/>
      <c r="M2462" s="633"/>
      <c r="N2462" s="274"/>
      <c r="O2462" s="94"/>
      <c r="P2462" s="94"/>
      <c r="Q2462" s="94"/>
      <c r="R2462" s="94"/>
      <c r="S2462" s="94"/>
      <c r="V2462" s="30"/>
      <c r="W2462" s="30"/>
      <c r="X2462" s="1"/>
      <c r="Y2462" s="95"/>
      <c r="Z2462" s="1"/>
      <c r="AA2462" s="94"/>
      <c r="AB2462" s="1"/>
      <c r="AC2462" s="1"/>
      <c r="AD2462" s="1"/>
      <c r="AE2462" s="30"/>
      <c r="AF2462" s="633"/>
      <c r="AG2462" s="94"/>
      <c r="AH2462" s="94"/>
      <c r="AI2462" s="94"/>
      <c r="AJ2462" s="94"/>
      <c r="AK2462" s="94"/>
      <c r="AL2462" s="94"/>
    </row>
    <row r="2463" spans="3:38">
      <c r="C2463" s="30"/>
      <c r="F2463" s="95"/>
      <c r="G2463" s="1"/>
      <c r="H2463" s="94"/>
      <c r="I2463" s="90"/>
      <c r="J2463" s="90"/>
      <c r="K2463" s="1"/>
      <c r="L2463" s="74"/>
      <c r="M2463" s="633"/>
      <c r="N2463" s="274"/>
      <c r="O2463" s="94"/>
      <c r="P2463" s="94"/>
      <c r="Q2463" s="94"/>
      <c r="R2463" s="94"/>
      <c r="S2463" s="94"/>
      <c r="V2463" s="30"/>
      <c r="W2463" s="30"/>
      <c r="X2463" s="1"/>
      <c r="Y2463" s="95"/>
      <c r="Z2463" s="1"/>
      <c r="AA2463" s="94"/>
      <c r="AB2463" s="1"/>
      <c r="AC2463" s="1"/>
      <c r="AD2463" s="1"/>
      <c r="AE2463" s="30"/>
      <c r="AF2463" s="633"/>
      <c r="AG2463" s="94"/>
      <c r="AH2463" s="94"/>
      <c r="AI2463" s="94"/>
      <c r="AJ2463" s="94"/>
      <c r="AK2463" s="94"/>
      <c r="AL2463" s="94"/>
    </row>
    <row r="2464" spans="3:38">
      <c r="C2464" s="30"/>
      <c r="F2464" s="95"/>
      <c r="G2464" s="1"/>
      <c r="H2464" s="94"/>
      <c r="I2464" s="90"/>
      <c r="J2464" s="90"/>
      <c r="K2464" s="1"/>
      <c r="L2464" s="74"/>
      <c r="M2464" s="633"/>
      <c r="N2464" s="274"/>
      <c r="O2464" s="94"/>
      <c r="P2464" s="94"/>
      <c r="Q2464" s="94"/>
      <c r="R2464" s="94"/>
      <c r="S2464" s="94"/>
      <c r="V2464" s="30"/>
      <c r="W2464" s="30"/>
      <c r="X2464" s="1"/>
      <c r="Y2464" s="95"/>
      <c r="Z2464" s="1"/>
      <c r="AA2464" s="94"/>
      <c r="AB2464" s="1"/>
      <c r="AC2464" s="1"/>
      <c r="AD2464" s="1"/>
      <c r="AE2464" s="30"/>
      <c r="AF2464" s="633"/>
      <c r="AG2464" s="94"/>
      <c r="AH2464" s="94"/>
      <c r="AI2464" s="94"/>
      <c r="AJ2464" s="94"/>
      <c r="AK2464" s="94"/>
      <c r="AL2464" s="94"/>
    </row>
    <row r="2465" spans="3:38">
      <c r="C2465" s="30"/>
      <c r="F2465" s="95"/>
      <c r="G2465" s="1"/>
      <c r="H2465" s="94"/>
      <c r="I2465" s="90"/>
      <c r="J2465" s="90"/>
      <c r="K2465" s="1"/>
      <c r="L2465" s="74"/>
      <c r="M2465" s="633"/>
      <c r="N2465" s="274"/>
      <c r="O2465" s="94"/>
      <c r="P2465" s="94"/>
      <c r="Q2465" s="94"/>
      <c r="R2465" s="94"/>
      <c r="S2465" s="94"/>
      <c r="V2465" s="30"/>
      <c r="W2465" s="30"/>
      <c r="X2465" s="1"/>
      <c r="Y2465" s="95"/>
      <c r="Z2465" s="1"/>
      <c r="AA2465" s="94"/>
      <c r="AB2465" s="1"/>
      <c r="AC2465" s="1"/>
      <c r="AD2465" s="1"/>
      <c r="AE2465" s="30"/>
      <c r="AF2465" s="633"/>
      <c r="AG2465" s="94"/>
      <c r="AH2465" s="94"/>
      <c r="AI2465" s="94"/>
      <c r="AJ2465" s="94"/>
      <c r="AK2465" s="94"/>
      <c r="AL2465" s="94"/>
    </row>
    <row r="2466" spans="3:38">
      <c r="C2466" s="30"/>
      <c r="F2466" s="95"/>
      <c r="G2466" s="1"/>
      <c r="H2466" s="94"/>
      <c r="I2466" s="90"/>
      <c r="J2466" s="90"/>
      <c r="K2466" s="1"/>
      <c r="L2466" s="74"/>
      <c r="M2466" s="633"/>
      <c r="N2466" s="274"/>
      <c r="O2466" s="94"/>
      <c r="P2466" s="94"/>
      <c r="Q2466" s="94"/>
      <c r="R2466" s="94"/>
      <c r="S2466" s="94"/>
      <c r="V2466" s="30"/>
      <c r="W2466" s="30"/>
      <c r="X2466" s="1"/>
      <c r="Y2466" s="95"/>
      <c r="Z2466" s="1"/>
      <c r="AA2466" s="94"/>
      <c r="AB2466" s="1"/>
      <c r="AC2466" s="1"/>
      <c r="AD2466" s="1"/>
      <c r="AE2466" s="30"/>
      <c r="AF2466" s="633"/>
      <c r="AG2466" s="94"/>
      <c r="AH2466" s="94"/>
      <c r="AI2466" s="94"/>
      <c r="AJ2466" s="94"/>
      <c r="AK2466" s="94"/>
      <c r="AL2466" s="94"/>
    </row>
    <row r="2467" spans="3:38">
      <c r="C2467" s="30"/>
      <c r="F2467" s="95"/>
      <c r="G2467" s="1"/>
      <c r="H2467" s="94"/>
      <c r="I2467" s="90"/>
      <c r="J2467" s="90"/>
      <c r="K2467" s="1"/>
      <c r="L2467" s="74"/>
      <c r="M2467" s="633"/>
      <c r="N2467" s="274"/>
      <c r="O2467" s="94"/>
      <c r="P2467" s="94"/>
      <c r="Q2467" s="94"/>
      <c r="R2467" s="94"/>
      <c r="S2467" s="94"/>
      <c r="V2467" s="30"/>
      <c r="W2467" s="30"/>
      <c r="X2467" s="1"/>
      <c r="Y2467" s="95"/>
      <c r="Z2467" s="1"/>
      <c r="AA2467" s="94"/>
      <c r="AB2467" s="1"/>
      <c r="AC2467" s="1"/>
      <c r="AD2467" s="1"/>
      <c r="AE2467" s="30"/>
      <c r="AF2467" s="633"/>
      <c r="AG2467" s="94"/>
      <c r="AH2467" s="94"/>
      <c r="AI2467" s="94"/>
      <c r="AJ2467" s="94"/>
      <c r="AK2467" s="94"/>
      <c r="AL2467" s="94"/>
    </row>
    <row r="2468" spans="3:38">
      <c r="C2468" s="30"/>
      <c r="F2468" s="95"/>
      <c r="G2468" s="1"/>
      <c r="H2468" s="94"/>
      <c r="I2468" s="90"/>
      <c r="J2468" s="90"/>
      <c r="K2468" s="1"/>
      <c r="L2468" s="74"/>
      <c r="M2468" s="633"/>
      <c r="N2468" s="274"/>
      <c r="O2468" s="94"/>
      <c r="P2468" s="94"/>
      <c r="Q2468" s="94"/>
      <c r="R2468" s="94"/>
      <c r="S2468" s="94"/>
      <c r="V2468" s="30"/>
      <c r="W2468" s="30"/>
      <c r="X2468" s="1"/>
      <c r="Y2468" s="95"/>
      <c r="Z2468" s="1"/>
      <c r="AA2468" s="94"/>
      <c r="AB2468" s="1"/>
      <c r="AC2468" s="1"/>
      <c r="AD2468" s="1"/>
      <c r="AE2468" s="30"/>
      <c r="AF2468" s="633"/>
      <c r="AG2468" s="94"/>
      <c r="AH2468" s="94"/>
      <c r="AI2468" s="94"/>
      <c r="AJ2468" s="94"/>
      <c r="AK2468" s="94"/>
      <c r="AL2468" s="94"/>
    </row>
    <row r="2469" spans="3:38">
      <c r="C2469" s="30"/>
      <c r="F2469" s="95"/>
      <c r="G2469" s="1"/>
      <c r="H2469" s="94"/>
      <c r="I2469" s="90"/>
      <c r="J2469" s="90"/>
      <c r="K2469" s="1"/>
      <c r="L2469" s="74"/>
      <c r="M2469" s="633"/>
      <c r="N2469" s="274"/>
      <c r="O2469" s="94"/>
      <c r="P2469" s="94"/>
      <c r="Q2469" s="94"/>
      <c r="R2469" s="94"/>
      <c r="S2469" s="94"/>
      <c r="V2469" s="30"/>
      <c r="W2469" s="30"/>
      <c r="X2469" s="1"/>
      <c r="Y2469" s="95"/>
      <c r="Z2469" s="1"/>
      <c r="AA2469" s="94"/>
      <c r="AB2469" s="1"/>
      <c r="AC2469" s="1"/>
      <c r="AD2469" s="1"/>
      <c r="AE2469" s="30"/>
      <c r="AF2469" s="633"/>
      <c r="AG2469" s="94"/>
      <c r="AH2469" s="94"/>
      <c r="AI2469" s="94"/>
      <c r="AJ2469" s="94"/>
      <c r="AK2469" s="94"/>
      <c r="AL2469" s="94"/>
    </row>
    <row r="2470" spans="3:38">
      <c r="C2470" s="30"/>
      <c r="F2470" s="95"/>
      <c r="G2470" s="1"/>
      <c r="H2470" s="94"/>
      <c r="I2470" s="90"/>
      <c r="J2470" s="90"/>
      <c r="K2470" s="1"/>
      <c r="L2470" s="74"/>
      <c r="M2470" s="633"/>
      <c r="N2470" s="274"/>
      <c r="O2470" s="94"/>
      <c r="P2470" s="94"/>
      <c r="Q2470" s="94"/>
      <c r="R2470" s="94"/>
      <c r="S2470" s="94"/>
      <c r="V2470" s="30"/>
      <c r="W2470" s="30"/>
      <c r="X2470" s="1"/>
      <c r="Y2470" s="95"/>
      <c r="Z2470" s="1"/>
      <c r="AA2470" s="94"/>
      <c r="AB2470" s="1"/>
      <c r="AC2470" s="1"/>
      <c r="AD2470" s="1"/>
      <c r="AE2470" s="30"/>
      <c r="AF2470" s="633"/>
      <c r="AG2470" s="94"/>
      <c r="AH2470" s="94"/>
      <c r="AI2470" s="94"/>
      <c r="AJ2470" s="94"/>
      <c r="AK2470" s="94"/>
      <c r="AL2470" s="94"/>
    </row>
    <row r="2471" spans="3:38">
      <c r="C2471" s="30"/>
      <c r="F2471" s="95"/>
      <c r="G2471" s="1"/>
      <c r="H2471" s="94"/>
      <c r="I2471" s="90"/>
      <c r="J2471" s="90"/>
      <c r="K2471" s="1"/>
      <c r="L2471" s="74"/>
      <c r="M2471" s="633"/>
      <c r="N2471" s="274"/>
      <c r="O2471" s="94"/>
      <c r="P2471" s="94"/>
      <c r="Q2471" s="94"/>
      <c r="R2471" s="94"/>
      <c r="S2471" s="94"/>
      <c r="V2471" s="30"/>
      <c r="W2471" s="30"/>
      <c r="X2471" s="1"/>
      <c r="Y2471" s="95"/>
      <c r="Z2471" s="1"/>
      <c r="AA2471" s="94"/>
      <c r="AB2471" s="1"/>
      <c r="AC2471" s="1"/>
      <c r="AD2471" s="1"/>
      <c r="AE2471" s="30"/>
      <c r="AF2471" s="633"/>
      <c r="AG2471" s="94"/>
      <c r="AH2471" s="94"/>
      <c r="AI2471" s="94"/>
      <c r="AJ2471" s="94"/>
      <c r="AK2471" s="94"/>
      <c r="AL2471" s="94"/>
    </row>
    <row r="2472" spans="3:38">
      <c r="C2472" s="30"/>
      <c r="F2472" s="95"/>
      <c r="G2472" s="1"/>
      <c r="H2472" s="94"/>
      <c r="I2472" s="90"/>
      <c r="J2472" s="90"/>
      <c r="K2472" s="1"/>
      <c r="L2472" s="74"/>
      <c r="M2472" s="633"/>
      <c r="N2472" s="274"/>
      <c r="O2472" s="94"/>
      <c r="P2472" s="94"/>
      <c r="Q2472" s="94"/>
      <c r="R2472" s="94"/>
      <c r="S2472" s="94"/>
      <c r="V2472" s="30"/>
      <c r="W2472" s="30"/>
      <c r="X2472" s="1"/>
      <c r="Y2472" s="95"/>
      <c r="Z2472" s="1"/>
      <c r="AA2472" s="94"/>
      <c r="AB2472" s="1"/>
      <c r="AC2472" s="1"/>
      <c r="AD2472" s="1"/>
      <c r="AE2472" s="30"/>
      <c r="AF2472" s="633"/>
      <c r="AG2472" s="94"/>
      <c r="AH2472" s="94"/>
      <c r="AI2472" s="94"/>
      <c r="AJ2472" s="94"/>
      <c r="AK2472" s="94"/>
      <c r="AL2472" s="94"/>
    </row>
    <row r="2473" spans="3:38">
      <c r="C2473" s="30"/>
      <c r="F2473" s="95"/>
      <c r="G2473" s="1"/>
      <c r="H2473" s="94"/>
      <c r="I2473" s="90"/>
      <c r="J2473" s="90"/>
      <c r="K2473" s="1"/>
      <c r="L2473" s="74"/>
      <c r="M2473" s="633"/>
      <c r="N2473" s="274"/>
      <c r="O2473" s="94"/>
      <c r="P2473" s="94"/>
      <c r="Q2473" s="94"/>
      <c r="R2473" s="94"/>
      <c r="S2473" s="94"/>
      <c r="V2473" s="30"/>
      <c r="W2473" s="30"/>
      <c r="X2473" s="1"/>
      <c r="Y2473" s="95"/>
      <c r="Z2473" s="1"/>
      <c r="AA2473" s="94"/>
      <c r="AB2473" s="1"/>
      <c r="AC2473" s="1"/>
      <c r="AD2473" s="1"/>
      <c r="AE2473" s="30"/>
      <c r="AF2473" s="633"/>
      <c r="AG2473" s="94"/>
      <c r="AH2473" s="94"/>
      <c r="AI2473" s="94"/>
      <c r="AJ2473" s="94"/>
      <c r="AK2473" s="94"/>
      <c r="AL2473" s="94"/>
    </row>
    <row r="2474" spans="3:38">
      <c r="C2474" s="30"/>
      <c r="F2474" s="95"/>
      <c r="G2474" s="1"/>
      <c r="H2474" s="94"/>
      <c r="I2474" s="90"/>
      <c r="J2474" s="90"/>
      <c r="K2474" s="1"/>
      <c r="L2474" s="74"/>
      <c r="M2474" s="633"/>
      <c r="N2474" s="274"/>
      <c r="O2474" s="94"/>
      <c r="P2474" s="94"/>
      <c r="Q2474" s="94"/>
      <c r="R2474" s="94"/>
      <c r="S2474" s="94"/>
      <c r="V2474" s="30"/>
      <c r="W2474" s="30"/>
      <c r="X2474" s="1"/>
      <c r="Y2474" s="95"/>
      <c r="Z2474" s="1"/>
      <c r="AA2474" s="94"/>
      <c r="AB2474" s="1"/>
      <c r="AC2474" s="1"/>
      <c r="AD2474" s="1"/>
      <c r="AE2474" s="30"/>
      <c r="AF2474" s="633"/>
      <c r="AG2474" s="94"/>
      <c r="AH2474" s="94"/>
      <c r="AI2474" s="94"/>
      <c r="AJ2474" s="94"/>
      <c r="AK2474" s="94"/>
      <c r="AL2474" s="94"/>
    </row>
    <row r="2475" spans="3:38">
      <c r="C2475" s="30"/>
      <c r="F2475" s="95"/>
      <c r="G2475" s="1"/>
      <c r="H2475" s="94"/>
      <c r="I2475" s="90"/>
      <c r="J2475" s="90"/>
      <c r="K2475" s="1"/>
      <c r="L2475" s="74"/>
      <c r="M2475" s="633"/>
      <c r="N2475" s="274"/>
      <c r="O2475" s="94"/>
      <c r="P2475" s="94"/>
      <c r="Q2475" s="94"/>
      <c r="R2475" s="94"/>
      <c r="S2475" s="94"/>
      <c r="V2475" s="30"/>
      <c r="W2475" s="30"/>
      <c r="X2475" s="1"/>
      <c r="Y2475" s="95"/>
      <c r="Z2475" s="1"/>
      <c r="AA2475" s="94"/>
      <c r="AB2475" s="1"/>
      <c r="AC2475" s="1"/>
      <c r="AD2475" s="1"/>
      <c r="AE2475" s="30"/>
      <c r="AF2475" s="633"/>
      <c r="AG2475" s="94"/>
      <c r="AH2475" s="94"/>
      <c r="AI2475" s="94"/>
      <c r="AJ2475" s="94"/>
      <c r="AK2475" s="94"/>
      <c r="AL2475" s="94"/>
    </row>
    <row r="2476" spans="3:38">
      <c r="C2476" s="30"/>
      <c r="F2476" s="95"/>
      <c r="G2476" s="1"/>
      <c r="H2476" s="94"/>
      <c r="I2476" s="90"/>
      <c r="J2476" s="90"/>
      <c r="K2476" s="1"/>
      <c r="L2476" s="74"/>
      <c r="M2476" s="633"/>
      <c r="N2476" s="274"/>
      <c r="O2476" s="94"/>
      <c r="P2476" s="94"/>
      <c r="Q2476" s="94"/>
      <c r="R2476" s="94"/>
      <c r="S2476" s="94"/>
      <c r="V2476" s="30"/>
      <c r="W2476" s="30"/>
      <c r="X2476" s="1"/>
      <c r="Y2476" s="95"/>
      <c r="Z2476" s="1"/>
      <c r="AA2476" s="94"/>
      <c r="AB2476" s="1"/>
      <c r="AC2476" s="1"/>
      <c r="AD2476" s="1"/>
      <c r="AE2476" s="30"/>
      <c r="AF2476" s="633"/>
      <c r="AG2476" s="94"/>
      <c r="AH2476" s="94"/>
      <c r="AI2476" s="94"/>
      <c r="AJ2476" s="94"/>
      <c r="AK2476" s="94"/>
      <c r="AL2476" s="94"/>
    </row>
    <row r="2477" spans="3:38">
      <c r="C2477" s="30"/>
      <c r="F2477" s="95"/>
      <c r="G2477" s="1"/>
      <c r="H2477" s="94"/>
      <c r="I2477" s="90"/>
      <c r="J2477" s="90"/>
      <c r="K2477" s="1"/>
      <c r="L2477" s="74"/>
      <c r="M2477" s="633"/>
      <c r="N2477" s="274"/>
      <c r="O2477" s="94"/>
      <c r="P2477" s="94"/>
      <c r="Q2477" s="94"/>
      <c r="R2477" s="94"/>
      <c r="S2477" s="94"/>
      <c r="V2477" s="30"/>
      <c r="W2477" s="30"/>
      <c r="X2477" s="1"/>
      <c r="Y2477" s="95"/>
      <c r="Z2477" s="1"/>
      <c r="AA2477" s="94"/>
      <c r="AB2477" s="1"/>
      <c r="AC2477" s="1"/>
      <c r="AD2477" s="1"/>
      <c r="AE2477" s="30"/>
      <c r="AF2477" s="633"/>
      <c r="AG2477" s="94"/>
      <c r="AH2477" s="94"/>
      <c r="AI2477" s="94"/>
      <c r="AJ2477" s="94"/>
      <c r="AK2477" s="94"/>
      <c r="AL2477" s="94"/>
    </row>
    <row r="2478" spans="3:38">
      <c r="C2478" s="30"/>
      <c r="F2478" s="95"/>
      <c r="G2478" s="1"/>
      <c r="H2478" s="94"/>
      <c r="I2478" s="90"/>
      <c r="J2478" s="90"/>
      <c r="K2478" s="1"/>
      <c r="L2478" s="74"/>
      <c r="M2478" s="633"/>
      <c r="N2478" s="274"/>
      <c r="O2478" s="94"/>
      <c r="P2478" s="94"/>
      <c r="Q2478" s="94"/>
      <c r="R2478" s="94"/>
      <c r="S2478" s="94"/>
      <c r="V2478" s="30"/>
      <c r="W2478" s="30"/>
      <c r="X2478" s="1"/>
      <c r="Y2478" s="95"/>
      <c r="Z2478" s="1"/>
      <c r="AA2478" s="94"/>
      <c r="AB2478" s="1"/>
      <c r="AC2478" s="1"/>
      <c r="AD2478" s="1"/>
      <c r="AE2478" s="30"/>
      <c r="AF2478" s="633"/>
      <c r="AG2478" s="94"/>
      <c r="AH2478" s="94"/>
      <c r="AI2478" s="94"/>
      <c r="AJ2478" s="94"/>
      <c r="AK2478" s="94"/>
      <c r="AL2478" s="94"/>
    </row>
    <row r="2479" spans="3:38">
      <c r="C2479" s="30"/>
      <c r="F2479" s="95"/>
      <c r="G2479" s="1"/>
      <c r="H2479" s="94"/>
      <c r="I2479" s="90"/>
      <c r="J2479" s="90"/>
      <c r="K2479" s="1"/>
      <c r="L2479" s="74"/>
      <c r="M2479" s="633"/>
      <c r="N2479" s="274"/>
      <c r="O2479" s="94"/>
      <c r="P2479" s="94"/>
      <c r="Q2479" s="94"/>
      <c r="R2479" s="94"/>
      <c r="S2479" s="94"/>
      <c r="V2479" s="30"/>
      <c r="W2479" s="30"/>
      <c r="X2479" s="1"/>
      <c r="Y2479" s="95"/>
      <c r="Z2479" s="1"/>
      <c r="AA2479" s="94"/>
      <c r="AB2479" s="1"/>
      <c r="AC2479" s="1"/>
      <c r="AD2479" s="1"/>
      <c r="AE2479" s="30"/>
      <c r="AF2479" s="633"/>
      <c r="AG2479" s="94"/>
      <c r="AH2479" s="94"/>
      <c r="AI2479" s="94"/>
      <c r="AJ2479" s="94"/>
      <c r="AK2479" s="94"/>
      <c r="AL2479" s="94"/>
    </row>
    <row r="2480" spans="3:38">
      <c r="C2480" s="30"/>
      <c r="F2480" s="95"/>
      <c r="G2480" s="1"/>
      <c r="H2480" s="94"/>
      <c r="I2480" s="90"/>
      <c r="J2480" s="90"/>
      <c r="K2480" s="1"/>
      <c r="L2480" s="74"/>
      <c r="M2480" s="633"/>
      <c r="N2480" s="274"/>
      <c r="O2480" s="94"/>
      <c r="P2480" s="94"/>
      <c r="Q2480" s="94"/>
      <c r="R2480" s="94"/>
      <c r="S2480" s="94"/>
      <c r="V2480" s="30"/>
      <c r="W2480" s="30"/>
      <c r="X2480" s="1"/>
      <c r="Y2480" s="95"/>
      <c r="Z2480" s="1"/>
      <c r="AA2480" s="94"/>
      <c r="AB2480" s="1"/>
      <c r="AC2480" s="1"/>
      <c r="AD2480" s="1"/>
      <c r="AE2480" s="30"/>
      <c r="AF2480" s="633"/>
      <c r="AG2480" s="94"/>
      <c r="AH2480" s="94"/>
      <c r="AI2480" s="94"/>
      <c r="AJ2480" s="94"/>
      <c r="AK2480" s="94"/>
      <c r="AL2480" s="94"/>
    </row>
    <row r="2481" spans="3:38">
      <c r="C2481" s="30"/>
      <c r="F2481" s="95"/>
      <c r="G2481" s="1"/>
      <c r="H2481" s="94"/>
      <c r="I2481" s="90"/>
      <c r="J2481" s="90"/>
      <c r="K2481" s="1"/>
      <c r="L2481" s="74"/>
      <c r="M2481" s="633"/>
      <c r="N2481" s="274"/>
      <c r="O2481" s="94"/>
      <c r="P2481" s="94"/>
      <c r="Q2481" s="94"/>
      <c r="R2481" s="94"/>
      <c r="S2481" s="94"/>
      <c r="V2481" s="30"/>
      <c r="W2481" s="30"/>
      <c r="X2481" s="1"/>
      <c r="Y2481" s="95"/>
      <c r="Z2481" s="1"/>
      <c r="AA2481" s="94"/>
      <c r="AB2481" s="1"/>
      <c r="AC2481" s="1"/>
      <c r="AD2481" s="1"/>
      <c r="AE2481" s="30"/>
      <c r="AF2481" s="633"/>
      <c r="AG2481" s="94"/>
      <c r="AH2481" s="94"/>
      <c r="AI2481" s="94"/>
      <c r="AJ2481" s="94"/>
      <c r="AK2481" s="94"/>
      <c r="AL2481" s="94"/>
    </row>
    <row r="2482" spans="3:38">
      <c r="C2482" s="30"/>
      <c r="F2482" s="95"/>
      <c r="G2482" s="1"/>
      <c r="H2482" s="94"/>
      <c r="I2482" s="90"/>
      <c r="J2482" s="90"/>
      <c r="K2482" s="1"/>
      <c r="L2482" s="74"/>
      <c r="M2482" s="633"/>
      <c r="N2482" s="274"/>
      <c r="O2482" s="94"/>
      <c r="P2482" s="94"/>
      <c r="Q2482" s="94"/>
      <c r="R2482" s="94"/>
      <c r="S2482" s="94"/>
      <c r="V2482" s="30"/>
      <c r="W2482" s="30"/>
      <c r="X2482" s="1"/>
      <c r="Y2482" s="95"/>
      <c r="Z2482" s="1"/>
      <c r="AA2482" s="94"/>
      <c r="AB2482" s="1"/>
      <c r="AC2482" s="1"/>
      <c r="AD2482" s="1"/>
      <c r="AE2482" s="30"/>
      <c r="AF2482" s="633"/>
      <c r="AG2482" s="94"/>
      <c r="AH2482" s="94"/>
      <c r="AI2482" s="94"/>
      <c r="AJ2482" s="94"/>
      <c r="AK2482" s="94"/>
      <c r="AL2482" s="94"/>
    </row>
    <row r="2483" spans="3:38">
      <c r="C2483" s="30"/>
      <c r="F2483" s="95"/>
      <c r="G2483" s="1"/>
      <c r="H2483" s="94"/>
      <c r="I2483" s="90"/>
      <c r="J2483" s="90"/>
      <c r="K2483" s="1"/>
      <c r="L2483" s="74"/>
      <c r="M2483" s="633"/>
      <c r="N2483" s="274"/>
      <c r="O2483" s="94"/>
      <c r="P2483" s="94"/>
      <c r="Q2483" s="94"/>
      <c r="R2483" s="94"/>
      <c r="S2483" s="94"/>
      <c r="V2483" s="30"/>
      <c r="W2483" s="30"/>
      <c r="X2483" s="1"/>
      <c r="Y2483" s="95"/>
      <c r="Z2483" s="1"/>
      <c r="AA2483" s="94"/>
      <c r="AB2483" s="1"/>
      <c r="AC2483" s="1"/>
      <c r="AD2483" s="1"/>
      <c r="AE2483" s="30"/>
      <c r="AF2483" s="633"/>
      <c r="AG2483" s="94"/>
      <c r="AH2483" s="94"/>
      <c r="AI2483" s="94"/>
      <c r="AJ2483" s="94"/>
      <c r="AK2483" s="94"/>
      <c r="AL2483" s="94"/>
    </row>
    <row r="2484" spans="3:38">
      <c r="C2484" s="30"/>
      <c r="F2484" s="95"/>
      <c r="G2484" s="1"/>
      <c r="H2484" s="94"/>
      <c r="I2484" s="90"/>
      <c r="J2484" s="90"/>
      <c r="K2484" s="1"/>
      <c r="L2484" s="74"/>
      <c r="M2484" s="633"/>
      <c r="N2484" s="274"/>
      <c r="O2484" s="94"/>
      <c r="P2484" s="94"/>
      <c r="Q2484" s="94"/>
      <c r="R2484" s="94"/>
      <c r="S2484" s="94"/>
      <c r="V2484" s="30"/>
      <c r="W2484" s="30"/>
      <c r="X2484" s="1"/>
      <c r="Y2484" s="95"/>
      <c r="Z2484" s="1"/>
      <c r="AA2484" s="94"/>
      <c r="AB2484" s="1"/>
      <c r="AC2484" s="1"/>
      <c r="AD2484" s="1"/>
      <c r="AE2484" s="30"/>
      <c r="AF2484" s="633"/>
      <c r="AG2484" s="94"/>
      <c r="AH2484" s="94"/>
      <c r="AI2484" s="94"/>
      <c r="AJ2484" s="94"/>
      <c r="AK2484" s="94"/>
      <c r="AL2484" s="94"/>
    </row>
    <row r="2485" spans="3:38">
      <c r="C2485" s="30"/>
      <c r="F2485" s="95"/>
      <c r="G2485" s="1"/>
      <c r="H2485" s="94"/>
      <c r="I2485" s="90"/>
      <c r="J2485" s="90"/>
      <c r="K2485" s="1"/>
      <c r="L2485" s="74"/>
      <c r="M2485" s="633"/>
      <c r="N2485" s="274"/>
      <c r="O2485" s="94"/>
      <c r="P2485" s="94"/>
      <c r="Q2485" s="94"/>
      <c r="R2485" s="94"/>
      <c r="S2485" s="94"/>
      <c r="V2485" s="30"/>
      <c r="W2485" s="30"/>
      <c r="X2485" s="1"/>
      <c r="Y2485" s="95"/>
      <c r="Z2485" s="1"/>
      <c r="AA2485" s="94"/>
      <c r="AB2485" s="1"/>
      <c r="AC2485" s="1"/>
      <c r="AD2485" s="1"/>
      <c r="AE2485" s="30"/>
      <c r="AF2485" s="633"/>
      <c r="AG2485" s="94"/>
      <c r="AH2485" s="94"/>
      <c r="AI2485" s="94"/>
      <c r="AJ2485" s="94"/>
      <c r="AK2485" s="94"/>
      <c r="AL2485" s="94"/>
    </row>
    <row r="2486" spans="3:38">
      <c r="C2486" s="30"/>
      <c r="F2486" s="95"/>
      <c r="G2486" s="1"/>
      <c r="H2486" s="94"/>
      <c r="I2486" s="90"/>
      <c r="J2486" s="90"/>
      <c r="K2486" s="1"/>
      <c r="L2486" s="74"/>
      <c r="M2486" s="633"/>
      <c r="N2486" s="274"/>
      <c r="O2486" s="94"/>
      <c r="P2486" s="94"/>
      <c r="Q2486" s="94"/>
      <c r="R2486" s="94"/>
      <c r="S2486" s="94"/>
      <c r="V2486" s="30"/>
      <c r="W2486" s="30"/>
      <c r="X2486" s="1"/>
      <c r="Y2486" s="95"/>
      <c r="Z2486" s="1"/>
      <c r="AA2486" s="94"/>
      <c r="AB2486" s="1"/>
      <c r="AC2486" s="1"/>
      <c r="AD2486" s="1"/>
      <c r="AE2486" s="30"/>
      <c r="AF2486" s="633"/>
      <c r="AG2486" s="94"/>
      <c r="AH2486" s="94"/>
      <c r="AI2486" s="94"/>
      <c r="AJ2486" s="94"/>
      <c r="AK2486" s="94"/>
      <c r="AL2486" s="94"/>
    </row>
    <row r="2487" spans="3:38">
      <c r="C2487" s="30"/>
      <c r="F2487" s="95"/>
      <c r="G2487" s="1"/>
      <c r="H2487" s="94"/>
      <c r="I2487" s="90"/>
      <c r="J2487" s="90"/>
      <c r="K2487" s="1"/>
      <c r="L2487" s="74"/>
      <c r="M2487" s="633"/>
      <c r="N2487" s="274"/>
      <c r="O2487" s="94"/>
      <c r="P2487" s="94"/>
      <c r="Q2487" s="94"/>
      <c r="R2487" s="94"/>
      <c r="S2487" s="94"/>
      <c r="V2487" s="30"/>
      <c r="W2487" s="30"/>
      <c r="X2487" s="1"/>
      <c r="Y2487" s="95"/>
      <c r="Z2487" s="1"/>
      <c r="AA2487" s="94"/>
      <c r="AB2487" s="1"/>
      <c r="AC2487" s="1"/>
      <c r="AD2487" s="1"/>
      <c r="AE2487" s="30"/>
      <c r="AF2487" s="633"/>
      <c r="AG2487" s="94"/>
      <c r="AH2487" s="94"/>
      <c r="AI2487" s="94"/>
      <c r="AJ2487" s="94"/>
      <c r="AK2487" s="94"/>
      <c r="AL2487" s="94"/>
    </row>
    <row r="2488" spans="3:38">
      <c r="C2488" s="30"/>
      <c r="F2488" s="95"/>
      <c r="G2488" s="1"/>
      <c r="H2488" s="94"/>
      <c r="I2488" s="90"/>
      <c r="J2488" s="90"/>
      <c r="K2488" s="1"/>
      <c r="L2488" s="74"/>
      <c r="M2488" s="633"/>
      <c r="N2488" s="274"/>
      <c r="O2488" s="94"/>
      <c r="P2488" s="94"/>
      <c r="Q2488" s="94"/>
      <c r="R2488" s="94"/>
      <c r="S2488" s="94"/>
      <c r="V2488" s="30"/>
      <c r="W2488" s="30"/>
      <c r="X2488" s="1"/>
      <c r="Y2488" s="95"/>
      <c r="Z2488" s="1"/>
      <c r="AA2488" s="94"/>
      <c r="AB2488" s="1"/>
      <c r="AC2488" s="1"/>
      <c r="AD2488" s="1"/>
      <c r="AE2488" s="30"/>
      <c r="AF2488" s="633"/>
      <c r="AG2488" s="94"/>
      <c r="AH2488" s="94"/>
      <c r="AI2488" s="94"/>
      <c r="AJ2488" s="94"/>
      <c r="AK2488" s="94"/>
      <c r="AL2488" s="94"/>
    </row>
    <row r="2489" spans="3:38">
      <c r="C2489" s="30"/>
      <c r="F2489" s="95"/>
      <c r="G2489" s="1"/>
      <c r="H2489" s="94"/>
      <c r="I2489" s="90"/>
      <c r="J2489" s="90"/>
      <c r="K2489" s="1"/>
      <c r="L2489" s="74"/>
      <c r="M2489" s="633"/>
      <c r="N2489" s="274"/>
      <c r="O2489" s="94"/>
      <c r="P2489" s="94"/>
      <c r="Q2489" s="94"/>
      <c r="R2489" s="94"/>
      <c r="S2489" s="94"/>
      <c r="V2489" s="30"/>
      <c r="W2489" s="30"/>
      <c r="X2489" s="1"/>
      <c r="Y2489" s="95"/>
      <c r="Z2489" s="1"/>
      <c r="AA2489" s="94"/>
      <c r="AB2489" s="1"/>
      <c r="AC2489" s="1"/>
      <c r="AD2489" s="1"/>
      <c r="AE2489" s="30"/>
      <c r="AF2489" s="633"/>
      <c r="AG2489" s="94"/>
      <c r="AH2489" s="94"/>
      <c r="AI2489" s="94"/>
      <c r="AJ2489" s="94"/>
      <c r="AK2489" s="94"/>
      <c r="AL2489" s="94"/>
    </row>
    <row r="2490" spans="3:38">
      <c r="C2490" s="30"/>
      <c r="F2490" s="95"/>
      <c r="G2490" s="1"/>
      <c r="H2490" s="94"/>
      <c r="I2490" s="90"/>
      <c r="J2490" s="90"/>
      <c r="K2490" s="1"/>
      <c r="L2490" s="74"/>
      <c r="M2490" s="633"/>
      <c r="N2490" s="274"/>
      <c r="O2490" s="94"/>
      <c r="P2490" s="94"/>
      <c r="Q2490" s="94"/>
      <c r="R2490" s="94"/>
      <c r="S2490" s="94"/>
      <c r="V2490" s="30"/>
      <c r="W2490" s="30"/>
      <c r="X2490" s="1"/>
      <c r="Y2490" s="95"/>
      <c r="Z2490" s="1"/>
      <c r="AA2490" s="94"/>
      <c r="AB2490" s="1"/>
      <c r="AC2490" s="1"/>
      <c r="AD2490" s="1"/>
      <c r="AE2490" s="30"/>
      <c r="AF2490" s="633"/>
      <c r="AG2490" s="94"/>
      <c r="AH2490" s="94"/>
      <c r="AI2490" s="94"/>
      <c r="AJ2490" s="94"/>
      <c r="AK2490" s="94"/>
      <c r="AL2490" s="94"/>
    </row>
    <row r="2491" spans="3:38">
      <c r="C2491" s="30"/>
      <c r="F2491" s="95"/>
      <c r="G2491" s="1"/>
      <c r="H2491" s="94"/>
      <c r="I2491" s="90"/>
      <c r="J2491" s="90"/>
      <c r="K2491" s="1"/>
      <c r="L2491" s="74"/>
      <c r="M2491" s="633"/>
      <c r="N2491" s="274"/>
      <c r="O2491" s="94"/>
      <c r="P2491" s="94"/>
      <c r="Q2491" s="94"/>
      <c r="R2491" s="94"/>
      <c r="S2491" s="94"/>
      <c r="V2491" s="30"/>
      <c r="W2491" s="30"/>
      <c r="X2491" s="1"/>
      <c r="Y2491" s="95"/>
      <c r="Z2491" s="1"/>
      <c r="AA2491" s="94"/>
      <c r="AB2491" s="1"/>
      <c r="AC2491" s="1"/>
      <c r="AD2491" s="1"/>
      <c r="AE2491" s="30"/>
      <c r="AF2491" s="633"/>
      <c r="AG2491" s="94"/>
      <c r="AH2491" s="94"/>
      <c r="AI2491" s="94"/>
      <c r="AJ2491" s="94"/>
      <c r="AK2491" s="94"/>
      <c r="AL2491" s="94"/>
    </row>
    <row r="2492" spans="3:38">
      <c r="C2492" s="30"/>
      <c r="F2492" s="95"/>
      <c r="G2492" s="1"/>
      <c r="H2492" s="94"/>
      <c r="I2492" s="90"/>
      <c r="J2492" s="90"/>
      <c r="K2492" s="1"/>
      <c r="L2492" s="74"/>
      <c r="M2492" s="633"/>
      <c r="N2492" s="274"/>
      <c r="O2492" s="94"/>
      <c r="P2492" s="94"/>
      <c r="Q2492" s="94"/>
      <c r="R2492" s="94"/>
      <c r="S2492" s="94"/>
      <c r="V2492" s="30"/>
      <c r="W2492" s="30"/>
      <c r="X2492" s="1"/>
      <c r="Y2492" s="95"/>
      <c r="Z2492" s="1"/>
      <c r="AA2492" s="94"/>
      <c r="AB2492" s="1"/>
      <c r="AC2492" s="1"/>
      <c r="AD2492" s="1"/>
      <c r="AE2492" s="30"/>
      <c r="AF2492" s="633"/>
      <c r="AG2492" s="94"/>
      <c r="AH2492" s="94"/>
      <c r="AI2492" s="94"/>
      <c r="AJ2492" s="94"/>
      <c r="AK2492" s="94"/>
      <c r="AL2492" s="94"/>
    </row>
    <row r="2493" spans="3:38">
      <c r="C2493" s="30"/>
      <c r="F2493" s="95"/>
      <c r="G2493" s="1"/>
      <c r="H2493" s="94"/>
      <c r="I2493" s="90"/>
      <c r="J2493" s="90"/>
      <c r="K2493" s="1"/>
      <c r="L2493" s="74"/>
      <c r="M2493" s="633"/>
      <c r="N2493" s="274"/>
      <c r="O2493" s="94"/>
      <c r="P2493" s="94"/>
      <c r="Q2493" s="94"/>
      <c r="R2493" s="94"/>
      <c r="S2493" s="94"/>
      <c r="V2493" s="30"/>
      <c r="W2493" s="30"/>
      <c r="X2493" s="1"/>
      <c r="Y2493" s="95"/>
      <c r="Z2493" s="1"/>
      <c r="AA2493" s="94"/>
      <c r="AB2493" s="1"/>
      <c r="AC2493" s="1"/>
      <c r="AD2493" s="1"/>
      <c r="AE2493" s="30"/>
      <c r="AF2493" s="633"/>
      <c r="AG2493" s="94"/>
      <c r="AH2493" s="94"/>
      <c r="AI2493" s="94"/>
      <c r="AJ2493" s="94"/>
      <c r="AK2493" s="94"/>
      <c r="AL2493" s="94"/>
    </row>
    <row r="2494" spans="3:38">
      <c r="C2494" s="30"/>
      <c r="F2494" s="95"/>
      <c r="G2494" s="1"/>
      <c r="H2494" s="94"/>
      <c r="I2494" s="90"/>
      <c r="J2494" s="90"/>
      <c r="K2494" s="1"/>
      <c r="L2494" s="74"/>
      <c r="M2494" s="633"/>
      <c r="N2494" s="274"/>
      <c r="O2494" s="94"/>
      <c r="P2494" s="94"/>
      <c r="Q2494" s="94"/>
      <c r="R2494" s="94"/>
      <c r="S2494" s="94"/>
      <c r="V2494" s="30"/>
      <c r="W2494" s="30"/>
      <c r="X2494" s="1"/>
      <c r="Y2494" s="95"/>
      <c r="Z2494" s="1"/>
      <c r="AA2494" s="94"/>
      <c r="AB2494" s="1"/>
      <c r="AC2494" s="1"/>
      <c r="AD2494" s="1"/>
      <c r="AE2494" s="30"/>
      <c r="AF2494" s="633"/>
      <c r="AG2494" s="94"/>
      <c r="AH2494" s="94"/>
      <c r="AI2494" s="94"/>
      <c r="AJ2494" s="94"/>
      <c r="AK2494" s="94"/>
      <c r="AL2494" s="94"/>
    </row>
    <row r="2495" spans="3:38">
      <c r="C2495" s="30"/>
      <c r="F2495" s="95"/>
      <c r="G2495" s="1"/>
      <c r="H2495" s="94"/>
      <c r="I2495" s="90"/>
      <c r="J2495" s="90"/>
      <c r="K2495" s="1"/>
      <c r="L2495" s="74"/>
      <c r="M2495" s="633"/>
      <c r="N2495" s="274"/>
      <c r="O2495" s="94"/>
      <c r="P2495" s="94"/>
      <c r="Q2495" s="94"/>
      <c r="R2495" s="94"/>
      <c r="S2495" s="94"/>
      <c r="V2495" s="30"/>
      <c r="W2495" s="30"/>
      <c r="X2495" s="1"/>
      <c r="Y2495" s="95"/>
      <c r="Z2495" s="1"/>
      <c r="AA2495" s="94"/>
      <c r="AB2495" s="1"/>
      <c r="AC2495" s="1"/>
      <c r="AD2495" s="1"/>
      <c r="AE2495" s="30"/>
      <c r="AF2495" s="633"/>
      <c r="AG2495" s="94"/>
      <c r="AH2495" s="94"/>
      <c r="AI2495" s="94"/>
      <c r="AJ2495" s="94"/>
      <c r="AK2495" s="94"/>
      <c r="AL2495" s="94"/>
    </row>
    <row r="2496" spans="3:38">
      <c r="C2496" s="30"/>
      <c r="F2496" s="95"/>
      <c r="G2496" s="1"/>
      <c r="H2496" s="94"/>
      <c r="I2496" s="90"/>
      <c r="J2496" s="90"/>
      <c r="K2496" s="1"/>
      <c r="L2496" s="74"/>
      <c r="M2496" s="633"/>
      <c r="N2496" s="274"/>
      <c r="O2496" s="94"/>
      <c r="P2496" s="94"/>
      <c r="Q2496" s="94"/>
      <c r="R2496" s="94"/>
      <c r="S2496" s="94"/>
      <c r="V2496" s="30"/>
      <c r="W2496" s="30"/>
      <c r="X2496" s="1"/>
      <c r="Y2496" s="95"/>
      <c r="Z2496" s="1"/>
      <c r="AA2496" s="94"/>
      <c r="AB2496" s="1"/>
      <c r="AC2496" s="1"/>
      <c r="AD2496" s="1"/>
      <c r="AE2496" s="30"/>
      <c r="AF2496" s="633"/>
      <c r="AG2496" s="94"/>
      <c r="AH2496" s="94"/>
      <c r="AI2496" s="94"/>
      <c r="AJ2496" s="94"/>
      <c r="AK2496" s="94"/>
      <c r="AL2496" s="94"/>
    </row>
    <row r="2497" spans="3:38">
      <c r="C2497" s="30"/>
      <c r="F2497" s="95"/>
      <c r="G2497" s="1"/>
      <c r="H2497" s="94"/>
      <c r="I2497" s="90"/>
      <c r="J2497" s="90"/>
      <c r="K2497" s="1"/>
      <c r="L2497" s="74"/>
      <c r="M2497" s="633"/>
      <c r="N2497" s="274"/>
      <c r="O2497" s="94"/>
      <c r="P2497" s="94"/>
      <c r="Q2497" s="94"/>
      <c r="R2497" s="94"/>
      <c r="S2497" s="94"/>
      <c r="V2497" s="30"/>
      <c r="W2497" s="30"/>
      <c r="X2497" s="1"/>
      <c r="Y2497" s="95"/>
      <c r="Z2497" s="1"/>
      <c r="AA2497" s="94"/>
      <c r="AB2497" s="1"/>
      <c r="AC2497" s="1"/>
      <c r="AD2497" s="1"/>
      <c r="AE2497" s="30"/>
      <c r="AF2497" s="633"/>
      <c r="AG2497" s="94"/>
      <c r="AH2497" s="94"/>
      <c r="AI2497" s="94"/>
      <c r="AJ2497" s="94"/>
      <c r="AK2497" s="94"/>
      <c r="AL2497" s="94"/>
    </row>
    <row r="2498" spans="3:38">
      <c r="C2498" s="30"/>
      <c r="F2498" s="95"/>
      <c r="G2498" s="1"/>
      <c r="H2498" s="94"/>
      <c r="I2498" s="90"/>
      <c r="J2498" s="90"/>
      <c r="K2498" s="1"/>
      <c r="L2498" s="74"/>
      <c r="M2498" s="633"/>
      <c r="N2498" s="274"/>
      <c r="O2498" s="94"/>
      <c r="P2498" s="94"/>
      <c r="Q2498" s="94"/>
      <c r="R2498" s="94"/>
      <c r="S2498" s="94"/>
      <c r="V2498" s="30"/>
      <c r="W2498" s="30"/>
      <c r="X2498" s="1"/>
      <c r="Y2498" s="95"/>
      <c r="Z2498" s="1"/>
      <c r="AA2498" s="94"/>
      <c r="AB2498" s="1"/>
      <c r="AC2498" s="1"/>
      <c r="AD2498" s="1"/>
      <c r="AE2498" s="30"/>
      <c r="AF2498" s="633"/>
      <c r="AG2498" s="94"/>
      <c r="AH2498" s="94"/>
      <c r="AI2498" s="94"/>
      <c r="AJ2498" s="94"/>
      <c r="AK2498" s="94"/>
      <c r="AL2498" s="94"/>
    </row>
    <row r="2499" spans="3:38">
      <c r="C2499" s="30"/>
      <c r="F2499" s="95"/>
      <c r="G2499" s="1"/>
      <c r="H2499" s="94"/>
      <c r="I2499" s="90"/>
      <c r="J2499" s="90"/>
      <c r="K2499" s="1"/>
      <c r="L2499" s="74"/>
      <c r="M2499" s="633"/>
      <c r="N2499" s="274"/>
      <c r="O2499" s="94"/>
      <c r="P2499" s="94"/>
      <c r="Q2499" s="94"/>
      <c r="R2499" s="94"/>
      <c r="S2499" s="94"/>
      <c r="V2499" s="30"/>
      <c r="W2499" s="30"/>
      <c r="X2499" s="1"/>
      <c r="Y2499" s="95"/>
      <c r="Z2499" s="1"/>
      <c r="AA2499" s="94"/>
      <c r="AB2499" s="1"/>
      <c r="AC2499" s="1"/>
      <c r="AD2499" s="1"/>
      <c r="AE2499" s="30"/>
      <c r="AF2499" s="633"/>
      <c r="AG2499" s="94"/>
      <c r="AH2499" s="94"/>
      <c r="AI2499" s="94"/>
      <c r="AJ2499" s="94"/>
      <c r="AK2499" s="94"/>
      <c r="AL2499" s="94"/>
    </row>
    <row r="2500" spans="3:38">
      <c r="C2500" s="30"/>
      <c r="F2500" s="95"/>
      <c r="G2500" s="1"/>
      <c r="H2500" s="94"/>
      <c r="I2500" s="90"/>
      <c r="J2500" s="90"/>
      <c r="K2500" s="1"/>
      <c r="L2500" s="74"/>
      <c r="M2500" s="633"/>
      <c r="N2500" s="274"/>
      <c r="O2500" s="94"/>
      <c r="P2500" s="94"/>
      <c r="Q2500" s="94"/>
      <c r="R2500" s="94"/>
      <c r="S2500" s="94"/>
      <c r="V2500" s="30"/>
      <c r="W2500" s="30"/>
      <c r="X2500" s="1"/>
      <c r="Y2500" s="95"/>
      <c r="Z2500" s="1"/>
      <c r="AA2500" s="94"/>
      <c r="AB2500" s="1"/>
      <c r="AC2500" s="1"/>
      <c r="AD2500" s="1"/>
      <c r="AE2500" s="30"/>
      <c r="AF2500" s="633"/>
      <c r="AG2500" s="94"/>
      <c r="AH2500" s="94"/>
      <c r="AI2500" s="94"/>
      <c r="AJ2500" s="94"/>
      <c r="AK2500" s="94"/>
      <c r="AL2500" s="94"/>
    </row>
    <row r="2501" spans="3:38">
      <c r="C2501" s="30"/>
      <c r="F2501" s="95"/>
      <c r="G2501" s="1"/>
      <c r="H2501" s="94"/>
      <c r="I2501" s="90"/>
      <c r="J2501" s="90"/>
      <c r="K2501" s="1"/>
      <c r="L2501" s="74"/>
      <c r="M2501" s="633"/>
      <c r="N2501" s="274"/>
      <c r="O2501" s="94"/>
      <c r="P2501" s="94"/>
      <c r="Q2501" s="94"/>
      <c r="R2501" s="94"/>
      <c r="S2501" s="94"/>
      <c r="V2501" s="30"/>
      <c r="W2501" s="30"/>
      <c r="X2501" s="1"/>
      <c r="Y2501" s="95"/>
      <c r="Z2501" s="1"/>
      <c r="AA2501" s="94"/>
      <c r="AB2501" s="1"/>
      <c r="AC2501" s="1"/>
      <c r="AD2501" s="1"/>
      <c r="AE2501" s="30"/>
      <c r="AF2501" s="633"/>
      <c r="AG2501" s="94"/>
      <c r="AH2501" s="94"/>
      <c r="AI2501" s="94"/>
      <c r="AJ2501" s="94"/>
      <c r="AK2501" s="94"/>
      <c r="AL2501" s="94"/>
    </row>
    <row r="2502" spans="3:38">
      <c r="C2502" s="30"/>
      <c r="F2502" s="95"/>
      <c r="G2502" s="1"/>
      <c r="H2502" s="94"/>
      <c r="I2502" s="90"/>
      <c r="J2502" s="90"/>
      <c r="K2502" s="1"/>
      <c r="L2502" s="74"/>
      <c r="M2502" s="633"/>
      <c r="N2502" s="274"/>
      <c r="O2502" s="94"/>
      <c r="P2502" s="94"/>
      <c r="Q2502" s="94"/>
      <c r="R2502" s="94"/>
      <c r="S2502" s="94"/>
      <c r="V2502" s="30"/>
      <c r="W2502" s="30"/>
      <c r="X2502" s="1"/>
      <c r="Y2502" s="95"/>
      <c r="Z2502" s="1"/>
      <c r="AA2502" s="94"/>
      <c r="AB2502" s="1"/>
      <c r="AC2502" s="1"/>
      <c r="AD2502" s="1"/>
      <c r="AE2502" s="30"/>
      <c r="AF2502" s="633"/>
      <c r="AG2502" s="94"/>
      <c r="AH2502" s="94"/>
      <c r="AI2502" s="94"/>
      <c r="AJ2502" s="94"/>
      <c r="AK2502" s="94"/>
      <c r="AL2502" s="94"/>
    </row>
    <row r="2503" spans="3:38">
      <c r="C2503" s="30"/>
      <c r="F2503" s="95"/>
      <c r="G2503" s="1"/>
      <c r="H2503" s="94"/>
      <c r="I2503" s="90"/>
      <c r="J2503" s="90"/>
      <c r="K2503" s="1"/>
      <c r="L2503" s="74"/>
      <c r="M2503" s="633"/>
      <c r="N2503" s="274"/>
      <c r="O2503" s="94"/>
      <c r="P2503" s="94"/>
      <c r="Q2503" s="94"/>
      <c r="R2503" s="94"/>
      <c r="S2503" s="94"/>
      <c r="V2503" s="30"/>
      <c r="W2503" s="30"/>
      <c r="X2503" s="1"/>
      <c r="Y2503" s="95"/>
      <c r="Z2503" s="1"/>
      <c r="AA2503" s="94"/>
      <c r="AB2503" s="1"/>
      <c r="AC2503" s="1"/>
      <c r="AD2503" s="1"/>
      <c r="AE2503" s="30"/>
      <c r="AF2503" s="633"/>
      <c r="AG2503" s="94"/>
      <c r="AH2503" s="94"/>
      <c r="AI2503" s="94"/>
      <c r="AJ2503" s="94"/>
      <c r="AK2503" s="94"/>
      <c r="AL2503" s="94"/>
    </row>
    <row r="2504" spans="3:38">
      <c r="C2504" s="30"/>
      <c r="F2504" s="95"/>
      <c r="G2504" s="1"/>
      <c r="H2504" s="94"/>
      <c r="I2504" s="90"/>
      <c r="J2504" s="90"/>
      <c r="K2504" s="1"/>
      <c r="L2504" s="74"/>
      <c r="M2504" s="633"/>
      <c r="N2504" s="274"/>
      <c r="O2504" s="94"/>
      <c r="P2504" s="94"/>
      <c r="Q2504" s="94"/>
      <c r="R2504" s="94"/>
      <c r="S2504" s="94"/>
      <c r="V2504" s="30"/>
      <c r="W2504" s="30"/>
      <c r="X2504" s="1"/>
      <c r="Y2504" s="95"/>
      <c r="Z2504" s="1"/>
      <c r="AA2504" s="94"/>
      <c r="AB2504" s="1"/>
      <c r="AC2504" s="1"/>
      <c r="AD2504" s="1"/>
      <c r="AE2504" s="30"/>
      <c r="AF2504" s="633"/>
      <c r="AG2504" s="94"/>
      <c r="AH2504" s="94"/>
      <c r="AI2504" s="94"/>
      <c r="AJ2504" s="94"/>
      <c r="AK2504" s="94"/>
      <c r="AL2504" s="94"/>
    </row>
    <row r="2505" spans="3:38">
      <c r="C2505" s="30"/>
      <c r="F2505" s="95"/>
      <c r="G2505" s="1"/>
      <c r="H2505" s="94"/>
      <c r="I2505" s="90"/>
      <c r="J2505" s="90"/>
      <c r="K2505" s="1"/>
      <c r="L2505" s="74"/>
      <c r="M2505" s="633"/>
      <c r="N2505" s="274"/>
      <c r="O2505" s="94"/>
      <c r="P2505" s="94"/>
      <c r="Q2505" s="94"/>
      <c r="R2505" s="94"/>
      <c r="S2505" s="94"/>
      <c r="V2505" s="30"/>
      <c r="W2505" s="30"/>
      <c r="X2505" s="1"/>
      <c r="Y2505" s="95"/>
      <c r="Z2505" s="1"/>
      <c r="AA2505" s="94"/>
      <c r="AB2505" s="1"/>
      <c r="AC2505" s="1"/>
      <c r="AD2505" s="1"/>
      <c r="AE2505" s="30"/>
      <c r="AF2505" s="633"/>
      <c r="AG2505" s="94"/>
      <c r="AH2505" s="94"/>
      <c r="AI2505" s="94"/>
      <c r="AJ2505" s="94"/>
      <c r="AK2505" s="94"/>
      <c r="AL2505" s="94"/>
    </row>
    <row r="2506" spans="3:38">
      <c r="C2506" s="30"/>
      <c r="F2506" s="95"/>
      <c r="G2506" s="1"/>
      <c r="H2506" s="94"/>
      <c r="I2506" s="90"/>
      <c r="J2506" s="90"/>
      <c r="K2506" s="1"/>
      <c r="L2506" s="74"/>
      <c r="M2506" s="633"/>
      <c r="N2506" s="274"/>
      <c r="O2506" s="94"/>
      <c r="P2506" s="94"/>
      <c r="Q2506" s="94"/>
      <c r="R2506" s="94"/>
      <c r="S2506" s="94"/>
      <c r="V2506" s="30"/>
      <c r="W2506" s="30"/>
      <c r="X2506" s="1"/>
      <c r="Y2506" s="95"/>
      <c r="Z2506" s="1"/>
      <c r="AA2506" s="94"/>
      <c r="AB2506" s="1"/>
      <c r="AC2506" s="1"/>
      <c r="AD2506" s="1"/>
      <c r="AE2506" s="30"/>
      <c r="AF2506" s="633"/>
      <c r="AG2506" s="94"/>
      <c r="AH2506" s="94"/>
      <c r="AI2506" s="94"/>
      <c r="AJ2506" s="94"/>
      <c r="AK2506" s="94"/>
      <c r="AL2506" s="94"/>
    </row>
    <row r="2507" spans="3:38">
      <c r="C2507" s="30"/>
      <c r="F2507" s="95"/>
      <c r="G2507" s="1"/>
      <c r="H2507" s="94"/>
      <c r="I2507" s="90"/>
      <c r="J2507" s="90"/>
      <c r="K2507" s="1"/>
      <c r="L2507" s="74"/>
      <c r="M2507" s="633"/>
      <c r="N2507" s="274"/>
      <c r="O2507" s="94"/>
      <c r="P2507" s="94"/>
      <c r="Q2507" s="94"/>
      <c r="R2507" s="94"/>
      <c r="S2507" s="94"/>
      <c r="V2507" s="30"/>
      <c r="W2507" s="30"/>
      <c r="X2507" s="1"/>
      <c r="Y2507" s="95"/>
      <c r="Z2507" s="1"/>
      <c r="AA2507" s="94"/>
      <c r="AB2507" s="1"/>
      <c r="AC2507" s="1"/>
      <c r="AD2507" s="1"/>
      <c r="AE2507" s="30"/>
      <c r="AF2507" s="633"/>
      <c r="AG2507" s="94"/>
      <c r="AH2507" s="94"/>
      <c r="AI2507" s="94"/>
      <c r="AJ2507" s="94"/>
      <c r="AK2507" s="94"/>
      <c r="AL2507" s="94"/>
    </row>
    <row r="2508" spans="3:38">
      <c r="C2508" s="30"/>
      <c r="F2508" s="95"/>
      <c r="G2508" s="1"/>
      <c r="H2508" s="94"/>
      <c r="I2508" s="90"/>
      <c r="J2508" s="90"/>
      <c r="K2508" s="1"/>
      <c r="L2508" s="74"/>
      <c r="M2508" s="633"/>
      <c r="N2508" s="274"/>
      <c r="O2508" s="94"/>
      <c r="P2508" s="94"/>
      <c r="Q2508" s="94"/>
      <c r="R2508" s="94"/>
      <c r="S2508" s="94"/>
      <c r="V2508" s="30"/>
      <c r="W2508" s="30"/>
      <c r="X2508" s="1"/>
      <c r="Y2508" s="95"/>
      <c r="Z2508" s="1"/>
      <c r="AA2508" s="94"/>
      <c r="AB2508" s="1"/>
      <c r="AC2508" s="1"/>
      <c r="AD2508" s="1"/>
      <c r="AE2508" s="30"/>
      <c r="AF2508" s="633"/>
      <c r="AG2508" s="94"/>
      <c r="AH2508" s="94"/>
      <c r="AI2508" s="94"/>
      <c r="AJ2508" s="94"/>
      <c r="AK2508" s="94"/>
      <c r="AL2508" s="94"/>
    </row>
    <row r="2509" spans="3:38">
      <c r="C2509" s="30"/>
      <c r="F2509" s="95"/>
      <c r="G2509" s="1"/>
      <c r="H2509" s="94"/>
      <c r="I2509" s="90"/>
      <c r="J2509" s="90"/>
      <c r="K2509" s="1"/>
      <c r="L2509" s="74"/>
      <c r="M2509" s="633"/>
      <c r="N2509" s="274"/>
      <c r="O2509" s="94"/>
      <c r="P2509" s="94"/>
      <c r="Q2509" s="94"/>
      <c r="R2509" s="94"/>
      <c r="S2509" s="94"/>
      <c r="V2509" s="30"/>
      <c r="W2509" s="30"/>
      <c r="X2509" s="1"/>
      <c r="Y2509" s="95"/>
      <c r="Z2509" s="1"/>
      <c r="AA2509" s="94"/>
      <c r="AB2509" s="1"/>
      <c r="AC2509" s="1"/>
      <c r="AD2509" s="1"/>
      <c r="AE2509" s="30"/>
      <c r="AF2509" s="633"/>
      <c r="AG2509" s="94"/>
      <c r="AH2509" s="94"/>
      <c r="AI2509" s="94"/>
      <c r="AJ2509" s="94"/>
      <c r="AK2509" s="94"/>
      <c r="AL2509" s="94"/>
    </row>
    <row r="2510" spans="3:38">
      <c r="C2510" s="30"/>
      <c r="F2510" s="95"/>
      <c r="G2510" s="1"/>
      <c r="H2510" s="94"/>
      <c r="I2510" s="90"/>
      <c r="J2510" s="90"/>
      <c r="K2510" s="1"/>
      <c r="L2510" s="74"/>
      <c r="M2510" s="633"/>
      <c r="N2510" s="274"/>
      <c r="O2510" s="94"/>
      <c r="P2510" s="94"/>
      <c r="Q2510" s="94"/>
      <c r="R2510" s="94"/>
      <c r="S2510" s="94"/>
      <c r="V2510" s="30"/>
      <c r="W2510" s="30"/>
      <c r="X2510" s="1"/>
      <c r="Y2510" s="95"/>
      <c r="Z2510" s="1"/>
      <c r="AA2510" s="94"/>
      <c r="AB2510" s="1"/>
      <c r="AC2510" s="1"/>
      <c r="AD2510" s="1"/>
      <c r="AE2510" s="30"/>
      <c r="AF2510" s="633"/>
      <c r="AG2510" s="94"/>
      <c r="AH2510" s="94"/>
      <c r="AI2510" s="94"/>
      <c r="AJ2510" s="94"/>
      <c r="AK2510" s="94"/>
      <c r="AL2510" s="94"/>
    </row>
    <row r="2511" spans="3:38">
      <c r="C2511" s="30"/>
      <c r="F2511" s="95"/>
      <c r="G2511" s="1"/>
      <c r="H2511" s="94"/>
      <c r="I2511" s="90"/>
      <c r="J2511" s="90"/>
      <c r="K2511" s="1"/>
      <c r="L2511" s="74"/>
      <c r="M2511" s="633"/>
      <c r="N2511" s="274"/>
      <c r="O2511" s="94"/>
      <c r="P2511" s="94"/>
      <c r="Q2511" s="94"/>
      <c r="R2511" s="94"/>
      <c r="S2511" s="94"/>
      <c r="V2511" s="30"/>
      <c r="W2511" s="30"/>
      <c r="X2511" s="1"/>
      <c r="Y2511" s="95"/>
      <c r="Z2511" s="1"/>
      <c r="AA2511" s="94"/>
      <c r="AB2511" s="1"/>
      <c r="AC2511" s="1"/>
      <c r="AD2511" s="1"/>
      <c r="AE2511" s="30"/>
      <c r="AF2511" s="633"/>
      <c r="AG2511" s="94"/>
      <c r="AH2511" s="94"/>
      <c r="AI2511" s="94"/>
      <c r="AJ2511" s="94"/>
      <c r="AK2511" s="94"/>
      <c r="AL2511" s="94"/>
    </row>
    <row r="2512" spans="3:38">
      <c r="C2512" s="30"/>
      <c r="F2512" s="95"/>
      <c r="G2512" s="1"/>
      <c r="H2512" s="94"/>
      <c r="I2512" s="90"/>
      <c r="J2512" s="90"/>
      <c r="K2512" s="1"/>
      <c r="L2512" s="74"/>
      <c r="M2512" s="633"/>
      <c r="N2512" s="274"/>
      <c r="O2512" s="94"/>
      <c r="P2512" s="94"/>
      <c r="Q2512" s="94"/>
      <c r="R2512" s="94"/>
      <c r="S2512" s="94"/>
      <c r="V2512" s="30"/>
      <c r="W2512" s="30"/>
      <c r="X2512" s="1"/>
      <c r="Y2512" s="95"/>
      <c r="Z2512" s="1"/>
      <c r="AA2512" s="94"/>
      <c r="AB2512" s="1"/>
      <c r="AC2512" s="1"/>
      <c r="AD2512" s="1"/>
      <c r="AE2512" s="30"/>
      <c r="AF2512" s="633"/>
      <c r="AG2512" s="94"/>
      <c r="AH2512" s="94"/>
      <c r="AI2512" s="94"/>
      <c r="AJ2512" s="94"/>
      <c r="AK2512" s="94"/>
      <c r="AL2512" s="94"/>
    </row>
    <row r="2513" spans="3:38">
      <c r="C2513" s="30"/>
      <c r="F2513" s="95"/>
      <c r="G2513" s="1"/>
      <c r="H2513" s="94"/>
      <c r="I2513" s="90"/>
      <c r="J2513" s="90"/>
      <c r="K2513" s="1"/>
      <c r="L2513" s="74"/>
      <c r="M2513" s="633"/>
      <c r="N2513" s="274"/>
      <c r="O2513" s="94"/>
      <c r="P2513" s="94"/>
      <c r="Q2513" s="94"/>
      <c r="R2513" s="94"/>
      <c r="S2513" s="94"/>
      <c r="V2513" s="30"/>
      <c r="W2513" s="30"/>
      <c r="X2513" s="1"/>
      <c r="Y2513" s="95"/>
      <c r="Z2513" s="1"/>
      <c r="AA2513" s="94"/>
      <c r="AB2513" s="1"/>
      <c r="AC2513" s="1"/>
      <c r="AD2513" s="1"/>
      <c r="AE2513" s="30"/>
      <c r="AF2513" s="633"/>
      <c r="AG2513" s="94"/>
      <c r="AH2513" s="94"/>
      <c r="AI2513" s="94"/>
      <c r="AJ2513" s="94"/>
      <c r="AK2513" s="94"/>
      <c r="AL2513" s="94"/>
    </row>
    <row r="2514" spans="3:38">
      <c r="C2514" s="30"/>
      <c r="F2514" s="95"/>
      <c r="G2514" s="1"/>
      <c r="H2514" s="94"/>
      <c r="I2514" s="90"/>
      <c r="J2514" s="90"/>
      <c r="K2514" s="1"/>
      <c r="L2514" s="74"/>
      <c r="M2514" s="633"/>
      <c r="N2514" s="274"/>
      <c r="O2514" s="94"/>
      <c r="P2514" s="94"/>
      <c r="Q2514" s="94"/>
      <c r="R2514" s="94"/>
      <c r="S2514" s="94"/>
      <c r="V2514" s="30"/>
      <c r="W2514" s="30"/>
      <c r="X2514" s="1"/>
      <c r="Y2514" s="95"/>
      <c r="Z2514" s="1"/>
      <c r="AA2514" s="94"/>
      <c r="AB2514" s="1"/>
      <c r="AC2514" s="1"/>
      <c r="AD2514" s="1"/>
      <c r="AE2514" s="30"/>
      <c r="AF2514" s="633"/>
      <c r="AG2514" s="94"/>
      <c r="AH2514" s="94"/>
      <c r="AI2514" s="94"/>
      <c r="AJ2514" s="94"/>
      <c r="AK2514" s="94"/>
      <c r="AL2514" s="94"/>
    </row>
    <row r="2515" spans="3:38">
      <c r="C2515" s="30"/>
      <c r="F2515" s="95"/>
      <c r="G2515" s="1"/>
      <c r="H2515" s="94"/>
      <c r="I2515" s="90"/>
      <c r="J2515" s="90"/>
      <c r="K2515" s="1"/>
      <c r="L2515" s="74"/>
      <c r="M2515" s="633"/>
      <c r="N2515" s="274"/>
      <c r="O2515" s="94"/>
      <c r="P2515" s="94"/>
      <c r="Q2515" s="94"/>
      <c r="R2515" s="94"/>
      <c r="S2515" s="94"/>
      <c r="V2515" s="30"/>
      <c r="W2515" s="30"/>
      <c r="X2515" s="1"/>
      <c r="Y2515" s="95"/>
      <c r="Z2515" s="1"/>
      <c r="AA2515" s="94"/>
      <c r="AB2515" s="1"/>
      <c r="AC2515" s="1"/>
      <c r="AD2515" s="1"/>
      <c r="AE2515" s="30"/>
      <c r="AF2515" s="633"/>
      <c r="AG2515" s="94"/>
      <c r="AH2515" s="94"/>
      <c r="AI2515" s="94"/>
      <c r="AJ2515" s="94"/>
      <c r="AK2515" s="94"/>
      <c r="AL2515" s="94"/>
    </row>
    <row r="2516" spans="3:38">
      <c r="C2516" s="30"/>
      <c r="F2516" s="95"/>
      <c r="G2516" s="1"/>
      <c r="H2516" s="94"/>
      <c r="I2516" s="90"/>
      <c r="J2516" s="90"/>
      <c r="K2516" s="1"/>
      <c r="L2516" s="74"/>
      <c r="M2516" s="633"/>
      <c r="N2516" s="274"/>
      <c r="O2516" s="94"/>
      <c r="P2516" s="94"/>
      <c r="Q2516" s="94"/>
      <c r="R2516" s="94"/>
      <c r="S2516" s="94"/>
      <c r="V2516" s="30"/>
      <c r="W2516" s="30"/>
      <c r="X2516" s="1"/>
      <c r="Y2516" s="95"/>
      <c r="Z2516" s="1"/>
      <c r="AA2516" s="94"/>
      <c r="AB2516" s="1"/>
      <c r="AC2516" s="1"/>
      <c r="AD2516" s="1"/>
      <c r="AE2516" s="30"/>
      <c r="AF2516" s="633"/>
      <c r="AG2516" s="94"/>
      <c r="AH2516" s="94"/>
      <c r="AI2516" s="94"/>
      <c r="AJ2516" s="94"/>
      <c r="AK2516" s="94"/>
      <c r="AL2516" s="94"/>
    </row>
    <row r="2517" spans="3:38">
      <c r="C2517" s="30"/>
      <c r="F2517" s="95"/>
      <c r="G2517" s="1"/>
      <c r="H2517" s="94"/>
      <c r="I2517" s="90"/>
      <c r="J2517" s="90"/>
      <c r="K2517" s="1"/>
      <c r="L2517" s="74"/>
      <c r="M2517" s="633"/>
      <c r="N2517" s="274"/>
      <c r="O2517" s="94"/>
      <c r="P2517" s="94"/>
      <c r="Q2517" s="94"/>
      <c r="R2517" s="94"/>
      <c r="S2517" s="94"/>
      <c r="V2517" s="30"/>
      <c r="W2517" s="30"/>
      <c r="X2517" s="1"/>
      <c r="Y2517" s="95"/>
      <c r="Z2517" s="1"/>
      <c r="AA2517" s="94"/>
      <c r="AB2517" s="1"/>
      <c r="AC2517" s="1"/>
      <c r="AD2517" s="1"/>
      <c r="AE2517" s="30"/>
      <c r="AF2517" s="633"/>
      <c r="AG2517" s="94"/>
      <c r="AH2517" s="94"/>
      <c r="AI2517" s="94"/>
      <c r="AJ2517" s="94"/>
      <c r="AK2517" s="94"/>
      <c r="AL2517" s="94"/>
    </row>
    <row r="2518" spans="3:38">
      <c r="C2518" s="30"/>
      <c r="F2518" s="95"/>
      <c r="G2518" s="1"/>
      <c r="H2518" s="94"/>
      <c r="I2518" s="90"/>
      <c r="J2518" s="90"/>
      <c r="K2518" s="1"/>
      <c r="L2518" s="74"/>
      <c r="M2518" s="633"/>
      <c r="N2518" s="274"/>
      <c r="O2518" s="94"/>
      <c r="P2518" s="94"/>
      <c r="Q2518" s="94"/>
      <c r="R2518" s="94"/>
      <c r="S2518" s="94"/>
      <c r="V2518" s="30"/>
      <c r="W2518" s="30"/>
      <c r="X2518" s="1"/>
      <c r="Y2518" s="95"/>
      <c r="Z2518" s="1"/>
      <c r="AA2518" s="94"/>
      <c r="AB2518" s="1"/>
      <c r="AC2518" s="1"/>
      <c r="AD2518" s="1"/>
      <c r="AE2518" s="30"/>
      <c r="AF2518" s="633"/>
      <c r="AG2518" s="94"/>
      <c r="AH2518" s="94"/>
      <c r="AI2518" s="94"/>
      <c r="AJ2518" s="94"/>
      <c r="AK2518" s="94"/>
      <c r="AL2518" s="94"/>
    </row>
    <row r="2519" spans="3:38">
      <c r="C2519" s="30"/>
      <c r="F2519" s="95"/>
      <c r="G2519" s="1"/>
      <c r="H2519" s="94"/>
      <c r="I2519" s="90"/>
      <c r="J2519" s="90"/>
      <c r="K2519" s="1"/>
      <c r="L2519" s="74"/>
      <c r="M2519" s="633"/>
      <c r="N2519" s="274"/>
      <c r="O2519" s="94"/>
      <c r="P2519" s="94"/>
      <c r="Q2519" s="94"/>
      <c r="R2519" s="94"/>
      <c r="S2519" s="94"/>
      <c r="V2519" s="30"/>
      <c r="W2519" s="30"/>
      <c r="X2519" s="1"/>
      <c r="Y2519" s="95"/>
      <c r="Z2519" s="1"/>
      <c r="AA2519" s="94"/>
      <c r="AB2519" s="1"/>
      <c r="AC2519" s="1"/>
      <c r="AD2519" s="1"/>
      <c r="AE2519" s="30"/>
      <c r="AF2519" s="633"/>
      <c r="AG2519" s="94"/>
      <c r="AH2519" s="94"/>
      <c r="AI2519" s="94"/>
      <c r="AJ2519" s="94"/>
      <c r="AK2519" s="94"/>
      <c r="AL2519" s="94"/>
    </row>
    <row r="2520" spans="3:38">
      <c r="C2520" s="30"/>
      <c r="F2520" s="95"/>
      <c r="G2520" s="1"/>
      <c r="H2520" s="94"/>
      <c r="I2520" s="90"/>
      <c r="J2520" s="90"/>
      <c r="K2520" s="1"/>
      <c r="L2520" s="74"/>
      <c r="M2520" s="633"/>
      <c r="N2520" s="274"/>
      <c r="O2520" s="94"/>
      <c r="P2520" s="94"/>
      <c r="Q2520" s="94"/>
      <c r="R2520" s="94"/>
      <c r="S2520" s="94"/>
      <c r="V2520" s="30"/>
      <c r="W2520" s="30"/>
      <c r="X2520" s="1"/>
      <c r="Y2520" s="95"/>
      <c r="Z2520" s="1"/>
      <c r="AA2520" s="94"/>
      <c r="AB2520" s="1"/>
      <c r="AC2520" s="1"/>
      <c r="AD2520" s="1"/>
      <c r="AE2520" s="30"/>
      <c r="AF2520" s="633"/>
      <c r="AG2520" s="94"/>
      <c r="AH2520" s="94"/>
      <c r="AI2520" s="94"/>
      <c r="AJ2520" s="94"/>
      <c r="AK2520" s="94"/>
      <c r="AL2520" s="94"/>
    </row>
    <row r="2521" spans="3:38">
      <c r="C2521" s="30"/>
      <c r="F2521" s="95"/>
      <c r="G2521" s="1"/>
      <c r="H2521" s="94"/>
      <c r="I2521" s="90"/>
      <c r="J2521" s="90"/>
      <c r="K2521" s="1"/>
      <c r="L2521" s="74"/>
      <c r="M2521" s="633"/>
      <c r="N2521" s="274"/>
      <c r="O2521" s="94"/>
      <c r="P2521" s="94"/>
      <c r="Q2521" s="94"/>
      <c r="R2521" s="94"/>
      <c r="S2521" s="94"/>
      <c r="V2521" s="30"/>
      <c r="W2521" s="30"/>
      <c r="X2521" s="1"/>
      <c r="Y2521" s="95"/>
      <c r="Z2521" s="1"/>
      <c r="AA2521" s="94"/>
      <c r="AB2521" s="1"/>
      <c r="AC2521" s="1"/>
      <c r="AD2521" s="1"/>
      <c r="AE2521" s="30"/>
      <c r="AF2521" s="633"/>
      <c r="AG2521" s="94"/>
      <c r="AH2521" s="94"/>
      <c r="AI2521" s="94"/>
      <c r="AJ2521" s="94"/>
      <c r="AK2521" s="94"/>
      <c r="AL2521" s="94"/>
    </row>
    <row r="2522" spans="3:38">
      <c r="C2522" s="30"/>
      <c r="F2522" s="95"/>
      <c r="G2522" s="1"/>
      <c r="H2522" s="94"/>
      <c r="I2522" s="90"/>
      <c r="J2522" s="90"/>
      <c r="K2522" s="1"/>
      <c r="L2522" s="74"/>
      <c r="M2522" s="633"/>
      <c r="N2522" s="274"/>
      <c r="O2522" s="94"/>
      <c r="P2522" s="94"/>
      <c r="Q2522" s="94"/>
      <c r="R2522" s="94"/>
      <c r="S2522" s="94"/>
      <c r="V2522" s="30"/>
      <c r="W2522" s="30"/>
      <c r="X2522" s="1"/>
      <c r="Y2522" s="95"/>
      <c r="Z2522" s="1"/>
      <c r="AA2522" s="94"/>
      <c r="AB2522" s="1"/>
      <c r="AC2522" s="1"/>
      <c r="AD2522" s="1"/>
      <c r="AE2522" s="30"/>
      <c r="AF2522" s="633"/>
      <c r="AG2522" s="94"/>
      <c r="AH2522" s="94"/>
      <c r="AI2522" s="94"/>
      <c r="AJ2522" s="94"/>
      <c r="AK2522" s="94"/>
      <c r="AL2522" s="94"/>
    </row>
    <row r="2523" spans="3:38">
      <c r="C2523" s="30"/>
      <c r="F2523" s="95"/>
      <c r="G2523" s="1"/>
      <c r="H2523" s="94"/>
      <c r="I2523" s="90"/>
      <c r="J2523" s="90"/>
      <c r="K2523" s="1"/>
      <c r="L2523" s="74"/>
      <c r="M2523" s="633"/>
      <c r="N2523" s="274"/>
      <c r="O2523" s="94"/>
      <c r="P2523" s="94"/>
      <c r="Q2523" s="94"/>
      <c r="R2523" s="94"/>
      <c r="S2523" s="94"/>
      <c r="V2523" s="30"/>
      <c r="W2523" s="30"/>
      <c r="X2523" s="1"/>
      <c r="Y2523" s="95"/>
      <c r="Z2523" s="1"/>
      <c r="AA2523" s="94"/>
      <c r="AB2523" s="1"/>
      <c r="AC2523" s="1"/>
      <c r="AD2523" s="1"/>
      <c r="AE2523" s="30"/>
      <c r="AF2523" s="633"/>
      <c r="AG2523" s="94"/>
      <c r="AH2523" s="94"/>
      <c r="AI2523" s="94"/>
      <c r="AJ2523" s="94"/>
      <c r="AK2523" s="94"/>
      <c r="AL2523" s="94"/>
    </row>
    <row r="2524" spans="3:38">
      <c r="C2524" s="30"/>
      <c r="F2524" s="95"/>
      <c r="G2524" s="1"/>
      <c r="H2524" s="94"/>
      <c r="I2524" s="90"/>
      <c r="J2524" s="90"/>
      <c r="K2524" s="1"/>
      <c r="L2524" s="74"/>
      <c r="M2524" s="633"/>
      <c r="N2524" s="274"/>
      <c r="O2524" s="94"/>
      <c r="P2524" s="94"/>
      <c r="Q2524" s="94"/>
      <c r="R2524" s="94"/>
      <c r="S2524" s="94"/>
      <c r="V2524" s="30"/>
      <c r="W2524" s="30"/>
      <c r="X2524" s="1"/>
      <c r="Y2524" s="95"/>
      <c r="Z2524" s="1"/>
      <c r="AA2524" s="94"/>
      <c r="AB2524" s="1"/>
      <c r="AC2524" s="1"/>
      <c r="AD2524" s="1"/>
      <c r="AE2524" s="30"/>
      <c r="AF2524" s="633"/>
      <c r="AG2524" s="94"/>
      <c r="AH2524" s="94"/>
      <c r="AI2524" s="94"/>
      <c r="AJ2524" s="94"/>
      <c r="AK2524" s="94"/>
      <c r="AL2524" s="94"/>
    </row>
    <row r="2525" spans="3:38">
      <c r="C2525" s="30"/>
      <c r="F2525" s="95"/>
      <c r="G2525" s="1"/>
      <c r="H2525" s="94"/>
      <c r="I2525" s="90"/>
      <c r="J2525" s="90"/>
      <c r="K2525" s="1"/>
      <c r="L2525" s="74"/>
      <c r="M2525" s="633"/>
      <c r="N2525" s="274"/>
      <c r="O2525" s="94"/>
      <c r="P2525" s="94"/>
      <c r="Q2525" s="94"/>
      <c r="R2525" s="94"/>
      <c r="S2525" s="94"/>
      <c r="V2525" s="30"/>
      <c r="W2525" s="30"/>
      <c r="X2525" s="1"/>
      <c r="Y2525" s="95"/>
      <c r="Z2525" s="1"/>
      <c r="AA2525" s="94"/>
      <c r="AB2525" s="1"/>
      <c r="AC2525" s="1"/>
      <c r="AD2525" s="1"/>
      <c r="AE2525" s="30"/>
      <c r="AF2525" s="633"/>
      <c r="AG2525" s="94"/>
      <c r="AH2525" s="94"/>
      <c r="AI2525" s="94"/>
      <c r="AJ2525" s="94"/>
      <c r="AK2525" s="94"/>
      <c r="AL2525" s="94"/>
    </row>
    <row r="2526" spans="3:38">
      <c r="C2526" s="30"/>
      <c r="F2526" s="95"/>
      <c r="G2526" s="1"/>
      <c r="H2526" s="94"/>
      <c r="I2526" s="90"/>
      <c r="J2526" s="90"/>
      <c r="K2526" s="1"/>
      <c r="L2526" s="74"/>
      <c r="M2526" s="633"/>
      <c r="N2526" s="274"/>
      <c r="O2526" s="94"/>
      <c r="P2526" s="94"/>
      <c r="Q2526" s="94"/>
      <c r="R2526" s="94"/>
      <c r="S2526" s="94"/>
      <c r="V2526" s="30"/>
      <c r="W2526" s="30"/>
      <c r="X2526" s="1"/>
      <c r="Y2526" s="95"/>
      <c r="Z2526" s="1"/>
      <c r="AA2526" s="94"/>
      <c r="AB2526" s="1"/>
      <c r="AC2526" s="1"/>
      <c r="AD2526" s="1"/>
      <c r="AE2526" s="30"/>
      <c r="AF2526" s="633"/>
      <c r="AG2526" s="94"/>
      <c r="AH2526" s="94"/>
      <c r="AI2526" s="94"/>
      <c r="AJ2526" s="94"/>
      <c r="AK2526" s="94"/>
      <c r="AL2526" s="94"/>
    </row>
    <row r="2527" spans="3:38">
      <c r="C2527" s="30"/>
      <c r="F2527" s="95"/>
      <c r="G2527" s="1"/>
      <c r="H2527" s="94"/>
      <c r="I2527" s="90"/>
      <c r="J2527" s="90"/>
      <c r="K2527" s="1"/>
      <c r="L2527" s="74"/>
      <c r="M2527" s="633"/>
      <c r="N2527" s="274"/>
      <c r="O2527" s="94"/>
      <c r="P2527" s="94"/>
      <c r="Q2527" s="94"/>
      <c r="R2527" s="94"/>
      <c r="S2527" s="94"/>
      <c r="V2527" s="30"/>
      <c r="W2527" s="30"/>
      <c r="X2527" s="1"/>
      <c r="Y2527" s="95"/>
      <c r="Z2527" s="1"/>
      <c r="AA2527" s="94"/>
      <c r="AB2527" s="1"/>
      <c r="AC2527" s="1"/>
      <c r="AD2527" s="1"/>
      <c r="AE2527" s="30"/>
      <c r="AF2527" s="633"/>
      <c r="AG2527" s="94"/>
      <c r="AH2527" s="94"/>
      <c r="AI2527" s="94"/>
      <c r="AJ2527" s="94"/>
      <c r="AK2527" s="94"/>
      <c r="AL2527" s="94"/>
    </row>
    <row r="2528" spans="3:38">
      <c r="C2528" s="30"/>
      <c r="F2528" s="95"/>
      <c r="G2528" s="1"/>
      <c r="H2528" s="94"/>
      <c r="I2528" s="90"/>
      <c r="J2528" s="90"/>
      <c r="K2528" s="1"/>
      <c r="L2528" s="74"/>
      <c r="M2528" s="633"/>
      <c r="N2528" s="274"/>
      <c r="O2528" s="94"/>
      <c r="P2528" s="94"/>
      <c r="Q2528" s="94"/>
      <c r="R2528" s="94"/>
      <c r="S2528" s="94"/>
      <c r="V2528" s="30"/>
      <c r="W2528" s="30"/>
      <c r="X2528" s="1"/>
      <c r="Y2528" s="95"/>
      <c r="Z2528" s="1"/>
      <c r="AA2528" s="94"/>
      <c r="AB2528" s="1"/>
      <c r="AC2528" s="1"/>
      <c r="AD2528" s="1"/>
      <c r="AE2528" s="30"/>
      <c r="AF2528" s="633"/>
      <c r="AG2528" s="94"/>
      <c r="AH2528" s="94"/>
      <c r="AI2528" s="94"/>
      <c r="AJ2528" s="94"/>
      <c r="AK2528" s="94"/>
      <c r="AL2528" s="94"/>
    </row>
    <row r="2529" spans="3:38">
      <c r="C2529" s="30"/>
      <c r="F2529" s="95"/>
      <c r="G2529" s="1"/>
      <c r="H2529" s="94"/>
      <c r="I2529" s="90"/>
      <c r="J2529" s="90"/>
      <c r="K2529" s="1"/>
      <c r="L2529" s="74"/>
      <c r="M2529" s="633"/>
      <c r="N2529" s="274"/>
      <c r="O2529" s="94"/>
      <c r="P2529" s="94"/>
      <c r="Q2529" s="94"/>
      <c r="R2529" s="94"/>
      <c r="S2529" s="94"/>
      <c r="V2529" s="30"/>
      <c r="W2529" s="30"/>
      <c r="X2529" s="1"/>
      <c r="Y2529" s="95"/>
      <c r="Z2529" s="1"/>
      <c r="AA2529" s="94"/>
      <c r="AB2529" s="1"/>
      <c r="AC2529" s="1"/>
      <c r="AD2529" s="1"/>
      <c r="AE2529" s="30"/>
      <c r="AF2529" s="633"/>
      <c r="AG2529" s="94"/>
      <c r="AH2529" s="94"/>
      <c r="AI2529" s="94"/>
      <c r="AJ2529" s="94"/>
      <c r="AK2529" s="94"/>
      <c r="AL2529" s="94"/>
    </row>
    <row r="2530" spans="3:38">
      <c r="C2530" s="30"/>
      <c r="F2530" s="95"/>
      <c r="G2530" s="1"/>
      <c r="H2530" s="94"/>
      <c r="I2530" s="90"/>
      <c r="J2530" s="90"/>
      <c r="K2530" s="1"/>
      <c r="L2530" s="74"/>
      <c r="M2530" s="633"/>
      <c r="N2530" s="274"/>
      <c r="O2530" s="94"/>
      <c r="P2530" s="94"/>
      <c r="Q2530" s="94"/>
      <c r="R2530" s="94"/>
      <c r="S2530" s="94"/>
      <c r="V2530" s="30"/>
      <c r="W2530" s="30"/>
      <c r="X2530" s="1"/>
      <c r="Y2530" s="95"/>
      <c r="Z2530" s="1"/>
      <c r="AA2530" s="94"/>
      <c r="AB2530" s="1"/>
      <c r="AC2530" s="1"/>
      <c r="AD2530" s="1"/>
      <c r="AE2530" s="30"/>
      <c r="AF2530" s="633"/>
      <c r="AG2530" s="94"/>
      <c r="AH2530" s="94"/>
      <c r="AI2530" s="94"/>
      <c r="AJ2530" s="94"/>
      <c r="AK2530" s="94"/>
      <c r="AL2530" s="94"/>
    </row>
    <row r="2531" spans="3:38">
      <c r="C2531" s="30"/>
      <c r="F2531" s="95"/>
      <c r="G2531" s="1"/>
      <c r="H2531" s="94"/>
      <c r="I2531" s="90"/>
      <c r="J2531" s="90"/>
      <c r="K2531" s="1"/>
      <c r="L2531" s="74"/>
      <c r="M2531" s="633"/>
      <c r="N2531" s="274"/>
      <c r="O2531" s="94"/>
      <c r="P2531" s="94"/>
      <c r="Q2531" s="94"/>
      <c r="R2531" s="94"/>
      <c r="S2531" s="94"/>
      <c r="V2531" s="30"/>
      <c r="W2531" s="30"/>
      <c r="X2531" s="1"/>
      <c r="Y2531" s="95"/>
      <c r="Z2531" s="1"/>
      <c r="AA2531" s="94"/>
      <c r="AB2531" s="1"/>
      <c r="AC2531" s="1"/>
      <c r="AD2531" s="1"/>
      <c r="AE2531" s="30"/>
      <c r="AF2531" s="633"/>
      <c r="AG2531" s="94"/>
      <c r="AH2531" s="94"/>
      <c r="AI2531" s="94"/>
      <c r="AJ2531" s="94"/>
      <c r="AK2531" s="94"/>
      <c r="AL2531" s="94"/>
    </row>
    <row r="2532" spans="3:38">
      <c r="C2532" s="30"/>
      <c r="F2532" s="95"/>
      <c r="G2532" s="1"/>
      <c r="H2532" s="94"/>
      <c r="I2532" s="90"/>
      <c r="J2532" s="90"/>
      <c r="K2532" s="1"/>
      <c r="L2532" s="74"/>
      <c r="M2532" s="633"/>
      <c r="N2532" s="274"/>
      <c r="O2532" s="94"/>
      <c r="P2532" s="94"/>
      <c r="Q2532" s="94"/>
      <c r="R2532" s="94"/>
      <c r="S2532" s="94"/>
      <c r="V2532" s="30"/>
      <c r="W2532" s="30"/>
      <c r="X2532" s="1"/>
      <c r="Y2532" s="95"/>
      <c r="Z2532" s="1"/>
      <c r="AA2532" s="94"/>
      <c r="AB2532" s="1"/>
      <c r="AC2532" s="1"/>
      <c r="AD2532" s="1"/>
      <c r="AE2532" s="30"/>
      <c r="AF2532" s="633"/>
      <c r="AG2532" s="94"/>
      <c r="AH2532" s="94"/>
      <c r="AI2532" s="94"/>
      <c r="AJ2532" s="94"/>
      <c r="AK2532" s="94"/>
      <c r="AL2532" s="94"/>
    </row>
    <row r="2533" spans="3:38">
      <c r="C2533" s="30"/>
      <c r="F2533" s="95"/>
      <c r="G2533" s="1"/>
      <c r="H2533" s="94"/>
      <c r="I2533" s="90"/>
      <c r="J2533" s="90"/>
      <c r="K2533" s="1"/>
      <c r="L2533" s="74"/>
      <c r="M2533" s="633"/>
      <c r="N2533" s="274"/>
      <c r="O2533" s="94"/>
      <c r="P2533" s="94"/>
      <c r="Q2533" s="94"/>
      <c r="R2533" s="94"/>
      <c r="S2533" s="94"/>
      <c r="V2533" s="30"/>
      <c r="W2533" s="30"/>
      <c r="X2533" s="1"/>
      <c r="Y2533" s="95"/>
      <c r="Z2533" s="1"/>
      <c r="AA2533" s="94"/>
      <c r="AB2533" s="1"/>
      <c r="AC2533" s="1"/>
      <c r="AD2533" s="1"/>
      <c r="AE2533" s="30"/>
      <c r="AF2533" s="633"/>
      <c r="AG2533" s="94"/>
      <c r="AH2533" s="94"/>
      <c r="AI2533" s="94"/>
      <c r="AJ2533" s="94"/>
      <c r="AK2533" s="94"/>
      <c r="AL2533" s="94"/>
    </row>
    <row r="2534" spans="3:38">
      <c r="C2534" s="30"/>
      <c r="F2534" s="95"/>
      <c r="G2534" s="1"/>
      <c r="H2534" s="94"/>
      <c r="I2534" s="90"/>
      <c r="J2534" s="90"/>
      <c r="K2534" s="1"/>
      <c r="L2534" s="74"/>
      <c r="M2534" s="633"/>
      <c r="N2534" s="274"/>
      <c r="O2534" s="94"/>
      <c r="P2534" s="94"/>
      <c r="Q2534" s="94"/>
      <c r="R2534" s="94"/>
      <c r="S2534" s="94"/>
      <c r="V2534" s="30"/>
      <c r="W2534" s="30"/>
      <c r="X2534" s="1"/>
      <c r="Y2534" s="95"/>
      <c r="Z2534" s="1"/>
      <c r="AA2534" s="94"/>
      <c r="AB2534" s="1"/>
      <c r="AC2534" s="1"/>
      <c r="AD2534" s="1"/>
      <c r="AE2534" s="30"/>
      <c r="AF2534" s="633"/>
      <c r="AG2534" s="94"/>
      <c r="AH2534" s="94"/>
      <c r="AI2534" s="94"/>
      <c r="AJ2534" s="94"/>
      <c r="AK2534" s="94"/>
      <c r="AL2534" s="94"/>
    </row>
    <row r="2535" spans="3:38">
      <c r="C2535" s="30"/>
      <c r="F2535" s="95"/>
      <c r="G2535" s="1"/>
      <c r="H2535" s="94"/>
      <c r="I2535" s="90"/>
      <c r="J2535" s="90"/>
      <c r="K2535" s="1"/>
      <c r="L2535" s="74"/>
      <c r="M2535" s="633"/>
      <c r="N2535" s="274"/>
      <c r="O2535" s="94"/>
      <c r="P2535" s="94"/>
      <c r="Q2535" s="94"/>
      <c r="R2535" s="94"/>
      <c r="S2535" s="94"/>
      <c r="V2535" s="30"/>
      <c r="W2535" s="30"/>
      <c r="X2535" s="1"/>
      <c r="Y2535" s="95"/>
      <c r="Z2535" s="1"/>
      <c r="AA2535" s="94"/>
      <c r="AB2535" s="1"/>
      <c r="AC2535" s="1"/>
      <c r="AD2535" s="1"/>
      <c r="AE2535" s="30"/>
      <c r="AF2535" s="633"/>
      <c r="AG2535" s="94"/>
      <c r="AH2535" s="94"/>
      <c r="AI2535" s="94"/>
      <c r="AJ2535" s="94"/>
      <c r="AK2535" s="94"/>
      <c r="AL2535" s="94"/>
    </row>
    <row r="2536" spans="3:38">
      <c r="C2536" s="30"/>
      <c r="F2536" s="95"/>
      <c r="G2536" s="1"/>
      <c r="H2536" s="94"/>
      <c r="I2536" s="90"/>
      <c r="J2536" s="90"/>
      <c r="K2536" s="1"/>
      <c r="L2536" s="74"/>
      <c r="M2536" s="633"/>
      <c r="N2536" s="274"/>
      <c r="O2536" s="94"/>
      <c r="P2536" s="94"/>
      <c r="Q2536" s="94"/>
      <c r="R2536" s="94"/>
      <c r="S2536" s="94"/>
      <c r="V2536" s="30"/>
      <c r="W2536" s="30"/>
      <c r="X2536" s="1"/>
      <c r="Y2536" s="95"/>
      <c r="Z2536" s="1"/>
      <c r="AA2536" s="94"/>
      <c r="AB2536" s="1"/>
      <c r="AC2536" s="1"/>
      <c r="AD2536" s="1"/>
      <c r="AE2536" s="30"/>
      <c r="AF2536" s="633"/>
      <c r="AG2536" s="94"/>
      <c r="AH2536" s="94"/>
      <c r="AI2536" s="94"/>
      <c r="AJ2536" s="94"/>
      <c r="AK2536" s="94"/>
      <c r="AL2536" s="94"/>
    </row>
    <row r="2537" spans="3:38">
      <c r="C2537" s="30"/>
      <c r="F2537" s="95"/>
      <c r="G2537" s="1"/>
      <c r="H2537" s="94"/>
      <c r="I2537" s="90"/>
      <c r="J2537" s="90"/>
      <c r="K2537" s="1"/>
      <c r="L2537" s="74"/>
      <c r="M2537" s="633"/>
      <c r="N2537" s="274"/>
      <c r="O2537" s="94"/>
      <c r="P2537" s="94"/>
      <c r="Q2537" s="94"/>
      <c r="R2537" s="94"/>
      <c r="S2537" s="94"/>
      <c r="V2537" s="30"/>
      <c r="W2537" s="30"/>
      <c r="X2537" s="1"/>
      <c r="Y2537" s="95"/>
      <c r="Z2537" s="1"/>
      <c r="AA2537" s="94"/>
      <c r="AB2537" s="1"/>
      <c r="AC2537" s="1"/>
      <c r="AD2537" s="1"/>
      <c r="AE2537" s="30"/>
      <c r="AF2537" s="633"/>
      <c r="AG2537" s="94"/>
      <c r="AH2537" s="94"/>
      <c r="AI2537" s="94"/>
      <c r="AJ2537" s="94"/>
      <c r="AK2537" s="94"/>
      <c r="AL2537" s="94"/>
    </row>
    <row r="2538" spans="3:38">
      <c r="C2538" s="30"/>
      <c r="F2538" s="95"/>
      <c r="G2538" s="1"/>
      <c r="H2538" s="94"/>
      <c r="I2538" s="90"/>
      <c r="J2538" s="90"/>
      <c r="K2538" s="1"/>
      <c r="L2538" s="74"/>
      <c r="M2538" s="633"/>
      <c r="N2538" s="274"/>
      <c r="O2538" s="94"/>
      <c r="P2538" s="94"/>
      <c r="Q2538" s="94"/>
      <c r="R2538" s="94"/>
      <c r="S2538" s="94"/>
      <c r="V2538" s="30"/>
      <c r="W2538" s="30"/>
      <c r="X2538" s="1"/>
      <c r="Y2538" s="95"/>
      <c r="Z2538" s="1"/>
      <c r="AA2538" s="94"/>
      <c r="AB2538" s="1"/>
      <c r="AC2538" s="1"/>
      <c r="AD2538" s="1"/>
      <c r="AE2538" s="30"/>
      <c r="AF2538" s="633"/>
      <c r="AG2538" s="94"/>
      <c r="AH2538" s="94"/>
      <c r="AI2538" s="94"/>
      <c r="AJ2538" s="94"/>
      <c r="AK2538" s="94"/>
      <c r="AL2538" s="94"/>
    </row>
    <row r="2539" spans="3:38">
      <c r="C2539" s="30"/>
      <c r="F2539" s="95"/>
      <c r="G2539" s="1"/>
      <c r="H2539" s="94"/>
      <c r="I2539" s="90"/>
      <c r="J2539" s="90"/>
      <c r="K2539" s="1"/>
      <c r="L2539" s="74"/>
      <c r="M2539" s="633"/>
      <c r="N2539" s="274"/>
      <c r="O2539" s="94"/>
      <c r="P2539" s="94"/>
      <c r="Q2539" s="94"/>
      <c r="R2539" s="94"/>
      <c r="S2539" s="94"/>
      <c r="V2539" s="30"/>
      <c r="W2539" s="30"/>
      <c r="X2539" s="1"/>
      <c r="Y2539" s="95"/>
      <c r="Z2539" s="1"/>
      <c r="AA2539" s="94"/>
      <c r="AB2539" s="1"/>
      <c r="AC2539" s="1"/>
      <c r="AD2539" s="1"/>
      <c r="AE2539" s="30"/>
      <c r="AF2539" s="633"/>
      <c r="AG2539" s="94"/>
      <c r="AH2539" s="94"/>
      <c r="AI2539" s="94"/>
      <c r="AJ2539" s="94"/>
      <c r="AK2539" s="94"/>
      <c r="AL2539" s="94"/>
    </row>
    <row r="2540" spans="3:38">
      <c r="S2540" s="94"/>
    </row>
  </sheetData>
  <autoFilter ref="A4:AU444" xr:uid="{00000000-0001-0000-0000-000000000000}"/>
  <dataConsolidate/>
  <mergeCells count="12">
    <mergeCell ref="B2:L2"/>
    <mergeCell ref="M3:M4"/>
    <mergeCell ref="AI3:AL3"/>
    <mergeCell ref="P3:S3"/>
    <mergeCell ref="AG3:AG4"/>
    <mergeCell ref="N3:N4"/>
    <mergeCell ref="O3:O4"/>
    <mergeCell ref="AH3:AH4"/>
    <mergeCell ref="A3:L3"/>
    <mergeCell ref="AF3:AF4"/>
    <mergeCell ref="U2:AE2"/>
    <mergeCell ref="T3:AE3"/>
  </mergeCells>
  <phoneticPr fontId="60" type="noConversion"/>
  <pageMargins left="0.75" right="0.75" top="1" bottom="1" header="0.5" footer="0.5"/>
  <pageSetup paperSize="9" orientation="portrait" horizontalDpi="4294967292" verticalDpi="4294967292"/>
  <ignoredErrors>
    <ignoredError sqref="F274"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tabColor rgb="FF92D050"/>
  </sheetPr>
  <dimension ref="A1:X776"/>
  <sheetViews>
    <sheetView zoomScaleNormal="100" workbookViewId="0">
      <pane xSplit="1" ySplit="3" topLeftCell="B4" activePane="bottomRight" state="frozen"/>
      <selection pane="topRight" activeCell="B1" sqref="B1"/>
      <selection pane="bottomLeft" activeCell="A5" sqref="A5"/>
      <selection pane="bottomRight"/>
    </sheetView>
  </sheetViews>
  <sheetFormatPr baseColWidth="10" defaultColWidth="11.42578125" defaultRowHeight="12.75"/>
  <cols>
    <col min="1" max="1" width="38.42578125" style="690" bestFit="1" customWidth="1"/>
    <col min="2" max="2" width="160.5703125" style="375" bestFit="1" customWidth="1"/>
    <col min="3" max="3" width="10.7109375" style="375" customWidth="1"/>
    <col min="4" max="4" width="13" style="375" customWidth="1"/>
    <col min="5" max="5" width="17.42578125" style="375" bestFit="1" customWidth="1"/>
    <col min="6" max="6" width="11.85546875" style="375" bestFit="1" customWidth="1"/>
    <col min="7" max="7" width="19.42578125" style="375" bestFit="1" customWidth="1"/>
    <col min="8" max="9" width="10.7109375" style="375" customWidth="1"/>
    <col min="10" max="10" width="35" style="439" customWidth="1"/>
    <col min="11" max="12" width="10.7109375" style="375" customWidth="1"/>
    <col min="13" max="13" width="28.7109375" style="86" customWidth="1"/>
    <col min="14" max="14" width="120.85546875" style="86" customWidth="1"/>
    <col min="15" max="15" width="10.7109375" style="86" customWidth="1"/>
    <col min="16" max="16" width="11.7109375" style="86" bestFit="1" customWidth="1"/>
    <col min="17" max="17" width="17.42578125" style="86" bestFit="1" customWidth="1"/>
    <col min="18" max="18" width="11.85546875" style="86" bestFit="1" customWidth="1"/>
    <col min="19" max="19" width="19.42578125" style="86" bestFit="1" customWidth="1"/>
    <col min="20" max="20" width="13.42578125" style="86" bestFit="1" customWidth="1"/>
    <col min="21" max="21" width="12.140625" style="86" bestFit="1" customWidth="1"/>
    <col min="22" max="22" width="33" style="439" customWidth="1"/>
    <col min="23" max="16384" width="11.42578125" style="86"/>
  </cols>
  <sheetData>
    <row r="1" spans="1:24" s="1" customFormat="1" ht="29.1" customHeight="1">
      <c r="A1" s="428" t="s">
        <v>93</v>
      </c>
      <c r="B1" s="477" t="s">
        <v>1039</v>
      </c>
      <c r="C1" s="478"/>
      <c r="D1" s="478"/>
      <c r="E1" s="478"/>
      <c r="F1" s="478"/>
      <c r="G1" s="478"/>
      <c r="H1" s="478"/>
      <c r="I1" s="479"/>
      <c r="J1" s="429"/>
      <c r="K1" s="430"/>
      <c r="L1" s="431"/>
      <c r="M1" s="370" t="s">
        <v>93</v>
      </c>
      <c r="N1" s="395" t="s">
        <v>94</v>
      </c>
      <c r="O1" s="371"/>
      <c r="P1" s="346"/>
      <c r="R1" s="26"/>
      <c r="S1" s="22"/>
      <c r="T1" s="20"/>
      <c r="U1" s="31"/>
      <c r="V1" s="287"/>
      <c r="W1" s="93"/>
      <c r="X1" s="434"/>
    </row>
    <row r="2" spans="1:24" s="106" customFormat="1" ht="38.1" customHeight="1">
      <c r="A2" s="835" t="s">
        <v>2984</v>
      </c>
      <c r="B2" s="836"/>
      <c r="C2" s="836"/>
      <c r="D2" s="836"/>
      <c r="E2" s="836"/>
      <c r="F2" s="836"/>
      <c r="G2" s="836"/>
      <c r="H2" s="836"/>
      <c r="I2" s="836"/>
      <c r="J2" s="829" t="s">
        <v>1040</v>
      </c>
      <c r="K2" s="838" t="s">
        <v>96</v>
      </c>
      <c r="L2" s="842" t="s">
        <v>97</v>
      </c>
      <c r="M2" s="835" t="s">
        <v>99</v>
      </c>
      <c r="N2" s="836"/>
      <c r="O2" s="836"/>
      <c r="P2" s="836"/>
      <c r="Q2" s="836"/>
      <c r="R2" s="836"/>
      <c r="S2" s="836"/>
      <c r="T2" s="836"/>
      <c r="U2" s="836"/>
      <c r="V2" s="829" t="s">
        <v>1040</v>
      </c>
      <c r="W2" s="838" t="s">
        <v>96</v>
      </c>
      <c r="X2" s="840" t="s">
        <v>97</v>
      </c>
    </row>
    <row r="3" spans="1:24" s="591" customFormat="1" ht="48" customHeight="1" thickBot="1">
      <c r="A3" s="590" t="s">
        <v>100</v>
      </c>
      <c r="B3" s="610"/>
      <c r="C3" s="592" t="s">
        <v>102</v>
      </c>
      <c r="D3" s="593" t="s">
        <v>103</v>
      </c>
      <c r="E3" s="594" t="s">
        <v>104</v>
      </c>
      <c r="F3" s="595" t="s">
        <v>105</v>
      </c>
      <c r="G3" s="596" t="s">
        <v>106</v>
      </c>
      <c r="H3" s="597" t="s">
        <v>110</v>
      </c>
      <c r="I3" s="597" t="s">
        <v>111</v>
      </c>
      <c r="J3" s="830"/>
      <c r="K3" s="839"/>
      <c r="L3" s="843"/>
      <c r="M3" s="432" t="s">
        <v>100</v>
      </c>
      <c r="N3" s="433" t="s">
        <v>1041</v>
      </c>
      <c r="O3" s="592" t="s">
        <v>102</v>
      </c>
      <c r="P3" s="593" t="s">
        <v>103</v>
      </c>
      <c r="Q3" s="594" t="s">
        <v>104</v>
      </c>
      <c r="R3" s="595" t="s">
        <v>105</v>
      </c>
      <c r="S3" s="596" t="s">
        <v>106</v>
      </c>
      <c r="T3" s="597" t="s">
        <v>110</v>
      </c>
      <c r="U3" s="597" t="s">
        <v>111</v>
      </c>
      <c r="V3" s="830"/>
      <c r="W3" s="839"/>
      <c r="X3" s="841"/>
    </row>
    <row r="4" spans="1:24" s="1" customFormat="1" ht="24.95" customHeight="1" thickBot="1">
      <c r="A4" s="677" t="s">
        <v>1042</v>
      </c>
      <c r="B4" s="458" t="s">
        <v>1043</v>
      </c>
      <c r="C4" s="459"/>
      <c r="D4" s="459"/>
      <c r="E4" s="460"/>
      <c r="F4" s="461"/>
      <c r="G4" s="460"/>
      <c r="H4" s="460"/>
      <c r="I4" s="460"/>
      <c r="J4" s="635"/>
      <c r="K4" s="462"/>
      <c r="L4" s="463"/>
      <c r="M4" s="457" t="s">
        <v>1042</v>
      </c>
      <c r="N4" s="458" t="s">
        <v>1043</v>
      </c>
      <c r="O4" s="459"/>
      <c r="P4" s="459"/>
      <c r="Q4" s="460"/>
      <c r="R4" s="461"/>
      <c r="S4" s="460"/>
      <c r="T4" s="460"/>
      <c r="U4" s="460"/>
      <c r="V4" s="635"/>
      <c r="W4" s="462"/>
      <c r="X4" s="463"/>
    </row>
    <row r="5" spans="1:24" s="1" customFormat="1">
      <c r="A5" s="263" t="s">
        <v>2944</v>
      </c>
      <c r="B5" s="245" t="s">
        <v>2962</v>
      </c>
      <c r="C5" s="780">
        <v>1</v>
      </c>
      <c r="D5" s="272" t="s">
        <v>1046</v>
      </c>
      <c r="E5" s="348">
        <v>160</v>
      </c>
      <c r="F5" s="226">
        <f>rv_iiyama</f>
        <v>0.2</v>
      </c>
      <c r="G5" s="85">
        <f t="shared" ref="G5:G19" si="0">E5-(E5*F5)</f>
        <v>128</v>
      </c>
      <c r="H5" s="246"/>
      <c r="I5" s="247">
        <v>2.5</v>
      </c>
      <c r="J5" s="288" t="s">
        <v>1042</v>
      </c>
      <c r="K5" s="89" t="s">
        <v>433</v>
      </c>
      <c r="L5" s="114" t="s">
        <v>1047</v>
      </c>
      <c r="M5" s="643" t="s">
        <v>1044</v>
      </c>
      <c r="N5" s="670" t="s">
        <v>1045</v>
      </c>
      <c r="O5" s="760">
        <v>1</v>
      </c>
      <c r="P5" s="646" t="s">
        <v>1046</v>
      </c>
      <c r="Q5" s="654">
        <v>160</v>
      </c>
      <c r="R5" s="648">
        <v>0.2</v>
      </c>
      <c r="S5" s="655">
        <v>128</v>
      </c>
      <c r="T5" s="656"/>
      <c r="U5" s="657">
        <v>1.42</v>
      </c>
      <c r="V5" s="288" t="s">
        <v>1042</v>
      </c>
      <c r="W5" s="89" t="s">
        <v>433</v>
      </c>
      <c r="X5" s="114" t="s">
        <v>1047</v>
      </c>
    </row>
    <row r="6" spans="1:24" s="1" customFormat="1">
      <c r="A6" s="263" t="s">
        <v>1048</v>
      </c>
      <c r="B6" s="248" t="s">
        <v>2965</v>
      </c>
      <c r="C6" s="249">
        <v>1</v>
      </c>
      <c r="D6" s="272" t="s">
        <v>1046</v>
      </c>
      <c r="E6" s="348">
        <v>175.96</v>
      </c>
      <c r="F6" s="226">
        <f>rv_iiyama</f>
        <v>0.2</v>
      </c>
      <c r="G6" s="85">
        <f t="shared" si="0"/>
        <v>140.768</v>
      </c>
      <c r="H6" s="246"/>
      <c r="I6" s="247">
        <v>1.42</v>
      </c>
      <c r="J6" s="288" t="s">
        <v>1042</v>
      </c>
      <c r="K6" s="89" t="s">
        <v>433</v>
      </c>
      <c r="L6" s="114" t="s">
        <v>1047</v>
      </c>
      <c r="M6" s="241" t="s">
        <v>1048</v>
      </c>
      <c r="N6" s="248" t="s">
        <v>1049</v>
      </c>
      <c r="O6" s="249">
        <v>1</v>
      </c>
      <c r="P6" s="272" t="s">
        <v>1046</v>
      </c>
      <c r="Q6" s="348">
        <v>175.96</v>
      </c>
      <c r="R6" s="226">
        <v>0.2</v>
      </c>
      <c r="S6" s="85">
        <v>140.768</v>
      </c>
      <c r="T6" s="246"/>
      <c r="U6" s="247">
        <v>1.42</v>
      </c>
      <c r="V6" s="288" t="s">
        <v>1042</v>
      </c>
      <c r="W6" s="89" t="s">
        <v>433</v>
      </c>
      <c r="X6" s="114" t="s">
        <v>1047</v>
      </c>
    </row>
    <row r="7" spans="1:24" s="1" customFormat="1">
      <c r="A7" s="263" t="s">
        <v>1050</v>
      </c>
      <c r="B7" s="248" t="s">
        <v>2966</v>
      </c>
      <c r="C7" s="249">
        <v>1</v>
      </c>
      <c r="D7" s="272" t="s">
        <v>1046</v>
      </c>
      <c r="E7" s="348">
        <v>225</v>
      </c>
      <c r="F7" s="226">
        <f>rv_iiyama</f>
        <v>0.2</v>
      </c>
      <c r="G7" s="85">
        <f t="shared" si="0"/>
        <v>180</v>
      </c>
      <c r="H7" s="246"/>
      <c r="I7" s="247">
        <v>2.5</v>
      </c>
      <c r="J7" s="288" t="s">
        <v>1042</v>
      </c>
      <c r="K7" s="89" t="s">
        <v>433</v>
      </c>
      <c r="L7" s="114" t="s">
        <v>1047</v>
      </c>
      <c r="M7" s="241" t="s">
        <v>1050</v>
      </c>
      <c r="N7" s="248" t="s">
        <v>1051</v>
      </c>
      <c r="O7" s="249">
        <v>1</v>
      </c>
      <c r="P7" s="272" t="s">
        <v>1046</v>
      </c>
      <c r="Q7" s="348">
        <v>225</v>
      </c>
      <c r="R7" s="226">
        <v>0.2</v>
      </c>
      <c r="S7" s="85">
        <v>180</v>
      </c>
      <c r="T7" s="246"/>
      <c r="U7" s="247">
        <v>2.5</v>
      </c>
      <c r="V7" s="288" t="s">
        <v>1042</v>
      </c>
      <c r="W7" s="89" t="s">
        <v>433</v>
      </c>
      <c r="X7" s="114" t="s">
        <v>1047</v>
      </c>
    </row>
    <row r="8" spans="1:24" s="1" customFormat="1">
      <c r="A8" s="263" t="s">
        <v>1052</v>
      </c>
      <c r="B8" s="238" t="s">
        <v>2963</v>
      </c>
      <c r="C8" s="249">
        <v>1</v>
      </c>
      <c r="D8" s="272" t="s">
        <v>1046</v>
      </c>
      <c r="E8" s="348">
        <v>489</v>
      </c>
      <c r="F8" s="226">
        <f>rv_iiyama</f>
        <v>0.2</v>
      </c>
      <c r="G8" s="85">
        <f t="shared" si="0"/>
        <v>391.2</v>
      </c>
      <c r="H8" s="246"/>
      <c r="I8" s="247">
        <v>2.5</v>
      </c>
      <c r="J8" s="288" t="s">
        <v>1042</v>
      </c>
      <c r="K8" s="89" t="s">
        <v>433</v>
      </c>
      <c r="L8" s="114" t="s">
        <v>1047</v>
      </c>
      <c r="M8" s="643" t="s">
        <v>1053</v>
      </c>
      <c r="N8" s="653" t="s">
        <v>1054</v>
      </c>
      <c r="O8" s="645">
        <v>1</v>
      </c>
      <c r="P8" s="646" t="s">
        <v>1046</v>
      </c>
      <c r="Q8" s="654">
        <v>489</v>
      </c>
      <c r="R8" s="648">
        <v>0.2</v>
      </c>
      <c r="S8" s="655">
        <v>391.2</v>
      </c>
      <c r="T8" s="656"/>
      <c r="U8" s="657">
        <v>1.42</v>
      </c>
      <c r="V8" s="288" t="s">
        <v>1042</v>
      </c>
      <c r="W8" s="89" t="s">
        <v>433</v>
      </c>
      <c r="X8" s="114" t="s">
        <v>1047</v>
      </c>
    </row>
    <row r="9" spans="1:24" s="1" customFormat="1">
      <c r="A9" s="263" t="s">
        <v>1055</v>
      </c>
      <c r="B9" s="248" t="s">
        <v>2964</v>
      </c>
      <c r="C9" s="249">
        <v>1</v>
      </c>
      <c r="D9" s="272" t="s">
        <v>1046</v>
      </c>
      <c r="E9" s="348">
        <v>449.17</v>
      </c>
      <c r="F9" s="226">
        <f>rv_iiyama</f>
        <v>0.2</v>
      </c>
      <c r="G9" s="85">
        <f t="shared" si="0"/>
        <v>359.33600000000001</v>
      </c>
      <c r="H9" s="246"/>
      <c r="I9" s="247">
        <v>2.5</v>
      </c>
      <c r="J9" s="288" t="s">
        <v>1042</v>
      </c>
      <c r="K9" s="89" t="s">
        <v>433</v>
      </c>
      <c r="L9" s="114" t="s">
        <v>1047</v>
      </c>
      <c r="M9" s="241" t="s">
        <v>1055</v>
      </c>
      <c r="N9" s="248" t="s">
        <v>1056</v>
      </c>
      <c r="O9" s="249">
        <v>1</v>
      </c>
      <c r="P9" s="272" t="s">
        <v>1046</v>
      </c>
      <c r="Q9" s="348">
        <v>449.17</v>
      </c>
      <c r="R9" s="226">
        <v>0.2</v>
      </c>
      <c r="S9" s="85">
        <v>359.33600000000001</v>
      </c>
      <c r="T9" s="246"/>
      <c r="U9" s="247">
        <v>2.5</v>
      </c>
      <c r="V9" s="288" t="s">
        <v>1042</v>
      </c>
      <c r="W9" s="89" t="s">
        <v>433</v>
      </c>
      <c r="X9" s="114" t="s">
        <v>1047</v>
      </c>
    </row>
    <row r="10" spans="1:24" s="1" customFormat="1">
      <c r="A10" s="263" t="s">
        <v>1057</v>
      </c>
      <c r="B10" s="238" t="s">
        <v>1058</v>
      </c>
      <c r="C10" s="239">
        <v>1</v>
      </c>
      <c r="D10" s="272" t="s">
        <v>1059</v>
      </c>
      <c r="E10" s="348">
        <v>227.78</v>
      </c>
      <c r="F10" s="226">
        <f t="shared" ref="F10:F15" si="1">rv_philips</f>
        <v>0.2</v>
      </c>
      <c r="G10" s="85">
        <f t="shared" si="0"/>
        <v>182.22399999999999</v>
      </c>
      <c r="H10" s="246"/>
      <c r="I10" s="246">
        <v>1.42</v>
      </c>
      <c r="J10" s="288" t="s">
        <v>1042</v>
      </c>
      <c r="K10" s="89" t="s">
        <v>433</v>
      </c>
      <c r="L10" s="114" t="s">
        <v>1047</v>
      </c>
      <c r="M10" s="241" t="s">
        <v>1057</v>
      </c>
      <c r="N10" s="238" t="s">
        <v>1058</v>
      </c>
      <c r="O10" s="239">
        <v>1</v>
      </c>
      <c r="P10" s="272" t="s">
        <v>1059</v>
      </c>
      <c r="Q10" s="348">
        <v>227.78</v>
      </c>
      <c r="R10" s="226">
        <v>0.2</v>
      </c>
      <c r="S10" s="85">
        <v>182.22399999999999</v>
      </c>
      <c r="T10" s="246"/>
      <c r="U10" s="246">
        <v>1.42</v>
      </c>
      <c r="V10" s="288" t="s">
        <v>1042</v>
      </c>
      <c r="W10" s="89" t="s">
        <v>433</v>
      </c>
      <c r="X10" s="114" t="s">
        <v>1047</v>
      </c>
    </row>
    <row r="11" spans="1:24" s="1" customFormat="1">
      <c r="A11" s="263" t="s">
        <v>1060</v>
      </c>
      <c r="B11" s="238" t="s">
        <v>1061</v>
      </c>
      <c r="C11" s="239">
        <v>1</v>
      </c>
      <c r="D11" s="272" t="s">
        <v>1059</v>
      </c>
      <c r="E11" s="348">
        <v>421.39</v>
      </c>
      <c r="F11" s="226">
        <f t="shared" si="1"/>
        <v>0.2</v>
      </c>
      <c r="G11" s="85">
        <f t="shared" si="0"/>
        <v>337.11199999999997</v>
      </c>
      <c r="H11" s="246"/>
      <c r="I11" s="246">
        <v>1.42</v>
      </c>
      <c r="J11" s="288" t="s">
        <v>1042</v>
      </c>
      <c r="K11" s="89" t="s">
        <v>433</v>
      </c>
      <c r="L11" s="114" t="s">
        <v>1047</v>
      </c>
      <c r="M11" s="241" t="s">
        <v>1060</v>
      </c>
      <c r="N11" s="238" t="s">
        <v>1061</v>
      </c>
      <c r="O11" s="239">
        <v>1</v>
      </c>
      <c r="P11" s="272" t="s">
        <v>1059</v>
      </c>
      <c r="Q11" s="348">
        <v>421.39</v>
      </c>
      <c r="R11" s="226">
        <v>0.2</v>
      </c>
      <c r="S11" s="85">
        <v>337.11199999999997</v>
      </c>
      <c r="T11" s="246"/>
      <c r="U11" s="246">
        <v>1.42</v>
      </c>
      <c r="V11" s="288" t="s">
        <v>1042</v>
      </c>
      <c r="W11" s="89" t="s">
        <v>433</v>
      </c>
      <c r="X11" s="114" t="s">
        <v>1047</v>
      </c>
    </row>
    <row r="12" spans="1:24" s="1" customFormat="1">
      <c r="A12" s="263" t="s">
        <v>2961</v>
      </c>
      <c r="B12" s="238" t="s">
        <v>2971</v>
      </c>
      <c r="C12" s="239">
        <v>1</v>
      </c>
      <c r="D12" s="272" t="s">
        <v>1059</v>
      </c>
      <c r="E12" s="348">
        <v>384.28</v>
      </c>
      <c r="F12" s="226">
        <f t="shared" si="1"/>
        <v>0.2</v>
      </c>
      <c r="G12" s="85">
        <f t="shared" si="0"/>
        <v>307.42399999999998</v>
      </c>
      <c r="H12" s="246"/>
      <c r="I12" s="246">
        <v>1.42</v>
      </c>
      <c r="J12" s="288" t="s">
        <v>1042</v>
      </c>
      <c r="K12" s="89" t="s">
        <v>433</v>
      </c>
      <c r="L12" s="114" t="s">
        <v>1047</v>
      </c>
      <c r="M12" s="643" t="s">
        <v>1062</v>
      </c>
      <c r="N12" s="653" t="s">
        <v>1063</v>
      </c>
      <c r="O12" s="671">
        <v>1</v>
      </c>
      <c r="P12" s="646" t="s">
        <v>1059</v>
      </c>
      <c r="Q12" s="654">
        <v>384.28</v>
      </c>
      <c r="R12" s="648">
        <v>0.2</v>
      </c>
      <c r="S12" s="655">
        <v>307.42399999999998</v>
      </c>
      <c r="T12" s="656"/>
      <c r="U12" s="656">
        <v>2.5</v>
      </c>
      <c r="V12" s="288" t="s">
        <v>1042</v>
      </c>
      <c r="W12" s="89" t="s">
        <v>433</v>
      </c>
      <c r="X12" s="114" t="s">
        <v>1047</v>
      </c>
    </row>
    <row r="13" spans="1:24" s="1" customFormat="1">
      <c r="A13" s="263" t="s">
        <v>2968</v>
      </c>
      <c r="B13" s="238" t="s">
        <v>2972</v>
      </c>
      <c r="C13" s="239">
        <v>1</v>
      </c>
      <c r="D13" s="272" t="s">
        <v>1059</v>
      </c>
      <c r="E13" s="348">
        <v>463.06</v>
      </c>
      <c r="F13" s="226">
        <f t="shared" si="1"/>
        <v>0.2</v>
      </c>
      <c r="G13" s="85">
        <f t="shared" si="0"/>
        <v>370.44799999999998</v>
      </c>
      <c r="H13" s="246"/>
      <c r="I13" s="246">
        <v>1.42</v>
      </c>
      <c r="J13" s="288" t="s">
        <v>1042</v>
      </c>
      <c r="K13" s="89" t="s">
        <v>433</v>
      </c>
      <c r="L13" s="114" t="s">
        <v>1047</v>
      </c>
      <c r="M13" s="643" t="s">
        <v>1064</v>
      </c>
      <c r="N13" s="653" t="s">
        <v>1065</v>
      </c>
      <c r="O13" s="671">
        <v>1</v>
      </c>
      <c r="P13" s="646" t="s">
        <v>1059</v>
      </c>
      <c r="Q13" s="654">
        <v>463.06</v>
      </c>
      <c r="R13" s="648">
        <v>0.2</v>
      </c>
      <c r="S13" s="655">
        <v>370.44799999999998</v>
      </c>
      <c r="T13" s="656"/>
      <c r="U13" s="656">
        <v>2.5</v>
      </c>
      <c r="V13" s="288" t="s">
        <v>1042</v>
      </c>
      <c r="W13" s="89" t="s">
        <v>433</v>
      </c>
      <c r="X13" s="114" t="s">
        <v>1047</v>
      </c>
    </row>
    <row r="14" spans="1:24" s="96" customFormat="1">
      <c r="A14" s="263" t="s">
        <v>1066</v>
      </c>
      <c r="B14" s="238" t="s">
        <v>1067</v>
      </c>
      <c r="C14" s="239">
        <v>1</v>
      </c>
      <c r="D14" s="272" t="s">
        <v>1059</v>
      </c>
      <c r="E14" s="348">
        <v>624.96</v>
      </c>
      <c r="F14" s="226">
        <f t="shared" si="1"/>
        <v>0.2</v>
      </c>
      <c r="G14" s="85">
        <f t="shared" si="0"/>
        <v>499.96800000000002</v>
      </c>
      <c r="H14" s="246"/>
      <c r="I14" s="246">
        <v>2.5</v>
      </c>
      <c r="J14" s="288" t="s">
        <v>1042</v>
      </c>
      <c r="K14" s="89" t="s">
        <v>433</v>
      </c>
      <c r="L14" s="114" t="s">
        <v>1047</v>
      </c>
      <c r="M14" s="241" t="s">
        <v>1066</v>
      </c>
      <c r="N14" s="238" t="s">
        <v>1067</v>
      </c>
      <c r="O14" s="239">
        <v>1</v>
      </c>
      <c r="P14" s="272" t="s">
        <v>1059</v>
      </c>
      <c r="Q14" s="348">
        <v>624.96</v>
      </c>
      <c r="R14" s="226">
        <v>0.2</v>
      </c>
      <c r="S14" s="85">
        <v>499.96800000000002</v>
      </c>
      <c r="T14" s="246"/>
      <c r="U14" s="246">
        <v>2.5</v>
      </c>
      <c r="V14" s="288" t="s">
        <v>1042</v>
      </c>
      <c r="W14" s="89" t="s">
        <v>433</v>
      </c>
      <c r="X14" s="114" t="s">
        <v>1047</v>
      </c>
    </row>
    <row r="15" spans="1:24" s="1" customFormat="1">
      <c r="A15" s="263" t="s">
        <v>1068</v>
      </c>
      <c r="B15" s="238" t="s">
        <v>1069</v>
      </c>
      <c r="C15" s="239">
        <v>1</v>
      </c>
      <c r="D15" s="272" t="s">
        <v>1059</v>
      </c>
      <c r="E15" s="348">
        <v>510.75</v>
      </c>
      <c r="F15" s="226">
        <f t="shared" si="1"/>
        <v>0.2</v>
      </c>
      <c r="G15" s="85">
        <f t="shared" si="0"/>
        <v>408.6</v>
      </c>
      <c r="H15" s="246"/>
      <c r="I15" s="246">
        <v>2.5</v>
      </c>
      <c r="J15" s="288" t="s">
        <v>1042</v>
      </c>
      <c r="K15" s="89" t="s">
        <v>433</v>
      </c>
      <c r="L15" s="114" t="s">
        <v>1047</v>
      </c>
      <c r="M15" s="241" t="s">
        <v>1068</v>
      </c>
      <c r="N15" s="238" t="s">
        <v>1069</v>
      </c>
      <c r="O15" s="239">
        <v>1</v>
      </c>
      <c r="P15" s="272" t="s">
        <v>1059</v>
      </c>
      <c r="Q15" s="348">
        <v>510.75</v>
      </c>
      <c r="R15" s="226">
        <v>0.2</v>
      </c>
      <c r="S15" s="85">
        <v>408.6</v>
      </c>
      <c r="T15" s="246"/>
      <c r="U15" s="246">
        <v>2.5</v>
      </c>
      <c r="V15" s="288" t="s">
        <v>1042</v>
      </c>
      <c r="W15" s="89" t="s">
        <v>433</v>
      </c>
      <c r="X15" s="114" t="s">
        <v>1047</v>
      </c>
    </row>
    <row r="16" spans="1:24" s="1" customFormat="1">
      <c r="A16" s="263" t="s">
        <v>1070</v>
      </c>
      <c r="B16" s="435" t="s">
        <v>1071</v>
      </c>
      <c r="C16" s="249">
        <v>1</v>
      </c>
      <c r="D16" s="436" t="s">
        <v>1072</v>
      </c>
      <c r="E16" s="348">
        <v>185</v>
      </c>
      <c r="F16" s="226">
        <f>rv_samsung</f>
        <v>0.2</v>
      </c>
      <c r="G16" s="67">
        <f t="shared" si="0"/>
        <v>148</v>
      </c>
      <c r="H16" s="224"/>
      <c r="I16" s="224">
        <v>1.25</v>
      </c>
      <c r="J16" s="288" t="s">
        <v>1042</v>
      </c>
      <c r="K16" s="89" t="s">
        <v>433</v>
      </c>
      <c r="L16" s="114" t="s">
        <v>1047</v>
      </c>
      <c r="M16" s="241" t="s">
        <v>1070</v>
      </c>
      <c r="N16" s="435" t="s">
        <v>1071</v>
      </c>
      <c r="O16" s="249">
        <v>1</v>
      </c>
      <c r="P16" s="436" t="s">
        <v>1072</v>
      </c>
      <c r="Q16" s="348">
        <v>185</v>
      </c>
      <c r="R16" s="226">
        <v>0.2</v>
      </c>
      <c r="S16" s="67">
        <v>148</v>
      </c>
      <c r="T16" s="224"/>
      <c r="U16" s="224">
        <v>1.25</v>
      </c>
      <c r="V16" s="288" t="s">
        <v>1042</v>
      </c>
      <c r="W16" s="89" t="s">
        <v>433</v>
      </c>
      <c r="X16" s="114" t="s">
        <v>1047</v>
      </c>
    </row>
    <row r="17" spans="1:24" s="1" customFormat="1">
      <c r="A17" s="263" t="s">
        <v>1073</v>
      </c>
      <c r="B17" s="435" t="s">
        <v>2970</v>
      </c>
      <c r="C17" s="249">
        <v>1</v>
      </c>
      <c r="D17" s="436" t="s">
        <v>1072</v>
      </c>
      <c r="E17" s="348">
        <v>399.17</v>
      </c>
      <c r="F17" s="226">
        <f>rv_samsung</f>
        <v>0.2</v>
      </c>
      <c r="G17" s="67">
        <f t="shared" si="0"/>
        <v>319.33600000000001</v>
      </c>
      <c r="H17" s="224"/>
      <c r="I17" s="224">
        <v>2.08</v>
      </c>
      <c r="J17" s="288" t="s">
        <v>1042</v>
      </c>
      <c r="K17" s="89" t="s">
        <v>433</v>
      </c>
      <c r="L17" s="114" t="s">
        <v>1047</v>
      </c>
      <c r="M17" s="643" t="s">
        <v>1074</v>
      </c>
      <c r="N17" s="675" t="s">
        <v>1075</v>
      </c>
      <c r="O17" s="645">
        <v>1</v>
      </c>
      <c r="P17" s="676" t="s">
        <v>1072</v>
      </c>
      <c r="Q17" s="654">
        <v>410</v>
      </c>
      <c r="R17" s="648">
        <v>0.2</v>
      </c>
      <c r="S17" s="659">
        <v>328</v>
      </c>
      <c r="T17" s="651"/>
      <c r="U17" s="651">
        <v>2.08</v>
      </c>
      <c r="V17" s="288" t="s">
        <v>1042</v>
      </c>
      <c r="W17" s="89" t="s">
        <v>433</v>
      </c>
      <c r="X17" s="114" t="s">
        <v>1047</v>
      </c>
    </row>
    <row r="18" spans="1:24" s="1" customFormat="1">
      <c r="A18" s="263" t="s">
        <v>1076</v>
      </c>
      <c r="B18" s="435" t="s">
        <v>2969</v>
      </c>
      <c r="C18" s="249">
        <v>1</v>
      </c>
      <c r="D18" s="436" t="s">
        <v>1072</v>
      </c>
      <c r="E18" s="348">
        <v>456</v>
      </c>
      <c r="F18" s="226">
        <f>rv_samsung</f>
        <v>0.2</v>
      </c>
      <c r="G18" s="67">
        <f t="shared" si="0"/>
        <v>364.8</v>
      </c>
      <c r="H18" s="224"/>
      <c r="I18" s="224">
        <v>2.08</v>
      </c>
      <c r="J18" s="288" t="s">
        <v>1042</v>
      </c>
      <c r="K18" s="89" t="s">
        <v>433</v>
      </c>
      <c r="L18" s="114" t="s">
        <v>1047</v>
      </c>
      <c r="M18" s="241" t="s">
        <v>1076</v>
      </c>
      <c r="N18" s="435" t="s">
        <v>1077</v>
      </c>
      <c r="O18" s="249">
        <v>1</v>
      </c>
      <c r="P18" s="436" t="s">
        <v>1072</v>
      </c>
      <c r="Q18" s="348">
        <v>456</v>
      </c>
      <c r="R18" s="226">
        <v>0.2</v>
      </c>
      <c r="S18" s="67">
        <v>364.8</v>
      </c>
      <c r="T18" s="224"/>
      <c r="U18" s="224">
        <v>2.08</v>
      </c>
      <c r="V18" s="288" t="s">
        <v>1042</v>
      </c>
      <c r="W18" s="89" t="s">
        <v>433</v>
      </c>
      <c r="X18" s="114" t="s">
        <v>1047</v>
      </c>
    </row>
    <row r="19" spans="1:24" s="92" customFormat="1" ht="14.1" customHeight="1">
      <c r="A19" s="678" t="s">
        <v>1078</v>
      </c>
      <c r="B19" s="435" t="s">
        <v>2967</v>
      </c>
      <c r="C19" s="249">
        <v>1</v>
      </c>
      <c r="D19" s="436" t="s">
        <v>1072</v>
      </c>
      <c r="E19" s="348">
        <v>570.83000000000004</v>
      </c>
      <c r="F19" s="226">
        <f>rv_samsung</f>
        <v>0.2</v>
      </c>
      <c r="G19" s="67">
        <f t="shared" si="0"/>
        <v>456.66400000000004</v>
      </c>
      <c r="H19" s="224"/>
      <c r="I19" s="224">
        <v>2.08</v>
      </c>
      <c r="J19" s="288" t="s">
        <v>1042</v>
      </c>
      <c r="K19" s="89" t="s">
        <v>433</v>
      </c>
      <c r="L19" s="114" t="s">
        <v>1047</v>
      </c>
      <c r="M19" s="266"/>
      <c r="N19" s="714"/>
      <c r="O19" s="715"/>
      <c r="P19" s="716"/>
      <c r="Q19" s="717"/>
      <c r="R19" s="718"/>
      <c r="S19" s="719"/>
      <c r="T19" s="720"/>
      <c r="U19" s="720"/>
      <c r="V19" s="288"/>
      <c r="W19" s="89"/>
      <c r="X19" s="114"/>
    </row>
    <row r="20" spans="1:24" s="92" customFormat="1" ht="14.1" customHeight="1">
      <c r="A20" s="678"/>
      <c r="B20" s="504"/>
      <c r="C20" s="249"/>
      <c r="D20" s="273"/>
      <c r="E20" s="348"/>
      <c r="F20" s="226"/>
      <c r="G20" s="67"/>
      <c r="H20" s="224"/>
      <c r="I20" s="224"/>
      <c r="J20" s="288"/>
      <c r="K20" s="89"/>
      <c r="L20" s="114"/>
      <c r="M20" s="660" t="s">
        <v>1079</v>
      </c>
      <c r="N20" s="661" t="s">
        <v>1080</v>
      </c>
      <c r="O20" s="662">
        <v>1</v>
      </c>
      <c r="P20" s="663" t="s">
        <v>1081</v>
      </c>
      <c r="Q20" s="664">
        <v>166.62</v>
      </c>
      <c r="R20" s="665">
        <v>0.1</v>
      </c>
      <c r="S20" s="666">
        <v>149.958</v>
      </c>
      <c r="T20" s="667"/>
      <c r="U20" s="667">
        <v>1.42</v>
      </c>
      <c r="V20" s="288" t="s">
        <v>1042</v>
      </c>
      <c r="W20" s="89" t="s">
        <v>433</v>
      </c>
      <c r="X20" s="114" t="s">
        <v>1047</v>
      </c>
    </row>
    <row r="21" spans="1:24" s="1" customFormat="1">
      <c r="A21" s="263"/>
      <c r="B21" s="238"/>
      <c r="C21" s="249"/>
      <c r="D21" s="273"/>
      <c r="E21" s="348"/>
      <c r="F21" s="226"/>
      <c r="G21" s="67"/>
      <c r="H21" s="224"/>
      <c r="I21" s="224"/>
      <c r="J21" s="288"/>
      <c r="K21" s="89"/>
      <c r="L21" s="114"/>
      <c r="M21" s="643" t="s">
        <v>1082</v>
      </c>
      <c r="N21" s="653" t="s">
        <v>1083</v>
      </c>
      <c r="O21" s="645">
        <v>1</v>
      </c>
      <c r="P21" s="668" t="s">
        <v>1081</v>
      </c>
      <c r="Q21" s="654">
        <v>323.2</v>
      </c>
      <c r="R21" s="648">
        <v>0.1</v>
      </c>
      <c r="S21" s="659">
        <v>290.88</v>
      </c>
      <c r="T21" s="651"/>
      <c r="U21" s="651">
        <v>2.5</v>
      </c>
      <c r="V21" s="288" t="s">
        <v>1042</v>
      </c>
      <c r="W21" s="89" t="s">
        <v>433</v>
      </c>
      <c r="X21" s="114" t="s">
        <v>1047</v>
      </c>
    </row>
    <row r="22" spans="1:24" s="1" customFormat="1">
      <c r="A22" s="263"/>
      <c r="B22" s="238"/>
      <c r="C22" s="249"/>
      <c r="D22" s="273"/>
      <c r="E22" s="348"/>
      <c r="F22" s="226"/>
      <c r="G22" s="67"/>
      <c r="H22" s="224"/>
      <c r="I22" s="224"/>
      <c r="J22" s="288"/>
      <c r="K22" s="89"/>
      <c r="L22" s="114"/>
      <c r="M22" s="643" t="s">
        <v>1084</v>
      </c>
      <c r="N22" s="653" t="s">
        <v>1085</v>
      </c>
      <c r="O22" s="645">
        <v>1</v>
      </c>
      <c r="P22" s="668" t="s">
        <v>1081</v>
      </c>
      <c r="Q22" s="654">
        <v>274.17</v>
      </c>
      <c r="R22" s="648">
        <v>0.1</v>
      </c>
      <c r="S22" s="659">
        <v>246.75300000000001</v>
      </c>
      <c r="T22" s="651"/>
      <c r="U22" s="651">
        <v>2.5</v>
      </c>
      <c r="V22" s="288" t="s">
        <v>1042</v>
      </c>
      <c r="W22" s="89" t="s">
        <v>433</v>
      </c>
      <c r="X22" s="114" t="s">
        <v>1047</v>
      </c>
    </row>
    <row r="23" spans="1:24" s="1" customFormat="1">
      <c r="A23" s="263" t="s">
        <v>1086</v>
      </c>
      <c r="B23" s="238" t="s">
        <v>1087</v>
      </c>
      <c r="C23" s="249">
        <v>1</v>
      </c>
      <c r="D23" s="273" t="s">
        <v>1081</v>
      </c>
      <c r="E23" s="348">
        <v>419</v>
      </c>
      <c r="F23" s="226">
        <f t="shared" ref="F23:F26" si="2">rv_moniteur</f>
        <v>0.1</v>
      </c>
      <c r="G23" s="67">
        <f>E23-(E23*F23)</f>
        <v>377.1</v>
      </c>
      <c r="H23" s="224"/>
      <c r="I23" s="224">
        <v>2.5</v>
      </c>
      <c r="J23" s="288" t="s">
        <v>1042</v>
      </c>
      <c r="K23" s="89" t="s">
        <v>433</v>
      </c>
      <c r="L23" s="114" t="s">
        <v>1047</v>
      </c>
      <c r="M23" s="241" t="s">
        <v>1086</v>
      </c>
      <c r="N23" s="238" t="s">
        <v>1087</v>
      </c>
      <c r="O23" s="249">
        <v>1</v>
      </c>
      <c r="P23" s="273" t="s">
        <v>1081</v>
      </c>
      <c r="Q23" s="348">
        <v>419</v>
      </c>
      <c r="R23" s="226">
        <v>0.1</v>
      </c>
      <c r="S23" s="67">
        <v>377.1</v>
      </c>
      <c r="T23" s="224"/>
      <c r="U23" s="224">
        <v>2.5</v>
      </c>
      <c r="V23" s="288" t="s">
        <v>1042</v>
      </c>
      <c r="W23" s="89" t="s">
        <v>433</v>
      </c>
      <c r="X23" s="114" t="s">
        <v>1047</v>
      </c>
    </row>
    <row r="24" spans="1:24" s="1" customFormat="1">
      <c r="A24" s="263"/>
      <c r="B24" s="238"/>
      <c r="C24" s="249"/>
      <c r="D24" s="273"/>
      <c r="E24" s="348"/>
      <c r="F24" s="226"/>
      <c r="G24" s="67"/>
      <c r="H24" s="224"/>
      <c r="I24" s="224"/>
      <c r="J24" s="288"/>
      <c r="K24" s="89"/>
      <c r="L24" s="114"/>
      <c r="M24" s="643" t="s">
        <v>1088</v>
      </c>
      <c r="N24" s="653" t="s">
        <v>1089</v>
      </c>
      <c r="O24" s="645">
        <v>1</v>
      </c>
      <c r="P24" s="668" t="s">
        <v>1081</v>
      </c>
      <c r="Q24" s="654">
        <v>825.5</v>
      </c>
      <c r="R24" s="648">
        <v>0.1</v>
      </c>
      <c r="S24" s="659">
        <v>742.95</v>
      </c>
      <c r="T24" s="651"/>
      <c r="U24" s="651">
        <v>2.5</v>
      </c>
      <c r="V24" s="288" t="s">
        <v>1042</v>
      </c>
      <c r="W24" s="89" t="s">
        <v>433</v>
      </c>
      <c r="X24" s="114" t="s">
        <v>1047</v>
      </c>
    </row>
    <row r="25" spans="1:24" s="1" customFormat="1">
      <c r="A25" s="263" t="s">
        <v>1090</v>
      </c>
      <c r="B25" s="238" t="s">
        <v>1091</v>
      </c>
      <c r="C25" s="249">
        <v>1</v>
      </c>
      <c r="D25" s="273" t="s">
        <v>1081</v>
      </c>
      <c r="E25" s="348">
        <v>610.48</v>
      </c>
      <c r="F25" s="226">
        <f t="shared" si="2"/>
        <v>0.1</v>
      </c>
      <c r="G25" s="67">
        <f>E25-(E25*F25)</f>
        <v>549.43200000000002</v>
      </c>
      <c r="H25" s="224"/>
      <c r="I25" s="224">
        <v>1.42</v>
      </c>
      <c r="J25" s="288" t="s">
        <v>1042</v>
      </c>
      <c r="K25" s="89" t="s">
        <v>433</v>
      </c>
      <c r="L25" s="114" t="s">
        <v>1047</v>
      </c>
      <c r="M25" s="241" t="s">
        <v>1090</v>
      </c>
      <c r="N25" s="238" t="s">
        <v>1091</v>
      </c>
      <c r="O25" s="249">
        <v>1</v>
      </c>
      <c r="P25" s="273" t="s">
        <v>1081</v>
      </c>
      <c r="Q25" s="348">
        <v>610.48</v>
      </c>
      <c r="R25" s="226">
        <v>0.1</v>
      </c>
      <c r="S25" s="67">
        <v>549.43200000000002</v>
      </c>
      <c r="T25" s="224"/>
      <c r="U25" s="224">
        <v>1.42</v>
      </c>
      <c r="V25" s="288" t="s">
        <v>1042</v>
      </c>
      <c r="W25" s="89" t="s">
        <v>433</v>
      </c>
      <c r="X25" s="114" t="s">
        <v>1047</v>
      </c>
    </row>
    <row r="26" spans="1:24" s="1" customFormat="1" ht="13.5" thickBot="1">
      <c r="A26" s="263" t="s">
        <v>1092</v>
      </c>
      <c r="B26" s="238" t="s">
        <v>1093</v>
      </c>
      <c r="C26" s="249">
        <v>1</v>
      </c>
      <c r="D26" s="273" t="s">
        <v>1081</v>
      </c>
      <c r="E26" s="348">
        <v>684.81</v>
      </c>
      <c r="F26" s="226">
        <f t="shared" si="2"/>
        <v>0.1</v>
      </c>
      <c r="G26" s="67">
        <f>E26-(E26*F26)</f>
        <v>616.32899999999995</v>
      </c>
      <c r="H26" s="224"/>
      <c r="I26" s="224">
        <v>2.5</v>
      </c>
      <c r="J26" s="288" t="s">
        <v>1042</v>
      </c>
      <c r="K26" s="89" t="s">
        <v>433</v>
      </c>
      <c r="L26" s="114" t="s">
        <v>1047</v>
      </c>
      <c r="M26" s="241" t="s">
        <v>1092</v>
      </c>
      <c r="N26" s="238" t="s">
        <v>1093</v>
      </c>
      <c r="O26" s="249">
        <v>1</v>
      </c>
      <c r="P26" s="273" t="s">
        <v>1081</v>
      </c>
      <c r="Q26" s="348">
        <v>684.81</v>
      </c>
      <c r="R26" s="226">
        <v>0.1</v>
      </c>
      <c r="S26" s="67">
        <v>616.32899999999995</v>
      </c>
      <c r="T26" s="224"/>
      <c r="U26" s="224">
        <v>2.5</v>
      </c>
      <c r="V26" s="288" t="s">
        <v>1042</v>
      </c>
      <c r="W26" s="89" t="s">
        <v>433</v>
      </c>
      <c r="X26" s="114" t="s">
        <v>1047</v>
      </c>
    </row>
    <row r="27" spans="1:24" s="1" customFormat="1" ht="21.95" customHeight="1" thickBot="1">
      <c r="A27" s="679" t="s">
        <v>1094</v>
      </c>
      <c r="B27" s="458" t="s">
        <v>1095</v>
      </c>
      <c r="C27" s="459"/>
      <c r="D27" s="459"/>
      <c r="E27" s="460"/>
      <c r="F27" s="461"/>
      <c r="G27" s="460"/>
      <c r="H27" s="460"/>
      <c r="I27" s="460"/>
      <c r="J27" s="635"/>
      <c r="K27" s="462"/>
      <c r="L27" s="463"/>
      <c r="M27" s="467" t="s">
        <v>1094</v>
      </c>
      <c r="N27" s="458" t="s">
        <v>1095</v>
      </c>
      <c r="O27" s="459"/>
      <c r="P27" s="459"/>
      <c r="Q27" s="460"/>
      <c r="R27" s="461"/>
      <c r="S27" s="460"/>
      <c r="T27" s="460"/>
      <c r="U27" s="460"/>
      <c r="V27" s="635"/>
      <c r="W27" s="462"/>
      <c r="X27" s="463"/>
    </row>
    <row r="28" spans="1:24" s="1" customFormat="1">
      <c r="A28" s="263" t="s">
        <v>1096</v>
      </c>
      <c r="B28" s="248" t="s">
        <v>1097</v>
      </c>
      <c r="C28" s="249">
        <v>1</v>
      </c>
      <c r="D28" s="272" t="s">
        <v>1098</v>
      </c>
      <c r="E28" s="348">
        <v>5.0199999999999996</v>
      </c>
      <c r="F28" s="226">
        <f t="shared" ref="F28:F40" si="3">rv_20</f>
        <v>0.2</v>
      </c>
      <c r="G28" s="67">
        <f t="shared" ref="G28:G59" si="4">E28-(E28*F28)</f>
        <v>4.016</v>
      </c>
      <c r="H28" s="224">
        <v>2</v>
      </c>
      <c r="I28" s="224">
        <v>0.01</v>
      </c>
      <c r="J28" s="288" t="s">
        <v>1099</v>
      </c>
      <c r="K28" s="89" t="s">
        <v>433</v>
      </c>
      <c r="L28" s="114" t="s">
        <v>1047</v>
      </c>
      <c r="M28" s="241" t="s">
        <v>1096</v>
      </c>
      <c r="N28" s="248" t="s">
        <v>1097</v>
      </c>
      <c r="O28" s="249">
        <v>1</v>
      </c>
      <c r="P28" s="272" t="s">
        <v>1098</v>
      </c>
      <c r="Q28" s="348">
        <v>5.0199999999999996</v>
      </c>
      <c r="R28" s="226">
        <v>0.2</v>
      </c>
      <c r="S28" s="67">
        <v>4.016</v>
      </c>
      <c r="T28" s="224">
        <v>2</v>
      </c>
      <c r="U28" s="224">
        <v>0.01</v>
      </c>
      <c r="V28" s="288" t="s">
        <v>1099</v>
      </c>
      <c r="W28" s="89" t="s">
        <v>433</v>
      </c>
      <c r="X28" s="114" t="s">
        <v>1047</v>
      </c>
    </row>
    <row r="29" spans="1:24" s="1" customFormat="1">
      <c r="A29" s="263" t="s">
        <v>1100</v>
      </c>
      <c r="B29" s="248" t="s">
        <v>1101</v>
      </c>
      <c r="C29" s="249">
        <v>1</v>
      </c>
      <c r="D29" s="272" t="s">
        <v>1098</v>
      </c>
      <c r="E29" s="348">
        <v>9.18</v>
      </c>
      <c r="F29" s="226">
        <f t="shared" si="3"/>
        <v>0.2</v>
      </c>
      <c r="G29" s="67">
        <f t="shared" si="4"/>
        <v>7.3439999999999994</v>
      </c>
      <c r="H29" s="224">
        <v>2.8</v>
      </c>
      <c r="I29" s="224">
        <v>0.01</v>
      </c>
      <c r="J29" s="288" t="s">
        <v>1099</v>
      </c>
      <c r="K29" s="89" t="s">
        <v>433</v>
      </c>
      <c r="L29" s="114" t="s">
        <v>1047</v>
      </c>
      <c r="M29" s="241" t="s">
        <v>1100</v>
      </c>
      <c r="N29" s="248" t="s">
        <v>1101</v>
      </c>
      <c r="O29" s="249">
        <v>1</v>
      </c>
      <c r="P29" s="272" t="s">
        <v>1098</v>
      </c>
      <c r="Q29" s="348">
        <v>9.18</v>
      </c>
      <c r="R29" s="226">
        <v>0.2</v>
      </c>
      <c r="S29" s="67">
        <v>7.3439999999999994</v>
      </c>
      <c r="T29" s="224">
        <v>2.8</v>
      </c>
      <c r="U29" s="224">
        <v>0.01</v>
      </c>
      <c r="V29" s="288" t="s">
        <v>1099</v>
      </c>
      <c r="W29" s="89" t="s">
        <v>433</v>
      </c>
      <c r="X29" s="114" t="s">
        <v>1047</v>
      </c>
    </row>
    <row r="30" spans="1:24" s="1" customFormat="1">
      <c r="A30" s="263" t="s">
        <v>1102</v>
      </c>
      <c r="B30" s="248" t="s">
        <v>1103</v>
      </c>
      <c r="C30" s="249">
        <v>1</v>
      </c>
      <c r="D30" s="272" t="s">
        <v>1098</v>
      </c>
      <c r="E30" s="348">
        <v>17.52</v>
      </c>
      <c r="F30" s="226">
        <f t="shared" si="3"/>
        <v>0.2</v>
      </c>
      <c r="G30" s="67">
        <f t="shared" si="4"/>
        <v>14.016</v>
      </c>
      <c r="H30" s="224">
        <v>3.4</v>
      </c>
      <c r="I30" s="224">
        <v>0.01</v>
      </c>
      <c r="J30" s="288" t="s">
        <v>1099</v>
      </c>
      <c r="K30" s="89" t="s">
        <v>433</v>
      </c>
      <c r="L30" s="114" t="s">
        <v>1047</v>
      </c>
      <c r="M30" s="241" t="s">
        <v>1102</v>
      </c>
      <c r="N30" s="248" t="s">
        <v>1103</v>
      </c>
      <c r="O30" s="249">
        <v>1</v>
      </c>
      <c r="P30" s="272" t="s">
        <v>1098</v>
      </c>
      <c r="Q30" s="348">
        <v>17.52</v>
      </c>
      <c r="R30" s="226">
        <v>0.2</v>
      </c>
      <c r="S30" s="67">
        <v>14.016</v>
      </c>
      <c r="T30" s="224">
        <v>3.4</v>
      </c>
      <c r="U30" s="224">
        <v>0.01</v>
      </c>
      <c r="V30" s="288" t="s">
        <v>1099</v>
      </c>
      <c r="W30" s="89" t="s">
        <v>433</v>
      </c>
      <c r="X30" s="114" t="s">
        <v>1047</v>
      </c>
    </row>
    <row r="31" spans="1:24" s="1" customFormat="1">
      <c r="A31" s="263" t="s">
        <v>1104</v>
      </c>
      <c r="B31" s="248" t="s">
        <v>1105</v>
      </c>
      <c r="C31" s="249">
        <v>1</v>
      </c>
      <c r="D31" s="272" t="s">
        <v>1098</v>
      </c>
      <c r="E31" s="348">
        <v>44.04</v>
      </c>
      <c r="F31" s="226">
        <f t="shared" si="3"/>
        <v>0.2</v>
      </c>
      <c r="G31" s="67">
        <f t="shared" si="4"/>
        <v>35.231999999999999</v>
      </c>
      <c r="H31" s="224">
        <v>4</v>
      </c>
      <c r="I31" s="224">
        <v>0.01</v>
      </c>
      <c r="J31" s="288" t="s">
        <v>1099</v>
      </c>
      <c r="K31" s="89" t="s">
        <v>433</v>
      </c>
      <c r="L31" s="114" t="s">
        <v>1047</v>
      </c>
      <c r="M31" s="241" t="s">
        <v>1104</v>
      </c>
      <c r="N31" s="248" t="s">
        <v>1105</v>
      </c>
      <c r="O31" s="249">
        <v>1</v>
      </c>
      <c r="P31" s="272" t="s">
        <v>1098</v>
      </c>
      <c r="Q31" s="348">
        <v>44.04</v>
      </c>
      <c r="R31" s="226">
        <v>0.2</v>
      </c>
      <c r="S31" s="67">
        <v>35.231999999999999</v>
      </c>
      <c r="T31" s="224">
        <v>4</v>
      </c>
      <c r="U31" s="224">
        <v>0.01</v>
      </c>
      <c r="V31" s="288" t="s">
        <v>1099</v>
      </c>
      <c r="W31" s="89" t="s">
        <v>433</v>
      </c>
      <c r="X31" s="114" t="s">
        <v>1047</v>
      </c>
    </row>
    <row r="32" spans="1:24" s="1" customFormat="1">
      <c r="A32" s="263">
        <v>49062</v>
      </c>
      <c r="B32" s="248" t="s">
        <v>1106</v>
      </c>
      <c r="C32" s="249">
        <v>1</v>
      </c>
      <c r="D32" s="272" t="s">
        <v>1107</v>
      </c>
      <c r="E32" s="348">
        <v>5.07</v>
      </c>
      <c r="F32" s="226">
        <f t="shared" si="3"/>
        <v>0.2</v>
      </c>
      <c r="G32" s="67">
        <f t="shared" si="4"/>
        <v>4.056</v>
      </c>
      <c r="H32" s="224">
        <v>1</v>
      </c>
      <c r="I32" s="224">
        <v>0.01</v>
      </c>
      <c r="J32" s="288" t="s">
        <v>1099</v>
      </c>
      <c r="K32" s="89" t="s">
        <v>433</v>
      </c>
      <c r="L32" s="114" t="s">
        <v>1047</v>
      </c>
      <c r="M32" s="241">
        <v>49062</v>
      </c>
      <c r="N32" s="248" t="s">
        <v>1106</v>
      </c>
      <c r="O32" s="249">
        <v>1</v>
      </c>
      <c r="P32" s="272" t="s">
        <v>1107</v>
      </c>
      <c r="Q32" s="348">
        <v>5.07</v>
      </c>
      <c r="R32" s="226">
        <v>0.2</v>
      </c>
      <c r="S32" s="67">
        <v>4.056</v>
      </c>
      <c r="T32" s="224">
        <v>1</v>
      </c>
      <c r="U32" s="224">
        <v>0.01</v>
      </c>
      <c r="V32" s="288" t="s">
        <v>1099</v>
      </c>
      <c r="W32" s="89" t="s">
        <v>433</v>
      </c>
      <c r="X32" s="114" t="s">
        <v>1047</v>
      </c>
    </row>
    <row r="33" spans="1:24" s="1" customFormat="1">
      <c r="A33" s="263">
        <v>49063</v>
      </c>
      <c r="B33" s="248" t="s">
        <v>1108</v>
      </c>
      <c r="C33" s="249">
        <v>1</v>
      </c>
      <c r="D33" s="272" t="s">
        <v>1107</v>
      </c>
      <c r="E33" s="348">
        <v>6.32</v>
      </c>
      <c r="F33" s="226">
        <f t="shared" si="3"/>
        <v>0.2</v>
      </c>
      <c r="G33" s="67">
        <f t="shared" si="4"/>
        <v>5.056</v>
      </c>
      <c r="H33" s="224">
        <v>1.5</v>
      </c>
      <c r="I33" s="224">
        <v>0.01</v>
      </c>
      <c r="J33" s="288" t="s">
        <v>1099</v>
      </c>
      <c r="K33" s="89" t="s">
        <v>433</v>
      </c>
      <c r="L33" s="114" t="s">
        <v>1047</v>
      </c>
      <c r="M33" s="241">
        <v>49063</v>
      </c>
      <c r="N33" s="248" t="s">
        <v>1108</v>
      </c>
      <c r="O33" s="249">
        <v>1</v>
      </c>
      <c r="P33" s="272" t="s">
        <v>1107</v>
      </c>
      <c r="Q33" s="348">
        <v>6.32</v>
      </c>
      <c r="R33" s="226">
        <v>0.2</v>
      </c>
      <c r="S33" s="67">
        <v>5.056</v>
      </c>
      <c r="T33" s="224">
        <v>1.5</v>
      </c>
      <c r="U33" s="224">
        <v>0.01</v>
      </c>
      <c r="V33" s="288" t="s">
        <v>1099</v>
      </c>
      <c r="W33" s="89" t="s">
        <v>433</v>
      </c>
      <c r="X33" s="114" t="s">
        <v>1047</v>
      </c>
    </row>
    <row r="34" spans="1:24" s="1" customFormat="1">
      <c r="A34" s="263" t="s">
        <v>1109</v>
      </c>
      <c r="B34" s="248" t="s">
        <v>1110</v>
      </c>
      <c r="C34" s="249">
        <v>1</v>
      </c>
      <c r="D34" s="272" t="s">
        <v>1111</v>
      </c>
      <c r="E34" s="348">
        <v>15.33</v>
      </c>
      <c r="F34" s="226">
        <f t="shared" si="3"/>
        <v>0.2</v>
      </c>
      <c r="G34" s="67">
        <f t="shared" si="4"/>
        <v>12.263999999999999</v>
      </c>
      <c r="H34" s="224">
        <v>2</v>
      </c>
      <c r="I34" s="224">
        <v>0.01</v>
      </c>
      <c r="J34" s="288" t="s">
        <v>1099</v>
      </c>
      <c r="K34" s="89" t="s">
        <v>433</v>
      </c>
      <c r="L34" s="114" t="s">
        <v>1047</v>
      </c>
      <c r="M34" s="241" t="s">
        <v>1109</v>
      </c>
      <c r="N34" s="248" t="s">
        <v>1110</v>
      </c>
      <c r="O34" s="249">
        <v>1</v>
      </c>
      <c r="P34" s="272" t="s">
        <v>1111</v>
      </c>
      <c r="Q34" s="348">
        <v>15.33</v>
      </c>
      <c r="R34" s="226">
        <v>0.2</v>
      </c>
      <c r="S34" s="67">
        <v>12.263999999999999</v>
      </c>
      <c r="T34" s="224">
        <v>2</v>
      </c>
      <c r="U34" s="224">
        <v>0.01</v>
      </c>
      <c r="V34" s="288" t="s">
        <v>1099</v>
      </c>
      <c r="W34" s="89" t="s">
        <v>433</v>
      </c>
      <c r="X34" s="114" t="s">
        <v>1047</v>
      </c>
    </row>
    <row r="35" spans="1:24" s="1" customFormat="1">
      <c r="A35" s="263" t="s">
        <v>1112</v>
      </c>
      <c r="B35" s="248" t="s">
        <v>1113</v>
      </c>
      <c r="C35" s="249">
        <v>1</v>
      </c>
      <c r="D35" s="272" t="s">
        <v>1111</v>
      </c>
      <c r="E35" s="348">
        <v>22.49</v>
      </c>
      <c r="F35" s="226">
        <f t="shared" si="3"/>
        <v>0.2</v>
      </c>
      <c r="G35" s="67">
        <f t="shared" si="4"/>
        <v>17.991999999999997</v>
      </c>
      <c r="H35" s="224">
        <v>2.8</v>
      </c>
      <c r="I35" s="224">
        <v>0.01</v>
      </c>
      <c r="J35" s="288" t="s">
        <v>1099</v>
      </c>
      <c r="K35" s="89" t="s">
        <v>433</v>
      </c>
      <c r="L35" s="114" t="s">
        <v>1047</v>
      </c>
      <c r="M35" s="241" t="s">
        <v>1112</v>
      </c>
      <c r="N35" s="248" t="s">
        <v>1113</v>
      </c>
      <c r="O35" s="249">
        <v>1</v>
      </c>
      <c r="P35" s="272" t="s">
        <v>1111</v>
      </c>
      <c r="Q35" s="348">
        <v>22.49</v>
      </c>
      <c r="R35" s="226">
        <v>0.2</v>
      </c>
      <c r="S35" s="67">
        <v>17.991999999999997</v>
      </c>
      <c r="T35" s="224">
        <v>2.8</v>
      </c>
      <c r="U35" s="224">
        <v>0.01</v>
      </c>
      <c r="V35" s="288" t="s">
        <v>1099</v>
      </c>
      <c r="W35" s="89" t="s">
        <v>433</v>
      </c>
      <c r="X35" s="114" t="s">
        <v>1047</v>
      </c>
    </row>
    <row r="36" spans="1:24" s="1" customFormat="1">
      <c r="A36" s="263" t="s">
        <v>1114</v>
      </c>
      <c r="B36" s="248" t="s">
        <v>1115</v>
      </c>
      <c r="C36" s="249">
        <v>1</v>
      </c>
      <c r="D36" s="272" t="s">
        <v>1111</v>
      </c>
      <c r="E36" s="348">
        <v>32.99</v>
      </c>
      <c r="F36" s="226">
        <f t="shared" si="3"/>
        <v>0.2</v>
      </c>
      <c r="G36" s="67">
        <f t="shared" si="4"/>
        <v>26.392000000000003</v>
      </c>
      <c r="H36" s="224">
        <v>3.4</v>
      </c>
      <c r="I36" s="224">
        <v>0.01</v>
      </c>
      <c r="J36" s="288" t="s">
        <v>1099</v>
      </c>
      <c r="K36" s="89" t="s">
        <v>433</v>
      </c>
      <c r="L36" s="114" t="s">
        <v>1047</v>
      </c>
      <c r="M36" s="241" t="s">
        <v>1114</v>
      </c>
      <c r="N36" s="248" t="s">
        <v>1115</v>
      </c>
      <c r="O36" s="249">
        <v>1</v>
      </c>
      <c r="P36" s="272" t="s">
        <v>1111</v>
      </c>
      <c r="Q36" s="348">
        <v>32.99</v>
      </c>
      <c r="R36" s="226">
        <v>0.2</v>
      </c>
      <c r="S36" s="67">
        <v>26.392000000000003</v>
      </c>
      <c r="T36" s="224">
        <v>3.4</v>
      </c>
      <c r="U36" s="224">
        <v>0.01</v>
      </c>
      <c r="V36" s="288" t="s">
        <v>1099</v>
      </c>
      <c r="W36" s="89" t="s">
        <v>433</v>
      </c>
      <c r="X36" s="114" t="s">
        <v>1047</v>
      </c>
    </row>
    <row r="37" spans="1:24" s="1" customFormat="1">
      <c r="A37" s="263" t="s">
        <v>1116</v>
      </c>
      <c r="B37" s="248" t="s">
        <v>1117</v>
      </c>
      <c r="C37" s="249">
        <v>1</v>
      </c>
      <c r="D37" s="272" t="s">
        <v>1111</v>
      </c>
      <c r="E37" s="348">
        <v>70.989999999999995</v>
      </c>
      <c r="F37" s="226">
        <f t="shared" si="3"/>
        <v>0.2</v>
      </c>
      <c r="G37" s="67">
        <f t="shared" si="4"/>
        <v>56.791999999999994</v>
      </c>
      <c r="H37" s="224">
        <v>4</v>
      </c>
      <c r="I37" s="224">
        <v>0.01</v>
      </c>
      <c r="J37" s="288" t="s">
        <v>1099</v>
      </c>
      <c r="K37" s="89" t="s">
        <v>433</v>
      </c>
      <c r="L37" s="114" t="s">
        <v>1047</v>
      </c>
      <c r="M37" s="241" t="s">
        <v>1116</v>
      </c>
      <c r="N37" s="248" t="s">
        <v>1117</v>
      </c>
      <c r="O37" s="249">
        <v>1</v>
      </c>
      <c r="P37" s="272" t="s">
        <v>1111</v>
      </c>
      <c r="Q37" s="348">
        <v>70.989999999999995</v>
      </c>
      <c r="R37" s="226">
        <v>0.2</v>
      </c>
      <c r="S37" s="67">
        <v>56.791999999999994</v>
      </c>
      <c r="T37" s="224">
        <v>4</v>
      </c>
      <c r="U37" s="224">
        <v>0.01</v>
      </c>
      <c r="V37" s="288" t="s">
        <v>1099</v>
      </c>
      <c r="W37" s="89" t="s">
        <v>433</v>
      </c>
      <c r="X37" s="114" t="s">
        <v>1047</v>
      </c>
    </row>
    <row r="38" spans="1:24" s="1" customFormat="1">
      <c r="A38" s="263" t="s">
        <v>1118</v>
      </c>
      <c r="B38" s="248" t="s">
        <v>1119</v>
      </c>
      <c r="C38" s="249">
        <v>1</v>
      </c>
      <c r="D38" s="272" t="s">
        <v>1072</v>
      </c>
      <c r="E38" s="348">
        <v>16.579999999999998</v>
      </c>
      <c r="F38" s="226">
        <f t="shared" si="3"/>
        <v>0.2</v>
      </c>
      <c r="G38" s="67">
        <f t="shared" si="4"/>
        <v>13.263999999999999</v>
      </c>
      <c r="H38" s="224">
        <v>2.8</v>
      </c>
      <c r="I38" s="224">
        <v>0.02</v>
      </c>
      <c r="J38" s="288" t="s">
        <v>1099</v>
      </c>
      <c r="K38" s="89" t="s">
        <v>433</v>
      </c>
      <c r="L38" s="114" t="s">
        <v>1047</v>
      </c>
      <c r="M38" s="241" t="s">
        <v>1118</v>
      </c>
      <c r="N38" s="248" t="s">
        <v>1119</v>
      </c>
      <c r="O38" s="249">
        <v>1</v>
      </c>
      <c r="P38" s="272" t="s">
        <v>1072</v>
      </c>
      <c r="Q38" s="348">
        <v>16.579999999999998</v>
      </c>
      <c r="R38" s="226">
        <v>0.2</v>
      </c>
      <c r="S38" s="67">
        <v>13.263999999999999</v>
      </c>
      <c r="T38" s="224">
        <v>2.8</v>
      </c>
      <c r="U38" s="224">
        <v>0.02</v>
      </c>
      <c r="V38" s="288" t="s">
        <v>1099</v>
      </c>
      <c r="W38" s="89" t="s">
        <v>433</v>
      </c>
      <c r="X38" s="114" t="s">
        <v>1047</v>
      </c>
    </row>
    <row r="39" spans="1:24" s="1" customFormat="1">
      <c r="A39" s="263" t="s">
        <v>1120</v>
      </c>
      <c r="B39" s="248" t="s">
        <v>1121</v>
      </c>
      <c r="C39" s="249">
        <v>1</v>
      </c>
      <c r="D39" s="272" t="s">
        <v>1072</v>
      </c>
      <c r="E39" s="348">
        <v>24.92</v>
      </c>
      <c r="F39" s="226">
        <f t="shared" si="3"/>
        <v>0.2</v>
      </c>
      <c r="G39" s="67">
        <f t="shared" si="4"/>
        <v>19.936</v>
      </c>
      <c r="H39" s="224">
        <v>3.4</v>
      </c>
      <c r="I39" s="224">
        <v>0.02</v>
      </c>
      <c r="J39" s="288" t="s">
        <v>1099</v>
      </c>
      <c r="K39" s="89" t="s">
        <v>433</v>
      </c>
      <c r="L39" s="114" t="s">
        <v>1047</v>
      </c>
      <c r="M39" s="241" t="s">
        <v>1120</v>
      </c>
      <c r="N39" s="248" t="s">
        <v>1121</v>
      </c>
      <c r="O39" s="249">
        <v>1</v>
      </c>
      <c r="P39" s="272" t="s">
        <v>1072</v>
      </c>
      <c r="Q39" s="348">
        <v>24.92</v>
      </c>
      <c r="R39" s="226">
        <v>0.2</v>
      </c>
      <c r="S39" s="67">
        <v>19.936</v>
      </c>
      <c r="T39" s="224">
        <v>3.4</v>
      </c>
      <c r="U39" s="224">
        <v>0.02</v>
      </c>
      <c r="V39" s="288" t="s">
        <v>1099</v>
      </c>
      <c r="W39" s="89" t="s">
        <v>433</v>
      </c>
      <c r="X39" s="114" t="s">
        <v>1047</v>
      </c>
    </row>
    <row r="40" spans="1:24" s="1" customFormat="1">
      <c r="A40" s="263" t="s">
        <v>1122</v>
      </c>
      <c r="B40" s="248" t="s">
        <v>1123</v>
      </c>
      <c r="C40" s="249">
        <v>1</v>
      </c>
      <c r="D40" s="272" t="s">
        <v>1072</v>
      </c>
      <c r="E40" s="348">
        <v>59.88</v>
      </c>
      <c r="F40" s="226">
        <f t="shared" si="3"/>
        <v>0.2</v>
      </c>
      <c r="G40" s="67">
        <f t="shared" si="4"/>
        <v>47.904000000000003</v>
      </c>
      <c r="H40" s="224">
        <v>4</v>
      </c>
      <c r="I40" s="224">
        <v>0.02</v>
      </c>
      <c r="J40" s="288" t="s">
        <v>1099</v>
      </c>
      <c r="K40" s="89" t="s">
        <v>433</v>
      </c>
      <c r="L40" s="114" t="s">
        <v>1047</v>
      </c>
      <c r="M40" s="241" t="s">
        <v>1122</v>
      </c>
      <c r="N40" s="248" t="s">
        <v>1123</v>
      </c>
      <c r="O40" s="249">
        <v>1</v>
      </c>
      <c r="P40" s="272" t="s">
        <v>1072</v>
      </c>
      <c r="Q40" s="348">
        <v>59.88</v>
      </c>
      <c r="R40" s="226">
        <v>0.2</v>
      </c>
      <c r="S40" s="67">
        <v>47.904000000000003</v>
      </c>
      <c r="T40" s="224">
        <v>4</v>
      </c>
      <c r="U40" s="224">
        <v>0.02</v>
      </c>
      <c r="V40" s="288" t="s">
        <v>1099</v>
      </c>
      <c r="W40" s="89" t="s">
        <v>433</v>
      </c>
      <c r="X40" s="114" t="s">
        <v>1047</v>
      </c>
    </row>
    <row r="41" spans="1:24" s="1" customFormat="1">
      <c r="A41" s="263" t="s">
        <v>1124</v>
      </c>
      <c r="B41" s="248" t="s">
        <v>1125</v>
      </c>
      <c r="C41" s="249">
        <v>1</v>
      </c>
      <c r="D41" s="250" t="s">
        <v>1098</v>
      </c>
      <c r="E41" s="351">
        <v>57.95</v>
      </c>
      <c r="F41" s="226">
        <f>rv_10</f>
        <v>0.1</v>
      </c>
      <c r="G41" s="67">
        <f t="shared" si="4"/>
        <v>52.155000000000001</v>
      </c>
      <c r="H41" s="246">
        <v>4</v>
      </c>
      <c r="I41" s="224">
        <v>0.01</v>
      </c>
      <c r="J41" s="288" t="s">
        <v>1099</v>
      </c>
      <c r="K41" s="89" t="s">
        <v>433</v>
      </c>
      <c r="L41" s="114" t="s">
        <v>1047</v>
      </c>
      <c r="M41" s="241" t="s">
        <v>1124</v>
      </c>
      <c r="N41" s="248" t="s">
        <v>1125</v>
      </c>
      <c r="O41" s="249">
        <v>1</v>
      </c>
      <c r="P41" s="250" t="s">
        <v>1098</v>
      </c>
      <c r="Q41" s="351">
        <v>57.95</v>
      </c>
      <c r="R41" s="226">
        <v>0.1</v>
      </c>
      <c r="S41" s="67">
        <v>52.155000000000001</v>
      </c>
      <c r="T41" s="246">
        <v>4</v>
      </c>
      <c r="U41" s="224">
        <v>0.01</v>
      </c>
      <c r="V41" s="288" t="s">
        <v>1099</v>
      </c>
      <c r="W41" s="89" t="s">
        <v>433</v>
      </c>
      <c r="X41" s="114" t="s">
        <v>1047</v>
      </c>
    </row>
    <row r="42" spans="1:24" s="1" customFormat="1">
      <c r="A42" s="263" t="s">
        <v>1126</v>
      </c>
      <c r="B42" s="248" t="s">
        <v>1127</v>
      </c>
      <c r="C42" s="249">
        <v>1</v>
      </c>
      <c r="D42" s="250" t="s">
        <v>1098</v>
      </c>
      <c r="E42" s="351">
        <v>99.95</v>
      </c>
      <c r="F42" s="226">
        <f>rv_10</f>
        <v>0.1</v>
      </c>
      <c r="G42" s="67">
        <f t="shared" si="4"/>
        <v>89.954999999999998</v>
      </c>
      <c r="H42" s="246">
        <v>4.5999999999999996</v>
      </c>
      <c r="I42" s="224">
        <v>0.01</v>
      </c>
      <c r="J42" s="288" t="s">
        <v>1099</v>
      </c>
      <c r="K42" s="89" t="s">
        <v>433</v>
      </c>
      <c r="L42" s="114" t="s">
        <v>1047</v>
      </c>
      <c r="M42" s="241" t="s">
        <v>1126</v>
      </c>
      <c r="N42" s="248" t="s">
        <v>1127</v>
      </c>
      <c r="O42" s="249">
        <v>1</v>
      </c>
      <c r="P42" s="250" t="s">
        <v>1098</v>
      </c>
      <c r="Q42" s="351">
        <v>99.95</v>
      </c>
      <c r="R42" s="226">
        <v>0.1</v>
      </c>
      <c r="S42" s="67">
        <v>89.954999999999998</v>
      </c>
      <c r="T42" s="246">
        <v>4.5999999999999996</v>
      </c>
      <c r="U42" s="224">
        <v>0.01</v>
      </c>
      <c r="V42" s="288" t="s">
        <v>1099</v>
      </c>
      <c r="W42" s="89" t="s">
        <v>433</v>
      </c>
      <c r="X42" s="114" t="s">
        <v>1047</v>
      </c>
    </row>
    <row r="43" spans="1:24" s="1" customFormat="1">
      <c r="A43" s="263" t="s">
        <v>1128</v>
      </c>
      <c r="B43" s="248" t="s">
        <v>1129</v>
      </c>
      <c r="C43" s="249">
        <v>1</v>
      </c>
      <c r="D43" s="250" t="s">
        <v>1098</v>
      </c>
      <c r="E43" s="351">
        <v>174.95</v>
      </c>
      <c r="F43" s="226">
        <f>rv_10</f>
        <v>0.1</v>
      </c>
      <c r="G43" s="67">
        <f t="shared" si="4"/>
        <v>157.45499999999998</v>
      </c>
      <c r="H43" s="246">
        <v>4.5999999999999996</v>
      </c>
      <c r="I43" s="224">
        <v>0.01</v>
      </c>
      <c r="J43" s="288" t="s">
        <v>1099</v>
      </c>
      <c r="K43" s="89" t="s">
        <v>433</v>
      </c>
      <c r="L43" s="114" t="s">
        <v>1047</v>
      </c>
      <c r="M43" s="241" t="s">
        <v>1128</v>
      </c>
      <c r="N43" s="248" t="s">
        <v>1129</v>
      </c>
      <c r="O43" s="249">
        <v>1</v>
      </c>
      <c r="P43" s="250" t="s">
        <v>1098</v>
      </c>
      <c r="Q43" s="351">
        <v>174.95</v>
      </c>
      <c r="R43" s="226">
        <v>0.1</v>
      </c>
      <c r="S43" s="67">
        <v>157.45499999999998</v>
      </c>
      <c r="T43" s="246">
        <v>4.5999999999999996</v>
      </c>
      <c r="U43" s="224">
        <v>0.01</v>
      </c>
      <c r="V43" s="288" t="s">
        <v>1099</v>
      </c>
      <c r="W43" s="89" t="s">
        <v>433</v>
      </c>
      <c r="X43" s="114" t="s">
        <v>1047</v>
      </c>
    </row>
    <row r="44" spans="1:24" s="1" customFormat="1">
      <c r="A44" s="263" t="s">
        <v>1130</v>
      </c>
      <c r="B44" s="248" t="s">
        <v>1131</v>
      </c>
      <c r="C44" s="249">
        <v>1</v>
      </c>
      <c r="D44" s="250" t="s">
        <v>1132</v>
      </c>
      <c r="E44" s="348">
        <v>144.84</v>
      </c>
      <c r="F44" s="226">
        <f t="shared" ref="F44:F82" si="5">rv_20</f>
        <v>0.2</v>
      </c>
      <c r="G44" s="67">
        <f t="shared" si="4"/>
        <v>115.872</v>
      </c>
      <c r="H44" s="246">
        <v>6</v>
      </c>
      <c r="I44" s="224">
        <v>0.02</v>
      </c>
      <c r="J44" s="288" t="s">
        <v>1099</v>
      </c>
      <c r="K44" s="89" t="s">
        <v>433</v>
      </c>
      <c r="L44" s="114" t="s">
        <v>1047</v>
      </c>
      <c r="M44" s="241" t="s">
        <v>1130</v>
      </c>
      <c r="N44" s="248" t="s">
        <v>1131</v>
      </c>
      <c r="O44" s="249">
        <v>1</v>
      </c>
      <c r="P44" s="250" t="s">
        <v>1132</v>
      </c>
      <c r="Q44" s="348">
        <v>144.84</v>
      </c>
      <c r="R44" s="226">
        <v>0.2</v>
      </c>
      <c r="S44" s="67">
        <v>115.872</v>
      </c>
      <c r="T44" s="246">
        <v>6</v>
      </c>
      <c r="U44" s="224">
        <v>0.02</v>
      </c>
      <c r="V44" s="288" t="s">
        <v>1099</v>
      </c>
      <c r="W44" s="89" t="s">
        <v>433</v>
      </c>
      <c r="X44" s="114" t="s">
        <v>1047</v>
      </c>
    </row>
    <row r="45" spans="1:24" s="1" customFormat="1">
      <c r="A45" s="263" t="s">
        <v>1133</v>
      </c>
      <c r="B45" s="248" t="s">
        <v>1134</v>
      </c>
      <c r="C45" s="249">
        <v>1</v>
      </c>
      <c r="D45" s="250" t="s">
        <v>1132</v>
      </c>
      <c r="E45" s="348">
        <v>288</v>
      </c>
      <c r="F45" s="226">
        <f t="shared" si="5"/>
        <v>0.2</v>
      </c>
      <c r="G45" s="67">
        <f t="shared" si="4"/>
        <v>230.4</v>
      </c>
      <c r="H45" s="246">
        <v>6</v>
      </c>
      <c r="I45" s="224">
        <v>0</v>
      </c>
      <c r="J45" s="288" t="s">
        <v>1099</v>
      </c>
      <c r="K45" s="89" t="s">
        <v>433</v>
      </c>
      <c r="L45" s="114" t="s">
        <v>1047</v>
      </c>
      <c r="M45" s="241" t="s">
        <v>1133</v>
      </c>
      <c r="N45" s="248" t="s">
        <v>1134</v>
      </c>
      <c r="O45" s="249">
        <v>1</v>
      </c>
      <c r="P45" s="250" t="s">
        <v>1132</v>
      </c>
      <c r="Q45" s="348">
        <v>288</v>
      </c>
      <c r="R45" s="226">
        <v>0.2</v>
      </c>
      <c r="S45" s="67">
        <v>230.4</v>
      </c>
      <c r="T45" s="246">
        <v>6</v>
      </c>
      <c r="U45" s="224">
        <v>0</v>
      </c>
      <c r="V45" s="288" t="s">
        <v>1099</v>
      </c>
      <c r="W45" s="89" t="s">
        <v>433</v>
      </c>
      <c r="X45" s="114" t="s">
        <v>1047</v>
      </c>
    </row>
    <row r="46" spans="1:24" s="1" customFormat="1">
      <c r="A46" s="263" t="s">
        <v>1135</v>
      </c>
      <c r="B46" s="248" t="s">
        <v>1136</v>
      </c>
      <c r="C46" s="249">
        <v>1</v>
      </c>
      <c r="D46" s="250" t="s">
        <v>1132</v>
      </c>
      <c r="E46" s="348">
        <v>378.68</v>
      </c>
      <c r="F46" s="226">
        <f t="shared" si="5"/>
        <v>0.2</v>
      </c>
      <c r="G46" s="67">
        <f t="shared" si="4"/>
        <v>302.94400000000002</v>
      </c>
      <c r="H46" s="246">
        <v>6</v>
      </c>
      <c r="I46" s="224">
        <v>0.3</v>
      </c>
      <c r="J46" s="288" t="s">
        <v>1099</v>
      </c>
      <c r="K46" s="89" t="s">
        <v>433</v>
      </c>
      <c r="L46" s="114" t="s">
        <v>1047</v>
      </c>
      <c r="M46" s="241" t="s">
        <v>1135</v>
      </c>
      <c r="N46" s="248" t="s">
        <v>1136</v>
      </c>
      <c r="O46" s="249">
        <v>1</v>
      </c>
      <c r="P46" s="250" t="s">
        <v>1132</v>
      </c>
      <c r="Q46" s="348">
        <v>378.68</v>
      </c>
      <c r="R46" s="226">
        <v>0.2</v>
      </c>
      <c r="S46" s="67">
        <v>302.94400000000002</v>
      </c>
      <c r="T46" s="246">
        <v>6</v>
      </c>
      <c r="U46" s="224">
        <v>0.3</v>
      </c>
      <c r="V46" s="288" t="s">
        <v>1099</v>
      </c>
      <c r="W46" s="89" t="s">
        <v>433</v>
      </c>
      <c r="X46" s="114" t="s">
        <v>1047</v>
      </c>
    </row>
    <row r="47" spans="1:24" s="1" customFormat="1">
      <c r="A47" s="263" t="s">
        <v>1137</v>
      </c>
      <c r="B47" s="248" t="s">
        <v>1138</v>
      </c>
      <c r="C47" s="249">
        <v>1</v>
      </c>
      <c r="D47" s="250" t="s">
        <v>1132</v>
      </c>
      <c r="E47" s="348">
        <v>194.99</v>
      </c>
      <c r="F47" s="226">
        <f t="shared" si="5"/>
        <v>0.2</v>
      </c>
      <c r="G47" s="67">
        <f t="shared" si="4"/>
        <v>155.99200000000002</v>
      </c>
      <c r="H47" s="246">
        <v>6</v>
      </c>
      <c r="I47" s="224">
        <v>0.05</v>
      </c>
      <c r="J47" s="288" t="s">
        <v>1099</v>
      </c>
      <c r="K47" s="89" t="s">
        <v>433</v>
      </c>
      <c r="L47" s="114" t="s">
        <v>1047</v>
      </c>
      <c r="M47" s="241" t="s">
        <v>1137</v>
      </c>
      <c r="N47" s="248" t="s">
        <v>1138</v>
      </c>
      <c r="O47" s="249">
        <v>1</v>
      </c>
      <c r="P47" s="250" t="s">
        <v>1132</v>
      </c>
      <c r="Q47" s="348">
        <v>231.3</v>
      </c>
      <c r="R47" s="226">
        <v>0.2</v>
      </c>
      <c r="S47" s="67">
        <v>185.04000000000002</v>
      </c>
      <c r="T47" s="246">
        <v>6</v>
      </c>
      <c r="U47" s="224">
        <v>0.05</v>
      </c>
      <c r="V47" s="288" t="s">
        <v>1099</v>
      </c>
      <c r="W47" s="89" t="s">
        <v>433</v>
      </c>
      <c r="X47" s="114" t="s">
        <v>1047</v>
      </c>
    </row>
    <row r="48" spans="1:24" s="1" customFormat="1">
      <c r="A48" s="263" t="s">
        <v>1139</v>
      </c>
      <c r="B48" s="248" t="s">
        <v>1140</v>
      </c>
      <c r="C48" s="249">
        <v>1</v>
      </c>
      <c r="D48" s="250" t="s">
        <v>1132</v>
      </c>
      <c r="E48" s="348">
        <v>279.99</v>
      </c>
      <c r="F48" s="226">
        <f t="shared" si="5"/>
        <v>0.2</v>
      </c>
      <c r="G48" s="67">
        <f t="shared" si="4"/>
        <v>223.99200000000002</v>
      </c>
      <c r="H48" s="246">
        <v>6</v>
      </c>
      <c r="I48" s="224">
        <v>0.05</v>
      </c>
      <c r="J48" s="288" t="s">
        <v>1099</v>
      </c>
      <c r="K48" s="89" t="s">
        <v>433</v>
      </c>
      <c r="L48" s="114" t="s">
        <v>1047</v>
      </c>
      <c r="M48" s="241" t="s">
        <v>1139</v>
      </c>
      <c r="N48" s="248" t="s">
        <v>1140</v>
      </c>
      <c r="O48" s="249">
        <v>1</v>
      </c>
      <c r="P48" s="250" t="s">
        <v>1132</v>
      </c>
      <c r="Q48" s="348">
        <v>367.78</v>
      </c>
      <c r="R48" s="226">
        <v>0.2</v>
      </c>
      <c r="S48" s="67">
        <v>294.22399999999999</v>
      </c>
      <c r="T48" s="246">
        <v>6</v>
      </c>
      <c r="U48" s="224">
        <v>0.05</v>
      </c>
      <c r="V48" s="288" t="s">
        <v>1099</v>
      </c>
      <c r="W48" s="89" t="s">
        <v>433</v>
      </c>
      <c r="X48" s="114" t="s">
        <v>1047</v>
      </c>
    </row>
    <row r="49" spans="1:24" s="1" customFormat="1">
      <c r="A49" s="263" t="s">
        <v>1141</v>
      </c>
      <c r="B49" s="248" t="s">
        <v>1142</v>
      </c>
      <c r="C49" s="249">
        <v>1</v>
      </c>
      <c r="D49" s="250" t="s">
        <v>1132</v>
      </c>
      <c r="E49" s="348">
        <v>419.99</v>
      </c>
      <c r="F49" s="226">
        <f t="shared" si="5"/>
        <v>0.2</v>
      </c>
      <c r="G49" s="67">
        <f t="shared" si="4"/>
        <v>335.99200000000002</v>
      </c>
      <c r="H49" s="246">
        <v>6</v>
      </c>
      <c r="I49" s="224">
        <v>0.05</v>
      </c>
      <c r="J49" s="288" t="s">
        <v>1099</v>
      </c>
      <c r="K49" s="89" t="s">
        <v>433</v>
      </c>
      <c r="L49" s="114" t="s">
        <v>1047</v>
      </c>
      <c r="M49" s="241" t="s">
        <v>1141</v>
      </c>
      <c r="N49" s="248" t="s">
        <v>1142</v>
      </c>
      <c r="O49" s="249">
        <v>1</v>
      </c>
      <c r="P49" s="250" t="s">
        <v>1132</v>
      </c>
      <c r="Q49" s="348">
        <v>627.29999999999995</v>
      </c>
      <c r="R49" s="226">
        <v>0.2</v>
      </c>
      <c r="S49" s="67">
        <v>501.84</v>
      </c>
      <c r="T49" s="246">
        <v>6</v>
      </c>
      <c r="U49" s="224">
        <v>0.05</v>
      </c>
      <c r="V49" s="288" t="s">
        <v>1099</v>
      </c>
      <c r="W49" s="89" t="s">
        <v>433</v>
      </c>
      <c r="X49" s="114" t="s">
        <v>1047</v>
      </c>
    </row>
    <row r="50" spans="1:24" s="1" customFormat="1">
      <c r="A50" s="263" t="s">
        <v>1143</v>
      </c>
      <c r="B50" s="248" t="s">
        <v>1144</v>
      </c>
      <c r="C50" s="249">
        <v>1</v>
      </c>
      <c r="D50" s="250" t="s">
        <v>1132</v>
      </c>
      <c r="E50" s="348">
        <v>939.99</v>
      </c>
      <c r="F50" s="226">
        <f t="shared" si="5"/>
        <v>0.2</v>
      </c>
      <c r="G50" s="67">
        <f t="shared" si="4"/>
        <v>751.99199999999996</v>
      </c>
      <c r="H50" s="246">
        <v>6</v>
      </c>
      <c r="I50" s="224">
        <v>0.05</v>
      </c>
      <c r="J50" s="288" t="s">
        <v>1099</v>
      </c>
      <c r="K50" s="89" t="s">
        <v>433</v>
      </c>
      <c r="L50" s="114" t="s">
        <v>1047</v>
      </c>
      <c r="M50" s="241" t="s">
        <v>1143</v>
      </c>
      <c r="N50" s="248" t="s">
        <v>1144</v>
      </c>
      <c r="O50" s="249">
        <v>1</v>
      </c>
      <c r="P50" s="250" t="s">
        <v>1132</v>
      </c>
      <c r="Q50" s="348">
        <v>1200</v>
      </c>
      <c r="R50" s="226">
        <v>0.2</v>
      </c>
      <c r="S50" s="67">
        <v>960</v>
      </c>
      <c r="T50" s="246">
        <v>6</v>
      </c>
      <c r="U50" s="224">
        <v>0.05</v>
      </c>
      <c r="V50" s="288" t="s">
        <v>1099</v>
      </c>
      <c r="W50" s="89" t="s">
        <v>433</v>
      </c>
      <c r="X50" s="114" t="s">
        <v>1047</v>
      </c>
    </row>
    <row r="51" spans="1:24" s="1" customFormat="1">
      <c r="A51" s="263" t="s">
        <v>1145</v>
      </c>
      <c r="B51" s="248" t="s">
        <v>1146</v>
      </c>
      <c r="C51" s="249">
        <v>1</v>
      </c>
      <c r="D51" s="250" t="s">
        <v>1132</v>
      </c>
      <c r="E51" s="348">
        <v>309.99</v>
      </c>
      <c r="F51" s="226">
        <f t="shared" si="5"/>
        <v>0.2</v>
      </c>
      <c r="G51" s="67">
        <f t="shared" si="4"/>
        <v>247.99200000000002</v>
      </c>
      <c r="H51" s="246">
        <v>6</v>
      </c>
      <c r="I51" s="224">
        <v>0.05</v>
      </c>
      <c r="J51" s="288" t="s">
        <v>1099</v>
      </c>
      <c r="K51" s="89" t="s">
        <v>433</v>
      </c>
      <c r="L51" s="114" t="s">
        <v>1047</v>
      </c>
      <c r="M51" s="241" t="s">
        <v>1145</v>
      </c>
      <c r="N51" s="248" t="s">
        <v>1146</v>
      </c>
      <c r="O51" s="249">
        <v>1</v>
      </c>
      <c r="P51" s="250" t="s">
        <v>1132</v>
      </c>
      <c r="Q51" s="348">
        <v>591.27</v>
      </c>
      <c r="R51" s="226">
        <v>0.2</v>
      </c>
      <c r="S51" s="67">
        <v>473.01599999999996</v>
      </c>
      <c r="T51" s="246">
        <v>6</v>
      </c>
      <c r="U51" s="224">
        <v>0.05</v>
      </c>
      <c r="V51" s="288" t="s">
        <v>1099</v>
      </c>
      <c r="W51" s="89" t="s">
        <v>433</v>
      </c>
      <c r="X51" s="114" t="s">
        <v>1047</v>
      </c>
    </row>
    <row r="52" spans="1:24" s="1" customFormat="1">
      <c r="A52" s="263" t="s">
        <v>1147</v>
      </c>
      <c r="B52" s="248" t="s">
        <v>1148</v>
      </c>
      <c r="C52" s="249">
        <v>1</v>
      </c>
      <c r="D52" s="250" t="s">
        <v>1132</v>
      </c>
      <c r="E52" s="348">
        <v>459.99</v>
      </c>
      <c r="F52" s="226">
        <f t="shared" si="5"/>
        <v>0.2</v>
      </c>
      <c r="G52" s="67">
        <f t="shared" si="4"/>
        <v>367.99200000000002</v>
      </c>
      <c r="H52" s="246">
        <v>6</v>
      </c>
      <c r="I52" s="224">
        <v>0.05</v>
      </c>
      <c r="J52" s="288" t="s">
        <v>1099</v>
      </c>
      <c r="K52" s="89" t="s">
        <v>433</v>
      </c>
      <c r="L52" s="114" t="s">
        <v>1047</v>
      </c>
      <c r="M52" s="241" t="s">
        <v>1147</v>
      </c>
      <c r="N52" s="248" t="s">
        <v>1148</v>
      </c>
      <c r="O52" s="249">
        <v>1</v>
      </c>
      <c r="P52" s="250" t="s">
        <v>1132</v>
      </c>
      <c r="Q52" s="348">
        <v>1017.46</v>
      </c>
      <c r="R52" s="226">
        <v>0.2</v>
      </c>
      <c r="S52" s="67">
        <v>813.96800000000007</v>
      </c>
      <c r="T52" s="246">
        <v>6</v>
      </c>
      <c r="U52" s="224">
        <v>0.05</v>
      </c>
      <c r="V52" s="288" t="s">
        <v>1099</v>
      </c>
      <c r="W52" s="89" t="s">
        <v>433</v>
      </c>
      <c r="X52" s="114" t="s">
        <v>1047</v>
      </c>
    </row>
    <row r="53" spans="1:24" s="1" customFormat="1">
      <c r="A53" s="263" t="s">
        <v>1149</v>
      </c>
      <c r="B53" s="248" t="s">
        <v>1150</v>
      </c>
      <c r="C53" s="249">
        <v>1</v>
      </c>
      <c r="D53" s="250" t="s">
        <v>1132</v>
      </c>
      <c r="E53" s="348">
        <v>1199.99</v>
      </c>
      <c r="F53" s="226">
        <f t="shared" si="5"/>
        <v>0.2</v>
      </c>
      <c r="G53" s="67">
        <f t="shared" si="4"/>
        <v>959.99199999999996</v>
      </c>
      <c r="H53" s="246">
        <v>6</v>
      </c>
      <c r="I53" s="224">
        <v>0.05</v>
      </c>
      <c r="J53" s="288" t="s">
        <v>1099</v>
      </c>
      <c r="K53" s="89" t="s">
        <v>433</v>
      </c>
      <c r="L53" s="114" t="s">
        <v>1047</v>
      </c>
      <c r="M53" s="241" t="s">
        <v>1149</v>
      </c>
      <c r="N53" s="248" t="s">
        <v>1150</v>
      </c>
      <c r="O53" s="249">
        <v>1</v>
      </c>
      <c r="P53" s="250" t="s">
        <v>1132</v>
      </c>
      <c r="Q53" s="348">
        <v>1499.95</v>
      </c>
      <c r="R53" s="226">
        <v>0.2</v>
      </c>
      <c r="S53" s="67">
        <v>1199.96</v>
      </c>
      <c r="T53" s="246">
        <v>6</v>
      </c>
      <c r="U53" s="224">
        <v>0.05</v>
      </c>
      <c r="V53" s="288" t="s">
        <v>1099</v>
      </c>
      <c r="W53" s="89" t="s">
        <v>433</v>
      </c>
      <c r="X53" s="114" t="s">
        <v>1047</v>
      </c>
    </row>
    <row r="54" spans="1:24" s="1" customFormat="1">
      <c r="A54" s="263" t="s">
        <v>1151</v>
      </c>
      <c r="B54" s="248" t="s">
        <v>1152</v>
      </c>
      <c r="C54" s="249">
        <v>1</v>
      </c>
      <c r="D54" s="250" t="s">
        <v>1132</v>
      </c>
      <c r="E54" s="348">
        <v>126.48</v>
      </c>
      <c r="F54" s="226">
        <f t="shared" si="5"/>
        <v>0.2</v>
      </c>
      <c r="G54" s="67">
        <f t="shared" si="4"/>
        <v>101.184</v>
      </c>
      <c r="H54" s="246">
        <v>6</v>
      </c>
      <c r="I54" s="224">
        <v>0.05</v>
      </c>
      <c r="J54" s="288" t="s">
        <v>1099</v>
      </c>
      <c r="K54" s="89" t="s">
        <v>433</v>
      </c>
      <c r="L54" s="114" t="s">
        <v>1047</v>
      </c>
      <c r="M54" s="241" t="s">
        <v>1151</v>
      </c>
      <c r="N54" s="248" t="s">
        <v>1152</v>
      </c>
      <c r="O54" s="249">
        <v>1</v>
      </c>
      <c r="P54" s="250" t="s">
        <v>1132</v>
      </c>
      <c r="Q54" s="348">
        <v>126.48</v>
      </c>
      <c r="R54" s="226">
        <v>0.2</v>
      </c>
      <c r="S54" s="67">
        <v>101.184</v>
      </c>
      <c r="T54" s="246">
        <v>6</v>
      </c>
      <c r="U54" s="224">
        <v>0.05</v>
      </c>
      <c r="V54" s="288" t="s">
        <v>1099</v>
      </c>
      <c r="W54" s="89" t="s">
        <v>433</v>
      </c>
      <c r="X54" s="114" t="s">
        <v>1047</v>
      </c>
    </row>
    <row r="55" spans="1:24" s="1" customFormat="1">
      <c r="A55" s="263" t="s">
        <v>1153</v>
      </c>
      <c r="B55" s="248" t="s">
        <v>1154</v>
      </c>
      <c r="C55" s="249">
        <v>1</v>
      </c>
      <c r="D55" s="250" t="s">
        <v>1132</v>
      </c>
      <c r="E55" s="348">
        <v>154.02000000000001</v>
      </c>
      <c r="F55" s="226">
        <f t="shared" si="5"/>
        <v>0.2</v>
      </c>
      <c r="G55" s="67">
        <f t="shared" si="4"/>
        <v>123.21600000000001</v>
      </c>
      <c r="H55" s="246">
        <v>6</v>
      </c>
      <c r="I55" s="224">
        <v>0</v>
      </c>
      <c r="J55" s="288" t="s">
        <v>1099</v>
      </c>
      <c r="K55" s="89" t="s">
        <v>433</v>
      </c>
      <c r="L55" s="114" t="s">
        <v>1047</v>
      </c>
      <c r="M55" s="241" t="s">
        <v>1153</v>
      </c>
      <c r="N55" s="248" t="s">
        <v>1154</v>
      </c>
      <c r="O55" s="249">
        <v>1</v>
      </c>
      <c r="P55" s="250" t="s">
        <v>1132</v>
      </c>
      <c r="Q55" s="348">
        <v>154.02000000000001</v>
      </c>
      <c r="R55" s="226">
        <v>0.2</v>
      </c>
      <c r="S55" s="67">
        <v>123.21600000000001</v>
      </c>
      <c r="T55" s="246">
        <v>6</v>
      </c>
      <c r="U55" s="224">
        <v>0</v>
      </c>
      <c r="V55" s="288" t="s">
        <v>1099</v>
      </c>
      <c r="W55" s="89" t="s">
        <v>433</v>
      </c>
      <c r="X55" s="114" t="s">
        <v>1047</v>
      </c>
    </row>
    <row r="56" spans="1:24" s="1" customFormat="1">
      <c r="A56" s="263" t="s">
        <v>1155</v>
      </c>
      <c r="B56" s="248" t="s">
        <v>1156</v>
      </c>
      <c r="C56" s="249">
        <v>1</v>
      </c>
      <c r="D56" s="250" t="s">
        <v>1132</v>
      </c>
      <c r="E56" s="348">
        <v>224.95</v>
      </c>
      <c r="F56" s="226">
        <f t="shared" si="5"/>
        <v>0.2</v>
      </c>
      <c r="G56" s="67">
        <f t="shared" si="4"/>
        <v>179.95999999999998</v>
      </c>
      <c r="H56" s="246">
        <v>6</v>
      </c>
      <c r="I56" s="224">
        <v>0.05</v>
      </c>
      <c r="J56" s="288" t="s">
        <v>1099</v>
      </c>
      <c r="K56" s="89" t="s">
        <v>433</v>
      </c>
      <c r="L56" s="114" t="s">
        <v>1047</v>
      </c>
      <c r="M56" s="241" t="s">
        <v>1155</v>
      </c>
      <c r="N56" s="248" t="s">
        <v>1156</v>
      </c>
      <c r="O56" s="249">
        <v>1</v>
      </c>
      <c r="P56" s="250" t="s">
        <v>1132</v>
      </c>
      <c r="Q56" s="348">
        <v>224.95</v>
      </c>
      <c r="R56" s="226">
        <v>0.2</v>
      </c>
      <c r="S56" s="67">
        <v>179.95999999999998</v>
      </c>
      <c r="T56" s="246">
        <v>6</v>
      </c>
      <c r="U56" s="224">
        <v>0.05</v>
      </c>
      <c r="V56" s="288" t="s">
        <v>1099</v>
      </c>
      <c r="W56" s="89" t="s">
        <v>433</v>
      </c>
      <c r="X56" s="114" t="s">
        <v>1047</v>
      </c>
    </row>
    <row r="57" spans="1:24" s="1" customFormat="1">
      <c r="A57" s="263" t="s">
        <v>1157</v>
      </c>
      <c r="B57" s="248" t="s">
        <v>1158</v>
      </c>
      <c r="C57" s="249">
        <v>1</v>
      </c>
      <c r="D57" s="250" t="s">
        <v>1132</v>
      </c>
      <c r="E57" s="348">
        <v>258.18</v>
      </c>
      <c r="F57" s="226">
        <f t="shared" si="5"/>
        <v>0.2</v>
      </c>
      <c r="G57" s="67">
        <f t="shared" si="4"/>
        <v>206.54400000000001</v>
      </c>
      <c r="H57" s="246">
        <v>10</v>
      </c>
      <c r="I57" s="224">
        <v>0.05</v>
      </c>
      <c r="J57" s="288" t="s">
        <v>1099</v>
      </c>
      <c r="K57" s="89" t="s">
        <v>433</v>
      </c>
      <c r="L57" s="114" t="s">
        <v>1047</v>
      </c>
      <c r="M57" s="241" t="s">
        <v>1157</v>
      </c>
      <c r="N57" s="248" t="s">
        <v>1158</v>
      </c>
      <c r="O57" s="249">
        <v>1</v>
      </c>
      <c r="P57" s="250" t="s">
        <v>1132</v>
      </c>
      <c r="Q57" s="348">
        <v>258.18</v>
      </c>
      <c r="R57" s="226">
        <v>0.2</v>
      </c>
      <c r="S57" s="67">
        <v>206.54400000000001</v>
      </c>
      <c r="T57" s="246">
        <v>10</v>
      </c>
      <c r="U57" s="224">
        <v>0.05</v>
      </c>
      <c r="V57" s="288" t="s">
        <v>1099</v>
      </c>
      <c r="W57" s="89" t="s">
        <v>433</v>
      </c>
      <c r="X57" s="114" t="s">
        <v>1047</v>
      </c>
    </row>
    <row r="58" spans="1:24" s="1" customFormat="1">
      <c r="A58" s="263" t="s">
        <v>1159</v>
      </c>
      <c r="B58" s="248" t="s">
        <v>1160</v>
      </c>
      <c r="C58" s="249">
        <v>1</v>
      </c>
      <c r="D58" s="250" t="s">
        <v>1132</v>
      </c>
      <c r="E58" s="348">
        <v>186.29</v>
      </c>
      <c r="F58" s="226">
        <f t="shared" si="5"/>
        <v>0.2</v>
      </c>
      <c r="G58" s="67">
        <f t="shared" si="4"/>
        <v>149.03199999999998</v>
      </c>
      <c r="H58" s="246">
        <v>6</v>
      </c>
      <c r="I58" s="224">
        <v>0.05</v>
      </c>
      <c r="J58" s="288" t="s">
        <v>1099</v>
      </c>
      <c r="K58" s="89" t="s">
        <v>433</v>
      </c>
      <c r="L58" s="114" t="s">
        <v>1047</v>
      </c>
      <c r="M58" s="241" t="s">
        <v>1159</v>
      </c>
      <c r="N58" s="248" t="s">
        <v>1160</v>
      </c>
      <c r="O58" s="249">
        <v>1</v>
      </c>
      <c r="P58" s="250" t="s">
        <v>1132</v>
      </c>
      <c r="Q58" s="348">
        <v>186.29</v>
      </c>
      <c r="R58" s="226">
        <v>0.2</v>
      </c>
      <c r="S58" s="67">
        <v>149.03199999999998</v>
      </c>
      <c r="T58" s="246">
        <v>6</v>
      </c>
      <c r="U58" s="224">
        <v>0.05</v>
      </c>
      <c r="V58" s="288" t="s">
        <v>1099</v>
      </c>
      <c r="W58" s="89" t="s">
        <v>433</v>
      </c>
      <c r="X58" s="114" t="s">
        <v>1047</v>
      </c>
    </row>
    <row r="59" spans="1:24" s="1" customFormat="1">
      <c r="A59" s="263">
        <v>9000298</v>
      </c>
      <c r="B59" s="248" t="s">
        <v>1161</v>
      </c>
      <c r="C59" s="249">
        <v>1</v>
      </c>
      <c r="D59" s="250" t="s">
        <v>1132</v>
      </c>
      <c r="E59" s="348">
        <v>148.22999999999999</v>
      </c>
      <c r="F59" s="226">
        <f t="shared" si="5"/>
        <v>0.2</v>
      </c>
      <c r="G59" s="67">
        <f t="shared" si="4"/>
        <v>118.58399999999999</v>
      </c>
      <c r="H59" s="246">
        <v>6</v>
      </c>
      <c r="I59" s="224">
        <v>0.05</v>
      </c>
      <c r="J59" s="288" t="s">
        <v>1099</v>
      </c>
      <c r="K59" s="89" t="s">
        <v>433</v>
      </c>
      <c r="L59" s="114" t="s">
        <v>1047</v>
      </c>
      <c r="M59" s="241">
        <v>9000298</v>
      </c>
      <c r="N59" s="248" t="s">
        <v>1161</v>
      </c>
      <c r="O59" s="249">
        <v>1</v>
      </c>
      <c r="P59" s="250" t="s">
        <v>1132</v>
      </c>
      <c r="Q59" s="348">
        <v>148.22999999999999</v>
      </c>
      <c r="R59" s="226">
        <v>0.2</v>
      </c>
      <c r="S59" s="67">
        <v>118.58399999999999</v>
      </c>
      <c r="T59" s="246">
        <v>6</v>
      </c>
      <c r="U59" s="224">
        <v>0.05</v>
      </c>
      <c r="V59" s="288" t="s">
        <v>1099</v>
      </c>
      <c r="W59" s="89" t="s">
        <v>433</v>
      </c>
      <c r="X59" s="114" t="s">
        <v>1047</v>
      </c>
    </row>
    <row r="60" spans="1:24" s="1" customFormat="1">
      <c r="A60" s="263" t="s">
        <v>1162</v>
      </c>
      <c r="B60" s="248" t="s">
        <v>1163</v>
      </c>
      <c r="C60" s="249">
        <v>1</v>
      </c>
      <c r="D60" s="250" t="s">
        <v>1132</v>
      </c>
      <c r="E60" s="348">
        <v>109.99</v>
      </c>
      <c r="F60" s="226">
        <f t="shared" si="5"/>
        <v>0.2</v>
      </c>
      <c r="G60" s="67">
        <f t="shared" ref="G60:G82" si="6">E60-(E60*F60)</f>
        <v>87.99199999999999</v>
      </c>
      <c r="H60" s="246">
        <v>6</v>
      </c>
      <c r="I60" s="224">
        <v>0.05</v>
      </c>
      <c r="J60" s="288" t="s">
        <v>1099</v>
      </c>
      <c r="K60" s="89" t="s">
        <v>433</v>
      </c>
      <c r="L60" s="114" t="s">
        <v>1047</v>
      </c>
      <c r="M60" s="241" t="s">
        <v>1162</v>
      </c>
      <c r="N60" s="248" t="s">
        <v>1163</v>
      </c>
      <c r="O60" s="249">
        <v>1</v>
      </c>
      <c r="P60" s="250" t="s">
        <v>1132</v>
      </c>
      <c r="Q60" s="348">
        <v>109.99</v>
      </c>
      <c r="R60" s="226">
        <v>0.2</v>
      </c>
      <c r="S60" s="67">
        <v>87.99199999999999</v>
      </c>
      <c r="T60" s="246">
        <v>6</v>
      </c>
      <c r="U60" s="224">
        <v>0.05</v>
      </c>
      <c r="V60" s="288" t="s">
        <v>1099</v>
      </c>
      <c r="W60" s="89" t="s">
        <v>433</v>
      </c>
      <c r="X60" s="114" t="s">
        <v>1047</v>
      </c>
    </row>
    <row r="61" spans="1:24" s="1" customFormat="1">
      <c r="A61" s="263" t="s">
        <v>1164</v>
      </c>
      <c r="B61" s="248" t="s">
        <v>1165</v>
      </c>
      <c r="C61" s="249">
        <v>1</v>
      </c>
      <c r="D61" s="250" t="s">
        <v>1132</v>
      </c>
      <c r="E61" s="348">
        <v>149.99</v>
      </c>
      <c r="F61" s="226">
        <f t="shared" si="5"/>
        <v>0.2</v>
      </c>
      <c r="G61" s="67">
        <f t="shared" si="6"/>
        <v>119.992</v>
      </c>
      <c r="H61" s="246">
        <v>6</v>
      </c>
      <c r="I61" s="224">
        <v>0.05</v>
      </c>
      <c r="J61" s="288" t="s">
        <v>1099</v>
      </c>
      <c r="K61" s="89" t="s">
        <v>433</v>
      </c>
      <c r="L61" s="114" t="s">
        <v>1047</v>
      </c>
      <c r="M61" s="241" t="s">
        <v>1164</v>
      </c>
      <c r="N61" s="248" t="s">
        <v>1165</v>
      </c>
      <c r="O61" s="249">
        <v>1</v>
      </c>
      <c r="P61" s="250" t="s">
        <v>1132</v>
      </c>
      <c r="Q61" s="348">
        <v>149.99</v>
      </c>
      <c r="R61" s="226">
        <v>0.2</v>
      </c>
      <c r="S61" s="67">
        <v>119.992</v>
      </c>
      <c r="T61" s="246">
        <v>6</v>
      </c>
      <c r="U61" s="224">
        <v>0.05</v>
      </c>
      <c r="V61" s="288" t="s">
        <v>1099</v>
      </c>
      <c r="W61" s="89" t="s">
        <v>433</v>
      </c>
      <c r="X61" s="114" t="s">
        <v>1047</v>
      </c>
    </row>
    <row r="62" spans="1:24" s="1" customFormat="1">
      <c r="A62" s="263" t="s">
        <v>1166</v>
      </c>
      <c r="B62" s="248" t="s">
        <v>1167</v>
      </c>
      <c r="C62" s="249">
        <v>1</v>
      </c>
      <c r="D62" s="250" t="s">
        <v>1132</v>
      </c>
      <c r="E62" s="348">
        <v>210.99</v>
      </c>
      <c r="F62" s="226">
        <f t="shared" si="5"/>
        <v>0.2</v>
      </c>
      <c r="G62" s="67">
        <f t="shared" si="6"/>
        <v>168.792</v>
      </c>
      <c r="H62" s="246">
        <v>6</v>
      </c>
      <c r="I62" s="224">
        <v>0.05</v>
      </c>
      <c r="J62" s="288" t="s">
        <v>1099</v>
      </c>
      <c r="K62" s="89" t="s">
        <v>433</v>
      </c>
      <c r="L62" s="114" t="s">
        <v>1047</v>
      </c>
      <c r="M62" s="241" t="s">
        <v>1166</v>
      </c>
      <c r="N62" s="248" t="s">
        <v>1167</v>
      </c>
      <c r="O62" s="249">
        <v>1</v>
      </c>
      <c r="P62" s="250" t="s">
        <v>1132</v>
      </c>
      <c r="Q62" s="348">
        <v>210.99</v>
      </c>
      <c r="R62" s="226">
        <v>0.2</v>
      </c>
      <c r="S62" s="67">
        <v>168.792</v>
      </c>
      <c r="T62" s="246">
        <v>6</v>
      </c>
      <c r="U62" s="224">
        <v>0.05</v>
      </c>
      <c r="V62" s="288" t="s">
        <v>1099</v>
      </c>
      <c r="W62" s="89" t="s">
        <v>433</v>
      </c>
      <c r="X62" s="114" t="s">
        <v>1047</v>
      </c>
    </row>
    <row r="63" spans="1:24" s="1" customFormat="1">
      <c r="A63" s="263" t="s">
        <v>1168</v>
      </c>
      <c r="B63" s="248" t="s">
        <v>1169</v>
      </c>
      <c r="C63" s="249">
        <v>1</v>
      </c>
      <c r="D63" s="250" t="s">
        <v>1132</v>
      </c>
      <c r="E63" s="348">
        <v>229.98</v>
      </c>
      <c r="F63" s="226">
        <f t="shared" si="5"/>
        <v>0.2</v>
      </c>
      <c r="G63" s="67">
        <f t="shared" si="6"/>
        <v>183.98399999999998</v>
      </c>
      <c r="H63" s="246">
        <v>10</v>
      </c>
      <c r="I63" s="224">
        <v>0.05</v>
      </c>
      <c r="J63" s="288" t="s">
        <v>1099</v>
      </c>
      <c r="K63" s="89" t="s">
        <v>433</v>
      </c>
      <c r="L63" s="114" t="s">
        <v>1047</v>
      </c>
      <c r="M63" s="241" t="s">
        <v>1168</v>
      </c>
      <c r="N63" s="248" t="s">
        <v>1169</v>
      </c>
      <c r="O63" s="249">
        <v>1</v>
      </c>
      <c r="P63" s="250" t="s">
        <v>1132</v>
      </c>
      <c r="Q63" s="348">
        <v>229.98</v>
      </c>
      <c r="R63" s="226">
        <v>0.2</v>
      </c>
      <c r="S63" s="67">
        <v>183.98399999999998</v>
      </c>
      <c r="T63" s="246">
        <v>10</v>
      </c>
      <c r="U63" s="224">
        <v>0.05</v>
      </c>
      <c r="V63" s="288" t="s">
        <v>1099</v>
      </c>
      <c r="W63" s="89" t="s">
        <v>433</v>
      </c>
      <c r="X63" s="114" t="s">
        <v>1047</v>
      </c>
    </row>
    <row r="64" spans="1:24" s="1" customFormat="1">
      <c r="A64" s="263" t="s">
        <v>1170</v>
      </c>
      <c r="B64" s="248" t="s">
        <v>1171</v>
      </c>
      <c r="C64" s="249">
        <v>1</v>
      </c>
      <c r="D64" s="250" t="s">
        <v>1132</v>
      </c>
      <c r="E64" s="348">
        <v>169.99</v>
      </c>
      <c r="F64" s="226">
        <f t="shared" si="5"/>
        <v>0.2</v>
      </c>
      <c r="G64" s="67">
        <f t="shared" si="6"/>
        <v>135.99200000000002</v>
      </c>
      <c r="H64" s="246">
        <v>6</v>
      </c>
      <c r="I64" s="224">
        <v>0.05</v>
      </c>
      <c r="J64" s="288" t="s">
        <v>1099</v>
      </c>
      <c r="K64" s="89" t="s">
        <v>433</v>
      </c>
      <c r="L64" s="114" t="s">
        <v>1047</v>
      </c>
      <c r="M64" s="241"/>
      <c r="N64" s="248"/>
      <c r="O64" s="249"/>
      <c r="P64" s="250"/>
      <c r="Q64" s="348"/>
      <c r="R64" s="226"/>
      <c r="S64" s="67"/>
      <c r="T64" s="246"/>
      <c r="U64" s="224"/>
      <c r="V64" s="288"/>
      <c r="W64" s="89"/>
      <c r="X64" s="114"/>
    </row>
    <row r="65" spans="1:24" s="1" customFormat="1">
      <c r="A65" s="263" t="s">
        <v>1172</v>
      </c>
      <c r="B65" s="248" t="s">
        <v>1173</v>
      </c>
      <c r="C65" s="249">
        <v>1</v>
      </c>
      <c r="D65" s="250" t="s">
        <v>1132</v>
      </c>
      <c r="E65" s="348">
        <v>230.99</v>
      </c>
      <c r="F65" s="226">
        <f t="shared" si="5"/>
        <v>0.2</v>
      </c>
      <c r="G65" s="67">
        <f t="shared" si="6"/>
        <v>184.792</v>
      </c>
      <c r="H65" s="246">
        <v>6</v>
      </c>
      <c r="I65" s="224">
        <v>0.05</v>
      </c>
      <c r="J65" s="288" t="s">
        <v>1099</v>
      </c>
      <c r="K65" s="89" t="s">
        <v>433</v>
      </c>
      <c r="L65" s="114" t="s">
        <v>1047</v>
      </c>
      <c r="M65" s="241"/>
      <c r="N65" s="248"/>
      <c r="O65" s="249"/>
      <c r="P65" s="250"/>
      <c r="Q65" s="348"/>
      <c r="R65" s="226"/>
      <c r="S65" s="67"/>
      <c r="T65" s="246"/>
      <c r="U65" s="224"/>
      <c r="V65" s="288"/>
      <c r="W65" s="89"/>
      <c r="X65" s="114"/>
    </row>
    <row r="66" spans="1:24" s="1" customFormat="1">
      <c r="A66" s="263" t="s">
        <v>1174</v>
      </c>
      <c r="B66" s="248" t="s">
        <v>1175</v>
      </c>
      <c r="C66" s="249">
        <v>1</v>
      </c>
      <c r="D66" s="250" t="s">
        <v>1132</v>
      </c>
      <c r="E66" s="348">
        <v>259.98</v>
      </c>
      <c r="F66" s="226">
        <f t="shared" si="5"/>
        <v>0.2</v>
      </c>
      <c r="G66" s="67">
        <f t="shared" si="6"/>
        <v>207.98400000000001</v>
      </c>
      <c r="H66" s="246">
        <v>10</v>
      </c>
      <c r="I66" s="224">
        <v>0.05</v>
      </c>
      <c r="J66" s="288" t="s">
        <v>1099</v>
      </c>
      <c r="K66" s="89" t="s">
        <v>433</v>
      </c>
      <c r="L66" s="114" t="s">
        <v>1047</v>
      </c>
      <c r="M66" s="241"/>
      <c r="N66" s="248"/>
      <c r="O66" s="249"/>
      <c r="P66" s="250"/>
      <c r="Q66" s="348"/>
      <c r="R66" s="226"/>
      <c r="S66" s="67"/>
      <c r="T66" s="246"/>
      <c r="U66" s="224"/>
      <c r="V66" s="288"/>
      <c r="W66" s="89"/>
      <c r="X66" s="114"/>
    </row>
    <row r="67" spans="1:24" s="1" customFormat="1">
      <c r="A67" s="263" t="s">
        <v>1176</v>
      </c>
      <c r="B67" s="248" t="s">
        <v>1177</v>
      </c>
      <c r="C67" s="249">
        <v>1</v>
      </c>
      <c r="D67" s="250" t="s">
        <v>1132</v>
      </c>
      <c r="E67" s="348">
        <v>343.89</v>
      </c>
      <c r="F67" s="226">
        <f t="shared" si="5"/>
        <v>0.2</v>
      </c>
      <c r="G67" s="67">
        <f t="shared" si="6"/>
        <v>275.11199999999997</v>
      </c>
      <c r="H67" s="246">
        <v>0</v>
      </c>
      <c r="I67" s="224">
        <v>0</v>
      </c>
      <c r="J67" s="288" t="s">
        <v>1099</v>
      </c>
      <c r="K67" s="89" t="s">
        <v>433</v>
      </c>
      <c r="L67" s="114" t="s">
        <v>1047</v>
      </c>
      <c r="M67" s="241" t="s">
        <v>1176</v>
      </c>
      <c r="N67" s="248" t="s">
        <v>1177</v>
      </c>
      <c r="O67" s="249">
        <v>1</v>
      </c>
      <c r="P67" s="250" t="s">
        <v>1132</v>
      </c>
      <c r="Q67" s="348">
        <v>343.89</v>
      </c>
      <c r="R67" s="226">
        <v>0.2</v>
      </c>
      <c r="S67" s="67">
        <v>275.11199999999997</v>
      </c>
      <c r="T67" s="246">
        <v>0</v>
      </c>
      <c r="U67" s="224">
        <v>0</v>
      </c>
      <c r="V67" s="288" t="s">
        <v>1099</v>
      </c>
      <c r="W67" s="89" t="s">
        <v>433</v>
      </c>
      <c r="X67" s="114" t="s">
        <v>1047</v>
      </c>
    </row>
    <row r="68" spans="1:24" s="1" customFormat="1">
      <c r="A68" s="263" t="s">
        <v>1178</v>
      </c>
      <c r="B68" s="248" t="s">
        <v>1179</v>
      </c>
      <c r="C68" s="249">
        <v>1</v>
      </c>
      <c r="D68" s="250" t="s">
        <v>1132</v>
      </c>
      <c r="E68" s="348">
        <v>408.91</v>
      </c>
      <c r="F68" s="226">
        <f t="shared" si="5"/>
        <v>0.2</v>
      </c>
      <c r="G68" s="67">
        <f t="shared" si="6"/>
        <v>327.12800000000004</v>
      </c>
      <c r="H68" s="246">
        <v>15</v>
      </c>
      <c r="I68" s="224">
        <v>0.2</v>
      </c>
      <c r="J68" s="288" t="s">
        <v>1099</v>
      </c>
      <c r="K68" s="89" t="s">
        <v>433</v>
      </c>
      <c r="L68" s="114" t="s">
        <v>1047</v>
      </c>
      <c r="M68" s="241" t="s">
        <v>1178</v>
      </c>
      <c r="N68" s="248" t="s">
        <v>1179</v>
      </c>
      <c r="O68" s="249">
        <v>1</v>
      </c>
      <c r="P68" s="250" t="s">
        <v>1132</v>
      </c>
      <c r="Q68" s="348">
        <v>408.91</v>
      </c>
      <c r="R68" s="226">
        <v>0.2</v>
      </c>
      <c r="S68" s="67">
        <v>327.12800000000004</v>
      </c>
      <c r="T68" s="246">
        <v>15</v>
      </c>
      <c r="U68" s="224">
        <v>0.2</v>
      </c>
      <c r="V68" s="288" t="s">
        <v>1099</v>
      </c>
      <c r="W68" s="89" t="s">
        <v>433</v>
      </c>
      <c r="X68" s="114" t="s">
        <v>1047</v>
      </c>
    </row>
    <row r="69" spans="1:24" s="1" customFormat="1">
      <c r="A69" s="263" t="s">
        <v>1180</v>
      </c>
      <c r="B69" s="248" t="s">
        <v>1181</v>
      </c>
      <c r="C69" s="249">
        <v>1</v>
      </c>
      <c r="D69" s="250" t="s">
        <v>1132</v>
      </c>
      <c r="E69" s="351">
        <v>1179.9000000000001</v>
      </c>
      <c r="F69" s="226">
        <f t="shared" si="5"/>
        <v>0.2</v>
      </c>
      <c r="G69" s="67">
        <f t="shared" si="6"/>
        <v>943.92000000000007</v>
      </c>
      <c r="H69" s="246">
        <v>15</v>
      </c>
      <c r="I69" s="224">
        <v>0</v>
      </c>
      <c r="J69" s="288" t="s">
        <v>1099</v>
      </c>
      <c r="K69" s="89" t="s">
        <v>433</v>
      </c>
      <c r="L69" s="114" t="s">
        <v>1047</v>
      </c>
      <c r="M69" s="241" t="s">
        <v>1180</v>
      </c>
      <c r="N69" s="248" t="s">
        <v>1181</v>
      </c>
      <c r="O69" s="249">
        <v>1</v>
      </c>
      <c r="P69" s="250" t="s">
        <v>1132</v>
      </c>
      <c r="Q69" s="351">
        <v>1179.9000000000001</v>
      </c>
      <c r="R69" s="226">
        <v>0.2</v>
      </c>
      <c r="S69" s="67">
        <v>943.92000000000007</v>
      </c>
      <c r="T69" s="246">
        <v>15</v>
      </c>
      <c r="U69" s="224">
        <v>0</v>
      </c>
      <c r="V69" s="288" t="s">
        <v>1099</v>
      </c>
      <c r="W69" s="89" t="s">
        <v>433</v>
      </c>
      <c r="X69" s="114" t="s">
        <v>1047</v>
      </c>
    </row>
    <row r="70" spans="1:24" s="1" customFormat="1">
      <c r="A70" s="263" t="s">
        <v>1182</v>
      </c>
      <c r="B70" s="248" t="s">
        <v>1183</v>
      </c>
      <c r="C70" s="249">
        <v>1</v>
      </c>
      <c r="D70" s="250" t="s">
        <v>1132</v>
      </c>
      <c r="E70" s="351">
        <v>1429.95</v>
      </c>
      <c r="F70" s="226">
        <f t="shared" si="5"/>
        <v>0.2</v>
      </c>
      <c r="G70" s="67">
        <f t="shared" si="6"/>
        <v>1143.96</v>
      </c>
      <c r="H70" s="246">
        <v>15</v>
      </c>
      <c r="I70" s="224">
        <v>0</v>
      </c>
      <c r="J70" s="288" t="s">
        <v>1099</v>
      </c>
      <c r="K70" s="89" t="s">
        <v>433</v>
      </c>
      <c r="L70" s="114" t="s">
        <v>1047</v>
      </c>
      <c r="M70" s="241" t="s">
        <v>1182</v>
      </c>
      <c r="N70" s="248" t="s">
        <v>1183</v>
      </c>
      <c r="O70" s="249">
        <v>1</v>
      </c>
      <c r="P70" s="250" t="s">
        <v>1132</v>
      </c>
      <c r="Q70" s="351">
        <v>1429.95</v>
      </c>
      <c r="R70" s="226">
        <v>0.2</v>
      </c>
      <c r="S70" s="67">
        <v>1143.96</v>
      </c>
      <c r="T70" s="246">
        <v>15</v>
      </c>
      <c r="U70" s="224">
        <v>0</v>
      </c>
      <c r="V70" s="288" t="s">
        <v>1099</v>
      </c>
      <c r="W70" s="89" t="s">
        <v>433</v>
      </c>
      <c r="X70" s="114" t="s">
        <v>1047</v>
      </c>
    </row>
    <row r="71" spans="1:24" s="1" customFormat="1">
      <c r="A71" s="263" t="s">
        <v>1184</v>
      </c>
      <c r="B71" s="248" t="s">
        <v>1185</v>
      </c>
      <c r="C71" s="249">
        <v>1</v>
      </c>
      <c r="D71" s="250" t="s">
        <v>1132</v>
      </c>
      <c r="E71" s="351">
        <v>1899.26</v>
      </c>
      <c r="F71" s="226">
        <f t="shared" si="5"/>
        <v>0.2</v>
      </c>
      <c r="G71" s="67">
        <f t="shared" si="6"/>
        <v>1519.4079999999999</v>
      </c>
      <c r="H71" s="246">
        <v>15</v>
      </c>
      <c r="I71" s="224">
        <v>0</v>
      </c>
      <c r="J71" s="288" t="s">
        <v>1099</v>
      </c>
      <c r="K71" s="89" t="s">
        <v>433</v>
      </c>
      <c r="L71" s="114" t="s">
        <v>1047</v>
      </c>
      <c r="M71" s="241" t="s">
        <v>1184</v>
      </c>
      <c r="N71" s="248" t="s">
        <v>1185</v>
      </c>
      <c r="O71" s="249">
        <v>1</v>
      </c>
      <c r="P71" s="250" t="s">
        <v>1132</v>
      </c>
      <c r="Q71" s="351">
        <v>1899.26</v>
      </c>
      <c r="R71" s="226">
        <v>0.2</v>
      </c>
      <c r="S71" s="67">
        <v>1519.4079999999999</v>
      </c>
      <c r="T71" s="246">
        <v>15</v>
      </c>
      <c r="U71" s="224">
        <v>0</v>
      </c>
      <c r="V71" s="288" t="s">
        <v>1099</v>
      </c>
      <c r="W71" s="89" t="s">
        <v>433</v>
      </c>
      <c r="X71" s="114" t="s">
        <v>1047</v>
      </c>
    </row>
    <row r="72" spans="1:24" s="1" customFormat="1">
      <c r="A72" s="263" t="s">
        <v>1186</v>
      </c>
      <c r="B72" s="248" t="s">
        <v>1187</v>
      </c>
      <c r="C72" s="249">
        <v>1</v>
      </c>
      <c r="D72" s="250" t="s">
        <v>1132</v>
      </c>
      <c r="E72" s="351">
        <v>2090</v>
      </c>
      <c r="F72" s="226">
        <f t="shared" si="5"/>
        <v>0.2</v>
      </c>
      <c r="G72" s="67">
        <f t="shared" si="6"/>
        <v>1672</v>
      </c>
      <c r="H72" s="246">
        <v>15</v>
      </c>
      <c r="I72" s="224">
        <v>0</v>
      </c>
      <c r="J72" s="288" t="s">
        <v>1099</v>
      </c>
      <c r="K72" s="89" t="s">
        <v>433</v>
      </c>
      <c r="L72" s="114" t="s">
        <v>1047</v>
      </c>
      <c r="M72" s="241" t="s">
        <v>1186</v>
      </c>
      <c r="N72" s="248" t="s">
        <v>1187</v>
      </c>
      <c r="O72" s="249">
        <v>1</v>
      </c>
      <c r="P72" s="250" t="s">
        <v>1132</v>
      </c>
      <c r="Q72" s="351">
        <v>2090</v>
      </c>
      <c r="R72" s="226">
        <v>0.2</v>
      </c>
      <c r="S72" s="67">
        <v>1672</v>
      </c>
      <c r="T72" s="246">
        <v>15</v>
      </c>
      <c r="U72" s="224">
        <v>0</v>
      </c>
      <c r="V72" s="288" t="s">
        <v>1099</v>
      </c>
      <c r="W72" s="89" t="s">
        <v>433</v>
      </c>
      <c r="X72" s="114" t="s">
        <v>1047</v>
      </c>
    </row>
    <row r="73" spans="1:24" s="1" customFormat="1">
      <c r="A73" s="263" t="s">
        <v>1188</v>
      </c>
      <c r="B73" s="248" t="s">
        <v>1189</v>
      </c>
      <c r="C73" s="249">
        <v>1</v>
      </c>
      <c r="D73" s="250" t="s">
        <v>1132</v>
      </c>
      <c r="E73" s="351">
        <v>2250.2600000000002</v>
      </c>
      <c r="F73" s="226">
        <f t="shared" si="5"/>
        <v>0.2</v>
      </c>
      <c r="G73" s="67">
        <f t="shared" si="6"/>
        <v>1800.2080000000001</v>
      </c>
      <c r="H73" s="246">
        <v>15</v>
      </c>
      <c r="I73" s="224">
        <v>0</v>
      </c>
      <c r="J73" s="288" t="s">
        <v>1099</v>
      </c>
      <c r="K73" s="89" t="s">
        <v>433</v>
      </c>
      <c r="L73" s="114" t="s">
        <v>1047</v>
      </c>
      <c r="M73" s="241" t="s">
        <v>1188</v>
      </c>
      <c r="N73" s="248" t="s">
        <v>1189</v>
      </c>
      <c r="O73" s="249">
        <v>1</v>
      </c>
      <c r="P73" s="250" t="s">
        <v>1132</v>
      </c>
      <c r="Q73" s="351">
        <v>2250.2600000000002</v>
      </c>
      <c r="R73" s="226">
        <v>0.2</v>
      </c>
      <c r="S73" s="67">
        <v>1800.2080000000001</v>
      </c>
      <c r="T73" s="246">
        <v>15</v>
      </c>
      <c r="U73" s="224">
        <v>0</v>
      </c>
      <c r="V73" s="288" t="s">
        <v>1099</v>
      </c>
      <c r="W73" s="89" t="s">
        <v>433</v>
      </c>
      <c r="X73" s="114" t="s">
        <v>1047</v>
      </c>
    </row>
    <row r="74" spans="1:24" s="1" customFormat="1">
      <c r="A74" s="263" t="s">
        <v>1190</v>
      </c>
      <c r="B74" s="248" t="s">
        <v>1191</v>
      </c>
      <c r="C74" s="249">
        <v>1</v>
      </c>
      <c r="D74" s="250" t="s">
        <v>1132</v>
      </c>
      <c r="E74" s="351">
        <v>2650</v>
      </c>
      <c r="F74" s="226">
        <f t="shared" si="5"/>
        <v>0.2</v>
      </c>
      <c r="G74" s="67">
        <f t="shared" si="6"/>
        <v>2120</v>
      </c>
      <c r="H74" s="246">
        <v>15</v>
      </c>
      <c r="I74" s="224">
        <v>0</v>
      </c>
      <c r="J74" s="288" t="s">
        <v>1099</v>
      </c>
      <c r="K74" s="89" t="s">
        <v>433</v>
      </c>
      <c r="L74" s="114" t="s">
        <v>1047</v>
      </c>
      <c r="M74" s="241" t="s">
        <v>1190</v>
      </c>
      <c r="N74" s="248" t="s">
        <v>1191</v>
      </c>
      <c r="O74" s="249">
        <v>1</v>
      </c>
      <c r="P74" s="250" t="s">
        <v>1132</v>
      </c>
      <c r="Q74" s="351">
        <v>2650</v>
      </c>
      <c r="R74" s="226">
        <v>0.2</v>
      </c>
      <c r="S74" s="67">
        <v>2120</v>
      </c>
      <c r="T74" s="246">
        <v>15</v>
      </c>
      <c r="U74" s="224">
        <v>0</v>
      </c>
      <c r="V74" s="288" t="s">
        <v>1099</v>
      </c>
      <c r="W74" s="89" t="s">
        <v>433</v>
      </c>
      <c r="X74" s="114" t="s">
        <v>1047</v>
      </c>
    </row>
    <row r="75" spans="1:24" s="1" customFormat="1">
      <c r="A75" s="263" t="s">
        <v>1193</v>
      </c>
      <c r="B75" s="248" t="s">
        <v>1194</v>
      </c>
      <c r="C75" s="249">
        <v>1</v>
      </c>
      <c r="D75" s="250" t="s">
        <v>1192</v>
      </c>
      <c r="E75" s="348">
        <v>194.27</v>
      </c>
      <c r="F75" s="226">
        <f t="shared" si="5"/>
        <v>0.2</v>
      </c>
      <c r="G75" s="67">
        <f t="shared" si="6"/>
        <v>155.416</v>
      </c>
      <c r="H75" s="246">
        <v>10</v>
      </c>
      <c r="I75" s="224">
        <v>0.05</v>
      </c>
      <c r="J75" s="288" t="s">
        <v>1099</v>
      </c>
      <c r="K75" s="89" t="s">
        <v>433</v>
      </c>
      <c r="L75" s="114" t="s">
        <v>1047</v>
      </c>
      <c r="M75" s="241" t="s">
        <v>1193</v>
      </c>
      <c r="N75" s="248" t="s">
        <v>1194</v>
      </c>
      <c r="O75" s="249">
        <v>1</v>
      </c>
      <c r="P75" s="250" t="s">
        <v>1132</v>
      </c>
      <c r="Q75" s="348">
        <v>194.27</v>
      </c>
      <c r="R75" s="226">
        <v>0.2</v>
      </c>
      <c r="S75" s="67">
        <v>155.416</v>
      </c>
      <c r="T75" s="246">
        <v>10</v>
      </c>
      <c r="U75" s="224">
        <v>0.05</v>
      </c>
      <c r="V75" s="288" t="s">
        <v>1099</v>
      </c>
      <c r="W75" s="89" t="s">
        <v>433</v>
      </c>
      <c r="X75" s="114" t="s">
        <v>1047</v>
      </c>
    </row>
    <row r="76" spans="1:24" s="1" customFormat="1">
      <c r="A76" s="263" t="s">
        <v>1195</v>
      </c>
      <c r="B76" s="248" t="s">
        <v>1196</v>
      </c>
      <c r="C76" s="249">
        <v>1</v>
      </c>
      <c r="D76" s="250" t="s">
        <v>1192</v>
      </c>
      <c r="E76" s="348">
        <v>251.09</v>
      </c>
      <c r="F76" s="226">
        <f t="shared" si="5"/>
        <v>0.2</v>
      </c>
      <c r="G76" s="67">
        <f t="shared" si="6"/>
        <v>200.87200000000001</v>
      </c>
      <c r="H76" s="246">
        <v>10</v>
      </c>
      <c r="I76" s="224">
        <v>0.05</v>
      </c>
      <c r="J76" s="288" t="s">
        <v>1099</v>
      </c>
      <c r="K76" s="89" t="s">
        <v>433</v>
      </c>
      <c r="L76" s="114" t="s">
        <v>1047</v>
      </c>
      <c r="M76" s="241" t="s">
        <v>1195</v>
      </c>
      <c r="N76" s="248" t="s">
        <v>1196</v>
      </c>
      <c r="O76" s="249">
        <v>1</v>
      </c>
      <c r="P76" s="250" t="s">
        <v>1132</v>
      </c>
      <c r="Q76" s="348">
        <v>251.09</v>
      </c>
      <c r="R76" s="226">
        <v>0.2</v>
      </c>
      <c r="S76" s="67">
        <v>200.87200000000001</v>
      </c>
      <c r="T76" s="246">
        <v>10</v>
      </c>
      <c r="U76" s="224">
        <v>0.05</v>
      </c>
      <c r="V76" s="288" t="s">
        <v>1099</v>
      </c>
      <c r="W76" s="89" t="s">
        <v>433</v>
      </c>
      <c r="X76" s="114" t="s">
        <v>1047</v>
      </c>
    </row>
    <row r="77" spans="1:24" s="1" customFormat="1">
      <c r="A77" s="263" t="s">
        <v>1197</v>
      </c>
      <c r="B77" s="248" t="s">
        <v>1198</v>
      </c>
      <c r="C77" s="249">
        <v>1</v>
      </c>
      <c r="D77" s="250" t="s">
        <v>1192</v>
      </c>
      <c r="E77" s="348">
        <v>332.2</v>
      </c>
      <c r="F77" s="226">
        <f t="shared" si="5"/>
        <v>0.2</v>
      </c>
      <c r="G77" s="67">
        <f t="shared" si="6"/>
        <v>265.76</v>
      </c>
      <c r="H77" s="246">
        <v>15</v>
      </c>
      <c r="I77" s="224">
        <v>0.05</v>
      </c>
      <c r="J77" s="288" t="s">
        <v>1099</v>
      </c>
      <c r="K77" s="89" t="s">
        <v>433</v>
      </c>
      <c r="L77" s="114" t="s">
        <v>1047</v>
      </c>
      <c r="M77" s="241" t="s">
        <v>1197</v>
      </c>
      <c r="N77" s="248" t="s">
        <v>1198</v>
      </c>
      <c r="O77" s="249">
        <v>1</v>
      </c>
      <c r="P77" s="250" t="s">
        <v>1132</v>
      </c>
      <c r="Q77" s="348">
        <v>332.2</v>
      </c>
      <c r="R77" s="226">
        <v>0.2</v>
      </c>
      <c r="S77" s="67">
        <v>265.76</v>
      </c>
      <c r="T77" s="246">
        <v>15</v>
      </c>
      <c r="U77" s="224">
        <v>0.05</v>
      </c>
      <c r="V77" s="288" t="s">
        <v>1099</v>
      </c>
      <c r="W77" s="89" t="s">
        <v>433</v>
      </c>
      <c r="X77" s="114" t="s">
        <v>1047</v>
      </c>
    </row>
    <row r="78" spans="1:24" s="1" customFormat="1">
      <c r="A78" s="263" t="s">
        <v>1199</v>
      </c>
      <c r="B78" s="248" t="s">
        <v>1200</v>
      </c>
      <c r="C78" s="249">
        <v>1</v>
      </c>
      <c r="D78" s="250" t="s">
        <v>1192</v>
      </c>
      <c r="E78" s="348">
        <v>92.68</v>
      </c>
      <c r="F78" s="226">
        <f t="shared" si="5"/>
        <v>0.2</v>
      </c>
      <c r="G78" s="67">
        <f t="shared" si="6"/>
        <v>74.144000000000005</v>
      </c>
      <c r="H78" s="246">
        <v>6</v>
      </c>
      <c r="I78" s="224">
        <v>0.05</v>
      </c>
      <c r="J78" s="288" t="s">
        <v>1099</v>
      </c>
      <c r="K78" s="89" t="s">
        <v>433</v>
      </c>
      <c r="L78" s="114" t="s">
        <v>1047</v>
      </c>
      <c r="M78" s="241" t="s">
        <v>1199</v>
      </c>
      <c r="N78" s="248" t="s">
        <v>1200</v>
      </c>
      <c r="O78" s="249">
        <v>1</v>
      </c>
      <c r="P78" s="250" t="s">
        <v>1132</v>
      </c>
      <c r="Q78" s="348">
        <v>92.68</v>
      </c>
      <c r="R78" s="226">
        <v>0.2</v>
      </c>
      <c r="S78" s="67">
        <v>74.144000000000005</v>
      </c>
      <c r="T78" s="246">
        <v>6</v>
      </c>
      <c r="U78" s="224">
        <v>0.05</v>
      </c>
      <c r="V78" s="288" t="s">
        <v>1099</v>
      </c>
      <c r="W78" s="89" t="s">
        <v>433</v>
      </c>
      <c r="X78" s="114" t="s">
        <v>1047</v>
      </c>
    </row>
    <row r="79" spans="1:24" s="1" customFormat="1">
      <c r="A79" s="263" t="s">
        <v>1201</v>
      </c>
      <c r="B79" s="248" t="s">
        <v>1202</v>
      </c>
      <c r="C79" s="249">
        <v>1</v>
      </c>
      <c r="D79" s="250" t="s">
        <v>1192</v>
      </c>
      <c r="E79" s="348">
        <v>115.73</v>
      </c>
      <c r="F79" s="226">
        <f t="shared" si="5"/>
        <v>0.2</v>
      </c>
      <c r="G79" s="67">
        <f t="shared" si="6"/>
        <v>92.584000000000003</v>
      </c>
      <c r="H79" s="246">
        <v>6</v>
      </c>
      <c r="I79" s="224">
        <v>0.05</v>
      </c>
      <c r="J79" s="288" t="s">
        <v>1099</v>
      </c>
      <c r="K79" s="89" t="s">
        <v>433</v>
      </c>
      <c r="L79" s="114" t="s">
        <v>1047</v>
      </c>
      <c r="M79" s="241" t="s">
        <v>1201</v>
      </c>
      <c r="N79" s="248" t="s">
        <v>1202</v>
      </c>
      <c r="O79" s="249">
        <v>1</v>
      </c>
      <c r="P79" s="250" t="s">
        <v>1132</v>
      </c>
      <c r="Q79" s="348">
        <v>115.73</v>
      </c>
      <c r="R79" s="226">
        <v>0.2</v>
      </c>
      <c r="S79" s="67">
        <v>92.584000000000003</v>
      </c>
      <c r="T79" s="246">
        <v>6</v>
      </c>
      <c r="U79" s="224">
        <v>0.05</v>
      </c>
      <c r="V79" s="288" t="s">
        <v>1099</v>
      </c>
      <c r="W79" s="89" t="s">
        <v>433</v>
      </c>
      <c r="X79" s="114" t="s">
        <v>1047</v>
      </c>
    </row>
    <row r="80" spans="1:24" s="1" customFormat="1">
      <c r="A80" s="263" t="s">
        <v>1203</v>
      </c>
      <c r="B80" s="248" t="s">
        <v>1204</v>
      </c>
      <c r="C80" s="249">
        <v>1</v>
      </c>
      <c r="D80" s="250" t="s">
        <v>1192</v>
      </c>
      <c r="E80" s="348">
        <v>157.94999999999999</v>
      </c>
      <c r="F80" s="226">
        <f t="shared" si="5"/>
        <v>0.2</v>
      </c>
      <c r="G80" s="67">
        <f t="shared" si="6"/>
        <v>126.35999999999999</v>
      </c>
      <c r="H80" s="246">
        <v>6</v>
      </c>
      <c r="I80" s="224">
        <v>0.05</v>
      </c>
      <c r="J80" s="288" t="s">
        <v>1099</v>
      </c>
      <c r="K80" s="89" t="s">
        <v>433</v>
      </c>
      <c r="L80" s="114" t="s">
        <v>1047</v>
      </c>
      <c r="M80" s="241" t="s">
        <v>1203</v>
      </c>
      <c r="N80" s="248" t="s">
        <v>1204</v>
      </c>
      <c r="O80" s="249">
        <v>1</v>
      </c>
      <c r="P80" s="250" t="s">
        <v>1132</v>
      </c>
      <c r="Q80" s="348">
        <v>157.94999999999999</v>
      </c>
      <c r="R80" s="226">
        <v>0.2</v>
      </c>
      <c r="S80" s="67">
        <v>126.35999999999999</v>
      </c>
      <c r="T80" s="246">
        <v>6</v>
      </c>
      <c r="U80" s="224">
        <v>0.05</v>
      </c>
      <c r="V80" s="288" t="s">
        <v>1099</v>
      </c>
      <c r="W80" s="89" t="s">
        <v>433</v>
      </c>
      <c r="X80" s="114" t="s">
        <v>1047</v>
      </c>
    </row>
    <row r="81" spans="1:24" s="1" customFormat="1">
      <c r="A81" s="263" t="s">
        <v>1205</v>
      </c>
      <c r="B81" s="248" t="s">
        <v>1206</v>
      </c>
      <c r="C81" s="249">
        <v>1</v>
      </c>
      <c r="D81" s="250" t="s">
        <v>1192</v>
      </c>
      <c r="E81" s="348">
        <v>186.5</v>
      </c>
      <c r="F81" s="226">
        <f t="shared" si="5"/>
        <v>0.2</v>
      </c>
      <c r="G81" s="67">
        <f t="shared" si="6"/>
        <v>149.19999999999999</v>
      </c>
      <c r="H81" s="246">
        <v>10</v>
      </c>
      <c r="I81" s="224">
        <v>0.05</v>
      </c>
      <c r="J81" s="288" t="s">
        <v>1099</v>
      </c>
      <c r="K81" s="89" t="s">
        <v>433</v>
      </c>
      <c r="L81" s="114" t="s">
        <v>1047</v>
      </c>
      <c r="M81" s="241" t="s">
        <v>1205</v>
      </c>
      <c r="N81" s="248" t="s">
        <v>1206</v>
      </c>
      <c r="O81" s="249">
        <v>1</v>
      </c>
      <c r="P81" s="250" t="s">
        <v>1132</v>
      </c>
      <c r="Q81" s="348">
        <v>186.5</v>
      </c>
      <c r="R81" s="226">
        <v>0.2</v>
      </c>
      <c r="S81" s="67">
        <v>149.19999999999999</v>
      </c>
      <c r="T81" s="246">
        <v>10</v>
      </c>
      <c r="U81" s="224">
        <v>0.05</v>
      </c>
      <c r="V81" s="288" t="s">
        <v>1099</v>
      </c>
      <c r="W81" s="89" t="s">
        <v>433</v>
      </c>
      <c r="X81" s="114" t="s">
        <v>1047</v>
      </c>
    </row>
    <row r="82" spans="1:24" s="1" customFormat="1" ht="13.5" thickBot="1">
      <c r="A82" s="263" t="s">
        <v>1207</v>
      </c>
      <c r="B82" s="248" t="s">
        <v>1208</v>
      </c>
      <c r="C82" s="249">
        <v>1</v>
      </c>
      <c r="D82" s="250" t="s">
        <v>1209</v>
      </c>
      <c r="E82" s="348">
        <v>394</v>
      </c>
      <c r="F82" s="226">
        <f t="shared" si="5"/>
        <v>0.2</v>
      </c>
      <c r="G82" s="67">
        <f t="shared" si="6"/>
        <v>315.2</v>
      </c>
      <c r="H82" s="246">
        <v>6</v>
      </c>
      <c r="I82" s="224">
        <v>0.38</v>
      </c>
      <c r="J82" s="288" t="s">
        <v>1099</v>
      </c>
      <c r="K82" s="89" t="s">
        <v>433</v>
      </c>
      <c r="L82" s="114" t="s">
        <v>1047</v>
      </c>
      <c r="M82" s="241" t="s">
        <v>1207</v>
      </c>
      <c r="N82" s="248" t="s">
        <v>1208</v>
      </c>
      <c r="O82" s="249">
        <v>1</v>
      </c>
      <c r="P82" s="250" t="s">
        <v>1209</v>
      </c>
      <c r="Q82" s="348">
        <v>394</v>
      </c>
      <c r="R82" s="226">
        <v>0.2</v>
      </c>
      <c r="S82" s="67">
        <v>315.2</v>
      </c>
      <c r="T82" s="246">
        <v>6</v>
      </c>
      <c r="U82" s="224">
        <v>0.38</v>
      </c>
      <c r="V82" s="288" t="s">
        <v>1099</v>
      </c>
      <c r="W82" s="89" t="s">
        <v>433</v>
      </c>
      <c r="X82" s="114" t="s">
        <v>1047</v>
      </c>
    </row>
    <row r="83" spans="1:24" s="369" customFormat="1" ht="24.95" customHeight="1" thickBot="1">
      <c r="A83" s="679" t="s">
        <v>1210</v>
      </c>
      <c r="B83" s="458" t="s">
        <v>1211</v>
      </c>
      <c r="C83" s="459"/>
      <c r="D83" s="459"/>
      <c r="E83" s="460"/>
      <c r="F83" s="461"/>
      <c r="G83" s="460"/>
      <c r="H83" s="460"/>
      <c r="I83" s="460"/>
      <c r="J83" s="635"/>
      <c r="K83" s="462"/>
      <c r="L83" s="463"/>
      <c r="M83" s="467" t="s">
        <v>1210</v>
      </c>
      <c r="N83" s="458" t="s">
        <v>1211</v>
      </c>
      <c r="O83" s="459"/>
      <c r="P83" s="459"/>
      <c r="Q83" s="460"/>
      <c r="R83" s="461"/>
      <c r="S83" s="460"/>
      <c r="T83" s="460"/>
      <c r="U83" s="460"/>
      <c r="V83" s="635"/>
      <c r="W83" s="462"/>
      <c r="X83" s="463"/>
    </row>
    <row r="84" spans="1:24" s="1" customFormat="1">
      <c r="A84" s="263" t="s">
        <v>1212</v>
      </c>
      <c r="B84" s="248" t="s">
        <v>1213</v>
      </c>
      <c r="C84" s="249">
        <v>1</v>
      </c>
      <c r="D84" s="274" t="s">
        <v>118</v>
      </c>
      <c r="E84" s="349">
        <v>90.78</v>
      </c>
      <c r="F84" s="226">
        <f>rv_apple_acc_mac</f>
        <v>0.09</v>
      </c>
      <c r="G84" s="67">
        <f t="shared" ref="G84:G115" si="7">E84-(E84*F84)</f>
        <v>82.609800000000007</v>
      </c>
      <c r="H84" s="93"/>
      <c r="I84" s="224">
        <v>0.05</v>
      </c>
      <c r="J84" s="288" t="s">
        <v>1099</v>
      </c>
      <c r="K84" s="89" t="s">
        <v>433</v>
      </c>
      <c r="L84" s="114" t="s">
        <v>1047</v>
      </c>
      <c r="M84" s="241" t="s">
        <v>1212</v>
      </c>
      <c r="N84" s="248" t="s">
        <v>1213</v>
      </c>
      <c r="O84" s="249">
        <v>1</v>
      </c>
      <c r="P84" s="274" t="s">
        <v>118</v>
      </c>
      <c r="Q84" s="349">
        <v>90.78</v>
      </c>
      <c r="R84" s="226">
        <v>0.09</v>
      </c>
      <c r="S84" s="67">
        <v>82.609800000000007</v>
      </c>
      <c r="T84" s="93"/>
      <c r="U84" s="224">
        <v>0.05</v>
      </c>
      <c r="V84" s="288" t="s">
        <v>1099</v>
      </c>
      <c r="W84" s="89" t="s">
        <v>433</v>
      </c>
      <c r="X84" s="114" t="s">
        <v>1047</v>
      </c>
    </row>
    <row r="85" spans="1:24" s="1" customFormat="1">
      <c r="A85" s="263" t="s">
        <v>1214</v>
      </c>
      <c r="B85" s="248" t="s">
        <v>1215</v>
      </c>
      <c r="C85" s="249">
        <v>1</v>
      </c>
      <c r="D85" s="274" t="s">
        <v>118</v>
      </c>
      <c r="E85" s="349">
        <v>90.78</v>
      </c>
      <c r="F85" s="226">
        <f>rv_apple_acc_mac</f>
        <v>0.09</v>
      </c>
      <c r="G85" s="67">
        <f t="shared" si="7"/>
        <v>82.609800000000007</v>
      </c>
      <c r="H85" s="93"/>
      <c r="I85" s="224">
        <v>0.05</v>
      </c>
      <c r="J85" s="288" t="s">
        <v>1099</v>
      </c>
      <c r="K85" s="89" t="s">
        <v>433</v>
      </c>
      <c r="L85" s="114" t="s">
        <v>1047</v>
      </c>
      <c r="M85" s="241" t="s">
        <v>1214</v>
      </c>
      <c r="N85" s="248" t="s">
        <v>1215</v>
      </c>
      <c r="O85" s="249">
        <v>1</v>
      </c>
      <c r="P85" s="274" t="s">
        <v>118</v>
      </c>
      <c r="Q85" s="349">
        <v>90.78</v>
      </c>
      <c r="R85" s="226">
        <v>0.09</v>
      </c>
      <c r="S85" s="67">
        <v>82.609800000000007</v>
      </c>
      <c r="T85" s="93"/>
      <c r="U85" s="224">
        <v>0.05</v>
      </c>
      <c r="V85" s="288" t="s">
        <v>1099</v>
      </c>
      <c r="W85" s="89" t="s">
        <v>433</v>
      </c>
      <c r="X85" s="114" t="s">
        <v>1047</v>
      </c>
    </row>
    <row r="86" spans="1:24" s="1" customFormat="1">
      <c r="A86" s="263" t="s">
        <v>1216</v>
      </c>
      <c r="B86" s="248" t="s">
        <v>1217</v>
      </c>
      <c r="C86" s="249">
        <v>1</v>
      </c>
      <c r="D86" s="274" t="s">
        <v>118</v>
      </c>
      <c r="E86" s="349">
        <v>90.78</v>
      </c>
      <c r="F86" s="226">
        <f>rv_apple_acc_mac</f>
        <v>0.09</v>
      </c>
      <c r="G86" s="67">
        <f t="shared" si="7"/>
        <v>82.609800000000007</v>
      </c>
      <c r="H86" s="93"/>
      <c r="I86" s="224">
        <v>0.05</v>
      </c>
      <c r="J86" s="288" t="s">
        <v>1099</v>
      </c>
      <c r="K86" s="89" t="s">
        <v>433</v>
      </c>
      <c r="L86" s="114" t="s">
        <v>1047</v>
      </c>
      <c r="M86" s="241" t="s">
        <v>1216</v>
      </c>
      <c r="N86" s="248" t="s">
        <v>1217</v>
      </c>
      <c r="O86" s="249">
        <v>1</v>
      </c>
      <c r="P86" s="274" t="s">
        <v>118</v>
      </c>
      <c r="Q86" s="349">
        <v>90.78</v>
      </c>
      <c r="R86" s="226">
        <v>0.09</v>
      </c>
      <c r="S86" s="67">
        <v>82.609800000000007</v>
      </c>
      <c r="T86" s="93"/>
      <c r="U86" s="224">
        <v>0.05</v>
      </c>
      <c r="V86" s="288" t="s">
        <v>1099</v>
      </c>
      <c r="W86" s="89" t="s">
        <v>433</v>
      </c>
      <c r="X86" s="114" t="s">
        <v>1047</v>
      </c>
    </row>
    <row r="87" spans="1:24" s="1" customFormat="1">
      <c r="A87" s="263" t="s">
        <v>1218</v>
      </c>
      <c r="B87" s="248" t="s">
        <v>1219</v>
      </c>
      <c r="C87" s="249">
        <v>1</v>
      </c>
      <c r="D87" s="274" t="s">
        <v>118</v>
      </c>
      <c r="E87" s="349">
        <v>90.78</v>
      </c>
      <c r="F87" s="226">
        <f>rv_apple_acc_mac</f>
        <v>0.09</v>
      </c>
      <c r="G87" s="67">
        <f t="shared" si="7"/>
        <v>82.609800000000007</v>
      </c>
      <c r="H87" s="93"/>
      <c r="I87" s="224">
        <v>0.05</v>
      </c>
      <c r="J87" s="288" t="s">
        <v>1099</v>
      </c>
      <c r="K87" s="89" t="s">
        <v>433</v>
      </c>
      <c r="L87" s="114" t="s">
        <v>1047</v>
      </c>
      <c r="M87" s="241" t="s">
        <v>1218</v>
      </c>
      <c r="N87" s="248" t="s">
        <v>1219</v>
      </c>
      <c r="O87" s="249">
        <v>1</v>
      </c>
      <c r="P87" s="274" t="s">
        <v>118</v>
      </c>
      <c r="Q87" s="349">
        <v>90.78</v>
      </c>
      <c r="R87" s="226">
        <v>0.09</v>
      </c>
      <c r="S87" s="67">
        <v>82.609800000000007</v>
      </c>
      <c r="T87" s="93"/>
      <c r="U87" s="224">
        <v>0.05</v>
      </c>
      <c r="V87" s="288" t="s">
        <v>1099</v>
      </c>
      <c r="W87" s="89" t="s">
        <v>433</v>
      </c>
      <c r="X87" s="114" t="s">
        <v>1047</v>
      </c>
    </row>
    <row r="88" spans="1:24" s="1" customFormat="1">
      <c r="A88" s="263" t="s">
        <v>1220</v>
      </c>
      <c r="B88" s="248" t="s">
        <v>1221</v>
      </c>
      <c r="C88" s="249">
        <v>1</v>
      </c>
      <c r="D88" s="274" t="s">
        <v>118</v>
      </c>
      <c r="E88" s="349">
        <v>132.44999999999999</v>
      </c>
      <c r="F88" s="226">
        <f>rv_apple_acc_mac</f>
        <v>0.09</v>
      </c>
      <c r="G88" s="67">
        <f t="shared" si="7"/>
        <v>120.52949999999998</v>
      </c>
      <c r="H88" s="93"/>
      <c r="I88" s="224">
        <v>0.05</v>
      </c>
      <c r="J88" s="288" t="s">
        <v>1099</v>
      </c>
      <c r="K88" s="89" t="s">
        <v>433</v>
      </c>
      <c r="L88" s="114" t="s">
        <v>1047</v>
      </c>
      <c r="M88" s="241" t="s">
        <v>1220</v>
      </c>
      <c r="N88" s="248" t="s">
        <v>1221</v>
      </c>
      <c r="O88" s="249">
        <v>1</v>
      </c>
      <c r="P88" s="274" t="s">
        <v>118</v>
      </c>
      <c r="Q88" s="349">
        <v>132.44999999999999</v>
      </c>
      <c r="R88" s="226">
        <v>0.09</v>
      </c>
      <c r="S88" s="67">
        <v>120.52949999999998</v>
      </c>
      <c r="T88" s="93"/>
      <c r="U88" s="224">
        <v>0.05</v>
      </c>
      <c r="V88" s="288" t="s">
        <v>1099</v>
      </c>
      <c r="W88" s="89" t="s">
        <v>433</v>
      </c>
      <c r="X88" s="114" t="s">
        <v>1047</v>
      </c>
    </row>
    <row r="89" spans="1:24" s="1" customFormat="1">
      <c r="A89" s="263" t="s">
        <v>1222</v>
      </c>
      <c r="B89" s="248" t="s">
        <v>1223</v>
      </c>
      <c r="C89" s="249">
        <v>1</v>
      </c>
      <c r="D89" s="274" t="s">
        <v>118</v>
      </c>
      <c r="E89" s="349">
        <v>132.44999999999999</v>
      </c>
      <c r="F89" s="226">
        <v>0.09</v>
      </c>
      <c r="G89" s="67">
        <f t="shared" si="7"/>
        <v>120.52949999999998</v>
      </c>
      <c r="H89" s="93"/>
      <c r="I89" s="224">
        <v>0.05</v>
      </c>
      <c r="J89" s="288" t="s">
        <v>1099</v>
      </c>
      <c r="K89" s="89" t="s">
        <v>433</v>
      </c>
      <c r="L89" s="114" t="s">
        <v>1047</v>
      </c>
      <c r="M89" s="241" t="s">
        <v>1222</v>
      </c>
      <c r="N89" s="248" t="s">
        <v>1223</v>
      </c>
      <c r="O89" s="249">
        <v>1</v>
      </c>
      <c r="P89" s="274" t="s">
        <v>118</v>
      </c>
      <c r="Q89" s="349">
        <v>132.44999999999999</v>
      </c>
      <c r="R89" s="226">
        <v>0.09</v>
      </c>
      <c r="S89" s="67">
        <v>120.53</v>
      </c>
      <c r="T89" s="93"/>
      <c r="U89" s="224">
        <v>0.05</v>
      </c>
      <c r="V89" s="288" t="s">
        <v>1099</v>
      </c>
      <c r="W89" s="89" t="s">
        <v>433</v>
      </c>
      <c r="X89" s="114" t="s">
        <v>1047</v>
      </c>
    </row>
    <row r="90" spans="1:24" s="1" customFormat="1">
      <c r="A90" s="263" t="s">
        <v>1224</v>
      </c>
      <c r="B90" s="248" t="s">
        <v>1225</v>
      </c>
      <c r="C90" s="249">
        <v>1</v>
      </c>
      <c r="D90" s="274" t="s">
        <v>118</v>
      </c>
      <c r="E90" s="349">
        <v>132.44999999999999</v>
      </c>
      <c r="F90" s="226">
        <v>0.09</v>
      </c>
      <c r="G90" s="67">
        <f t="shared" si="7"/>
        <v>120.52949999999998</v>
      </c>
      <c r="H90" s="93"/>
      <c r="I90" s="224">
        <v>0.05</v>
      </c>
      <c r="J90" s="288" t="s">
        <v>1099</v>
      </c>
      <c r="K90" s="89" t="s">
        <v>433</v>
      </c>
      <c r="L90" s="114" t="s">
        <v>1047</v>
      </c>
      <c r="M90" s="241" t="s">
        <v>1224</v>
      </c>
      <c r="N90" s="248" t="s">
        <v>1225</v>
      </c>
      <c r="O90" s="249">
        <v>1</v>
      </c>
      <c r="P90" s="274" t="s">
        <v>118</v>
      </c>
      <c r="Q90" s="349">
        <v>132.44999999999999</v>
      </c>
      <c r="R90" s="226">
        <v>0.09</v>
      </c>
      <c r="S90" s="67">
        <v>120.53</v>
      </c>
      <c r="T90" s="93"/>
      <c r="U90" s="224">
        <v>0.05</v>
      </c>
      <c r="V90" s="288" t="s">
        <v>1099</v>
      </c>
      <c r="W90" s="89" t="s">
        <v>433</v>
      </c>
      <c r="X90" s="114" t="s">
        <v>1047</v>
      </c>
    </row>
    <row r="91" spans="1:24" s="1" customFormat="1">
      <c r="A91" s="263" t="s">
        <v>1226</v>
      </c>
      <c r="B91" s="248" t="s">
        <v>1227</v>
      </c>
      <c r="C91" s="249">
        <v>1</v>
      </c>
      <c r="D91" s="274" t="s">
        <v>118</v>
      </c>
      <c r="E91" s="349">
        <v>132.44999999999999</v>
      </c>
      <c r="F91" s="226">
        <v>0.09</v>
      </c>
      <c r="G91" s="67">
        <f t="shared" si="7"/>
        <v>120.52949999999998</v>
      </c>
      <c r="H91" s="93"/>
      <c r="I91" s="224">
        <v>0.05</v>
      </c>
      <c r="J91" s="288" t="s">
        <v>1099</v>
      </c>
      <c r="K91" s="89" t="s">
        <v>433</v>
      </c>
      <c r="L91" s="114" t="s">
        <v>1047</v>
      </c>
      <c r="M91" s="241" t="s">
        <v>1226</v>
      </c>
      <c r="N91" s="248" t="s">
        <v>1227</v>
      </c>
      <c r="O91" s="249">
        <v>1</v>
      </c>
      <c r="P91" s="274" t="s">
        <v>118</v>
      </c>
      <c r="Q91" s="349">
        <v>132.44999999999999</v>
      </c>
      <c r="R91" s="226">
        <v>0.09</v>
      </c>
      <c r="S91" s="67">
        <v>120.53</v>
      </c>
      <c r="T91" s="93"/>
      <c r="U91" s="224">
        <v>0.05</v>
      </c>
      <c r="V91" s="288" t="s">
        <v>1099</v>
      </c>
      <c r="W91" s="89" t="s">
        <v>433</v>
      </c>
      <c r="X91" s="114" t="s">
        <v>1047</v>
      </c>
    </row>
    <row r="92" spans="1:24" s="1" customFormat="1">
      <c r="A92" s="263" t="s">
        <v>1228</v>
      </c>
      <c r="B92" s="248" t="s">
        <v>1229</v>
      </c>
      <c r="C92" s="249">
        <v>1</v>
      </c>
      <c r="D92" s="274" t="s">
        <v>118</v>
      </c>
      <c r="E92" s="349">
        <v>112.45</v>
      </c>
      <c r="F92" s="226">
        <f>rv_apple_acc_mac</f>
        <v>0.09</v>
      </c>
      <c r="G92" s="67">
        <f t="shared" si="7"/>
        <v>102.3295</v>
      </c>
      <c r="H92" s="93"/>
      <c r="I92" s="224">
        <v>0.05</v>
      </c>
      <c r="J92" s="288" t="s">
        <v>1099</v>
      </c>
      <c r="K92" s="89" t="s">
        <v>433</v>
      </c>
      <c r="L92" s="114" t="s">
        <v>1047</v>
      </c>
      <c r="M92" s="241" t="s">
        <v>1228</v>
      </c>
      <c r="N92" s="248" t="s">
        <v>1229</v>
      </c>
      <c r="O92" s="249">
        <v>1</v>
      </c>
      <c r="P92" s="274" t="s">
        <v>118</v>
      </c>
      <c r="Q92" s="349">
        <v>112.45</v>
      </c>
      <c r="R92" s="226">
        <v>0.09</v>
      </c>
      <c r="S92" s="67">
        <v>102.3295</v>
      </c>
      <c r="T92" s="93"/>
      <c r="U92" s="224">
        <v>0.05</v>
      </c>
      <c r="V92" s="288" t="s">
        <v>1099</v>
      </c>
      <c r="W92" s="89" t="s">
        <v>433</v>
      </c>
      <c r="X92" s="114" t="s">
        <v>1047</v>
      </c>
    </row>
    <row r="93" spans="1:24" s="1" customFormat="1">
      <c r="A93" s="263" t="s">
        <v>1230</v>
      </c>
      <c r="B93" s="248" t="s">
        <v>1231</v>
      </c>
      <c r="C93" s="249">
        <v>1</v>
      </c>
      <c r="D93" s="274" t="s">
        <v>118</v>
      </c>
      <c r="E93" s="349">
        <v>112.45</v>
      </c>
      <c r="F93" s="226">
        <v>0.09</v>
      </c>
      <c r="G93" s="67">
        <f t="shared" si="7"/>
        <v>102.3295</v>
      </c>
      <c r="H93" s="93"/>
      <c r="I93" s="224">
        <v>0.05</v>
      </c>
      <c r="J93" s="288" t="s">
        <v>1099</v>
      </c>
      <c r="K93" s="89" t="s">
        <v>433</v>
      </c>
      <c r="L93" s="114" t="s">
        <v>1047</v>
      </c>
      <c r="M93" s="241" t="s">
        <v>1230</v>
      </c>
      <c r="N93" s="248" t="s">
        <v>1231</v>
      </c>
      <c r="O93" s="249">
        <v>1</v>
      </c>
      <c r="P93" s="274" t="s">
        <v>118</v>
      </c>
      <c r="Q93" s="349">
        <v>112.45</v>
      </c>
      <c r="R93" s="226">
        <v>0.09</v>
      </c>
      <c r="S93" s="67">
        <v>102.33</v>
      </c>
      <c r="T93" s="93"/>
      <c r="U93" s="224">
        <v>0.05</v>
      </c>
      <c r="V93" s="288" t="s">
        <v>1099</v>
      </c>
      <c r="W93" s="89" t="s">
        <v>433</v>
      </c>
      <c r="X93" s="114" t="s">
        <v>1047</v>
      </c>
    </row>
    <row r="94" spans="1:24" s="1" customFormat="1">
      <c r="A94" s="263" t="s">
        <v>1232</v>
      </c>
      <c r="B94" s="248" t="s">
        <v>1233</v>
      </c>
      <c r="C94" s="249">
        <v>1</v>
      </c>
      <c r="D94" s="274" t="s">
        <v>118</v>
      </c>
      <c r="E94" s="349">
        <v>112.45</v>
      </c>
      <c r="F94" s="226">
        <v>0.09</v>
      </c>
      <c r="G94" s="67">
        <f t="shared" si="7"/>
        <v>102.3295</v>
      </c>
      <c r="H94" s="93"/>
      <c r="I94" s="224">
        <v>0.05</v>
      </c>
      <c r="J94" s="288" t="s">
        <v>1099</v>
      </c>
      <c r="K94" s="89" t="s">
        <v>433</v>
      </c>
      <c r="L94" s="114" t="s">
        <v>1047</v>
      </c>
      <c r="M94" s="241" t="s">
        <v>1232</v>
      </c>
      <c r="N94" s="248" t="s">
        <v>1233</v>
      </c>
      <c r="O94" s="249">
        <v>1</v>
      </c>
      <c r="P94" s="274" t="s">
        <v>118</v>
      </c>
      <c r="Q94" s="349">
        <v>112.45</v>
      </c>
      <c r="R94" s="226">
        <v>0.09</v>
      </c>
      <c r="S94" s="67">
        <v>102.33</v>
      </c>
      <c r="T94" s="93"/>
      <c r="U94" s="224">
        <v>0.05</v>
      </c>
      <c r="V94" s="288" t="s">
        <v>1099</v>
      </c>
      <c r="W94" s="89" t="s">
        <v>433</v>
      </c>
      <c r="X94" s="114" t="s">
        <v>1047</v>
      </c>
    </row>
    <row r="95" spans="1:24" s="1" customFormat="1">
      <c r="A95" s="263" t="s">
        <v>1234</v>
      </c>
      <c r="B95" s="248" t="s">
        <v>1235</v>
      </c>
      <c r="C95" s="249">
        <v>1</v>
      </c>
      <c r="D95" s="274" t="s">
        <v>118</v>
      </c>
      <c r="E95" s="349">
        <v>112.45</v>
      </c>
      <c r="F95" s="226">
        <v>0.09</v>
      </c>
      <c r="G95" s="67">
        <f t="shared" si="7"/>
        <v>102.3295</v>
      </c>
      <c r="H95" s="93"/>
      <c r="I95" s="224">
        <v>0.05</v>
      </c>
      <c r="J95" s="288" t="s">
        <v>1099</v>
      </c>
      <c r="K95" s="89" t="s">
        <v>433</v>
      </c>
      <c r="L95" s="114" t="s">
        <v>1047</v>
      </c>
      <c r="M95" s="241" t="s">
        <v>1234</v>
      </c>
      <c r="N95" s="248" t="s">
        <v>1235</v>
      </c>
      <c r="O95" s="249">
        <v>1</v>
      </c>
      <c r="P95" s="274" t="s">
        <v>118</v>
      </c>
      <c r="Q95" s="349">
        <v>112.45</v>
      </c>
      <c r="R95" s="226">
        <v>0.09</v>
      </c>
      <c r="S95" s="67">
        <v>102.33</v>
      </c>
      <c r="T95" s="93"/>
      <c r="U95" s="224">
        <v>0.05</v>
      </c>
      <c r="V95" s="288" t="s">
        <v>1099</v>
      </c>
      <c r="W95" s="89" t="s">
        <v>433</v>
      </c>
      <c r="X95" s="114" t="s">
        <v>1047</v>
      </c>
    </row>
    <row r="96" spans="1:24" s="1" customFormat="1">
      <c r="A96" s="263" t="s">
        <v>1236</v>
      </c>
      <c r="B96" s="248" t="s">
        <v>1237</v>
      </c>
      <c r="C96" s="249">
        <v>1</v>
      </c>
      <c r="D96" s="274" t="s">
        <v>118</v>
      </c>
      <c r="E96" s="349">
        <v>154.12</v>
      </c>
      <c r="F96" s="226">
        <f>rv_apple_acc_mac</f>
        <v>0.09</v>
      </c>
      <c r="G96" s="67">
        <f t="shared" si="7"/>
        <v>140.2492</v>
      </c>
      <c r="H96" s="93"/>
      <c r="I96" s="224">
        <v>0.05</v>
      </c>
      <c r="J96" s="288" t="s">
        <v>1099</v>
      </c>
      <c r="K96" s="89" t="s">
        <v>433</v>
      </c>
      <c r="L96" s="114" t="s">
        <v>1047</v>
      </c>
      <c r="M96" s="241" t="s">
        <v>1236</v>
      </c>
      <c r="N96" s="248" t="s">
        <v>1237</v>
      </c>
      <c r="O96" s="249">
        <v>1</v>
      </c>
      <c r="P96" s="274" t="s">
        <v>118</v>
      </c>
      <c r="Q96" s="349">
        <v>154.12</v>
      </c>
      <c r="R96" s="226">
        <v>0.09</v>
      </c>
      <c r="S96" s="67">
        <v>140.2492</v>
      </c>
      <c r="T96" s="93"/>
      <c r="U96" s="224">
        <v>0.05</v>
      </c>
      <c r="V96" s="288" t="s">
        <v>1099</v>
      </c>
      <c r="W96" s="89" t="s">
        <v>433</v>
      </c>
      <c r="X96" s="114" t="s">
        <v>1047</v>
      </c>
    </row>
    <row r="97" spans="1:24" s="1" customFormat="1">
      <c r="A97" s="263" t="s">
        <v>1238</v>
      </c>
      <c r="B97" s="248" t="s">
        <v>1239</v>
      </c>
      <c r="C97" s="249">
        <v>1</v>
      </c>
      <c r="D97" s="274" t="s">
        <v>118</v>
      </c>
      <c r="E97" s="349">
        <v>154.12</v>
      </c>
      <c r="F97" s="226">
        <v>0.09</v>
      </c>
      <c r="G97" s="67">
        <f t="shared" si="7"/>
        <v>140.2492</v>
      </c>
      <c r="H97" s="93"/>
      <c r="I97" s="224">
        <v>0.05</v>
      </c>
      <c r="J97" s="288" t="s">
        <v>1099</v>
      </c>
      <c r="K97" s="89" t="s">
        <v>433</v>
      </c>
      <c r="L97" s="114" t="s">
        <v>1047</v>
      </c>
      <c r="M97" s="241" t="s">
        <v>1238</v>
      </c>
      <c r="N97" s="248" t="s">
        <v>1239</v>
      </c>
      <c r="O97" s="249">
        <v>1</v>
      </c>
      <c r="P97" s="274" t="s">
        <v>118</v>
      </c>
      <c r="Q97" s="349">
        <v>112.45</v>
      </c>
      <c r="R97" s="226">
        <v>0.09</v>
      </c>
      <c r="S97" s="67">
        <v>102.33</v>
      </c>
      <c r="T97" s="93"/>
      <c r="U97" s="224">
        <v>0.05</v>
      </c>
      <c r="V97" s="288" t="s">
        <v>1099</v>
      </c>
      <c r="W97" s="89" t="s">
        <v>433</v>
      </c>
      <c r="X97" s="114" t="s">
        <v>1047</v>
      </c>
    </row>
    <row r="98" spans="1:24" s="1" customFormat="1">
      <c r="A98" s="263" t="s">
        <v>1240</v>
      </c>
      <c r="B98" s="248" t="s">
        <v>1241</v>
      </c>
      <c r="C98" s="249">
        <v>1</v>
      </c>
      <c r="D98" s="274" t="s">
        <v>118</v>
      </c>
      <c r="E98" s="349">
        <v>154.12</v>
      </c>
      <c r="F98" s="226">
        <v>0.09</v>
      </c>
      <c r="G98" s="67">
        <f t="shared" si="7"/>
        <v>140.2492</v>
      </c>
      <c r="H98" s="93"/>
      <c r="I98" s="224">
        <v>0.05</v>
      </c>
      <c r="J98" s="288" t="s">
        <v>1099</v>
      </c>
      <c r="K98" s="89" t="s">
        <v>433</v>
      </c>
      <c r="L98" s="114" t="s">
        <v>1047</v>
      </c>
      <c r="M98" s="241" t="s">
        <v>1240</v>
      </c>
      <c r="N98" s="248" t="s">
        <v>1241</v>
      </c>
      <c r="O98" s="249">
        <v>1</v>
      </c>
      <c r="P98" s="274" t="s">
        <v>118</v>
      </c>
      <c r="Q98" s="349">
        <v>112.45</v>
      </c>
      <c r="R98" s="226">
        <v>0.09</v>
      </c>
      <c r="S98" s="67">
        <v>102.33</v>
      </c>
      <c r="T98" s="93"/>
      <c r="U98" s="224">
        <v>0.05</v>
      </c>
      <c r="V98" s="288" t="s">
        <v>1099</v>
      </c>
      <c r="W98" s="89" t="s">
        <v>433</v>
      </c>
      <c r="X98" s="114" t="s">
        <v>1047</v>
      </c>
    </row>
    <row r="99" spans="1:24" s="1" customFormat="1">
      <c r="A99" s="263" t="s">
        <v>1242</v>
      </c>
      <c r="B99" s="248" t="s">
        <v>1243</v>
      </c>
      <c r="C99" s="249">
        <v>1</v>
      </c>
      <c r="D99" s="274" t="s">
        <v>118</v>
      </c>
      <c r="E99" s="349">
        <v>154.12</v>
      </c>
      <c r="F99" s="226">
        <v>0.09</v>
      </c>
      <c r="G99" s="67">
        <f t="shared" si="7"/>
        <v>140.2492</v>
      </c>
      <c r="H99" s="93"/>
      <c r="I99" s="224">
        <v>0.05</v>
      </c>
      <c r="J99" s="288" t="s">
        <v>1099</v>
      </c>
      <c r="K99" s="89" t="s">
        <v>433</v>
      </c>
      <c r="L99" s="114" t="s">
        <v>1047</v>
      </c>
      <c r="M99" s="241" t="s">
        <v>1242</v>
      </c>
      <c r="N99" s="248" t="s">
        <v>1243</v>
      </c>
      <c r="O99" s="249">
        <v>1</v>
      </c>
      <c r="P99" s="274" t="s">
        <v>118</v>
      </c>
      <c r="Q99" s="349">
        <v>112.45</v>
      </c>
      <c r="R99" s="226">
        <v>0.09</v>
      </c>
      <c r="S99" s="67">
        <v>102.33</v>
      </c>
      <c r="T99" s="93"/>
      <c r="U99" s="224">
        <v>0.05</v>
      </c>
      <c r="V99" s="288" t="s">
        <v>1099</v>
      </c>
      <c r="W99" s="89" t="s">
        <v>433</v>
      </c>
      <c r="X99" s="114" t="s">
        <v>1047</v>
      </c>
    </row>
    <row r="100" spans="1:24" s="1" customFormat="1">
      <c r="A100" s="263" t="s">
        <v>1244</v>
      </c>
      <c r="B100" s="248" t="s">
        <v>1245</v>
      </c>
      <c r="C100" s="249">
        <v>1</v>
      </c>
      <c r="D100" s="274" t="s">
        <v>118</v>
      </c>
      <c r="E100" s="349">
        <v>170.78</v>
      </c>
      <c r="F100" s="226">
        <f>rv_apple_acc_mac</f>
        <v>0.09</v>
      </c>
      <c r="G100" s="67">
        <f t="shared" si="7"/>
        <v>155.40979999999999</v>
      </c>
      <c r="H100" s="93"/>
      <c r="I100" s="224">
        <v>0.05</v>
      </c>
      <c r="J100" s="288" t="s">
        <v>1099</v>
      </c>
      <c r="K100" s="89" t="s">
        <v>433</v>
      </c>
      <c r="L100" s="114" t="s">
        <v>1047</v>
      </c>
      <c r="M100" s="241" t="s">
        <v>1244</v>
      </c>
      <c r="N100" s="248" t="s">
        <v>1245</v>
      </c>
      <c r="O100" s="249">
        <v>1</v>
      </c>
      <c r="P100" s="274" t="s">
        <v>118</v>
      </c>
      <c r="Q100" s="349">
        <v>170.78</v>
      </c>
      <c r="R100" s="226">
        <v>0.09</v>
      </c>
      <c r="S100" s="67">
        <v>155.40979999999999</v>
      </c>
      <c r="T100" s="93"/>
      <c r="U100" s="224">
        <v>0.05</v>
      </c>
      <c r="V100" s="288" t="s">
        <v>1099</v>
      </c>
      <c r="W100" s="89" t="s">
        <v>433</v>
      </c>
      <c r="X100" s="114" t="s">
        <v>1047</v>
      </c>
    </row>
    <row r="101" spans="1:24" s="1" customFormat="1">
      <c r="A101" s="263" t="s">
        <v>1246</v>
      </c>
      <c r="B101" s="248" t="s">
        <v>1247</v>
      </c>
      <c r="C101" s="249">
        <v>1</v>
      </c>
      <c r="D101" s="274" t="s">
        <v>118</v>
      </c>
      <c r="E101" s="349">
        <v>170.78</v>
      </c>
      <c r="F101" s="226">
        <f>rv_apple_acc_mac</f>
        <v>0.09</v>
      </c>
      <c r="G101" s="67">
        <f t="shared" si="7"/>
        <v>155.40979999999999</v>
      </c>
      <c r="H101" s="93"/>
      <c r="I101" s="224">
        <v>0.05</v>
      </c>
      <c r="J101" s="288" t="s">
        <v>1099</v>
      </c>
      <c r="K101" s="89" t="s">
        <v>433</v>
      </c>
      <c r="L101" s="114" t="s">
        <v>1047</v>
      </c>
      <c r="M101" s="241" t="s">
        <v>1246</v>
      </c>
      <c r="N101" s="248" t="s">
        <v>1247</v>
      </c>
      <c r="O101" s="249">
        <v>1</v>
      </c>
      <c r="P101" s="274" t="s">
        <v>118</v>
      </c>
      <c r="Q101" s="349">
        <v>170.78</v>
      </c>
      <c r="R101" s="226">
        <v>0.09</v>
      </c>
      <c r="S101" s="67">
        <v>155.40979999999999</v>
      </c>
      <c r="T101" s="93"/>
      <c r="U101" s="224">
        <v>0.05</v>
      </c>
      <c r="V101" s="288" t="s">
        <v>1099</v>
      </c>
      <c r="W101" s="89" t="s">
        <v>433</v>
      </c>
      <c r="X101" s="114" t="s">
        <v>1047</v>
      </c>
    </row>
    <row r="102" spans="1:24" s="1" customFormat="1">
      <c r="A102" s="263" t="s">
        <v>1248</v>
      </c>
      <c r="B102" s="248" t="s">
        <v>1249</v>
      </c>
      <c r="C102" s="249">
        <v>1</v>
      </c>
      <c r="D102" s="274" t="s">
        <v>118</v>
      </c>
      <c r="E102" s="349">
        <v>170.78</v>
      </c>
      <c r="F102" s="226">
        <v>0.09</v>
      </c>
      <c r="G102" s="67">
        <f t="shared" si="7"/>
        <v>155.40979999999999</v>
      </c>
      <c r="H102" s="93"/>
      <c r="I102" s="224">
        <v>0.05</v>
      </c>
      <c r="J102" s="288" t="s">
        <v>1099</v>
      </c>
      <c r="K102" s="89" t="s">
        <v>433</v>
      </c>
      <c r="L102" s="114" t="s">
        <v>1047</v>
      </c>
      <c r="M102" s="241" t="s">
        <v>1248</v>
      </c>
      <c r="N102" s="248" t="s">
        <v>1249</v>
      </c>
      <c r="O102" s="249">
        <v>1</v>
      </c>
      <c r="P102" s="274" t="s">
        <v>118</v>
      </c>
      <c r="Q102" s="349">
        <v>170.78</v>
      </c>
      <c r="R102" s="226">
        <v>0.09</v>
      </c>
      <c r="S102" s="67">
        <v>155.41</v>
      </c>
      <c r="T102" s="93"/>
      <c r="U102" s="224">
        <v>0.05</v>
      </c>
      <c r="V102" s="288" t="s">
        <v>1099</v>
      </c>
      <c r="W102" s="89" t="s">
        <v>433</v>
      </c>
      <c r="X102" s="114" t="s">
        <v>1047</v>
      </c>
    </row>
    <row r="103" spans="1:24" s="1" customFormat="1">
      <c r="A103" s="263" t="s">
        <v>1250</v>
      </c>
      <c r="B103" s="248" t="s">
        <v>1251</v>
      </c>
      <c r="C103" s="249">
        <v>1</v>
      </c>
      <c r="D103" s="274" t="s">
        <v>118</v>
      </c>
      <c r="E103" s="349">
        <v>170.78</v>
      </c>
      <c r="F103" s="226">
        <v>0.09</v>
      </c>
      <c r="G103" s="67">
        <f t="shared" si="7"/>
        <v>155.40979999999999</v>
      </c>
      <c r="H103" s="93"/>
      <c r="I103" s="224">
        <v>0.05</v>
      </c>
      <c r="J103" s="288" t="s">
        <v>1099</v>
      </c>
      <c r="K103" s="89" t="s">
        <v>433</v>
      </c>
      <c r="L103" s="114" t="s">
        <v>1047</v>
      </c>
      <c r="M103" s="241" t="s">
        <v>1250</v>
      </c>
      <c r="N103" s="248" t="s">
        <v>1251</v>
      </c>
      <c r="O103" s="249">
        <v>1</v>
      </c>
      <c r="P103" s="274" t="s">
        <v>118</v>
      </c>
      <c r="Q103" s="349">
        <v>170.78</v>
      </c>
      <c r="R103" s="226">
        <v>0.09</v>
      </c>
      <c r="S103" s="67">
        <v>155.41</v>
      </c>
      <c r="T103" s="93"/>
      <c r="U103" s="224">
        <v>0.05</v>
      </c>
      <c r="V103" s="288" t="s">
        <v>1099</v>
      </c>
      <c r="W103" s="89" t="s">
        <v>433</v>
      </c>
      <c r="X103" s="114" t="s">
        <v>1047</v>
      </c>
    </row>
    <row r="104" spans="1:24" s="1" customFormat="1">
      <c r="A104" s="263" t="s">
        <v>1252</v>
      </c>
      <c r="B104" s="248" t="s">
        <v>1253</v>
      </c>
      <c r="C104" s="249">
        <v>1</v>
      </c>
      <c r="D104" s="272" t="s">
        <v>118</v>
      </c>
      <c r="E104" s="349">
        <v>70.78</v>
      </c>
      <c r="F104" s="251">
        <f t="shared" ref="F104:F106" si="8">rv_apple_acc_mac</f>
        <v>0.09</v>
      </c>
      <c r="G104" s="67">
        <f t="shared" si="7"/>
        <v>64.409800000000004</v>
      </c>
      <c r="H104" s="93"/>
      <c r="I104" s="224">
        <v>0.05</v>
      </c>
      <c r="J104" s="288" t="s">
        <v>1099</v>
      </c>
      <c r="K104" s="89" t="s">
        <v>433</v>
      </c>
      <c r="L104" s="114" t="s">
        <v>1047</v>
      </c>
      <c r="M104" s="241" t="s">
        <v>1252</v>
      </c>
      <c r="N104" s="248" t="s">
        <v>1253</v>
      </c>
      <c r="O104" s="249">
        <v>1</v>
      </c>
      <c r="P104" s="272" t="s">
        <v>118</v>
      </c>
      <c r="Q104" s="349">
        <v>70.78</v>
      </c>
      <c r="R104" s="251">
        <v>0.09</v>
      </c>
      <c r="S104" s="67">
        <v>64.409800000000004</v>
      </c>
      <c r="T104" s="93"/>
      <c r="U104" s="224">
        <v>0.05</v>
      </c>
      <c r="V104" s="288" t="s">
        <v>1099</v>
      </c>
      <c r="W104" s="89" t="s">
        <v>433</v>
      </c>
      <c r="X104" s="114" t="s">
        <v>1047</v>
      </c>
    </row>
    <row r="105" spans="1:24" s="1" customFormat="1">
      <c r="A105" s="263" t="s">
        <v>1254</v>
      </c>
      <c r="B105" s="248" t="s">
        <v>1255</v>
      </c>
      <c r="C105" s="249">
        <v>1</v>
      </c>
      <c r="D105" s="274" t="s">
        <v>118</v>
      </c>
      <c r="E105" s="349">
        <v>90.78</v>
      </c>
      <c r="F105" s="226">
        <f>rv_apple_acc_mac</f>
        <v>0.09</v>
      </c>
      <c r="G105" s="67">
        <f t="shared" si="7"/>
        <v>82.609800000000007</v>
      </c>
      <c r="H105" s="93"/>
      <c r="I105" s="224">
        <v>0.05</v>
      </c>
      <c r="J105" s="288" t="s">
        <v>1099</v>
      </c>
      <c r="K105" s="89" t="s">
        <v>433</v>
      </c>
      <c r="L105" s="114" t="s">
        <v>1047</v>
      </c>
      <c r="M105" s="241" t="s">
        <v>1254</v>
      </c>
      <c r="N105" s="248" t="s">
        <v>1255</v>
      </c>
      <c r="O105" s="249">
        <v>1</v>
      </c>
      <c r="P105" s="274" t="s">
        <v>118</v>
      </c>
      <c r="Q105" s="349">
        <v>90.78</v>
      </c>
      <c r="R105" s="226">
        <v>0.09</v>
      </c>
      <c r="S105" s="67">
        <v>82.609800000000007</v>
      </c>
      <c r="T105" s="93"/>
      <c r="U105" s="224">
        <v>0.05</v>
      </c>
      <c r="V105" s="288" t="s">
        <v>1099</v>
      </c>
      <c r="W105" s="89" t="s">
        <v>433</v>
      </c>
      <c r="X105" s="114" t="s">
        <v>1047</v>
      </c>
    </row>
    <row r="106" spans="1:24" s="1" customFormat="1">
      <c r="A106" s="263" t="s">
        <v>1256</v>
      </c>
      <c r="B106" s="248" t="s">
        <v>1257</v>
      </c>
      <c r="C106" s="249">
        <v>1</v>
      </c>
      <c r="D106" s="272" t="s">
        <v>118</v>
      </c>
      <c r="E106" s="349">
        <v>112.45</v>
      </c>
      <c r="F106" s="251">
        <f t="shared" si="8"/>
        <v>0.09</v>
      </c>
      <c r="G106" s="67">
        <f t="shared" si="7"/>
        <v>102.3295</v>
      </c>
      <c r="H106" s="93"/>
      <c r="I106" s="224">
        <v>0.05</v>
      </c>
      <c r="J106" s="288" t="s">
        <v>1099</v>
      </c>
      <c r="K106" s="89" t="s">
        <v>433</v>
      </c>
      <c r="L106" s="114" t="s">
        <v>1047</v>
      </c>
      <c r="M106" s="241" t="s">
        <v>1256</v>
      </c>
      <c r="N106" s="248" t="s">
        <v>1257</v>
      </c>
      <c r="O106" s="249">
        <v>1</v>
      </c>
      <c r="P106" s="272" t="s">
        <v>118</v>
      </c>
      <c r="Q106" s="349">
        <v>112.45</v>
      </c>
      <c r="R106" s="251">
        <v>0.09</v>
      </c>
      <c r="S106" s="67">
        <v>102.3295</v>
      </c>
      <c r="T106" s="93"/>
      <c r="U106" s="224">
        <v>0.05</v>
      </c>
      <c r="V106" s="288" t="s">
        <v>1099</v>
      </c>
      <c r="W106" s="89" t="s">
        <v>433</v>
      </c>
      <c r="X106" s="114" t="s">
        <v>1047</v>
      </c>
    </row>
    <row r="107" spans="1:24" s="1" customFormat="1">
      <c r="A107" s="263" t="s">
        <v>1258</v>
      </c>
      <c r="B107" s="248" t="s">
        <v>1259</v>
      </c>
      <c r="C107" s="249">
        <v>1</v>
      </c>
      <c r="D107" s="274" t="s">
        <v>118</v>
      </c>
      <c r="E107" s="349">
        <v>129.12</v>
      </c>
      <c r="F107" s="226">
        <f>rv_apple_acc_mac</f>
        <v>0.09</v>
      </c>
      <c r="G107" s="67">
        <f t="shared" si="7"/>
        <v>117.4992</v>
      </c>
      <c r="H107" s="93"/>
      <c r="I107" s="224">
        <v>0.05</v>
      </c>
      <c r="J107" s="288" t="s">
        <v>1099</v>
      </c>
      <c r="K107" s="89" t="s">
        <v>433</v>
      </c>
      <c r="L107" s="114" t="s">
        <v>1047</v>
      </c>
      <c r="M107" s="241" t="s">
        <v>1258</v>
      </c>
      <c r="N107" s="248" t="s">
        <v>1259</v>
      </c>
      <c r="O107" s="249">
        <v>1</v>
      </c>
      <c r="P107" s="274" t="s">
        <v>118</v>
      </c>
      <c r="Q107" s="349">
        <v>129.12</v>
      </c>
      <c r="R107" s="226">
        <v>0.09</v>
      </c>
      <c r="S107" s="67">
        <v>117.4992</v>
      </c>
      <c r="T107" s="93"/>
      <c r="U107" s="224">
        <v>0.05</v>
      </c>
      <c r="V107" s="288" t="s">
        <v>1099</v>
      </c>
      <c r="W107" s="89" t="s">
        <v>433</v>
      </c>
      <c r="X107" s="114" t="s">
        <v>1047</v>
      </c>
    </row>
    <row r="108" spans="1:24" s="1" customFormat="1">
      <c r="A108" s="263" t="s">
        <v>1260</v>
      </c>
      <c r="B108" s="248" t="s">
        <v>1261</v>
      </c>
      <c r="C108" s="249">
        <v>1</v>
      </c>
      <c r="D108" s="274" t="s">
        <v>118</v>
      </c>
      <c r="E108" s="349">
        <v>165.78</v>
      </c>
      <c r="F108" s="226">
        <f t="shared" ref="F108:F123" si="9">rv_apple_acc_nodac</f>
        <v>0</v>
      </c>
      <c r="G108" s="67">
        <f t="shared" si="7"/>
        <v>165.78</v>
      </c>
      <c r="H108" s="93"/>
      <c r="I108" s="224">
        <v>0.05</v>
      </c>
      <c r="J108" s="288" t="s">
        <v>1099</v>
      </c>
      <c r="K108" s="89" t="s">
        <v>433</v>
      </c>
      <c r="L108" s="114" t="s">
        <v>1047</v>
      </c>
      <c r="M108" s="241" t="s">
        <v>1260</v>
      </c>
      <c r="N108" s="248" t="s">
        <v>1261</v>
      </c>
      <c r="O108" s="249">
        <v>1</v>
      </c>
      <c r="P108" s="274" t="s">
        <v>118</v>
      </c>
      <c r="Q108" s="349">
        <v>165.78</v>
      </c>
      <c r="R108" s="226">
        <v>0</v>
      </c>
      <c r="S108" s="67">
        <v>165.78</v>
      </c>
      <c r="T108" s="93"/>
      <c r="U108" s="224">
        <v>0.05</v>
      </c>
      <c r="V108" s="288" t="s">
        <v>1099</v>
      </c>
      <c r="W108" s="89" t="s">
        <v>433</v>
      </c>
      <c r="X108" s="114" t="s">
        <v>1047</v>
      </c>
    </row>
    <row r="109" spans="1:24" s="1" customFormat="1">
      <c r="A109" s="263" t="s">
        <v>1262</v>
      </c>
      <c r="B109" s="248" t="s">
        <v>1263</v>
      </c>
      <c r="C109" s="249">
        <v>1</v>
      </c>
      <c r="D109" s="274" t="s">
        <v>118</v>
      </c>
      <c r="E109" s="349">
        <v>165.78</v>
      </c>
      <c r="F109" s="226">
        <f t="shared" si="9"/>
        <v>0</v>
      </c>
      <c r="G109" s="67">
        <f t="shared" si="7"/>
        <v>165.78</v>
      </c>
      <c r="H109" s="93"/>
      <c r="I109" s="224">
        <v>0.05</v>
      </c>
      <c r="J109" s="288" t="s">
        <v>1099</v>
      </c>
      <c r="K109" s="89" t="s">
        <v>433</v>
      </c>
      <c r="L109" s="114" t="s">
        <v>1047</v>
      </c>
      <c r="M109" s="241" t="s">
        <v>1262</v>
      </c>
      <c r="N109" s="248" t="s">
        <v>1263</v>
      </c>
      <c r="O109" s="249">
        <v>1</v>
      </c>
      <c r="P109" s="274" t="s">
        <v>118</v>
      </c>
      <c r="Q109" s="349">
        <v>165.78</v>
      </c>
      <c r="R109" s="226">
        <v>0</v>
      </c>
      <c r="S109" s="67">
        <v>165.78</v>
      </c>
      <c r="T109" s="93"/>
      <c r="U109" s="224">
        <v>0.05</v>
      </c>
      <c r="V109" s="288" t="s">
        <v>1099</v>
      </c>
      <c r="W109" s="89" t="s">
        <v>433</v>
      </c>
      <c r="X109" s="114" t="s">
        <v>1047</v>
      </c>
    </row>
    <row r="110" spans="1:24" s="1" customFormat="1">
      <c r="A110" s="263" t="s">
        <v>1264</v>
      </c>
      <c r="B110" s="248" t="s">
        <v>1265</v>
      </c>
      <c r="C110" s="249">
        <v>1</v>
      </c>
      <c r="D110" s="274" t="s">
        <v>118</v>
      </c>
      <c r="E110" s="349">
        <v>182.45</v>
      </c>
      <c r="F110" s="226">
        <f t="shared" si="9"/>
        <v>0</v>
      </c>
      <c r="G110" s="67">
        <f t="shared" si="7"/>
        <v>182.45</v>
      </c>
      <c r="H110" s="93"/>
      <c r="I110" s="224">
        <v>0.05</v>
      </c>
      <c r="J110" s="288" t="s">
        <v>1099</v>
      </c>
      <c r="K110" s="89" t="s">
        <v>433</v>
      </c>
      <c r="L110" s="114" t="s">
        <v>1047</v>
      </c>
      <c r="M110" s="241" t="s">
        <v>1264</v>
      </c>
      <c r="N110" s="248" t="s">
        <v>1265</v>
      </c>
      <c r="O110" s="249">
        <v>1</v>
      </c>
      <c r="P110" s="274" t="s">
        <v>118</v>
      </c>
      <c r="Q110" s="349">
        <v>182.45</v>
      </c>
      <c r="R110" s="226">
        <v>0</v>
      </c>
      <c r="S110" s="67">
        <v>182.45</v>
      </c>
      <c r="T110" s="93"/>
      <c r="U110" s="224">
        <v>0.05</v>
      </c>
      <c r="V110" s="288" t="s">
        <v>1099</v>
      </c>
      <c r="W110" s="89" t="s">
        <v>433</v>
      </c>
      <c r="X110" s="114" t="s">
        <v>1047</v>
      </c>
    </row>
    <row r="111" spans="1:24" s="1" customFormat="1">
      <c r="A111" s="263" t="s">
        <v>1266</v>
      </c>
      <c r="B111" s="248" t="s">
        <v>1267</v>
      </c>
      <c r="C111" s="249">
        <v>1</v>
      </c>
      <c r="D111" s="274" t="s">
        <v>118</v>
      </c>
      <c r="E111" s="349">
        <v>182.45</v>
      </c>
      <c r="F111" s="226">
        <f t="shared" si="9"/>
        <v>0</v>
      </c>
      <c r="G111" s="67">
        <f t="shared" si="7"/>
        <v>182.45</v>
      </c>
      <c r="H111" s="93"/>
      <c r="I111" s="224">
        <v>0.05</v>
      </c>
      <c r="J111" s="288" t="s">
        <v>1099</v>
      </c>
      <c r="K111" s="89" t="s">
        <v>433</v>
      </c>
      <c r="L111" s="114" t="s">
        <v>1047</v>
      </c>
      <c r="M111" s="241" t="s">
        <v>1266</v>
      </c>
      <c r="N111" s="248" t="s">
        <v>1267</v>
      </c>
      <c r="O111" s="249">
        <v>1</v>
      </c>
      <c r="P111" s="274" t="s">
        <v>118</v>
      </c>
      <c r="Q111" s="349">
        <v>182.45</v>
      </c>
      <c r="R111" s="226">
        <v>0</v>
      </c>
      <c r="S111" s="67">
        <v>182.45</v>
      </c>
      <c r="T111" s="93"/>
      <c r="U111" s="224">
        <v>0.05</v>
      </c>
      <c r="V111" s="288" t="s">
        <v>1099</v>
      </c>
      <c r="W111" s="89" t="s">
        <v>433</v>
      </c>
      <c r="X111" s="114" t="s">
        <v>1047</v>
      </c>
    </row>
    <row r="112" spans="1:24" s="1" customFormat="1">
      <c r="A112" s="263" t="s">
        <v>1268</v>
      </c>
      <c r="B112" s="248" t="s">
        <v>1269</v>
      </c>
      <c r="C112" s="249">
        <v>1</v>
      </c>
      <c r="D112" s="274" t="s">
        <v>118</v>
      </c>
      <c r="E112" s="349">
        <v>207.45</v>
      </c>
      <c r="F112" s="226">
        <f t="shared" si="9"/>
        <v>0</v>
      </c>
      <c r="G112" s="67">
        <f t="shared" si="7"/>
        <v>207.45</v>
      </c>
      <c r="H112" s="93"/>
      <c r="I112" s="224">
        <v>0.05</v>
      </c>
      <c r="J112" s="288" t="s">
        <v>1099</v>
      </c>
      <c r="K112" s="89" t="s">
        <v>433</v>
      </c>
      <c r="L112" s="114" t="s">
        <v>1047</v>
      </c>
      <c r="M112" s="241" t="s">
        <v>1268</v>
      </c>
      <c r="N112" s="248" t="s">
        <v>1269</v>
      </c>
      <c r="O112" s="249">
        <v>1</v>
      </c>
      <c r="P112" s="274" t="s">
        <v>118</v>
      </c>
      <c r="Q112" s="349">
        <v>207.45</v>
      </c>
      <c r="R112" s="226">
        <v>0</v>
      </c>
      <c r="S112" s="67">
        <v>207.45</v>
      </c>
      <c r="T112" s="93"/>
      <c r="U112" s="224">
        <v>0.05</v>
      </c>
      <c r="V112" s="288" t="s">
        <v>1099</v>
      </c>
      <c r="W112" s="89" t="s">
        <v>433</v>
      </c>
      <c r="X112" s="114" t="s">
        <v>1047</v>
      </c>
    </row>
    <row r="113" spans="1:24" s="1" customFormat="1">
      <c r="A113" s="263" t="s">
        <v>1270</v>
      </c>
      <c r="B113" s="248" t="s">
        <v>1271</v>
      </c>
      <c r="C113" s="249">
        <v>1</v>
      </c>
      <c r="D113" s="274" t="s">
        <v>118</v>
      </c>
      <c r="E113" s="349">
        <v>207.45</v>
      </c>
      <c r="F113" s="226">
        <f t="shared" si="9"/>
        <v>0</v>
      </c>
      <c r="G113" s="67">
        <f t="shared" si="7"/>
        <v>207.45</v>
      </c>
      <c r="H113" s="93"/>
      <c r="I113" s="224">
        <v>0.05</v>
      </c>
      <c r="J113" s="288" t="s">
        <v>1099</v>
      </c>
      <c r="K113" s="89" t="s">
        <v>433</v>
      </c>
      <c r="L113" s="114" t="s">
        <v>1047</v>
      </c>
      <c r="M113" s="241" t="s">
        <v>1270</v>
      </c>
      <c r="N113" s="248" t="s">
        <v>1271</v>
      </c>
      <c r="O113" s="249">
        <v>1</v>
      </c>
      <c r="P113" s="274" t="s">
        <v>118</v>
      </c>
      <c r="Q113" s="349">
        <v>207.45</v>
      </c>
      <c r="R113" s="226">
        <v>0</v>
      </c>
      <c r="S113" s="67">
        <v>207.45</v>
      </c>
      <c r="T113" s="93"/>
      <c r="U113" s="224">
        <v>0.05</v>
      </c>
      <c r="V113" s="288" t="s">
        <v>1099</v>
      </c>
      <c r="W113" s="89" t="s">
        <v>433</v>
      </c>
      <c r="X113" s="114" t="s">
        <v>1047</v>
      </c>
    </row>
    <row r="114" spans="1:24" s="1" customFormat="1">
      <c r="A114" s="263" t="s">
        <v>1272</v>
      </c>
      <c r="B114" s="248" t="s">
        <v>1273</v>
      </c>
      <c r="C114" s="249">
        <v>1</v>
      </c>
      <c r="D114" s="274" t="s">
        <v>118</v>
      </c>
      <c r="E114" s="349">
        <v>249.12</v>
      </c>
      <c r="F114" s="226">
        <f t="shared" si="9"/>
        <v>0</v>
      </c>
      <c r="G114" s="67">
        <f t="shared" si="7"/>
        <v>249.12</v>
      </c>
      <c r="H114" s="93"/>
      <c r="I114" s="224">
        <v>0.05</v>
      </c>
      <c r="J114" s="288" t="s">
        <v>1099</v>
      </c>
      <c r="K114" s="89" t="s">
        <v>433</v>
      </c>
      <c r="L114" s="114" t="s">
        <v>1047</v>
      </c>
      <c r="M114" s="241" t="s">
        <v>1272</v>
      </c>
      <c r="N114" s="248" t="s">
        <v>1273</v>
      </c>
      <c r="O114" s="249">
        <v>1</v>
      </c>
      <c r="P114" s="274" t="s">
        <v>118</v>
      </c>
      <c r="Q114" s="349">
        <v>249.12</v>
      </c>
      <c r="R114" s="226">
        <v>0</v>
      </c>
      <c r="S114" s="67">
        <v>249.12</v>
      </c>
      <c r="T114" s="93"/>
      <c r="U114" s="224">
        <v>0.05</v>
      </c>
      <c r="V114" s="288" t="s">
        <v>1099</v>
      </c>
      <c r="W114" s="89" t="s">
        <v>433</v>
      </c>
      <c r="X114" s="114" t="s">
        <v>1047</v>
      </c>
    </row>
    <row r="115" spans="1:24" s="1" customFormat="1">
      <c r="A115" s="263" t="s">
        <v>1274</v>
      </c>
      <c r="B115" s="248" t="s">
        <v>1275</v>
      </c>
      <c r="C115" s="249">
        <v>1</v>
      </c>
      <c r="D115" s="274" t="s">
        <v>118</v>
      </c>
      <c r="E115" s="349">
        <v>249.12</v>
      </c>
      <c r="F115" s="226">
        <f t="shared" si="9"/>
        <v>0</v>
      </c>
      <c r="G115" s="67">
        <f t="shared" si="7"/>
        <v>249.12</v>
      </c>
      <c r="H115" s="93"/>
      <c r="I115" s="224">
        <v>0.05</v>
      </c>
      <c r="J115" s="288" t="s">
        <v>1099</v>
      </c>
      <c r="K115" s="89" t="s">
        <v>433</v>
      </c>
      <c r="L115" s="114" t="s">
        <v>1047</v>
      </c>
      <c r="M115" s="241" t="s">
        <v>1274</v>
      </c>
      <c r="N115" s="248" t="s">
        <v>1275</v>
      </c>
      <c r="O115" s="249">
        <v>1</v>
      </c>
      <c r="P115" s="274" t="s">
        <v>118</v>
      </c>
      <c r="Q115" s="349">
        <v>249.12</v>
      </c>
      <c r="R115" s="226">
        <v>0</v>
      </c>
      <c r="S115" s="67">
        <v>249.12</v>
      </c>
      <c r="T115" s="93"/>
      <c r="U115" s="224">
        <v>0.05</v>
      </c>
      <c r="V115" s="288" t="s">
        <v>1099</v>
      </c>
      <c r="W115" s="89" t="s">
        <v>433</v>
      </c>
      <c r="X115" s="114" t="s">
        <v>1047</v>
      </c>
    </row>
    <row r="116" spans="1:24" s="1" customFormat="1">
      <c r="A116" s="263" t="s">
        <v>1276</v>
      </c>
      <c r="B116" s="248" t="s">
        <v>1277</v>
      </c>
      <c r="C116" s="249">
        <v>1</v>
      </c>
      <c r="D116" s="274" t="s">
        <v>118</v>
      </c>
      <c r="E116" s="349">
        <v>307.45</v>
      </c>
      <c r="F116" s="226">
        <f t="shared" si="9"/>
        <v>0</v>
      </c>
      <c r="G116" s="67">
        <f t="shared" ref="G116:G147" si="10">E116-(E116*F116)</f>
        <v>307.45</v>
      </c>
      <c r="H116" s="93"/>
      <c r="I116" s="224">
        <v>0.05</v>
      </c>
      <c r="J116" s="288" t="s">
        <v>1099</v>
      </c>
      <c r="K116" s="89" t="s">
        <v>433</v>
      </c>
      <c r="L116" s="114" t="s">
        <v>1047</v>
      </c>
      <c r="M116" s="241" t="s">
        <v>1276</v>
      </c>
      <c r="N116" s="248" t="s">
        <v>1277</v>
      </c>
      <c r="O116" s="249">
        <v>1</v>
      </c>
      <c r="P116" s="274" t="s">
        <v>118</v>
      </c>
      <c r="Q116" s="349">
        <v>307.45</v>
      </c>
      <c r="R116" s="226">
        <v>0</v>
      </c>
      <c r="S116" s="67">
        <v>307.45</v>
      </c>
      <c r="T116" s="93"/>
      <c r="U116" s="224">
        <v>0.05</v>
      </c>
      <c r="V116" s="288" t="s">
        <v>1099</v>
      </c>
      <c r="W116" s="89" t="s">
        <v>433</v>
      </c>
      <c r="X116" s="114" t="s">
        <v>1047</v>
      </c>
    </row>
    <row r="117" spans="1:24" s="1" customFormat="1">
      <c r="A117" s="263" t="s">
        <v>1278</v>
      </c>
      <c r="B117" s="248" t="s">
        <v>1279</v>
      </c>
      <c r="C117" s="249">
        <v>1</v>
      </c>
      <c r="D117" s="274" t="s">
        <v>118</v>
      </c>
      <c r="E117" s="349">
        <v>307.45</v>
      </c>
      <c r="F117" s="226">
        <f t="shared" si="9"/>
        <v>0</v>
      </c>
      <c r="G117" s="67">
        <f t="shared" si="10"/>
        <v>307.45</v>
      </c>
      <c r="H117" s="93"/>
      <c r="I117" s="224">
        <v>0.05</v>
      </c>
      <c r="J117" s="288" t="s">
        <v>1099</v>
      </c>
      <c r="K117" s="89" t="s">
        <v>433</v>
      </c>
      <c r="L117" s="114" t="s">
        <v>1047</v>
      </c>
      <c r="M117" s="241" t="s">
        <v>1278</v>
      </c>
      <c r="N117" s="248" t="s">
        <v>1279</v>
      </c>
      <c r="O117" s="249">
        <v>1</v>
      </c>
      <c r="P117" s="274" t="s">
        <v>118</v>
      </c>
      <c r="Q117" s="349">
        <v>307.45</v>
      </c>
      <c r="R117" s="226">
        <v>0</v>
      </c>
      <c r="S117" s="67">
        <v>307.45</v>
      </c>
      <c r="T117" s="93"/>
      <c r="U117" s="224">
        <v>0.05</v>
      </c>
      <c r="V117" s="288" t="s">
        <v>1099</v>
      </c>
      <c r="W117" s="89" t="s">
        <v>433</v>
      </c>
      <c r="X117" s="114" t="s">
        <v>1047</v>
      </c>
    </row>
    <row r="118" spans="1:24" s="1" customFormat="1">
      <c r="A118" s="263" t="s">
        <v>1280</v>
      </c>
      <c r="B118" s="248" t="s">
        <v>1281</v>
      </c>
      <c r="C118" s="249">
        <v>1</v>
      </c>
      <c r="D118" s="274" t="s">
        <v>118</v>
      </c>
      <c r="E118" s="349">
        <v>307.45</v>
      </c>
      <c r="F118" s="226">
        <f t="shared" si="9"/>
        <v>0</v>
      </c>
      <c r="G118" s="67">
        <f t="shared" si="10"/>
        <v>307.45</v>
      </c>
      <c r="H118" s="93"/>
      <c r="I118" s="224">
        <v>0.05</v>
      </c>
      <c r="J118" s="288" t="s">
        <v>1099</v>
      </c>
      <c r="K118" s="89" t="s">
        <v>433</v>
      </c>
      <c r="L118" s="114" t="s">
        <v>1047</v>
      </c>
      <c r="M118" s="241" t="s">
        <v>1280</v>
      </c>
      <c r="N118" s="248" t="s">
        <v>1281</v>
      </c>
      <c r="O118" s="249">
        <v>1</v>
      </c>
      <c r="P118" s="274" t="s">
        <v>118</v>
      </c>
      <c r="Q118" s="349">
        <v>307.45</v>
      </c>
      <c r="R118" s="226">
        <v>0</v>
      </c>
      <c r="S118" s="67">
        <v>307.45</v>
      </c>
      <c r="T118" s="93"/>
      <c r="U118" s="224">
        <v>0.05</v>
      </c>
      <c r="V118" s="288" t="s">
        <v>1099</v>
      </c>
      <c r="W118" s="89" t="s">
        <v>433</v>
      </c>
      <c r="X118" s="114" t="s">
        <v>1047</v>
      </c>
    </row>
    <row r="119" spans="1:24" s="1" customFormat="1">
      <c r="A119" s="263" t="s">
        <v>1282</v>
      </c>
      <c r="B119" s="248" t="s">
        <v>1283</v>
      </c>
      <c r="C119" s="249">
        <v>1</v>
      </c>
      <c r="D119" s="274" t="s">
        <v>118</v>
      </c>
      <c r="E119" s="349">
        <v>307.45</v>
      </c>
      <c r="F119" s="226">
        <f t="shared" si="9"/>
        <v>0</v>
      </c>
      <c r="G119" s="67">
        <f t="shared" si="10"/>
        <v>307.45</v>
      </c>
      <c r="H119" s="93"/>
      <c r="I119" s="224">
        <v>0.05</v>
      </c>
      <c r="J119" s="288" t="s">
        <v>1099</v>
      </c>
      <c r="K119" s="89" t="s">
        <v>433</v>
      </c>
      <c r="L119" s="114" t="s">
        <v>1047</v>
      </c>
      <c r="M119" s="241" t="s">
        <v>1282</v>
      </c>
      <c r="N119" s="248" t="s">
        <v>1283</v>
      </c>
      <c r="O119" s="249">
        <v>1</v>
      </c>
      <c r="P119" s="274" t="s">
        <v>118</v>
      </c>
      <c r="Q119" s="349">
        <v>307.45</v>
      </c>
      <c r="R119" s="226">
        <v>0</v>
      </c>
      <c r="S119" s="67">
        <v>307.45</v>
      </c>
      <c r="T119" s="93"/>
      <c r="U119" s="224">
        <v>0.05</v>
      </c>
      <c r="V119" s="288" t="s">
        <v>1099</v>
      </c>
      <c r="W119" s="89" t="s">
        <v>433</v>
      </c>
      <c r="X119" s="114" t="s">
        <v>1047</v>
      </c>
    </row>
    <row r="120" spans="1:24" s="1" customFormat="1">
      <c r="A120" s="263" t="s">
        <v>1284</v>
      </c>
      <c r="B120" s="248" t="s">
        <v>1285</v>
      </c>
      <c r="C120" s="249">
        <v>1</v>
      </c>
      <c r="D120" s="274" t="s">
        <v>118</v>
      </c>
      <c r="E120" s="349">
        <v>357.45</v>
      </c>
      <c r="F120" s="226">
        <f t="shared" si="9"/>
        <v>0</v>
      </c>
      <c r="G120" s="67">
        <f t="shared" si="10"/>
        <v>357.45</v>
      </c>
      <c r="H120" s="93"/>
      <c r="I120" s="224">
        <v>0.05</v>
      </c>
      <c r="J120" s="288" t="s">
        <v>1099</v>
      </c>
      <c r="K120" s="89" t="s">
        <v>433</v>
      </c>
      <c r="L120" s="114" t="s">
        <v>1047</v>
      </c>
      <c r="M120" s="241" t="s">
        <v>1284</v>
      </c>
      <c r="N120" s="248" t="s">
        <v>1285</v>
      </c>
      <c r="O120" s="249">
        <v>1</v>
      </c>
      <c r="P120" s="274" t="s">
        <v>118</v>
      </c>
      <c r="Q120" s="349">
        <v>357.45</v>
      </c>
      <c r="R120" s="226">
        <v>0</v>
      </c>
      <c r="S120" s="67">
        <v>357.45</v>
      </c>
      <c r="T120" s="93"/>
      <c r="U120" s="224">
        <v>0.05</v>
      </c>
      <c r="V120" s="288" t="s">
        <v>1099</v>
      </c>
      <c r="W120" s="89" t="s">
        <v>433</v>
      </c>
      <c r="X120" s="114" t="s">
        <v>1047</v>
      </c>
    </row>
    <row r="121" spans="1:24" s="1" customFormat="1">
      <c r="A121" s="263" t="s">
        <v>1286</v>
      </c>
      <c r="B121" s="248" t="s">
        <v>1287</v>
      </c>
      <c r="C121" s="249">
        <v>1</v>
      </c>
      <c r="D121" s="274" t="s">
        <v>118</v>
      </c>
      <c r="E121" s="349">
        <v>357.45</v>
      </c>
      <c r="F121" s="226">
        <f t="shared" si="9"/>
        <v>0</v>
      </c>
      <c r="G121" s="67">
        <f t="shared" si="10"/>
        <v>357.45</v>
      </c>
      <c r="H121" s="93"/>
      <c r="I121" s="224">
        <v>0.05</v>
      </c>
      <c r="J121" s="288" t="s">
        <v>1099</v>
      </c>
      <c r="K121" s="89" t="s">
        <v>433</v>
      </c>
      <c r="L121" s="114" t="s">
        <v>1047</v>
      </c>
      <c r="M121" s="241" t="s">
        <v>1286</v>
      </c>
      <c r="N121" s="248" t="s">
        <v>1287</v>
      </c>
      <c r="O121" s="249">
        <v>1</v>
      </c>
      <c r="P121" s="274" t="s">
        <v>118</v>
      </c>
      <c r="Q121" s="349">
        <v>357.45</v>
      </c>
      <c r="R121" s="226">
        <v>0</v>
      </c>
      <c r="S121" s="67">
        <v>357.45</v>
      </c>
      <c r="T121" s="93"/>
      <c r="U121" s="224">
        <v>0.05</v>
      </c>
      <c r="V121" s="288" t="s">
        <v>1099</v>
      </c>
      <c r="W121" s="89" t="s">
        <v>433</v>
      </c>
      <c r="X121" s="114" t="s">
        <v>1047</v>
      </c>
    </row>
    <row r="122" spans="1:24" s="1" customFormat="1">
      <c r="A122" s="263" t="s">
        <v>1288</v>
      </c>
      <c r="B122" s="248" t="s">
        <v>1289</v>
      </c>
      <c r="C122" s="249">
        <v>1</v>
      </c>
      <c r="D122" s="274" t="s">
        <v>118</v>
      </c>
      <c r="E122" s="349">
        <v>357.45</v>
      </c>
      <c r="F122" s="226">
        <f t="shared" si="9"/>
        <v>0</v>
      </c>
      <c r="G122" s="67">
        <f t="shared" si="10"/>
        <v>357.45</v>
      </c>
      <c r="H122" s="93"/>
      <c r="I122" s="224">
        <v>0.05</v>
      </c>
      <c r="J122" s="288" t="s">
        <v>1099</v>
      </c>
      <c r="K122" s="89" t="s">
        <v>433</v>
      </c>
      <c r="L122" s="114" t="s">
        <v>1047</v>
      </c>
      <c r="M122" s="241" t="s">
        <v>1288</v>
      </c>
      <c r="N122" s="248" t="s">
        <v>1289</v>
      </c>
      <c r="O122" s="249">
        <v>1</v>
      </c>
      <c r="P122" s="274" t="s">
        <v>118</v>
      </c>
      <c r="Q122" s="349">
        <v>357.45</v>
      </c>
      <c r="R122" s="226">
        <v>0</v>
      </c>
      <c r="S122" s="67">
        <v>357.45</v>
      </c>
      <c r="T122" s="93"/>
      <c r="U122" s="224">
        <v>0.05</v>
      </c>
      <c r="V122" s="288" t="s">
        <v>1099</v>
      </c>
      <c r="W122" s="89" t="s">
        <v>433</v>
      </c>
      <c r="X122" s="114" t="s">
        <v>1047</v>
      </c>
    </row>
    <row r="123" spans="1:24" s="1" customFormat="1">
      <c r="A123" s="263" t="s">
        <v>1290</v>
      </c>
      <c r="B123" s="248" t="s">
        <v>1291</v>
      </c>
      <c r="C123" s="249">
        <v>1</v>
      </c>
      <c r="D123" s="274" t="s">
        <v>118</v>
      </c>
      <c r="E123" s="349">
        <v>357.45</v>
      </c>
      <c r="F123" s="226">
        <f t="shared" si="9"/>
        <v>0</v>
      </c>
      <c r="G123" s="67">
        <f t="shared" si="10"/>
        <v>357.45</v>
      </c>
      <c r="H123" s="93"/>
      <c r="I123" s="224">
        <v>0.05</v>
      </c>
      <c r="J123" s="288" t="s">
        <v>1099</v>
      </c>
      <c r="K123" s="89" t="s">
        <v>433</v>
      </c>
      <c r="L123" s="114" t="s">
        <v>1047</v>
      </c>
      <c r="M123" s="241" t="s">
        <v>1290</v>
      </c>
      <c r="N123" s="248" t="s">
        <v>1291</v>
      </c>
      <c r="O123" s="249">
        <v>1</v>
      </c>
      <c r="P123" s="274" t="s">
        <v>118</v>
      </c>
      <c r="Q123" s="349">
        <v>357.45</v>
      </c>
      <c r="R123" s="226">
        <v>0</v>
      </c>
      <c r="S123" s="67">
        <v>357.45</v>
      </c>
      <c r="T123" s="93"/>
      <c r="U123" s="224">
        <v>0.05</v>
      </c>
      <c r="V123" s="288" t="s">
        <v>1099</v>
      </c>
      <c r="W123" s="89" t="s">
        <v>433</v>
      </c>
      <c r="X123" s="114" t="s">
        <v>1047</v>
      </c>
    </row>
    <row r="124" spans="1:24" s="1" customFormat="1">
      <c r="A124" s="263" t="s">
        <v>1292</v>
      </c>
      <c r="B124" s="248" t="s">
        <v>1293</v>
      </c>
      <c r="C124" s="249">
        <v>1</v>
      </c>
      <c r="D124" s="274" t="s">
        <v>1294</v>
      </c>
      <c r="E124" s="349">
        <v>139.99</v>
      </c>
      <c r="F124" s="226">
        <f t="shared" ref="F124:F132" si="11">rv_10</f>
        <v>0.1</v>
      </c>
      <c r="G124" s="67">
        <f t="shared" si="10"/>
        <v>125.99100000000001</v>
      </c>
      <c r="H124" s="93"/>
      <c r="I124" s="224">
        <v>0.1</v>
      </c>
      <c r="J124" s="288" t="s">
        <v>1099</v>
      </c>
      <c r="K124" s="89" t="s">
        <v>433</v>
      </c>
      <c r="L124" s="114" t="s">
        <v>1047</v>
      </c>
      <c r="M124" s="241" t="s">
        <v>1292</v>
      </c>
      <c r="N124" s="248" t="s">
        <v>1293</v>
      </c>
      <c r="O124" s="249">
        <v>1</v>
      </c>
      <c r="P124" s="274" t="s">
        <v>1294</v>
      </c>
      <c r="Q124" s="349">
        <v>139.99</v>
      </c>
      <c r="R124" s="226">
        <v>0.1</v>
      </c>
      <c r="S124" s="67">
        <v>125.99100000000001</v>
      </c>
      <c r="T124" s="93"/>
      <c r="U124" s="224">
        <v>0.1</v>
      </c>
      <c r="V124" s="288" t="s">
        <v>1099</v>
      </c>
      <c r="W124" s="89" t="s">
        <v>433</v>
      </c>
      <c r="X124" s="114" t="s">
        <v>1047</v>
      </c>
    </row>
    <row r="125" spans="1:24" s="1" customFormat="1">
      <c r="A125" s="263" t="s">
        <v>1295</v>
      </c>
      <c r="B125" s="248" t="s">
        <v>1296</v>
      </c>
      <c r="C125" s="249">
        <v>1</v>
      </c>
      <c r="D125" s="274" t="s">
        <v>1294</v>
      </c>
      <c r="E125" s="349">
        <v>166.23</v>
      </c>
      <c r="F125" s="226">
        <f t="shared" si="11"/>
        <v>0.1</v>
      </c>
      <c r="G125" s="67">
        <f t="shared" si="10"/>
        <v>149.607</v>
      </c>
      <c r="H125" s="93"/>
      <c r="I125" s="224">
        <v>0.1</v>
      </c>
      <c r="J125" s="288" t="s">
        <v>1099</v>
      </c>
      <c r="K125" s="89" t="s">
        <v>433</v>
      </c>
      <c r="L125" s="114" t="s">
        <v>1047</v>
      </c>
      <c r="M125" s="241" t="s">
        <v>1295</v>
      </c>
      <c r="N125" s="248" t="s">
        <v>1296</v>
      </c>
      <c r="O125" s="249">
        <v>1</v>
      </c>
      <c r="P125" s="274" t="s">
        <v>1294</v>
      </c>
      <c r="Q125" s="349">
        <v>166.23</v>
      </c>
      <c r="R125" s="226">
        <v>0.1</v>
      </c>
      <c r="S125" s="67">
        <v>149.607</v>
      </c>
      <c r="T125" s="93"/>
      <c r="U125" s="224">
        <v>0.1</v>
      </c>
      <c r="V125" s="288" t="s">
        <v>1099</v>
      </c>
      <c r="W125" s="89" t="s">
        <v>433</v>
      </c>
      <c r="X125" s="114" t="s">
        <v>1047</v>
      </c>
    </row>
    <row r="126" spans="1:24" s="1" customFormat="1">
      <c r="A126" s="263" t="s">
        <v>1297</v>
      </c>
      <c r="B126" s="248" t="s">
        <v>1298</v>
      </c>
      <c r="C126" s="249">
        <v>1</v>
      </c>
      <c r="D126" s="274" t="s">
        <v>1294</v>
      </c>
      <c r="E126" s="349">
        <v>149.16999999999999</v>
      </c>
      <c r="F126" s="226">
        <f t="shared" si="11"/>
        <v>0.1</v>
      </c>
      <c r="G126" s="67">
        <f t="shared" si="10"/>
        <v>134.25299999999999</v>
      </c>
      <c r="H126" s="93"/>
      <c r="I126" s="224">
        <v>0.1</v>
      </c>
      <c r="J126" s="288" t="s">
        <v>1099</v>
      </c>
      <c r="K126" s="89" t="s">
        <v>433</v>
      </c>
      <c r="L126" s="114" t="s">
        <v>1047</v>
      </c>
      <c r="M126" s="241" t="s">
        <v>1297</v>
      </c>
      <c r="N126" s="248" t="s">
        <v>1298</v>
      </c>
      <c r="O126" s="249">
        <v>1</v>
      </c>
      <c r="P126" s="274" t="s">
        <v>1294</v>
      </c>
      <c r="Q126" s="349">
        <v>149.16999999999999</v>
      </c>
      <c r="R126" s="226">
        <v>0.1</v>
      </c>
      <c r="S126" s="67">
        <v>134.25299999999999</v>
      </c>
      <c r="T126" s="93"/>
      <c r="U126" s="224">
        <v>0.1</v>
      </c>
      <c r="V126" s="288" t="s">
        <v>1099</v>
      </c>
      <c r="W126" s="89" t="s">
        <v>433</v>
      </c>
      <c r="X126" s="114" t="s">
        <v>1047</v>
      </c>
    </row>
    <row r="127" spans="1:24" s="1" customFormat="1">
      <c r="A127" s="263" t="s">
        <v>1299</v>
      </c>
      <c r="B127" s="248" t="s">
        <v>1300</v>
      </c>
      <c r="C127" s="249">
        <v>1</v>
      </c>
      <c r="D127" s="274" t="s">
        <v>1294</v>
      </c>
      <c r="E127" s="349">
        <v>149.99</v>
      </c>
      <c r="F127" s="226">
        <f t="shared" si="11"/>
        <v>0.1</v>
      </c>
      <c r="G127" s="67">
        <f t="shared" si="10"/>
        <v>134.99100000000001</v>
      </c>
      <c r="H127" s="93"/>
      <c r="I127" s="224">
        <v>0.1</v>
      </c>
      <c r="J127" s="288" t="s">
        <v>1099</v>
      </c>
      <c r="K127" s="89" t="s">
        <v>433</v>
      </c>
      <c r="L127" s="114" t="s">
        <v>1047</v>
      </c>
      <c r="M127" s="241" t="s">
        <v>1299</v>
      </c>
      <c r="N127" s="248" t="s">
        <v>1300</v>
      </c>
      <c r="O127" s="249">
        <v>1</v>
      </c>
      <c r="P127" s="274" t="s">
        <v>1294</v>
      </c>
      <c r="Q127" s="349">
        <v>149.99</v>
      </c>
      <c r="R127" s="226">
        <v>0.1</v>
      </c>
      <c r="S127" s="67">
        <v>134.99100000000001</v>
      </c>
      <c r="T127" s="93"/>
      <c r="U127" s="224">
        <v>0.1</v>
      </c>
      <c r="V127" s="288" t="s">
        <v>1099</v>
      </c>
      <c r="W127" s="89" t="s">
        <v>433</v>
      </c>
      <c r="X127" s="114" t="s">
        <v>1047</v>
      </c>
    </row>
    <row r="128" spans="1:24" s="1" customFormat="1">
      <c r="A128" s="263" t="s">
        <v>1301</v>
      </c>
      <c r="B128" s="248" t="s">
        <v>1302</v>
      </c>
      <c r="C128" s="249">
        <v>1</v>
      </c>
      <c r="D128" s="274" t="s">
        <v>1294</v>
      </c>
      <c r="E128" s="349">
        <v>190.83</v>
      </c>
      <c r="F128" s="226">
        <f t="shared" si="11"/>
        <v>0.1</v>
      </c>
      <c r="G128" s="67">
        <f t="shared" si="10"/>
        <v>171.74700000000001</v>
      </c>
      <c r="H128" s="93"/>
      <c r="I128" s="224">
        <v>0.1</v>
      </c>
      <c r="J128" s="288" t="s">
        <v>1099</v>
      </c>
      <c r="K128" s="89" t="s">
        <v>433</v>
      </c>
      <c r="L128" s="114" t="s">
        <v>1047</v>
      </c>
      <c r="M128" s="241" t="s">
        <v>1301</v>
      </c>
      <c r="N128" s="248" t="s">
        <v>1302</v>
      </c>
      <c r="O128" s="249">
        <v>1</v>
      </c>
      <c r="P128" s="274" t="s">
        <v>1294</v>
      </c>
      <c r="Q128" s="349">
        <v>190.83</v>
      </c>
      <c r="R128" s="226">
        <v>0.1</v>
      </c>
      <c r="S128" s="67">
        <v>171.74700000000001</v>
      </c>
      <c r="T128" s="93"/>
      <c r="U128" s="224">
        <v>0.1</v>
      </c>
      <c r="V128" s="288" t="s">
        <v>1099</v>
      </c>
      <c r="W128" s="89" t="s">
        <v>433</v>
      </c>
      <c r="X128" s="114" t="s">
        <v>1047</v>
      </c>
    </row>
    <row r="129" spans="1:24" s="1" customFormat="1">
      <c r="A129" s="263" t="s">
        <v>1303</v>
      </c>
      <c r="B129" s="248" t="s">
        <v>1304</v>
      </c>
      <c r="C129" s="249">
        <v>1</v>
      </c>
      <c r="D129" s="274" t="s">
        <v>1294</v>
      </c>
      <c r="E129" s="349">
        <v>190.83</v>
      </c>
      <c r="F129" s="226">
        <f t="shared" si="11"/>
        <v>0.1</v>
      </c>
      <c r="G129" s="67">
        <f t="shared" si="10"/>
        <v>171.74700000000001</v>
      </c>
      <c r="H129" s="93"/>
      <c r="I129" s="224">
        <v>0.1</v>
      </c>
      <c r="J129" s="288" t="s">
        <v>1099</v>
      </c>
      <c r="K129" s="89" t="s">
        <v>433</v>
      </c>
      <c r="L129" s="114" t="s">
        <v>1047</v>
      </c>
      <c r="M129" s="241" t="s">
        <v>1303</v>
      </c>
      <c r="N129" s="248" t="s">
        <v>1304</v>
      </c>
      <c r="O129" s="249">
        <v>1</v>
      </c>
      <c r="P129" s="274" t="s">
        <v>1294</v>
      </c>
      <c r="Q129" s="349">
        <v>190.83</v>
      </c>
      <c r="R129" s="226">
        <v>0.1</v>
      </c>
      <c r="S129" s="67">
        <v>171.74700000000001</v>
      </c>
      <c r="T129" s="93"/>
      <c r="U129" s="224">
        <v>0.1</v>
      </c>
      <c r="V129" s="288" t="s">
        <v>1099</v>
      </c>
      <c r="W129" s="89" t="s">
        <v>433</v>
      </c>
      <c r="X129" s="114" t="s">
        <v>1047</v>
      </c>
    </row>
    <row r="130" spans="1:24" s="1" customFormat="1" ht="15" customHeight="1">
      <c r="A130" s="263" t="s">
        <v>1305</v>
      </c>
      <c r="B130" s="248" t="s">
        <v>1306</v>
      </c>
      <c r="C130" s="249">
        <v>1</v>
      </c>
      <c r="D130" s="274" t="s">
        <v>1294</v>
      </c>
      <c r="E130" s="349">
        <v>190.83</v>
      </c>
      <c r="F130" s="226">
        <f t="shared" si="11"/>
        <v>0.1</v>
      </c>
      <c r="G130" s="67">
        <f t="shared" si="10"/>
        <v>171.74700000000001</v>
      </c>
      <c r="H130" s="93"/>
      <c r="I130" s="224">
        <v>0.1</v>
      </c>
      <c r="J130" s="288" t="s">
        <v>1099</v>
      </c>
      <c r="K130" s="89" t="s">
        <v>433</v>
      </c>
      <c r="L130" s="114" t="s">
        <v>1047</v>
      </c>
      <c r="M130" s="241" t="s">
        <v>1305</v>
      </c>
      <c r="N130" s="248" t="s">
        <v>1306</v>
      </c>
      <c r="O130" s="249">
        <v>1</v>
      </c>
      <c r="P130" s="274" t="s">
        <v>1294</v>
      </c>
      <c r="Q130" s="349">
        <v>190.83</v>
      </c>
      <c r="R130" s="226">
        <v>0.1</v>
      </c>
      <c r="S130" s="67">
        <v>171.74700000000001</v>
      </c>
      <c r="T130" s="93"/>
      <c r="U130" s="224">
        <v>0.1</v>
      </c>
      <c r="V130" s="288" t="s">
        <v>1099</v>
      </c>
      <c r="W130" s="89" t="s">
        <v>433</v>
      </c>
      <c r="X130" s="114" t="s">
        <v>1047</v>
      </c>
    </row>
    <row r="131" spans="1:24" s="1" customFormat="1" ht="15" customHeight="1">
      <c r="A131" s="263" t="s">
        <v>1307</v>
      </c>
      <c r="B131" s="248" t="s">
        <v>1308</v>
      </c>
      <c r="C131" s="249">
        <v>1</v>
      </c>
      <c r="D131" s="274" t="s">
        <v>1294</v>
      </c>
      <c r="E131" s="349">
        <v>215.83</v>
      </c>
      <c r="F131" s="226">
        <f t="shared" si="11"/>
        <v>0.1</v>
      </c>
      <c r="G131" s="67">
        <f t="shared" si="10"/>
        <v>194.24700000000001</v>
      </c>
      <c r="H131" s="93"/>
      <c r="I131" s="224">
        <v>0.1</v>
      </c>
      <c r="J131" s="288" t="s">
        <v>1099</v>
      </c>
      <c r="K131" s="89" t="s">
        <v>433</v>
      </c>
      <c r="L131" s="114" t="s">
        <v>1047</v>
      </c>
      <c r="M131" s="241" t="s">
        <v>1307</v>
      </c>
      <c r="N131" s="248" t="s">
        <v>1308</v>
      </c>
      <c r="O131" s="249">
        <v>1</v>
      </c>
      <c r="P131" s="274" t="s">
        <v>1294</v>
      </c>
      <c r="Q131" s="349">
        <v>215.83</v>
      </c>
      <c r="R131" s="226">
        <v>0.1</v>
      </c>
      <c r="S131" s="67">
        <v>194.24700000000001</v>
      </c>
      <c r="T131" s="93"/>
      <c r="U131" s="224">
        <v>0.1</v>
      </c>
      <c r="V131" s="288" t="s">
        <v>1099</v>
      </c>
      <c r="W131" s="89" t="s">
        <v>433</v>
      </c>
      <c r="X131" s="114" t="s">
        <v>1047</v>
      </c>
    </row>
    <row r="132" spans="1:24" s="1" customFormat="1" ht="15" customHeight="1">
      <c r="A132" s="263" t="s">
        <v>1309</v>
      </c>
      <c r="B132" s="248" t="s">
        <v>1310</v>
      </c>
      <c r="C132" s="249">
        <v>1</v>
      </c>
      <c r="D132" s="274" t="s">
        <v>1294</v>
      </c>
      <c r="E132" s="349">
        <v>215.83</v>
      </c>
      <c r="F132" s="226">
        <f t="shared" si="11"/>
        <v>0.1</v>
      </c>
      <c r="G132" s="67">
        <f t="shared" si="10"/>
        <v>194.24700000000001</v>
      </c>
      <c r="H132" s="93"/>
      <c r="I132" s="224">
        <v>0.1</v>
      </c>
      <c r="J132" s="288" t="s">
        <v>1099</v>
      </c>
      <c r="K132" s="89" t="s">
        <v>433</v>
      </c>
      <c r="L132" s="114" t="s">
        <v>1047</v>
      </c>
      <c r="M132" s="241" t="s">
        <v>1309</v>
      </c>
      <c r="N132" s="248" t="s">
        <v>1310</v>
      </c>
      <c r="O132" s="249">
        <v>1</v>
      </c>
      <c r="P132" s="274" t="s">
        <v>1294</v>
      </c>
      <c r="Q132" s="349">
        <v>215.83</v>
      </c>
      <c r="R132" s="226">
        <v>0.1</v>
      </c>
      <c r="S132" s="67">
        <v>194.24700000000001</v>
      </c>
      <c r="T132" s="93"/>
      <c r="U132" s="224">
        <v>0.1</v>
      </c>
      <c r="V132" s="288" t="s">
        <v>1099</v>
      </c>
      <c r="W132" s="89" t="s">
        <v>433</v>
      </c>
      <c r="X132" s="114" t="s">
        <v>1047</v>
      </c>
    </row>
    <row r="133" spans="1:24" s="1" customFormat="1">
      <c r="A133" s="263" t="s">
        <v>1311</v>
      </c>
      <c r="B133" s="248" t="s">
        <v>1312</v>
      </c>
      <c r="C133" s="249">
        <v>1</v>
      </c>
      <c r="D133" s="272" t="s">
        <v>118</v>
      </c>
      <c r="E133" s="349">
        <v>99.15</v>
      </c>
      <c r="F133" s="251">
        <f>rv_pencil</f>
        <v>0.02</v>
      </c>
      <c r="G133" s="99">
        <f t="shared" si="10"/>
        <v>97.167000000000002</v>
      </c>
      <c r="H133" s="93"/>
      <c r="I133" s="224">
        <v>0.01</v>
      </c>
      <c r="J133" s="288" t="s">
        <v>1099</v>
      </c>
      <c r="K133" s="89" t="s">
        <v>433</v>
      </c>
      <c r="L133" s="114" t="s">
        <v>1047</v>
      </c>
      <c r="M133" s="241" t="s">
        <v>1311</v>
      </c>
      <c r="N133" s="248" t="s">
        <v>1312</v>
      </c>
      <c r="O133" s="249">
        <v>1</v>
      </c>
      <c r="P133" s="272" t="s">
        <v>118</v>
      </c>
      <c r="Q133" s="349">
        <v>99.15</v>
      </c>
      <c r="R133" s="251">
        <v>0.02</v>
      </c>
      <c r="S133" s="99">
        <v>97.167000000000002</v>
      </c>
      <c r="T133" s="93"/>
      <c r="U133" s="224">
        <v>0.02</v>
      </c>
      <c r="V133" s="288" t="s">
        <v>1099</v>
      </c>
      <c r="W133" s="89" t="s">
        <v>433</v>
      </c>
      <c r="X133" s="114" t="s">
        <v>1047</v>
      </c>
    </row>
    <row r="134" spans="1:24" s="1" customFormat="1">
      <c r="A134" s="263" t="s">
        <v>1313</v>
      </c>
      <c r="B134" s="248" t="s">
        <v>1314</v>
      </c>
      <c r="C134" s="249">
        <v>1</v>
      </c>
      <c r="D134" s="272" t="s">
        <v>118</v>
      </c>
      <c r="E134" s="349">
        <v>79.16</v>
      </c>
      <c r="F134" s="251">
        <f>rv_pencil_2</f>
        <v>0.02</v>
      </c>
      <c r="G134" s="99">
        <f t="shared" si="10"/>
        <v>77.576799999999992</v>
      </c>
      <c r="H134" s="93"/>
      <c r="I134" s="224">
        <v>0.01</v>
      </c>
      <c r="J134" s="288" t="s">
        <v>1099</v>
      </c>
      <c r="K134" s="89" t="s">
        <v>433</v>
      </c>
      <c r="L134" s="114" t="s">
        <v>1047</v>
      </c>
      <c r="M134" s="241"/>
      <c r="N134" s="248"/>
      <c r="O134" s="249"/>
      <c r="P134" s="272"/>
      <c r="Q134" s="349"/>
      <c r="R134" s="251"/>
      <c r="S134" s="99"/>
      <c r="T134" s="93"/>
      <c r="U134" s="224"/>
      <c r="V134" s="288"/>
      <c r="W134" s="89"/>
      <c r="X134" s="114"/>
    </row>
    <row r="135" spans="1:24" s="1" customFormat="1">
      <c r="A135" s="263" t="s">
        <v>1315</v>
      </c>
      <c r="B135" s="248" t="s">
        <v>1316</v>
      </c>
      <c r="C135" s="249">
        <v>1</v>
      </c>
      <c r="D135" s="272" t="s">
        <v>118</v>
      </c>
      <c r="E135" s="349">
        <v>124.15</v>
      </c>
      <c r="F135" s="251">
        <f>rv_pencil_2</f>
        <v>0.02</v>
      </c>
      <c r="G135" s="99">
        <f t="shared" si="10"/>
        <v>121.667</v>
      </c>
      <c r="H135" s="93"/>
      <c r="I135" s="224">
        <v>0.01</v>
      </c>
      <c r="J135" s="288" t="s">
        <v>1099</v>
      </c>
      <c r="K135" s="89" t="s">
        <v>433</v>
      </c>
      <c r="L135" s="114" t="s">
        <v>1047</v>
      </c>
      <c r="M135" s="241" t="s">
        <v>1315</v>
      </c>
      <c r="N135" s="248" t="s">
        <v>1316</v>
      </c>
      <c r="O135" s="249">
        <v>1</v>
      </c>
      <c r="P135" s="272" t="s">
        <v>118</v>
      </c>
      <c r="Q135" s="349">
        <v>124.15</v>
      </c>
      <c r="R135" s="251">
        <v>0.02</v>
      </c>
      <c r="S135" s="99">
        <v>121.667</v>
      </c>
      <c r="T135" s="93"/>
      <c r="U135" s="224">
        <v>0.02</v>
      </c>
      <c r="V135" s="288" t="s">
        <v>1099</v>
      </c>
      <c r="W135" s="89" t="s">
        <v>433</v>
      </c>
      <c r="X135" s="114" t="s">
        <v>1047</v>
      </c>
    </row>
    <row r="136" spans="1:24" s="1" customFormat="1">
      <c r="A136" s="263" t="s">
        <v>1317</v>
      </c>
      <c r="B136" s="248" t="s">
        <v>1318</v>
      </c>
      <c r="C136" s="249">
        <v>1</v>
      </c>
      <c r="D136" s="272" t="s">
        <v>118</v>
      </c>
      <c r="E136" s="349">
        <v>20.83</v>
      </c>
      <c r="F136" s="251">
        <f>rv_pencil</f>
        <v>0.02</v>
      </c>
      <c r="G136" s="99">
        <f t="shared" si="10"/>
        <v>20.413399999999999</v>
      </c>
      <c r="H136" s="93"/>
      <c r="I136" s="224">
        <v>0</v>
      </c>
      <c r="J136" s="288" t="s">
        <v>1099</v>
      </c>
      <c r="K136" s="89" t="s">
        <v>433</v>
      </c>
      <c r="L136" s="114" t="s">
        <v>1047</v>
      </c>
      <c r="M136" s="241" t="s">
        <v>1317</v>
      </c>
      <c r="N136" s="248" t="s">
        <v>1318</v>
      </c>
      <c r="O136" s="249">
        <v>1</v>
      </c>
      <c r="P136" s="272" t="s">
        <v>118</v>
      </c>
      <c r="Q136" s="349">
        <v>20.83</v>
      </c>
      <c r="R136" s="251">
        <v>0.02</v>
      </c>
      <c r="S136" s="99">
        <v>20.413399999999999</v>
      </c>
      <c r="T136" s="93"/>
      <c r="U136" s="224">
        <v>0</v>
      </c>
      <c r="V136" s="288" t="s">
        <v>1099</v>
      </c>
      <c r="W136" s="89" t="s">
        <v>433</v>
      </c>
      <c r="X136" s="114" t="s">
        <v>1047</v>
      </c>
    </row>
    <row r="137" spans="1:24" s="1" customFormat="1">
      <c r="A137" s="263" t="s">
        <v>1319</v>
      </c>
      <c r="B137" s="271" t="s">
        <v>1320</v>
      </c>
      <c r="C137" s="249">
        <v>1</v>
      </c>
      <c r="D137" s="272" t="s">
        <v>118</v>
      </c>
      <c r="E137" s="349">
        <v>8.33</v>
      </c>
      <c r="F137" s="251">
        <v>0.02</v>
      </c>
      <c r="G137" s="99">
        <f t="shared" si="10"/>
        <v>8.1633999999999993</v>
      </c>
      <c r="H137" s="93"/>
      <c r="I137" s="224">
        <v>0</v>
      </c>
      <c r="J137" s="288" t="s">
        <v>1099</v>
      </c>
      <c r="K137" s="89" t="s">
        <v>433</v>
      </c>
      <c r="L137" s="114" t="s">
        <v>1047</v>
      </c>
      <c r="M137" s="241" t="s">
        <v>1319</v>
      </c>
      <c r="N137" s="271" t="s">
        <v>1320</v>
      </c>
      <c r="O137" s="249">
        <v>1</v>
      </c>
      <c r="P137" s="272" t="s">
        <v>118</v>
      </c>
      <c r="Q137" s="349">
        <v>8.33</v>
      </c>
      <c r="R137" s="251">
        <v>0.02</v>
      </c>
      <c r="S137" s="99">
        <v>8.1633999999999993</v>
      </c>
      <c r="T137" s="93"/>
      <c r="U137" s="224">
        <v>0</v>
      </c>
      <c r="V137" s="288" t="s">
        <v>1099</v>
      </c>
      <c r="W137" s="89" t="s">
        <v>433</v>
      </c>
      <c r="X137" s="114" t="s">
        <v>1047</v>
      </c>
    </row>
    <row r="138" spans="1:24" s="1" customFormat="1">
      <c r="A138" s="263" t="s">
        <v>1321</v>
      </c>
      <c r="B138" s="248" t="s">
        <v>1322</v>
      </c>
      <c r="C138" s="249">
        <v>1</v>
      </c>
      <c r="D138" s="274" t="s">
        <v>1294</v>
      </c>
      <c r="E138" s="349">
        <v>109</v>
      </c>
      <c r="F138" s="226">
        <f t="shared" ref="F138:F150" si="12">rv_10</f>
        <v>0.1</v>
      </c>
      <c r="G138" s="67">
        <f t="shared" si="10"/>
        <v>98.1</v>
      </c>
      <c r="H138" s="93"/>
      <c r="I138" s="224">
        <v>0.2</v>
      </c>
      <c r="J138" s="288" t="s">
        <v>1099</v>
      </c>
      <c r="K138" s="89" t="s">
        <v>433</v>
      </c>
      <c r="L138" s="114" t="s">
        <v>1047</v>
      </c>
      <c r="M138" s="241" t="s">
        <v>1321</v>
      </c>
      <c r="N138" s="248" t="s">
        <v>1322</v>
      </c>
      <c r="O138" s="249">
        <v>1</v>
      </c>
      <c r="P138" s="274" t="s">
        <v>1294</v>
      </c>
      <c r="Q138" s="349">
        <v>109</v>
      </c>
      <c r="R138" s="226">
        <v>0.1</v>
      </c>
      <c r="S138" s="67">
        <v>98.1</v>
      </c>
      <c r="T138" s="93"/>
      <c r="U138" s="224">
        <v>0.2</v>
      </c>
      <c r="V138" s="288" t="s">
        <v>1099</v>
      </c>
      <c r="W138" s="89" t="s">
        <v>433</v>
      </c>
      <c r="X138" s="114" t="s">
        <v>1047</v>
      </c>
    </row>
    <row r="139" spans="1:24" s="1" customFormat="1">
      <c r="A139" s="263" t="s">
        <v>1323</v>
      </c>
      <c r="B139" s="248" t="s">
        <v>1324</v>
      </c>
      <c r="C139" s="249">
        <v>1</v>
      </c>
      <c r="D139" s="274" t="s">
        <v>1294</v>
      </c>
      <c r="E139" s="349">
        <v>91.66</v>
      </c>
      <c r="F139" s="226">
        <f t="shared" si="12"/>
        <v>0.1</v>
      </c>
      <c r="G139" s="67">
        <f t="shared" si="10"/>
        <v>82.494</v>
      </c>
      <c r="H139" s="93"/>
      <c r="I139" s="224">
        <v>0.1</v>
      </c>
      <c r="J139" s="288" t="s">
        <v>1099</v>
      </c>
      <c r="K139" s="89" t="s">
        <v>433</v>
      </c>
      <c r="L139" s="114" t="s">
        <v>1047</v>
      </c>
      <c r="M139" s="241" t="s">
        <v>1323</v>
      </c>
      <c r="N139" s="248" t="s">
        <v>1324</v>
      </c>
      <c r="O139" s="249">
        <v>1</v>
      </c>
      <c r="P139" s="274" t="s">
        <v>1294</v>
      </c>
      <c r="Q139" s="349">
        <v>91.66</v>
      </c>
      <c r="R139" s="226">
        <v>0.1</v>
      </c>
      <c r="S139" s="67">
        <v>82.494</v>
      </c>
      <c r="T139" s="93"/>
      <c r="U139" s="224">
        <v>0.1</v>
      </c>
      <c r="V139" s="288" t="s">
        <v>1099</v>
      </c>
      <c r="W139" s="89" t="s">
        <v>433</v>
      </c>
      <c r="X139" s="114" t="s">
        <v>1047</v>
      </c>
    </row>
    <row r="140" spans="1:24" s="1" customFormat="1">
      <c r="A140" s="263" t="s">
        <v>1325</v>
      </c>
      <c r="B140" s="248" t="s">
        <v>1326</v>
      </c>
      <c r="C140" s="249">
        <v>1</v>
      </c>
      <c r="D140" s="274" t="s">
        <v>1294</v>
      </c>
      <c r="E140" s="349">
        <v>91.66</v>
      </c>
      <c r="F140" s="226">
        <f t="shared" si="12"/>
        <v>0.1</v>
      </c>
      <c r="G140" s="67">
        <f t="shared" si="10"/>
        <v>82.494</v>
      </c>
      <c r="H140" s="93"/>
      <c r="I140" s="224">
        <v>0.1</v>
      </c>
      <c r="J140" s="288" t="s">
        <v>1099</v>
      </c>
      <c r="K140" s="89" t="s">
        <v>433</v>
      </c>
      <c r="L140" s="114" t="s">
        <v>1047</v>
      </c>
      <c r="M140" s="241" t="s">
        <v>1325</v>
      </c>
      <c r="N140" s="248" t="s">
        <v>1326</v>
      </c>
      <c r="O140" s="249">
        <v>1</v>
      </c>
      <c r="P140" s="274" t="s">
        <v>1294</v>
      </c>
      <c r="Q140" s="349">
        <v>91.66</v>
      </c>
      <c r="R140" s="226">
        <v>0.1</v>
      </c>
      <c r="S140" s="67">
        <v>82.494</v>
      </c>
      <c r="T140" s="93"/>
      <c r="U140" s="224">
        <v>0.1</v>
      </c>
      <c r="V140" s="288" t="s">
        <v>1099</v>
      </c>
      <c r="W140" s="89" t="s">
        <v>433</v>
      </c>
      <c r="X140" s="114" t="s">
        <v>1047</v>
      </c>
    </row>
    <row r="141" spans="1:24" s="1" customFormat="1">
      <c r="A141" s="263" t="s">
        <v>1327</v>
      </c>
      <c r="B141" s="248" t="s">
        <v>1328</v>
      </c>
      <c r="C141" s="249">
        <v>1</v>
      </c>
      <c r="D141" s="274" t="s">
        <v>1294</v>
      </c>
      <c r="E141" s="349">
        <v>149.99</v>
      </c>
      <c r="F141" s="226">
        <f t="shared" si="12"/>
        <v>0.1</v>
      </c>
      <c r="G141" s="67">
        <f t="shared" si="10"/>
        <v>134.99100000000001</v>
      </c>
      <c r="H141" s="93"/>
      <c r="I141" s="224">
        <v>0.1</v>
      </c>
      <c r="J141" s="288" t="s">
        <v>1099</v>
      </c>
      <c r="K141" s="89" t="s">
        <v>433</v>
      </c>
      <c r="L141" s="114" t="s">
        <v>1047</v>
      </c>
      <c r="M141" s="241" t="s">
        <v>1327</v>
      </c>
      <c r="N141" s="248" t="s">
        <v>1328</v>
      </c>
      <c r="O141" s="249">
        <v>1</v>
      </c>
      <c r="P141" s="274" t="s">
        <v>1294</v>
      </c>
      <c r="Q141" s="349">
        <v>149.99</v>
      </c>
      <c r="R141" s="226">
        <v>0.1</v>
      </c>
      <c r="S141" s="67">
        <v>134.99100000000001</v>
      </c>
      <c r="T141" s="93"/>
      <c r="U141" s="224">
        <v>0.1</v>
      </c>
      <c r="V141" s="288" t="s">
        <v>1099</v>
      </c>
      <c r="W141" s="89" t="s">
        <v>433</v>
      </c>
      <c r="X141" s="114" t="s">
        <v>1047</v>
      </c>
    </row>
    <row r="142" spans="1:24" s="1" customFormat="1">
      <c r="A142" s="263" t="s">
        <v>1329</v>
      </c>
      <c r="B142" s="248" t="s">
        <v>1330</v>
      </c>
      <c r="C142" s="249">
        <v>1</v>
      </c>
      <c r="D142" s="274" t="s">
        <v>1294</v>
      </c>
      <c r="E142" s="349">
        <v>133.33000000000001</v>
      </c>
      <c r="F142" s="226">
        <f t="shared" si="12"/>
        <v>0.1</v>
      </c>
      <c r="G142" s="67">
        <f t="shared" si="10"/>
        <v>119.99700000000001</v>
      </c>
      <c r="H142" s="93"/>
      <c r="I142" s="224">
        <v>0.1</v>
      </c>
      <c r="J142" s="288" t="s">
        <v>1099</v>
      </c>
      <c r="K142" s="89" t="s">
        <v>433</v>
      </c>
      <c r="L142" s="114" t="s">
        <v>1047</v>
      </c>
      <c r="M142" s="241" t="s">
        <v>1329</v>
      </c>
      <c r="N142" s="248" t="s">
        <v>1330</v>
      </c>
      <c r="O142" s="249">
        <v>1</v>
      </c>
      <c r="P142" s="274" t="s">
        <v>1294</v>
      </c>
      <c r="Q142" s="349">
        <v>133.33000000000001</v>
      </c>
      <c r="R142" s="226">
        <v>0.1</v>
      </c>
      <c r="S142" s="67">
        <v>119.99700000000001</v>
      </c>
      <c r="T142" s="93"/>
      <c r="U142" s="224">
        <v>0.1</v>
      </c>
      <c r="V142" s="288" t="s">
        <v>1099</v>
      </c>
      <c r="W142" s="89" t="s">
        <v>433</v>
      </c>
      <c r="X142" s="114" t="s">
        <v>1047</v>
      </c>
    </row>
    <row r="143" spans="1:24" s="1" customFormat="1">
      <c r="A143" s="263" t="s">
        <v>1331</v>
      </c>
      <c r="B143" s="248" t="s">
        <v>1332</v>
      </c>
      <c r="C143" s="249">
        <v>1</v>
      </c>
      <c r="D143" s="274" t="s">
        <v>1294</v>
      </c>
      <c r="E143" s="349">
        <v>68.33</v>
      </c>
      <c r="F143" s="226">
        <f t="shared" si="12"/>
        <v>0.1</v>
      </c>
      <c r="G143" s="67">
        <f t="shared" si="10"/>
        <v>61.497</v>
      </c>
      <c r="H143" s="93"/>
      <c r="I143" s="224">
        <v>0.1</v>
      </c>
      <c r="J143" s="288" t="s">
        <v>1099</v>
      </c>
      <c r="K143" s="89" t="s">
        <v>433</v>
      </c>
      <c r="L143" s="114" t="s">
        <v>1047</v>
      </c>
      <c r="M143" s="241" t="s">
        <v>1331</v>
      </c>
      <c r="N143" s="248" t="s">
        <v>1332</v>
      </c>
      <c r="O143" s="249">
        <v>1</v>
      </c>
      <c r="P143" s="274" t="s">
        <v>1294</v>
      </c>
      <c r="Q143" s="349">
        <v>68.33</v>
      </c>
      <c r="R143" s="226">
        <v>0.1</v>
      </c>
      <c r="S143" s="67">
        <v>61.497</v>
      </c>
      <c r="T143" s="93"/>
      <c r="U143" s="224">
        <v>0.1</v>
      </c>
      <c r="V143" s="288" t="s">
        <v>1099</v>
      </c>
      <c r="W143" s="89" t="s">
        <v>433</v>
      </c>
      <c r="X143" s="114" t="s">
        <v>1047</v>
      </c>
    </row>
    <row r="144" spans="1:24" s="1" customFormat="1">
      <c r="A144" s="263" t="s">
        <v>1333</v>
      </c>
      <c r="B144" s="248" t="s">
        <v>1334</v>
      </c>
      <c r="C144" s="249">
        <v>1</v>
      </c>
      <c r="D144" s="274" t="s">
        <v>1294</v>
      </c>
      <c r="E144" s="349">
        <v>68.33</v>
      </c>
      <c r="F144" s="226">
        <f t="shared" si="12"/>
        <v>0.1</v>
      </c>
      <c r="G144" s="67">
        <f t="shared" si="10"/>
        <v>61.497</v>
      </c>
      <c r="H144" s="93"/>
      <c r="I144" s="224">
        <v>0.1</v>
      </c>
      <c r="J144" s="288" t="s">
        <v>1099</v>
      </c>
      <c r="K144" s="89" t="s">
        <v>433</v>
      </c>
      <c r="L144" s="114" t="s">
        <v>1047</v>
      </c>
      <c r="M144" s="241" t="s">
        <v>1333</v>
      </c>
      <c r="N144" s="248" t="s">
        <v>1334</v>
      </c>
      <c r="O144" s="249">
        <v>1</v>
      </c>
      <c r="P144" s="274" t="s">
        <v>1294</v>
      </c>
      <c r="Q144" s="349">
        <v>68.33</v>
      </c>
      <c r="R144" s="226">
        <v>0.1</v>
      </c>
      <c r="S144" s="67">
        <v>61.497</v>
      </c>
      <c r="T144" s="93"/>
      <c r="U144" s="224">
        <v>0.1</v>
      </c>
      <c r="V144" s="288" t="s">
        <v>1099</v>
      </c>
      <c r="W144" s="89" t="s">
        <v>433</v>
      </c>
      <c r="X144" s="114" t="s">
        <v>1047</v>
      </c>
    </row>
    <row r="145" spans="1:24" s="1" customFormat="1">
      <c r="A145" s="263" t="s">
        <v>1335</v>
      </c>
      <c r="B145" s="248" t="s">
        <v>1336</v>
      </c>
      <c r="C145" s="249">
        <v>1</v>
      </c>
      <c r="D145" s="274" t="s">
        <v>1294</v>
      </c>
      <c r="E145" s="349">
        <v>129.99</v>
      </c>
      <c r="F145" s="226">
        <f t="shared" si="12"/>
        <v>0.1</v>
      </c>
      <c r="G145" s="67">
        <f t="shared" si="10"/>
        <v>116.99100000000001</v>
      </c>
      <c r="H145" s="93"/>
      <c r="I145" s="224">
        <v>0.02</v>
      </c>
      <c r="J145" s="288" t="s">
        <v>1099</v>
      </c>
      <c r="K145" s="89" t="s">
        <v>433</v>
      </c>
      <c r="L145" s="114" t="s">
        <v>1047</v>
      </c>
      <c r="M145" s="241" t="s">
        <v>1335</v>
      </c>
      <c r="N145" s="248" t="s">
        <v>1336</v>
      </c>
      <c r="O145" s="249">
        <v>1</v>
      </c>
      <c r="P145" s="274" t="s">
        <v>1294</v>
      </c>
      <c r="Q145" s="349">
        <v>129.99</v>
      </c>
      <c r="R145" s="226">
        <v>0.1</v>
      </c>
      <c r="S145" s="67">
        <v>116.99100000000001</v>
      </c>
      <c r="T145" s="93"/>
      <c r="U145" s="224">
        <v>0.02</v>
      </c>
      <c r="V145" s="288" t="s">
        <v>1099</v>
      </c>
      <c r="W145" s="89" t="s">
        <v>433</v>
      </c>
      <c r="X145" s="114" t="s">
        <v>1047</v>
      </c>
    </row>
    <row r="146" spans="1:24" s="1" customFormat="1">
      <c r="A146" s="263" t="s">
        <v>1337</v>
      </c>
      <c r="B146" s="248" t="s">
        <v>1338</v>
      </c>
      <c r="C146" s="249">
        <v>1</v>
      </c>
      <c r="D146" s="274" t="s">
        <v>1294</v>
      </c>
      <c r="E146" s="349">
        <v>129.99</v>
      </c>
      <c r="F146" s="226">
        <f t="shared" si="12"/>
        <v>0.1</v>
      </c>
      <c r="G146" s="67">
        <f t="shared" si="10"/>
        <v>116.99100000000001</v>
      </c>
      <c r="H146" s="93"/>
      <c r="I146" s="224">
        <v>0.02</v>
      </c>
      <c r="J146" s="288" t="s">
        <v>1099</v>
      </c>
      <c r="K146" s="89" t="s">
        <v>433</v>
      </c>
      <c r="L146" s="114" t="s">
        <v>1047</v>
      </c>
      <c r="M146" s="241" t="s">
        <v>1337</v>
      </c>
      <c r="N146" s="248" t="s">
        <v>1338</v>
      </c>
      <c r="O146" s="249">
        <v>1</v>
      </c>
      <c r="P146" s="274" t="s">
        <v>1294</v>
      </c>
      <c r="Q146" s="349">
        <v>129.99</v>
      </c>
      <c r="R146" s="226">
        <v>0.1</v>
      </c>
      <c r="S146" s="67">
        <v>116.99100000000001</v>
      </c>
      <c r="T146" s="93"/>
      <c r="U146" s="224">
        <v>0.02</v>
      </c>
      <c r="V146" s="288" t="s">
        <v>1099</v>
      </c>
      <c r="W146" s="89" t="s">
        <v>433</v>
      </c>
      <c r="X146" s="114" t="s">
        <v>1047</v>
      </c>
    </row>
    <row r="147" spans="1:24" s="1" customFormat="1">
      <c r="A147" s="263" t="s">
        <v>1339</v>
      </c>
      <c r="B147" s="248" t="s">
        <v>1340</v>
      </c>
      <c r="C147" s="249">
        <v>1</v>
      </c>
      <c r="D147" s="272" t="s">
        <v>1294</v>
      </c>
      <c r="E147" s="348">
        <v>119.99</v>
      </c>
      <c r="F147" s="226">
        <f t="shared" si="12"/>
        <v>0.1</v>
      </c>
      <c r="G147" s="67">
        <f t="shared" si="10"/>
        <v>107.991</v>
      </c>
      <c r="H147" s="93"/>
      <c r="I147" s="224">
        <v>0.02</v>
      </c>
      <c r="J147" s="288" t="s">
        <v>1099</v>
      </c>
      <c r="K147" s="89" t="s">
        <v>433</v>
      </c>
      <c r="L147" s="114" t="s">
        <v>1047</v>
      </c>
      <c r="M147" s="241" t="s">
        <v>1339</v>
      </c>
      <c r="N147" s="248" t="s">
        <v>1340</v>
      </c>
      <c r="O147" s="249">
        <v>1</v>
      </c>
      <c r="P147" s="272" t="s">
        <v>1294</v>
      </c>
      <c r="Q147" s="348">
        <v>119.99</v>
      </c>
      <c r="R147" s="226">
        <v>0.1</v>
      </c>
      <c r="S147" s="67">
        <v>107.991</v>
      </c>
      <c r="T147" s="93"/>
      <c r="U147" s="224">
        <v>0.02</v>
      </c>
      <c r="V147" s="288" t="s">
        <v>1099</v>
      </c>
      <c r="W147" s="89" t="s">
        <v>433</v>
      </c>
      <c r="X147" s="114" t="s">
        <v>1047</v>
      </c>
    </row>
    <row r="148" spans="1:24" s="1" customFormat="1">
      <c r="A148" s="263" t="s">
        <v>1341</v>
      </c>
      <c r="B148" s="248" t="s">
        <v>1342</v>
      </c>
      <c r="C148" s="249">
        <v>1</v>
      </c>
      <c r="D148" s="274" t="s">
        <v>1294</v>
      </c>
      <c r="E148" s="349">
        <v>8.99</v>
      </c>
      <c r="F148" s="226">
        <f t="shared" si="12"/>
        <v>0.1</v>
      </c>
      <c r="G148" s="67">
        <f t="shared" ref="G148:G176" si="13">E148-(E148*F148)</f>
        <v>8.0910000000000011</v>
      </c>
      <c r="H148" s="93"/>
      <c r="I148" s="224">
        <v>0.02</v>
      </c>
      <c r="J148" s="288" t="s">
        <v>1099</v>
      </c>
      <c r="K148" s="89" t="s">
        <v>433</v>
      </c>
      <c r="L148" s="114" t="s">
        <v>1047</v>
      </c>
      <c r="M148" s="241" t="s">
        <v>1341</v>
      </c>
      <c r="N148" s="248" t="s">
        <v>1342</v>
      </c>
      <c r="O148" s="249">
        <v>1</v>
      </c>
      <c r="P148" s="274" t="s">
        <v>1294</v>
      </c>
      <c r="Q148" s="349">
        <v>8.99</v>
      </c>
      <c r="R148" s="226">
        <v>0.1</v>
      </c>
      <c r="S148" s="67">
        <v>8.0910000000000011</v>
      </c>
      <c r="T148" s="93"/>
      <c r="U148" s="224">
        <v>0.02</v>
      </c>
      <c r="V148" s="288" t="s">
        <v>1099</v>
      </c>
      <c r="W148" s="89" t="s">
        <v>433</v>
      </c>
      <c r="X148" s="114" t="s">
        <v>1047</v>
      </c>
    </row>
    <row r="149" spans="1:24" s="1" customFormat="1">
      <c r="A149" s="263" t="s">
        <v>1343</v>
      </c>
      <c r="B149" s="248" t="s">
        <v>1344</v>
      </c>
      <c r="C149" s="249">
        <v>1</v>
      </c>
      <c r="D149" s="272" t="s">
        <v>1345</v>
      </c>
      <c r="E149" s="348">
        <v>29.16</v>
      </c>
      <c r="F149" s="226">
        <f t="shared" si="12"/>
        <v>0.1</v>
      </c>
      <c r="G149" s="99">
        <f t="shared" si="13"/>
        <v>26.244</v>
      </c>
      <c r="H149" s="93"/>
      <c r="I149" s="224">
        <v>0.02</v>
      </c>
      <c r="J149" s="288" t="s">
        <v>1099</v>
      </c>
      <c r="K149" s="89" t="s">
        <v>433</v>
      </c>
      <c r="L149" s="114" t="s">
        <v>1047</v>
      </c>
      <c r="M149" s="241" t="s">
        <v>1343</v>
      </c>
      <c r="N149" s="248" t="s">
        <v>1344</v>
      </c>
      <c r="O149" s="249">
        <v>1</v>
      </c>
      <c r="P149" s="272" t="s">
        <v>1345</v>
      </c>
      <c r="Q149" s="348">
        <v>29.16</v>
      </c>
      <c r="R149" s="226">
        <v>0.1</v>
      </c>
      <c r="S149" s="99">
        <v>26.244</v>
      </c>
      <c r="T149" s="93"/>
      <c r="U149" s="224">
        <v>0.02</v>
      </c>
      <c r="V149" s="288" t="s">
        <v>1099</v>
      </c>
      <c r="W149" s="89" t="s">
        <v>433</v>
      </c>
      <c r="X149" s="114" t="s">
        <v>1047</v>
      </c>
    </row>
    <row r="150" spans="1:24" s="1" customFormat="1">
      <c r="A150" s="263" t="s">
        <v>1346</v>
      </c>
      <c r="B150" s="248" t="s">
        <v>1347</v>
      </c>
      <c r="C150" s="249">
        <v>1</v>
      </c>
      <c r="D150" s="272" t="s">
        <v>1345</v>
      </c>
      <c r="E150" s="348">
        <v>62.49</v>
      </c>
      <c r="F150" s="226">
        <f t="shared" si="12"/>
        <v>0.1</v>
      </c>
      <c r="G150" s="99">
        <f t="shared" si="13"/>
        <v>56.241</v>
      </c>
      <c r="H150" s="93"/>
      <c r="I150" s="224">
        <v>0.02</v>
      </c>
      <c r="J150" s="288" t="s">
        <v>1099</v>
      </c>
      <c r="K150" s="89" t="s">
        <v>433</v>
      </c>
      <c r="L150" s="114" t="s">
        <v>1047</v>
      </c>
      <c r="M150" s="643" t="s">
        <v>1348</v>
      </c>
      <c r="N150" s="644" t="s">
        <v>1349</v>
      </c>
      <c r="O150" s="645">
        <v>1</v>
      </c>
      <c r="P150" s="646" t="s">
        <v>1345</v>
      </c>
      <c r="Q150" s="654">
        <v>49.99</v>
      </c>
      <c r="R150" s="648">
        <v>0.1</v>
      </c>
      <c r="S150" s="649">
        <v>44.991</v>
      </c>
      <c r="T150" s="650"/>
      <c r="U150" s="651">
        <v>0.02</v>
      </c>
      <c r="V150" s="288" t="s">
        <v>1099</v>
      </c>
      <c r="W150" s="89" t="s">
        <v>433</v>
      </c>
      <c r="X150" s="114" t="s">
        <v>1047</v>
      </c>
    </row>
    <row r="151" spans="1:24" s="1" customFormat="1">
      <c r="A151" s="263" t="s">
        <v>1350</v>
      </c>
      <c r="B151" s="248" t="s">
        <v>1351</v>
      </c>
      <c r="C151" s="249">
        <v>1</v>
      </c>
      <c r="D151" s="272" t="s">
        <v>1352</v>
      </c>
      <c r="E151" s="348">
        <v>39.99</v>
      </c>
      <c r="F151" s="226">
        <f t="shared" ref="F151:F158" si="14">rv_20</f>
        <v>0.2</v>
      </c>
      <c r="G151" s="67">
        <f t="shared" si="13"/>
        <v>31.992000000000001</v>
      </c>
      <c r="H151" s="93"/>
      <c r="I151" s="224">
        <v>0.1</v>
      </c>
      <c r="J151" s="288" t="s">
        <v>1099</v>
      </c>
      <c r="K151" s="89" t="s">
        <v>433</v>
      </c>
      <c r="L151" s="114" t="s">
        <v>1047</v>
      </c>
      <c r="M151" s="241" t="s">
        <v>1350</v>
      </c>
      <c r="N151" s="248" t="s">
        <v>1351</v>
      </c>
      <c r="O151" s="249">
        <v>1</v>
      </c>
      <c r="P151" s="272" t="s">
        <v>1352</v>
      </c>
      <c r="Q151" s="348">
        <v>39.99</v>
      </c>
      <c r="R151" s="226">
        <v>0.2</v>
      </c>
      <c r="S151" s="67">
        <v>31.992000000000001</v>
      </c>
      <c r="T151" s="93"/>
      <c r="U151" s="224">
        <v>0.1</v>
      </c>
      <c r="V151" s="288" t="s">
        <v>1099</v>
      </c>
      <c r="W151" s="89" t="s">
        <v>433</v>
      </c>
      <c r="X151" s="114" t="s">
        <v>1047</v>
      </c>
    </row>
    <row r="152" spans="1:24" s="1" customFormat="1">
      <c r="A152" s="263" t="s">
        <v>1353</v>
      </c>
      <c r="B152" s="248" t="s">
        <v>1354</v>
      </c>
      <c r="C152" s="249">
        <v>1</v>
      </c>
      <c r="D152" s="272" t="s">
        <v>1352</v>
      </c>
      <c r="E152" s="348">
        <v>8.93</v>
      </c>
      <c r="F152" s="226">
        <f t="shared" si="14"/>
        <v>0.2</v>
      </c>
      <c r="G152" s="67">
        <f t="shared" si="13"/>
        <v>7.1440000000000001</v>
      </c>
      <c r="H152" s="93"/>
      <c r="I152" s="224">
        <v>0.02</v>
      </c>
      <c r="J152" s="288" t="s">
        <v>1099</v>
      </c>
      <c r="K152" s="89" t="s">
        <v>433</v>
      </c>
      <c r="L152" s="114" t="s">
        <v>1047</v>
      </c>
      <c r="M152" s="241" t="s">
        <v>1353</v>
      </c>
      <c r="N152" s="248" t="s">
        <v>1354</v>
      </c>
      <c r="O152" s="249">
        <v>1</v>
      </c>
      <c r="P152" s="272" t="s">
        <v>1352</v>
      </c>
      <c r="Q152" s="348">
        <v>8.93</v>
      </c>
      <c r="R152" s="226">
        <v>0.2</v>
      </c>
      <c r="S152" s="67">
        <v>7.1440000000000001</v>
      </c>
      <c r="T152" s="93"/>
      <c r="U152" s="224">
        <v>0.02</v>
      </c>
      <c r="V152" s="288" t="s">
        <v>1099</v>
      </c>
      <c r="W152" s="89" t="s">
        <v>433</v>
      </c>
      <c r="X152" s="114" t="s">
        <v>1047</v>
      </c>
    </row>
    <row r="153" spans="1:24" s="1" customFormat="1">
      <c r="A153" s="263" t="s">
        <v>1355</v>
      </c>
      <c r="B153" s="248" t="s">
        <v>1356</v>
      </c>
      <c r="C153" s="249">
        <v>1</v>
      </c>
      <c r="D153" s="272" t="s">
        <v>1357</v>
      </c>
      <c r="E153" s="348">
        <v>70</v>
      </c>
      <c r="F153" s="226">
        <f t="shared" si="14"/>
        <v>0.2</v>
      </c>
      <c r="G153" s="67">
        <f t="shared" si="13"/>
        <v>56</v>
      </c>
      <c r="H153" s="93"/>
      <c r="I153" s="224">
        <v>0.02</v>
      </c>
      <c r="J153" s="288" t="s">
        <v>1099</v>
      </c>
      <c r="K153" s="89" t="s">
        <v>433</v>
      </c>
      <c r="L153" s="114" t="s">
        <v>1047</v>
      </c>
      <c r="M153" s="241" t="s">
        <v>1355</v>
      </c>
      <c r="N153" s="248" t="s">
        <v>1356</v>
      </c>
      <c r="O153" s="249">
        <v>1</v>
      </c>
      <c r="P153" s="272" t="s">
        <v>1357</v>
      </c>
      <c r="Q153" s="348">
        <v>70</v>
      </c>
      <c r="R153" s="226">
        <v>0.2</v>
      </c>
      <c r="S153" s="67">
        <v>56</v>
      </c>
      <c r="T153" s="93"/>
      <c r="U153" s="224">
        <v>0.02</v>
      </c>
      <c r="V153" s="288" t="s">
        <v>1099</v>
      </c>
      <c r="W153" s="89" t="s">
        <v>433</v>
      </c>
      <c r="X153" s="114" t="s">
        <v>1047</v>
      </c>
    </row>
    <row r="154" spans="1:24" s="1" customFormat="1">
      <c r="A154" s="263" t="s">
        <v>1358</v>
      </c>
      <c r="B154" s="248" t="s">
        <v>1359</v>
      </c>
      <c r="C154" s="249">
        <v>1</v>
      </c>
      <c r="D154" s="272" t="s">
        <v>1357</v>
      </c>
      <c r="E154" s="348">
        <v>20.84</v>
      </c>
      <c r="F154" s="226">
        <f t="shared" si="14"/>
        <v>0.2</v>
      </c>
      <c r="G154" s="67">
        <f t="shared" si="13"/>
        <v>16.672000000000001</v>
      </c>
      <c r="H154" s="93"/>
      <c r="I154" s="224">
        <v>0.02</v>
      </c>
      <c r="J154" s="288" t="s">
        <v>1099</v>
      </c>
      <c r="K154" s="89" t="s">
        <v>433</v>
      </c>
      <c r="L154" s="114" t="s">
        <v>1047</v>
      </c>
      <c r="M154" s="241" t="s">
        <v>1358</v>
      </c>
      <c r="N154" s="248" t="s">
        <v>1359</v>
      </c>
      <c r="O154" s="249">
        <v>1</v>
      </c>
      <c r="P154" s="272" t="s">
        <v>1357</v>
      </c>
      <c r="Q154" s="348">
        <v>20.84</v>
      </c>
      <c r="R154" s="226">
        <v>0.2</v>
      </c>
      <c r="S154" s="67">
        <v>16.672000000000001</v>
      </c>
      <c r="T154" s="93"/>
      <c r="U154" s="224">
        <v>0.02</v>
      </c>
      <c r="V154" s="288" t="s">
        <v>1099</v>
      </c>
      <c r="W154" s="89" t="s">
        <v>433</v>
      </c>
      <c r="X154" s="114" t="s">
        <v>1047</v>
      </c>
    </row>
    <row r="155" spans="1:24" s="1" customFormat="1">
      <c r="A155" s="263" t="s">
        <v>1360</v>
      </c>
      <c r="B155" s="248" t="s">
        <v>1361</v>
      </c>
      <c r="C155" s="249">
        <v>1</v>
      </c>
      <c r="D155" s="272" t="s">
        <v>1357</v>
      </c>
      <c r="E155" s="348">
        <v>30.83</v>
      </c>
      <c r="F155" s="226">
        <f t="shared" si="14"/>
        <v>0.2</v>
      </c>
      <c r="G155" s="67">
        <f t="shared" si="13"/>
        <v>24.663999999999998</v>
      </c>
      <c r="H155" s="93"/>
      <c r="I155" s="224">
        <v>0.02</v>
      </c>
      <c r="J155" s="288" t="s">
        <v>1099</v>
      </c>
      <c r="K155" s="89" t="s">
        <v>433</v>
      </c>
      <c r="L155" s="114" t="s">
        <v>1047</v>
      </c>
      <c r="M155" s="241" t="s">
        <v>1360</v>
      </c>
      <c r="N155" s="248" t="s">
        <v>1361</v>
      </c>
      <c r="O155" s="249">
        <v>1</v>
      </c>
      <c r="P155" s="272" t="s">
        <v>1357</v>
      </c>
      <c r="Q155" s="348">
        <v>30.83</v>
      </c>
      <c r="R155" s="226">
        <v>0.2</v>
      </c>
      <c r="S155" s="67">
        <v>24.663999999999998</v>
      </c>
      <c r="T155" s="93"/>
      <c r="U155" s="224">
        <v>0.02</v>
      </c>
      <c r="V155" s="288" t="s">
        <v>1099</v>
      </c>
      <c r="W155" s="89" t="s">
        <v>433</v>
      </c>
      <c r="X155" s="114" t="s">
        <v>1047</v>
      </c>
    </row>
    <row r="156" spans="1:24" s="1" customFormat="1">
      <c r="A156" s="263" t="s">
        <v>1362</v>
      </c>
      <c r="B156" s="248" t="s">
        <v>1363</v>
      </c>
      <c r="C156" s="249">
        <v>1</v>
      </c>
      <c r="D156" s="272" t="s">
        <v>1357</v>
      </c>
      <c r="E156" s="348">
        <v>30.83</v>
      </c>
      <c r="F156" s="226">
        <f t="shared" si="14"/>
        <v>0.2</v>
      </c>
      <c r="G156" s="67">
        <f t="shared" si="13"/>
        <v>24.663999999999998</v>
      </c>
      <c r="H156" s="93"/>
      <c r="I156" s="224">
        <v>0.02</v>
      </c>
      <c r="J156" s="288" t="s">
        <v>1099</v>
      </c>
      <c r="K156" s="89" t="s">
        <v>1364</v>
      </c>
      <c r="L156" s="114" t="s">
        <v>1365</v>
      </c>
      <c r="M156" s="241" t="s">
        <v>1362</v>
      </c>
      <c r="N156" s="248" t="s">
        <v>1363</v>
      </c>
      <c r="O156" s="249">
        <v>1</v>
      </c>
      <c r="P156" s="272" t="s">
        <v>1357</v>
      </c>
      <c r="Q156" s="348">
        <v>30.83</v>
      </c>
      <c r="R156" s="226">
        <v>0.2</v>
      </c>
      <c r="S156" s="67">
        <v>24.663999999999998</v>
      </c>
      <c r="T156" s="93"/>
      <c r="U156" s="224">
        <v>0.02</v>
      </c>
      <c r="V156" s="288" t="s">
        <v>1099</v>
      </c>
      <c r="W156" s="89" t="s">
        <v>1364</v>
      </c>
      <c r="X156" s="114" t="s">
        <v>1365</v>
      </c>
    </row>
    <row r="157" spans="1:24" s="1" customFormat="1">
      <c r="A157" s="263" t="s">
        <v>1366</v>
      </c>
      <c r="B157" s="248" t="s">
        <v>1367</v>
      </c>
      <c r="C157" s="249">
        <v>1</v>
      </c>
      <c r="D157" s="272" t="s">
        <v>1357</v>
      </c>
      <c r="E157" s="348">
        <v>49.99</v>
      </c>
      <c r="F157" s="226">
        <f t="shared" si="14"/>
        <v>0.2</v>
      </c>
      <c r="G157" s="67">
        <f t="shared" si="13"/>
        <v>39.992000000000004</v>
      </c>
      <c r="H157" s="93"/>
      <c r="I157" s="224">
        <v>0.02</v>
      </c>
      <c r="J157" s="288" t="s">
        <v>1099</v>
      </c>
      <c r="K157" s="89" t="s">
        <v>433</v>
      </c>
      <c r="L157" s="114" t="s">
        <v>1047</v>
      </c>
      <c r="M157" s="241" t="s">
        <v>1366</v>
      </c>
      <c r="N157" s="248" t="s">
        <v>1367</v>
      </c>
      <c r="O157" s="249">
        <v>1</v>
      </c>
      <c r="P157" s="272" t="s">
        <v>1357</v>
      </c>
      <c r="Q157" s="348">
        <v>49.99</v>
      </c>
      <c r="R157" s="226">
        <v>0.2</v>
      </c>
      <c r="S157" s="67">
        <v>39.992000000000004</v>
      </c>
      <c r="T157" s="93"/>
      <c r="U157" s="224">
        <v>0.02</v>
      </c>
      <c r="V157" s="288" t="s">
        <v>1099</v>
      </c>
      <c r="W157" s="89" t="s">
        <v>433</v>
      </c>
      <c r="X157" s="114" t="s">
        <v>1047</v>
      </c>
    </row>
    <row r="158" spans="1:24" s="1" customFormat="1">
      <c r="A158" s="263" t="s">
        <v>1368</v>
      </c>
      <c r="B158" s="248" t="s">
        <v>1369</v>
      </c>
      <c r="C158" s="249">
        <v>1</v>
      </c>
      <c r="D158" s="272" t="s">
        <v>1357</v>
      </c>
      <c r="E158" s="348">
        <v>49.99</v>
      </c>
      <c r="F158" s="226">
        <f t="shared" si="14"/>
        <v>0.2</v>
      </c>
      <c r="G158" s="67">
        <f t="shared" si="13"/>
        <v>39.992000000000004</v>
      </c>
      <c r="H158" s="93"/>
      <c r="I158" s="224">
        <v>0.02</v>
      </c>
      <c r="J158" s="288" t="s">
        <v>1099</v>
      </c>
      <c r="K158" s="89" t="s">
        <v>433</v>
      </c>
      <c r="L158" s="114" t="s">
        <v>1047</v>
      </c>
      <c r="M158" s="241" t="s">
        <v>1368</v>
      </c>
      <c r="N158" s="248" t="s">
        <v>1369</v>
      </c>
      <c r="O158" s="249">
        <v>1</v>
      </c>
      <c r="P158" s="272" t="s">
        <v>1357</v>
      </c>
      <c r="Q158" s="348">
        <v>49.99</v>
      </c>
      <c r="R158" s="226">
        <v>0.2</v>
      </c>
      <c r="S158" s="67">
        <v>39.992000000000004</v>
      </c>
      <c r="T158" s="93"/>
      <c r="U158" s="224">
        <v>0.02</v>
      </c>
      <c r="V158" s="288" t="s">
        <v>1099</v>
      </c>
      <c r="W158" s="89" t="s">
        <v>433</v>
      </c>
      <c r="X158" s="114" t="s">
        <v>1047</v>
      </c>
    </row>
    <row r="159" spans="1:24" s="1" customFormat="1">
      <c r="A159" s="263" t="s">
        <v>1370</v>
      </c>
      <c r="B159" s="248" t="s">
        <v>1371</v>
      </c>
      <c r="C159" s="249">
        <v>1</v>
      </c>
      <c r="D159" s="272" t="s">
        <v>1357</v>
      </c>
      <c r="E159" s="348">
        <v>35.83</v>
      </c>
      <c r="F159" s="226">
        <f>rv_10</f>
        <v>0.1</v>
      </c>
      <c r="G159" s="67">
        <f t="shared" si="13"/>
        <v>32.247</v>
      </c>
      <c r="H159" s="93"/>
      <c r="I159" s="224">
        <v>0.02</v>
      </c>
      <c r="J159" s="288" t="s">
        <v>1099</v>
      </c>
      <c r="K159" s="89" t="s">
        <v>433</v>
      </c>
      <c r="L159" s="114" t="s">
        <v>1047</v>
      </c>
      <c r="M159" s="241" t="s">
        <v>1370</v>
      </c>
      <c r="N159" s="248" t="s">
        <v>1371</v>
      </c>
      <c r="O159" s="249">
        <v>1</v>
      </c>
      <c r="P159" s="272" t="s">
        <v>1357</v>
      </c>
      <c r="Q159" s="348">
        <v>35.83</v>
      </c>
      <c r="R159" s="226">
        <v>0.1</v>
      </c>
      <c r="S159" s="67">
        <v>32.247</v>
      </c>
      <c r="T159" s="93"/>
      <c r="U159" s="224">
        <v>0.02</v>
      </c>
      <c r="V159" s="288" t="s">
        <v>1099</v>
      </c>
      <c r="W159" s="89" t="s">
        <v>433</v>
      </c>
      <c r="X159" s="114" t="s">
        <v>1047</v>
      </c>
    </row>
    <row r="160" spans="1:24" s="1" customFormat="1">
      <c r="A160" s="263" t="s">
        <v>1372</v>
      </c>
      <c r="B160" s="248" t="s">
        <v>1373</v>
      </c>
      <c r="C160" s="249">
        <v>1</v>
      </c>
      <c r="D160" s="272" t="s">
        <v>1357</v>
      </c>
      <c r="E160" s="348">
        <v>35.83</v>
      </c>
      <c r="F160" s="226">
        <f>rv_10</f>
        <v>0.1</v>
      </c>
      <c r="G160" s="67">
        <f t="shared" si="13"/>
        <v>32.247</v>
      </c>
      <c r="H160" s="93"/>
      <c r="I160" s="224">
        <v>0.02</v>
      </c>
      <c r="J160" s="288" t="s">
        <v>1099</v>
      </c>
      <c r="K160" s="89" t="s">
        <v>433</v>
      </c>
      <c r="L160" s="114" t="s">
        <v>1047</v>
      </c>
      <c r="M160" s="241" t="s">
        <v>1372</v>
      </c>
      <c r="N160" s="248" t="s">
        <v>1373</v>
      </c>
      <c r="O160" s="249">
        <v>1</v>
      </c>
      <c r="P160" s="272" t="s">
        <v>1357</v>
      </c>
      <c r="Q160" s="348">
        <v>35.83</v>
      </c>
      <c r="R160" s="226">
        <v>0.1</v>
      </c>
      <c r="S160" s="67">
        <v>32.247</v>
      </c>
      <c r="T160" s="93"/>
      <c r="U160" s="224">
        <v>0.02</v>
      </c>
      <c r="V160" s="288" t="s">
        <v>1099</v>
      </c>
      <c r="W160" s="89" t="s">
        <v>433</v>
      </c>
      <c r="X160" s="114" t="s">
        <v>1047</v>
      </c>
    </row>
    <row r="161" spans="1:24" s="1" customFormat="1">
      <c r="A161" s="263" t="s">
        <v>1374</v>
      </c>
      <c r="B161" s="248" t="s">
        <v>1375</v>
      </c>
      <c r="C161" s="249">
        <v>1</v>
      </c>
      <c r="D161" s="272" t="s">
        <v>1376</v>
      </c>
      <c r="E161" s="348">
        <v>119.04</v>
      </c>
      <c r="F161" s="226">
        <f>rv_30</f>
        <v>0.3</v>
      </c>
      <c r="G161" s="67">
        <f t="shared" si="13"/>
        <v>83.328000000000003</v>
      </c>
      <c r="H161" s="93"/>
      <c r="I161" s="224">
        <v>0.1</v>
      </c>
      <c r="J161" s="288" t="s">
        <v>1099</v>
      </c>
      <c r="K161" s="89" t="s">
        <v>433</v>
      </c>
      <c r="L161" s="114" t="s">
        <v>1047</v>
      </c>
      <c r="M161" s="241" t="s">
        <v>1374</v>
      </c>
      <c r="N161" s="248" t="s">
        <v>1375</v>
      </c>
      <c r="O161" s="249">
        <v>1</v>
      </c>
      <c r="P161" s="272" t="s">
        <v>1376</v>
      </c>
      <c r="Q161" s="348">
        <v>119.04</v>
      </c>
      <c r="R161" s="226">
        <v>0.3</v>
      </c>
      <c r="S161" s="67">
        <v>83.328000000000003</v>
      </c>
      <c r="T161" s="93"/>
      <c r="U161" s="224">
        <v>0.1</v>
      </c>
      <c r="V161" s="288" t="s">
        <v>1099</v>
      </c>
      <c r="W161" s="89" t="s">
        <v>433</v>
      </c>
      <c r="X161" s="114" t="s">
        <v>1047</v>
      </c>
    </row>
    <row r="162" spans="1:24" s="1" customFormat="1">
      <c r="A162" s="263" t="s">
        <v>1377</v>
      </c>
      <c r="B162" s="248" t="s">
        <v>1378</v>
      </c>
      <c r="C162" s="249">
        <v>1</v>
      </c>
      <c r="D162" s="272" t="s">
        <v>1379</v>
      </c>
      <c r="E162" s="348">
        <v>49.99</v>
      </c>
      <c r="F162" s="226">
        <f>rv_20</f>
        <v>0.2</v>
      </c>
      <c r="G162" s="67">
        <f t="shared" si="13"/>
        <v>39.992000000000004</v>
      </c>
      <c r="H162" s="93"/>
      <c r="I162" s="224">
        <v>0.05</v>
      </c>
      <c r="J162" s="288" t="s">
        <v>1099</v>
      </c>
      <c r="K162" s="89" t="s">
        <v>433</v>
      </c>
      <c r="L162" s="114" t="s">
        <v>1047</v>
      </c>
      <c r="M162" s="241" t="s">
        <v>1377</v>
      </c>
      <c r="N162" s="248" t="s">
        <v>1378</v>
      </c>
      <c r="O162" s="249">
        <v>1</v>
      </c>
      <c r="P162" s="272" t="s">
        <v>1379</v>
      </c>
      <c r="Q162" s="348">
        <v>49.99</v>
      </c>
      <c r="R162" s="226">
        <v>0.2</v>
      </c>
      <c r="S162" s="67">
        <v>39.992000000000004</v>
      </c>
      <c r="T162" s="93"/>
      <c r="U162" s="224">
        <v>0.05</v>
      </c>
      <c r="V162" s="288" t="s">
        <v>1099</v>
      </c>
      <c r="W162" s="89" t="s">
        <v>433</v>
      </c>
      <c r="X162" s="114" t="s">
        <v>1047</v>
      </c>
    </row>
    <row r="163" spans="1:24" s="1" customFormat="1">
      <c r="A163" s="263" t="s">
        <v>1380</v>
      </c>
      <c r="B163" s="248" t="s">
        <v>1381</v>
      </c>
      <c r="C163" s="249">
        <v>1</v>
      </c>
      <c r="D163" s="272" t="s">
        <v>1382</v>
      </c>
      <c r="E163" s="348">
        <v>73.349999999999994</v>
      </c>
      <c r="F163" s="226">
        <f>rv_30</f>
        <v>0.3</v>
      </c>
      <c r="G163" s="67">
        <f t="shared" si="13"/>
        <v>51.344999999999999</v>
      </c>
      <c r="H163" s="93"/>
      <c r="I163" s="224">
        <v>0.1</v>
      </c>
      <c r="J163" s="288" t="s">
        <v>1099</v>
      </c>
      <c r="K163" s="89" t="s">
        <v>433</v>
      </c>
      <c r="L163" s="114" t="s">
        <v>1047</v>
      </c>
      <c r="M163" s="241" t="s">
        <v>1380</v>
      </c>
      <c r="N163" s="248" t="s">
        <v>1381</v>
      </c>
      <c r="O163" s="249">
        <v>1</v>
      </c>
      <c r="P163" s="272" t="s">
        <v>1382</v>
      </c>
      <c r="Q163" s="348">
        <v>73.349999999999994</v>
      </c>
      <c r="R163" s="226">
        <v>0.3</v>
      </c>
      <c r="S163" s="67">
        <v>51.344999999999999</v>
      </c>
      <c r="T163" s="93"/>
      <c r="U163" s="224">
        <v>0.1</v>
      </c>
      <c r="V163" s="288" t="s">
        <v>1099</v>
      </c>
      <c r="W163" s="89" t="s">
        <v>433</v>
      </c>
      <c r="X163" s="114" t="s">
        <v>1047</v>
      </c>
    </row>
    <row r="164" spans="1:24" s="1" customFormat="1">
      <c r="A164" s="263" t="s">
        <v>1383</v>
      </c>
      <c r="B164" s="248" t="s">
        <v>1384</v>
      </c>
      <c r="C164" s="249">
        <v>1</v>
      </c>
      <c r="D164" s="272" t="s">
        <v>1294</v>
      </c>
      <c r="E164" s="348">
        <v>42.34</v>
      </c>
      <c r="F164" s="226">
        <f>rv_20</f>
        <v>0.2</v>
      </c>
      <c r="G164" s="67">
        <f t="shared" si="13"/>
        <v>33.872</v>
      </c>
      <c r="H164" s="93"/>
      <c r="I164" s="224">
        <v>0.02</v>
      </c>
      <c r="J164" s="288" t="s">
        <v>1099</v>
      </c>
      <c r="K164" s="89" t="s">
        <v>433</v>
      </c>
      <c r="L164" s="114" t="s">
        <v>1047</v>
      </c>
      <c r="M164" s="241" t="s">
        <v>1383</v>
      </c>
      <c r="N164" s="248" t="s">
        <v>1384</v>
      </c>
      <c r="O164" s="249">
        <v>1</v>
      </c>
      <c r="P164" s="272" t="s">
        <v>1294</v>
      </c>
      <c r="Q164" s="348">
        <v>42.34</v>
      </c>
      <c r="R164" s="226">
        <v>0.2</v>
      </c>
      <c r="S164" s="67">
        <v>33.872</v>
      </c>
      <c r="T164" s="93"/>
      <c r="U164" s="224">
        <v>0.02</v>
      </c>
      <c r="V164" s="288" t="s">
        <v>1099</v>
      </c>
      <c r="W164" s="89" t="s">
        <v>433</v>
      </c>
      <c r="X164" s="114" t="s">
        <v>1047</v>
      </c>
    </row>
    <row r="165" spans="1:24" s="1" customFormat="1">
      <c r="A165" s="263" t="s">
        <v>1385</v>
      </c>
      <c r="B165" s="248" t="s">
        <v>1386</v>
      </c>
      <c r="C165" s="249">
        <v>1</v>
      </c>
      <c r="D165" s="272" t="s">
        <v>1294</v>
      </c>
      <c r="E165" s="348">
        <v>134.02000000000001</v>
      </c>
      <c r="F165" s="226">
        <f>rv_10</f>
        <v>0.1</v>
      </c>
      <c r="G165" s="67">
        <f t="shared" si="13"/>
        <v>120.61800000000001</v>
      </c>
      <c r="H165" s="93"/>
      <c r="I165" s="224">
        <v>0.2</v>
      </c>
      <c r="J165" s="288" t="s">
        <v>1099</v>
      </c>
      <c r="K165" s="89" t="s">
        <v>433</v>
      </c>
      <c r="L165" s="114" t="s">
        <v>1047</v>
      </c>
      <c r="M165" s="241" t="s">
        <v>1385</v>
      </c>
      <c r="N165" s="248" t="s">
        <v>1386</v>
      </c>
      <c r="O165" s="249">
        <v>1</v>
      </c>
      <c r="P165" s="272" t="s">
        <v>1294</v>
      </c>
      <c r="Q165" s="348">
        <v>134.02000000000001</v>
      </c>
      <c r="R165" s="226">
        <v>0.1</v>
      </c>
      <c r="S165" s="67">
        <v>120.61800000000001</v>
      </c>
      <c r="T165" s="93"/>
      <c r="U165" s="224">
        <v>0.2</v>
      </c>
      <c r="V165" s="288" t="s">
        <v>1099</v>
      </c>
      <c r="W165" s="89" t="s">
        <v>433</v>
      </c>
      <c r="X165" s="114" t="s">
        <v>1047</v>
      </c>
    </row>
    <row r="166" spans="1:24" s="1" customFormat="1">
      <c r="A166" s="263" t="s">
        <v>1387</v>
      </c>
      <c r="B166" s="248" t="s">
        <v>1388</v>
      </c>
      <c r="C166" s="249">
        <v>1</v>
      </c>
      <c r="D166" s="272" t="s">
        <v>1389</v>
      </c>
      <c r="E166" s="348">
        <v>76.290000000000006</v>
      </c>
      <c r="F166" s="226">
        <f>rv_20</f>
        <v>0.2</v>
      </c>
      <c r="G166" s="67">
        <f t="shared" si="13"/>
        <v>61.032000000000004</v>
      </c>
      <c r="H166" s="93"/>
      <c r="I166" s="224">
        <v>0.05</v>
      </c>
      <c r="J166" s="288" t="s">
        <v>1099</v>
      </c>
      <c r="K166" s="89" t="s">
        <v>433</v>
      </c>
      <c r="L166" s="114" t="s">
        <v>1047</v>
      </c>
      <c r="M166" s="241" t="s">
        <v>1387</v>
      </c>
      <c r="N166" s="248" t="s">
        <v>1388</v>
      </c>
      <c r="O166" s="249">
        <v>1</v>
      </c>
      <c r="P166" s="272" t="s">
        <v>1389</v>
      </c>
      <c r="Q166" s="348">
        <v>76.290000000000006</v>
      </c>
      <c r="R166" s="226">
        <v>0.2</v>
      </c>
      <c r="S166" s="67">
        <v>61.032000000000004</v>
      </c>
      <c r="T166" s="93"/>
      <c r="U166" s="224">
        <v>0.05</v>
      </c>
      <c r="V166" s="288" t="s">
        <v>1099</v>
      </c>
      <c r="W166" s="89" t="s">
        <v>433</v>
      </c>
      <c r="X166" s="114" t="s">
        <v>1047</v>
      </c>
    </row>
    <row r="167" spans="1:24" s="1" customFormat="1">
      <c r="A167" s="263" t="s">
        <v>1390</v>
      </c>
      <c r="B167" s="248" t="s">
        <v>1391</v>
      </c>
      <c r="C167" s="239">
        <v>1</v>
      </c>
      <c r="D167" s="272" t="s">
        <v>1379</v>
      </c>
      <c r="E167" s="348">
        <v>66.66</v>
      </c>
      <c r="F167" s="226">
        <f>rv_20</f>
        <v>0.2</v>
      </c>
      <c r="G167" s="67">
        <f t="shared" si="13"/>
        <v>53.327999999999996</v>
      </c>
      <c r="H167" s="93"/>
      <c r="I167" s="224">
        <v>0.02</v>
      </c>
      <c r="J167" s="288" t="s">
        <v>1099</v>
      </c>
      <c r="K167" s="89" t="s">
        <v>433</v>
      </c>
      <c r="L167" s="114" t="s">
        <v>1047</v>
      </c>
      <c r="M167" s="241" t="s">
        <v>1390</v>
      </c>
      <c r="N167" s="248" t="s">
        <v>1391</v>
      </c>
      <c r="O167" s="239">
        <v>1</v>
      </c>
      <c r="P167" s="272" t="s">
        <v>1379</v>
      </c>
      <c r="Q167" s="348">
        <v>66.66</v>
      </c>
      <c r="R167" s="226">
        <v>0.2</v>
      </c>
      <c r="S167" s="67">
        <v>53.327999999999996</v>
      </c>
      <c r="T167" s="93"/>
      <c r="U167" s="224">
        <v>0.02</v>
      </c>
      <c r="V167" s="288" t="s">
        <v>1099</v>
      </c>
      <c r="W167" s="89" t="s">
        <v>433</v>
      </c>
      <c r="X167" s="114" t="s">
        <v>1047</v>
      </c>
    </row>
    <row r="168" spans="1:24" s="1" customFormat="1">
      <c r="A168" s="263" t="s">
        <v>1392</v>
      </c>
      <c r="B168" s="248" t="s">
        <v>1393</v>
      </c>
      <c r="C168" s="249">
        <v>1</v>
      </c>
      <c r="D168" s="274" t="s">
        <v>1294</v>
      </c>
      <c r="E168" s="349">
        <v>129.66</v>
      </c>
      <c r="F168" s="226">
        <f>rv_10</f>
        <v>0.1</v>
      </c>
      <c r="G168" s="67">
        <f t="shared" si="13"/>
        <v>116.69399999999999</v>
      </c>
      <c r="H168" s="93"/>
      <c r="I168" s="224">
        <v>0.1</v>
      </c>
      <c r="J168" s="288" t="s">
        <v>1099</v>
      </c>
      <c r="K168" s="89" t="s">
        <v>433</v>
      </c>
      <c r="L168" s="114" t="s">
        <v>1047</v>
      </c>
      <c r="M168" s="241" t="s">
        <v>1392</v>
      </c>
      <c r="N168" s="248" t="s">
        <v>1393</v>
      </c>
      <c r="O168" s="249">
        <v>1</v>
      </c>
      <c r="P168" s="274" t="s">
        <v>1294</v>
      </c>
      <c r="Q168" s="349">
        <v>129.66</v>
      </c>
      <c r="R168" s="226">
        <v>0.1</v>
      </c>
      <c r="S168" s="67">
        <v>116.69399999999999</v>
      </c>
      <c r="T168" s="93"/>
      <c r="U168" s="224">
        <v>0.1</v>
      </c>
      <c r="V168" s="288" t="s">
        <v>1099</v>
      </c>
      <c r="W168" s="89" t="s">
        <v>433</v>
      </c>
      <c r="X168" s="114" t="s">
        <v>1047</v>
      </c>
    </row>
    <row r="169" spans="1:24" s="1" customFormat="1">
      <c r="A169" s="263" t="s">
        <v>1394</v>
      </c>
      <c r="B169" s="248" t="s">
        <v>1395</v>
      </c>
      <c r="C169" s="249">
        <v>1</v>
      </c>
      <c r="D169" s="274" t="s">
        <v>1294</v>
      </c>
      <c r="E169" s="349">
        <v>259</v>
      </c>
      <c r="F169" s="226">
        <f>rv_10</f>
        <v>0.1</v>
      </c>
      <c r="G169" s="67">
        <f t="shared" si="13"/>
        <v>233.1</v>
      </c>
      <c r="H169" s="93"/>
      <c r="I169" s="224">
        <v>0.1</v>
      </c>
      <c r="J169" s="288" t="s">
        <v>1099</v>
      </c>
      <c r="K169" s="89" t="s">
        <v>433</v>
      </c>
      <c r="L169" s="114" t="s">
        <v>1047</v>
      </c>
      <c r="M169" s="241" t="s">
        <v>1394</v>
      </c>
      <c r="N169" s="248" t="s">
        <v>1395</v>
      </c>
      <c r="O169" s="249">
        <v>1</v>
      </c>
      <c r="P169" s="274" t="s">
        <v>1294</v>
      </c>
      <c r="Q169" s="349">
        <v>259</v>
      </c>
      <c r="R169" s="226">
        <v>0.1</v>
      </c>
      <c r="S169" s="67">
        <v>233.1</v>
      </c>
      <c r="T169" s="93"/>
      <c r="U169" s="224">
        <v>0.1</v>
      </c>
      <c r="V169" s="288" t="s">
        <v>1099</v>
      </c>
      <c r="W169" s="89" t="s">
        <v>433</v>
      </c>
      <c r="X169" s="114" t="s">
        <v>1047</v>
      </c>
    </row>
    <row r="170" spans="1:24" s="1" customFormat="1">
      <c r="A170" s="263" t="s">
        <v>1396</v>
      </c>
      <c r="B170" s="248" t="s">
        <v>1397</v>
      </c>
      <c r="C170" s="249">
        <v>1</v>
      </c>
      <c r="D170" s="272" t="s">
        <v>1357</v>
      </c>
      <c r="E170" s="348">
        <v>16.66</v>
      </c>
      <c r="F170" s="226">
        <f>rv_20</f>
        <v>0.2</v>
      </c>
      <c r="G170" s="67">
        <f t="shared" si="13"/>
        <v>13.327999999999999</v>
      </c>
      <c r="H170" s="93"/>
      <c r="I170" s="224"/>
      <c r="J170" s="288" t="s">
        <v>1099</v>
      </c>
      <c r="K170" s="89" t="s">
        <v>433</v>
      </c>
      <c r="L170" s="114" t="s">
        <v>1047</v>
      </c>
      <c r="M170" s="241" t="s">
        <v>1396</v>
      </c>
      <c r="N170" s="248" t="s">
        <v>1397</v>
      </c>
      <c r="O170" s="249">
        <v>1</v>
      </c>
      <c r="P170" s="272" t="s">
        <v>1357</v>
      </c>
      <c r="Q170" s="348">
        <v>16.66</v>
      </c>
      <c r="R170" s="226">
        <v>0.2</v>
      </c>
      <c r="S170" s="67">
        <v>13.327999999999999</v>
      </c>
      <c r="T170" s="93"/>
      <c r="U170" s="224"/>
      <c r="V170" s="288" t="s">
        <v>1099</v>
      </c>
      <c r="W170" s="89" t="s">
        <v>433</v>
      </c>
      <c r="X170" s="114" t="s">
        <v>1047</v>
      </c>
    </row>
    <row r="171" spans="1:24" s="1" customFormat="1">
      <c r="A171" s="263" t="s">
        <v>1398</v>
      </c>
      <c r="B171" s="248" t="s">
        <v>1399</v>
      </c>
      <c r="C171" s="249">
        <v>1</v>
      </c>
      <c r="D171" s="272" t="s">
        <v>1357</v>
      </c>
      <c r="E171" s="348">
        <v>16.66</v>
      </c>
      <c r="F171" s="226">
        <f>rv_20</f>
        <v>0.2</v>
      </c>
      <c r="G171" s="67">
        <f t="shared" si="13"/>
        <v>13.327999999999999</v>
      </c>
      <c r="H171" s="93"/>
      <c r="I171" s="224"/>
      <c r="J171" s="288" t="s">
        <v>1099</v>
      </c>
      <c r="K171" s="89" t="s">
        <v>433</v>
      </c>
      <c r="L171" s="114" t="s">
        <v>1047</v>
      </c>
      <c r="M171" s="241" t="s">
        <v>1398</v>
      </c>
      <c r="N171" s="248" t="s">
        <v>1399</v>
      </c>
      <c r="O171" s="249">
        <v>1</v>
      </c>
      <c r="P171" s="272" t="s">
        <v>1357</v>
      </c>
      <c r="Q171" s="348">
        <v>16.66</v>
      </c>
      <c r="R171" s="226">
        <v>0.2</v>
      </c>
      <c r="S171" s="67">
        <v>13.327999999999999</v>
      </c>
      <c r="T171" s="93"/>
      <c r="U171" s="224"/>
      <c r="V171" s="288" t="s">
        <v>1099</v>
      </c>
      <c r="W171" s="89" t="s">
        <v>433</v>
      </c>
      <c r="X171" s="114" t="s">
        <v>1047</v>
      </c>
    </row>
    <row r="172" spans="1:24" s="1" customFormat="1">
      <c r="A172" s="263" t="s">
        <v>1400</v>
      </c>
      <c r="B172" s="248" t="s">
        <v>1401</v>
      </c>
      <c r="C172" s="249">
        <v>1</v>
      </c>
      <c r="D172" s="274" t="s">
        <v>1294</v>
      </c>
      <c r="E172" s="349">
        <v>18.329999999999998</v>
      </c>
      <c r="F172" s="226">
        <f>rv_10</f>
        <v>0.1</v>
      </c>
      <c r="G172" s="67">
        <f t="shared" si="13"/>
        <v>16.497</v>
      </c>
      <c r="H172" s="93"/>
      <c r="I172" s="224"/>
      <c r="J172" s="288" t="s">
        <v>1099</v>
      </c>
      <c r="K172" s="89" t="s">
        <v>433</v>
      </c>
      <c r="L172" s="114" t="s">
        <v>1047</v>
      </c>
      <c r="M172" s="241" t="s">
        <v>1400</v>
      </c>
      <c r="N172" s="248" t="s">
        <v>1401</v>
      </c>
      <c r="O172" s="249">
        <v>1</v>
      </c>
      <c r="P172" s="274" t="s">
        <v>1294</v>
      </c>
      <c r="Q172" s="349">
        <v>18.329999999999998</v>
      </c>
      <c r="R172" s="226">
        <v>0.1</v>
      </c>
      <c r="S172" s="67">
        <v>16.497</v>
      </c>
      <c r="T172" s="93"/>
      <c r="U172" s="224"/>
      <c r="V172" s="288" t="s">
        <v>1099</v>
      </c>
      <c r="W172" s="89" t="s">
        <v>433</v>
      </c>
      <c r="X172" s="114" t="s">
        <v>1047</v>
      </c>
    </row>
    <row r="173" spans="1:24" s="1" customFormat="1">
      <c r="A173" s="263" t="s">
        <v>1402</v>
      </c>
      <c r="B173" s="248" t="s">
        <v>1403</v>
      </c>
      <c r="C173" s="249">
        <v>1</v>
      </c>
      <c r="D173" s="274" t="s">
        <v>1294</v>
      </c>
      <c r="E173" s="349">
        <v>18.329999999999998</v>
      </c>
      <c r="F173" s="226">
        <f>rv_10</f>
        <v>0.1</v>
      </c>
      <c r="G173" s="67">
        <f t="shared" si="13"/>
        <v>16.497</v>
      </c>
      <c r="H173" s="93"/>
      <c r="I173" s="224"/>
      <c r="J173" s="288" t="s">
        <v>1099</v>
      </c>
      <c r="K173" s="89" t="s">
        <v>433</v>
      </c>
      <c r="L173" s="114" t="s">
        <v>1047</v>
      </c>
      <c r="M173" s="241" t="s">
        <v>1402</v>
      </c>
      <c r="N173" s="248" t="s">
        <v>1403</v>
      </c>
      <c r="O173" s="249">
        <v>1</v>
      </c>
      <c r="P173" s="274" t="s">
        <v>1294</v>
      </c>
      <c r="Q173" s="349">
        <v>18.329999999999998</v>
      </c>
      <c r="R173" s="226">
        <v>0.1</v>
      </c>
      <c r="S173" s="67">
        <v>16.497</v>
      </c>
      <c r="T173" s="93"/>
      <c r="U173" s="224"/>
      <c r="V173" s="288" t="s">
        <v>1099</v>
      </c>
      <c r="W173" s="89" t="s">
        <v>433</v>
      </c>
      <c r="X173" s="114" t="s">
        <v>1047</v>
      </c>
    </row>
    <row r="174" spans="1:24" s="1" customFormat="1">
      <c r="A174" s="263" t="s">
        <v>1404</v>
      </c>
      <c r="B174" s="248" t="s">
        <v>1405</v>
      </c>
      <c r="C174" s="249">
        <v>1</v>
      </c>
      <c r="D174" s="274" t="s">
        <v>1294</v>
      </c>
      <c r="E174" s="349">
        <v>39.159999999999997</v>
      </c>
      <c r="F174" s="226">
        <f>rv_10</f>
        <v>0.1</v>
      </c>
      <c r="G174" s="67">
        <f t="shared" si="13"/>
        <v>35.244</v>
      </c>
      <c r="H174" s="93"/>
      <c r="I174" s="224"/>
      <c r="J174" s="288" t="s">
        <v>1099</v>
      </c>
      <c r="K174" s="89" t="s">
        <v>433</v>
      </c>
      <c r="L174" s="114" t="s">
        <v>1047</v>
      </c>
      <c r="M174" s="241" t="s">
        <v>1404</v>
      </c>
      <c r="N174" s="248" t="s">
        <v>1405</v>
      </c>
      <c r="O174" s="249">
        <v>1</v>
      </c>
      <c r="P174" s="274" t="s">
        <v>1294</v>
      </c>
      <c r="Q174" s="349">
        <v>39.159999999999997</v>
      </c>
      <c r="R174" s="226">
        <v>0.1</v>
      </c>
      <c r="S174" s="67">
        <v>35.244</v>
      </c>
      <c r="T174" s="93"/>
      <c r="U174" s="224"/>
      <c r="V174" s="288" t="s">
        <v>1099</v>
      </c>
      <c r="W174" s="89" t="s">
        <v>433</v>
      </c>
      <c r="X174" s="114" t="s">
        <v>1047</v>
      </c>
    </row>
    <row r="175" spans="1:24" s="1" customFormat="1">
      <c r="A175" s="263" t="s">
        <v>1406</v>
      </c>
      <c r="B175" s="248" t="s">
        <v>1407</v>
      </c>
      <c r="C175" s="249">
        <v>1</v>
      </c>
      <c r="D175" s="274" t="s">
        <v>1294</v>
      </c>
      <c r="E175" s="349">
        <v>47.49</v>
      </c>
      <c r="F175" s="226">
        <f>rv_10</f>
        <v>0.1</v>
      </c>
      <c r="G175" s="67">
        <f t="shared" si="13"/>
        <v>42.741</v>
      </c>
      <c r="H175" s="93"/>
      <c r="I175" s="224"/>
      <c r="J175" s="288" t="s">
        <v>1099</v>
      </c>
      <c r="K175" s="89" t="s">
        <v>433</v>
      </c>
      <c r="L175" s="114" t="s">
        <v>1047</v>
      </c>
      <c r="M175" s="241" t="s">
        <v>1406</v>
      </c>
      <c r="N175" s="248" t="s">
        <v>1407</v>
      </c>
      <c r="O175" s="249">
        <v>1</v>
      </c>
      <c r="P175" s="274" t="s">
        <v>1294</v>
      </c>
      <c r="Q175" s="349">
        <v>47.49</v>
      </c>
      <c r="R175" s="226">
        <v>0.1</v>
      </c>
      <c r="S175" s="67">
        <v>42.741</v>
      </c>
      <c r="T175" s="93"/>
      <c r="U175" s="224"/>
      <c r="V175" s="288" t="s">
        <v>1099</v>
      </c>
      <c r="W175" s="89" t="s">
        <v>433</v>
      </c>
      <c r="X175" s="114" t="s">
        <v>1047</v>
      </c>
    </row>
    <row r="176" spans="1:24" s="1" customFormat="1" ht="13.5" thickBot="1">
      <c r="A176" s="263" t="s">
        <v>1408</v>
      </c>
      <c r="B176" s="248" t="s">
        <v>1409</v>
      </c>
      <c r="C176" s="249">
        <v>1</v>
      </c>
      <c r="D176" s="272" t="s">
        <v>1410</v>
      </c>
      <c r="E176" s="348">
        <v>20.83</v>
      </c>
      <c r="F176" s="226">
        <f>rv_20</f>
        <v>0.2</v>
      </c>
      <c r="G176" s="67">
        <f t="shared" si="13"/>
        <v>16.663999999999998</v>
      </c>
      <c r="H176" s="93"/>
      <c r="I176" s="224"/>
      <c r="J176" s="288" t="s">
        <v>1099</v>
      </c>
      <c r="K176" s="89" t="s">
        <v>433</v>
      </c>
      <c r="L176" s="114" t="s">
        <v>1047</v>
      </c>
      <c r="M176" s="241" t="s">
        <v>1408</v>
      </c>
      <c r="N176" s="248" t="s">
        <v>1409</v>
      </c>
      <c r="O176" s="249">
        <v>1</v>
      </c>
      <c r="P176" s="272" t="s">
        <v>1410</v>
      </c>
      <c r="Q176" s="348">
        <v>20.83</v>
      </c>
      <c r="R176" s="226">
        <v>0.2</v>
      </c>
      <c r="S176" s="67">
        <v>16.663999999999998</v>
      </c>
      <c r="T176" s="93"/>
      <c r="U176" s="224"/>
      <c r="V176" s="288" t="s">
        <v>1099</v>
      </c>
      <c r="W176" s="89" t="s">
        <v>433</v>
      </c>
      <c r="X176" s="114" t="s">
        <v>1047</v>
      </c>
    </row>
    <row r="177" spans="1:24" s="1" customFormat="1" ht="24.95" customHeight="1" thickBot="1">
      <c r="A177" s="680" t="s">
        <v>1412</v>
      </c>
      <c r="B177" s="458" t="s">
        <v>1413</v>
      </c>
      <c r="C177" s="459"/>
      <c r="D177" s="459"/>
      <c r="E177" s="460"/>
      <c r="F177" s="461"/>
      <c r="G177" s="460"/>
      <c r="H177" s="460"/>
      <c r="I177" s="460"/>
      <c r="J177" s="635"/>
      <c r="K177" s="462"/>
      <c r="L177" s="463"/>
      <c r="M177" s="474" t="s">
        <v>1412</v>
      </c>
      <c r="N177" s="458" t="s">
        <v>1413</v>
      </c>
      <c r="O177" s="459"/>
      <c r="P177" s="459"/>
      <c r="Q177" s="460"/>
      <c r="R177" s="461"/>
      <c r="S177" s="460"/>
      <c r="T177" s="460"/>
      <c r="U177" s="460"/>
      <c r="V177" s="635"/>
      <c r="W177" s="462"/>
      <c r="X177" s="463"/>
    </row>
    <row r="178" spans="1:24" s="1" customFormat="1">
      <c r="A178" s="263" t="s">
        <v>1414</v>
      </c>
      <c r="B178" s="248" t="s">
        <v>1415</v>
      </c>
      <c r="C178" s="249">
        <v>1</v>
      </c>
      <c r="D178" s="272" t="s">
        <v>118</v>
      </c>
      <c r="E178" s="349">
        <v>20.81</v>
      </c>
      <c r="F178" s="226">
        <f>rv_apple_acc_ipad</f>
        <v>0.15</v>
      </c>
      <c r="G178" s="99">
        <f t="shared" ref="G178:G205" si="15">E178-(E178*F178)</f>
        <v>17.688499999999998</v>
      </c>
      <c r="H178" s="93"/>
      <c r="I178" s="224">
        <v>0.02</v>
      </c>
      <c r="J178" s="288" t="s">
        <v>1099</v>
      </c>
      <c r="K178" s="89" t="s">
        <v>433</v>
      </c>
      <c r="L178" s="114" t="s">
        <v>1047</v>
      </c>
      <c r="M178" s="241" t="s">
        <v>1414</v>
      </c>
      <c r="N178" s="248" t="s">
        <v>1415</v>
      </c>
      <c r="O178" s="249">
        <v>1</v>
      </c>
      <c r="P178" s="272" t="s">
        <v>118</v>
      </c>
      <c r="Q178" s="349">
        <v>20.81</v>
      </c>
      <c r="R178" s="226">
        <v>0.15</v>
      </c>
      <c r="S178" s="99">
        <v>17.688499999999998</v>
      </c>
      <c r="T178" s="93"/>
      <c r="U178" s="224">
        <v>0.02</v>
      </c>
      <c r="V178" s="288" t="s">
        <v>1099</v>
      </c>
      <c r="W178" s="89" t="s">
        <v>433</v>
      </c>
      <c r="X178" s="114" t="s">
        <v>1047</v>
      </c>
    </row>
    <row r="179" spans="1:24" s="1" customFormat="1">
      <c r="A179" s="263" t="s">
        <v>1416</v>
      </c>
      <c r="B179" s="248" t="s">
        <v>1417</v>
      </c>
      <c r="C179" s="249">
        <v>1</v>
      </c>
      <c r="D179" s="272" t="s">
        <v>118</v>
      </c>
      <c r="E179" s="349">
        <v>20.81</v>
      </c>
      <c r="F179" s="226">
        <f>rv_apple_acc_ipad</f>
        <v>0.15</v>
      </c>
      <c r="G179" s="99">
        <f t="shared" si="15"/>
        <v>17.688499999999998</v>
      </c>
      <c r="H179" s="93"/>
      <c r="I179" s="224">
        <v>0.02</v>
      </c>
      <c r="J179" s="288" t="s">
        <v>1099</v>
      </c>
      <c r="K179" s="89" t="s">
        <v>433</v>
      </c>
      <c r="L179" s="114" t="s">
        <v>1047</v>
      </c>
      <c r="M179" s="241" t="s">
        <v>1416</v>
      </c>
      <c r="N179" s="248" t="s">
        <v>1417</v>
      </c>
      <c r="O179" s="249">
        <v>1</v>
      </c>
      <c r="P179" s="272" t="s">
        <v>118</v>
      </c>
      <c r="Q179" s="349">
        <v>20.81</v>
      </c>
      <c r="R179" s="226">
        <v>0.15</v>
      </c>
      <c r="S179" s="99">
        <v>17.688499999999998</v>
      </c>
      <c r="T179" s="93"/>
      <c r="U179" s="224">
        <v>0.02</v>
      </c>
      <c r="V179" s="288" t="s">
        <v>1099</v>
      </c>
      <c r="W179" s="89" t="s">
        <v>433</v>
      </c>
      <c r="X179" s="114" t="s">
        <v>1047</v>
      </c>
    </row>
    <row r="180" spans="1:24" s="1" customFormat="1">
      <c r="A180" s="263" t="s">
        <v>1418</v>
      </c>
      <c r="B180" s="248" t="s">
        <v>1419</v>
      </c>
      <c r="C180" s="249">
        <v>1</v>
      </c>
      <c r="D180" s="272" t="s">
        <v>118</v>
      </c>
      <c r="E180" s="349">
        <v>37.479999999999997</v>
      </c>
      <c r="F180" s="252">
        <f t="shared" ref="F180:F238" si="16">rv_apple_acc_mac</f>
        <v>0.09</v>
      </c>
      <c r="G180" s="99">
        <f t="shared" si="15"/>
        <v>34.1068</v>
      </c>
      <c r="H180" s="93"/>
      <c r="I180" s="224">
        <v>0.02</v>
      </c>
      <c r="J180" s="288" t="s">
        <v>1099</v>
      </c>
      <c r="K180" s="89" t="s">
        <v>433</v>
      </c>
      <c r="L180" s="114" t="s">
        <v>1047</v>
      </c>
      <c r="M180" s="241" t="s">
        <v>1418</v>
      </c>
      <c r="N180" s="248" t="s">
        <v>1419</v>
      </c>
      <c r="O180" s="249">
        <v>1</v>
      </c>
      <c r="P180" s="272" t="s">
        <v>118</v>
      </c>
      <c r="Q180" s="349">
        <v>37.479999999999997</v>
      </c>
      <c r="R180" s="252">
        <v>0.09</v>
      </c>
      <c r="S180" s="99">
        <v>34.1068</v>
      </c>
      <c r="T180" s="93"/>
      <c r="U180" s="224">
        <v>0.02</v>
      </c>
      <c r="V180" s="288" t="s">
        <v>1099</v>
      </c>
      <c r="W180" s="89" t="s">
        <v>433</v>
      </c>
      <c r="X180" s="114" t="s">
        <v>1047</v>
      </c>
    </row>
    <row r="181" spans="1:24" s="1" customFormat="1">
      <c r="A181" s="263" t="s">
        <v>1420</v>
      </c>
      <c r="B181" s="248" t="s">
        <v>1421</v>
      </c>
      <c r="C181" s="249">
        <v>1</v>
      </c>
      <c r="D181" s="272" t="s">
        <v>118</v>
      </c>
      <c r="E181" s="349">
        <v>54.15</v>
      </c>
      <c r="F181" s="252">
        <f t="shared" si="16"/>
        <v>0.09</v>
      </c>
      <c r="G181" s="99">
        <f t="shared" si="15"/>
        <v>49.276499999999999</v>
      </c>
      <c r="H181" s="93"/>
      <c r="I181" s="224">
        <v>0.02</v>
      </c>
      <c r="J181" s="288" t="s">
        <v>1099</v>
      </c>
      <c r="K181" s="89" t="s">
        <v>433</v>
      </c>
      <c r="L181" s="114" t="s">
        <v>1047</v>
      </c>
      <c r="M181" s="241" t="s">
        <v>1420</v>
      </c>
      <c r="N181" s="248" t="s">
        <v>1421</v>
      </c>
      <c r="O181" s="249">
        <v>1</v>
      </c>
      <c r="P181" s="272" t="s">
        <v>118</v>
      </c>
      <c r="Q181" s="349">
        <v>54.15</v>
      </c>
      <c r="R181" s="252">
        <v>0.09</v>
      </c>
      <c r="S181" s="99">
        <v>49.276499999999999</v>
      </c>
      <c r="T181" s="93"/>
      <c r="U181" s="224">
        <v>0.02</v>
      </c>
      <c r="V181" s="288" t="s">
        <v>1099</v>
      </c>
      <c r="W181" s="89" t="s">
        <v>433</v>
      </c>
      <c r="X181" s="114" t="s">
        <v>1047</v>
      </c>
    </row>
    <row r="182" spans="1:24" s="1" customFormat="1">
      <c r="A182" s="263" t="s">
        <v>1422</v>
      </c>
      <c r="B182" s="248" t="s">
        <v>1423</v>
      </c>
      <c r="C182" s="249">
        <v>1</v>
      </c>
      <c r="D182" s="272" t="s">
        <v>118</v>
      </c>
      <c r="E182" s="349">
        <v>54.15</v>
      </c>
      <c r="F182" s="252">
        <f t="shared" si="16"/>
        <v>0.09</v>
      </c>
      <c r="G182" s="99">
        <f t="shared" si="15"/>
        <v>49.276499999999999</v>
      </c>
      <c r="H182" s="93"/>
      <c r="I182" s="224">
        <v>0.05</v>
      </c>
      <c r="J182" s="288" t="s">
        <v>1099</v>
      </c>
      <c r="K182" s="89" t="s">
        <v>433</v>
      </c>
      <c r="L182" s="114" t="s">
        <v>1047</v>
      </c>
      <c r="M182" s="241" t="s">
        <v>1422</v>
      </c>
      <c r="N182" s="248" t="s">
        <v>1423</v>
      </c>
      <c r="O182" s="249">
        <v>1</v>
      </c>
      <c r="P182" s="272" t="s">
        <v>118</v>
      </c>
      <c r="Q182" s="349">
        <v>54.15</v>
      </c>
      <c r="R182" s="252">
        <v>0.09</v>
      </c>
      <c r="S182" s="99">
        <v>49.276499999999999</v>
      </c>
      <c r="T182" s="93"/>
      <c r="U182" s="224">
        <v>0.05</v>
      </c>
      <c r="V182" s="288" t="s">
        <v>1099</v>
      </c>
      <c r="W182" s="89" t="s">
        <v>433</v>
      </c>
      <c r="X182" s="114" t="s">
        <v>1047</v>
      </c>
    </row>
    <row r="183" spans="1:24" s="1" customFormat="1">
      <c r="A183" s="263" t="s">
        <v>1424</v>
      </c>
      <c r="B183" s="248" t="s">
        <v>1425</v>
      </c>
      <c r="C183" s="249">
        <v>1</v>
      </c>
      <c r="D183" s="272" t="s">
        <v>118</v>
      </c>
      <c r="E183" s="349">
        <v>70.78</v>
      </c>
      <c r="F183" s="252">
        <f t="shared" si="16"/>
        <v>0.09</v>
      </c>
      <c r="G183" s="99">
        <f t="shared" si="15"/>
        <v>64.409800000000004</v>
      </c>
      <c r="H183" s="93"/>
      <c r="I183" s="224">
        <v>0.05</v>
      </c>
      <c r="J183" s="288" t="s">
        <v>1099</v>
      </c>
      <c r="K183" s="89" t="s">
        <v>433</v>
      </c>
      <c r="L183" s="114" t="s">
        <v>1047</v>
      </c>
      <c r="M183" s="241" t="s">
        <v>1424</v>
      </c>
      <c r="N183" s="248" t="s">
        <v>1425</v>
      </c>
      <c r="O183" s="249">
        <v>1</v>
      </c>
      <c r="P183" s="272" t="s">
        <v>118</v>
      </c>
      <c r="Q183" s="349">
        <v>70.78</v>
      </c>
      <c r="R183" s="252">
        <v>0.09</v>
      </c>
      <c r="S183" s="99">
        <v>64.409800000000004</v>
      </c>
      <c r="T183" s="93"/>
      <c r="U183" s="224">
        <v>0.05</v>
      </c>
      <c r="V183" s="288" t="s">
        <v>1099</v>
      </c>
      <c r="W183" s="89" t="s">
        <v>433</v>
      </c>
      <c r="X183" s="114" t="s">
        <v>1047</v>
      </c>
    </row>
    <row r="184" spans="1:24" s="1" customFormat="1">
      <c r="A184" s="263" t="s">
        <v>1426</v>
      </c>
      <c r="B184" s="248" t="s">
        <v>1427</v>
      </c>
      <c r="C184" s="249">
        <v>1</v>
      </c>
      <c r="D184" s="272" t="s">
        <v>118</v>
      </c>
      <c r="E184" s="349">
        <v>87.5</v>
      </c>
      <c r="F184" s="252">
        <f t="shared" ref="F184:F237" si="17">rv_apple_acc_mac</f>
        <v>0.09</v>
      </c>
      <c r="G184" s="99">
        <f t="shared" si="15"/>
        <v>79.625</v>
      </c>
      <c r="H184" s="93"/>
      <c r="I184" s="224">
        <v>0.05</v>
      </c>
      <c r="J184" s="288" t="s">
        <v>1099</v>
      </c>
      <c r="K184" s="89" t="s">
        <v>433</v>
      </c>
      <c r="L184" s="114" t="s">
        <v>1047</v>
      </c>
      <c r="M184" s="241" t="s">
        <v>1426</v>
      </c>
      <c r="N184" s="248" t="s">
        <v>1427</v>
      </c>
      <c r="O184" s="249">
        <v>1</v>
      </c>
      <c r="P184" s="272" t="s">
        <v>118</v>
      </c>
      <c r="Q184" s="349">
        <v>87.5</v>
      </c>
      <c r="R184" s="252">
        <v>0.09</v>
      </c>
      <c r="S184" s="99">
        <v>79.625</v>
      </c>
      <c r="T184" s="93"/>
      <c r="U184" s="224">
        <v>0.05</v>
      </c>
      <c r="V184" s="288" t="s">
        <v>1099</v>
      </c>
      <c r="W184" s="89" t="s">
        <v>433</v>
      </c>
      <c r="X184" s="114" t="s">
        <v>1047</v>
      </c>
    </row>
    <row r="185" spans="1:24" s="1" customFormat="1">
      <c r="A185" s="263" t="s">
        <v>1428</v>
      </c>
      <c r="B185" s="248" t="s">
        <v>1429</v>
      </c>
      <c r="C185" s="249">
        <v>1</v>
      </c>
      <c r="D185" s="272" t="s">
        <v>118</v>
      </c>
      <c r="E185" s="349">
        <v>70.73</v>
      </c>
      <c r="F185" s="252">
        <f t="shared" si="17"/>
        <v>0.09</v>
      </c>
      <c r="G185" s="99">
        <f t="shared" si="15"/>
        <v>64.3643</v>
      </c>
      <c r="H185" s="93"/>
      <c r="I185" s="224">
        <v>0.1</v>
      </c>
      <c r="J185" s="288" t="s">
        <v>1099</v>
      </c>
      <c r="K185" s="89" t="s">
        <v>433</v>
      </c>
      <c r="L185" s="114" t="s">
        <v>1047</v>
      </c>
      <c r="M185" s="241" t="s">
        <v>1428</v>
      </c>
      <c r="N185" s="248" t="s">
        <v>1429</v>
      </c>
      <c r="O185" s="249">
        <v>1</v>
      </c>
      <c r="P185" s="272" t="s">
        <v>118</v>
      </c>
      <c r="Q185" s="349">
        <v>70.73</v>
      </c>
      <c r="R185" s="252">
        <v>0.09</v>
      </c>
      <c r="S185" s="99">
        <v>64.3643</v>
      </c>
      <c r="T185" s="93"/>
      <c r="U185" s="224">
        <v>0.1</v>
      </c>
      <c r="V185" s="288" t="s">
        <v>1099</v>
      </c>
      <c r="W185" s="89" t="s">
        <v>433</v>
      </c>
      <c r="X185" s="114" t="s">
        <v>1047</v>
      </c>
    </row>
    <row r="186" spans="1:24" s="1" customFormat="1">
      <c r="A186" s="263" t="s">
        <v>1430</v>
      </c>
      <c r="B186" s="248" t="s">
        <v>1431</v>
      </c>
      <c r="C186" s="249">
        <v>1</v>
      </c>
      <c r="D186" s="272" t="s">
        <v>118</v>
      </c>
      <c r="E186" s="349">
        <v>70.73</v>
      </c>
      <c r="F186" s="252">
        <f t="shared" si="17"/>
        <v>0.09</v>
      </c>
      <c r="G186" s="99">
        <f t="shared" si="15"/>
        <v>64.3643</v>
      </c>
      <c r="H186" s="93"/>
      <c r="I186" s="224">
        <v>0.1</v>
      </c>
      <c r="J186" s="288" t="s">
        <v>1099</v>
      </c>
      <c r="K186" s="89" t="s">
        <v>433</v>
      </c>
      <c r="L186" s="114" t="s">
        <v>1047</v>
      </c>
      <c r="M186" s="241" t="s">
        <v>1430</v>
      </c>
      <c r="N186" s="248" t="s">
        <v>1431</v>
      </c>
      <c r="O186" s="249">
        <v>1</v>
      </c>
      <c r="P186" s="272" t="s">
        <v>118</v>
      </c>
      <c r="Q186" s="349">
        <v>70.73</v>
      </c>
      <c r="R186" s="252">
        <v>0.09</v>
      </c>
      <c r="S186" s="99">
        <v>64.3643</v>
      </c>
      <c r="T186" s="93"/>
      <c r="U186" s="224">
        <v>0.1</v>
      </c>
      <c r="V186" s="288" t="s">
        <v>1099</v>
      </c>
      <c r="W186" s="89" t="s">
        <v>433</v>
      </c>
      <c r="X186" s="114" t="s">
        <v>1047</v>
      </c>
    </row>
    <row r="187" spans="1:24" s="1" customFormat="1">
      <c r="A187" s="263" t="s">
        <v>1432</v>
      </c>
      <c r="B187" s="248" t="s">
        <v>1433</v>
      </c>
      <c r="C187" s="249">
        <v>1</v>
      </c>
      <c r="D187" s="272" t="s">
        <v>118</v>
      </c>
      <c r="E187" s="349">
        <v>70.73</v>
      </c>
      <c r="F187" s="252">
        <f t="shared" si="17"/>
        <v>0.09</v>
      </c>
      <c r="G187" s="99">
        <f t="shared" si="15"/>
        <v>64.3643</v>
      </c>
      <c r="H187" s="93"/>
      <c r="I187" s="224">
        <v>0.1</v>
      </c>
      <c r="J187" s="288" t="s">
        <v>1099</v>
      </c>
      <c r="K187" s="89" t="s">
        <v>433</v>
      </c>
      <c r="L187" s="114" t="s">
        <v>1047</v>
      </c>
      <c r="M187" s="241" t="s">
        <v>1432</v>
      </c>
      <c r="N187" s="248" t="s">
        <v>1433</v>
      </c>
      <c r="O187" s="249">
        <v>1</v>
      </c>
      <c r="P187" s="272" t="s">
        <v>118</v>
      </c>
      <c r="Q187" s="349">
        <v>70.73</v>
      </c>
      <c r="R187" s="252">
        <v>0.09</v>
      </c>
      <c r="S187" s="99">
        <v>64.3643</v>
      </c>
      <c r="T187" s="93"/>
      <c r="U187" s="224">
        <v>0.1</v>
      </c>
      <c r="V187" s="288" t="s">
        <v>1099</v>
      </c>
      <c r="W187" s="89" t="s">
        <v>433</v>
      </c>
      <c r="X187" s="114" t="s">
        <v>1047</v>
      </c>
    </row>
    <row r="188" spans="1:24" s="1" customFormat="1">
      <c r="A188" s="263" t="s">
        <v>1434</v>
      </c>
      <c r="B188" s="248" t="s">
        <v>1435</v>
      </c>
      <c r="C188" s="249">
        <v>1</v>
      </c>
      <c r="D188" s="272" t="s">
        <v>118</v>
      </c>
      <c r="E188" s="349">
        <v>70.81</v>
      </c>
      <c r="F188" s="252">
        <f t="shared" si="17"/>
        <v>0.09</v>
      </c>
      <c r="G188" s="99">
        <f t="shared" si="15"/>
        <v>64.437100000000001</v>
      </c>
      <c r="H188" s="93"/>
      <c r="I188" s="224">
        <v>0.05</v>
      </c>
      <c r="J188" s="288" t="s">
        <v>1099</v>
      </c>
      <c r="K188" s="89" t="s">
        <v>433</v>
      </c>
      <c r="L188" s="114" t="s">
        <v>1047</v>
      </c>
      <c r="M188" s="241" t="s">
        <v>1434</v>
      </c>
      <c r="N188" s="248" t="s">
        <v>1435</v>
      </c>
      <c r="O188" s="249">
        <v>1</v>
      </c>
      <c r="P188" s="272" t="s">
        <v>118</v>
      </c>
      <c r="Q188" s="349">
        <v>70.81</v>
      </c>
      <c r="R188" s="252">
        <v>0.09</v>
      </c>
      <c r="S188" s="99">
        <v>64.437100000000001</v>
      </c>
      <c r="T188" s="93"/>
      <c r="U188" s="224">
        <v>0.05</v>
      </c>
      <c r="V188" s="288" t="s">
        <v>1099</v>
      </c>
      <c r="W188" s="89" t="s">
        <v>433</v>
      </c>
      <c r="X188" s="114" t="s">
        <v>1047</v>
      </c>
    </row>
    <row r="189" spans="1:24" s="1" customFormat="1">
      <c r="A189" s="263" t="s">
        <v>1436</v>
      </c>
      <c r="B189" s="248" t="s">
        <v>1437</v>
      </c>
      <c r="C189" s="249">
        <v>1</v>
      </c>
      <c r="D189" s="272" t="s">
        <v>118</v>
      </c>
      <c r="E189" s="349">
        <v>70.78</v>
      </c>
      <c r="F189" s="252">
        <f t="shared" si="17"/>
        <v>0.09</v>
      </c>
      <c r="G189" s="99">
        <f t="shared" si="15"/>
        <v>64.409800000000004</v>
      </c>
      <c r="H189" s="93"/>
      <c r="I189" s="224">
        <v>0.05</v>
      </c>
      <c r="J189" s="288" t="s">
        <v>1099</v>
      </c>
      <c r="K189" s="89" t="s">
        <v>433</v>
      </c>
      <c r="L189" s="114" t="s">
        <v>1047</v>
      </c>
      <c r="M189" s="241" t="s">
        <v>1436</v>
      </c>
      <c r="N189" s="248" t="s">
        <v>1437</v>
      </c>
      <c r="O189" s="249">
        <v>1</v>
      </c>
      <c r="P189" s="272" t="s">
        <v>118</v>
      </c>
      <c r="Q189" s="349">
        <v>70.78</v>
      </c>
      <c r="R189" s="252">
        <v>0.09</v>
      </c>
      <c r="S189" s="99">
        <v>64.409800000000004</v>
      </c>
      <c r="T189" s="93"/>
      <c r="U189" s="224">
        <v>0.05</v>
      </c>
      <c r="V189" s="288" t="s">
        <v>1099</v>
      </c>
      <c r="W189" s="89" t="s">
        <v>433</v>
      </c>
      <c r="X189" s="114" t="s">
        <v>1047</v>
      </c>
    </row>
    <row r="190" spans="1:24" s="1" customFormat="1">
      <c r="A190" s="263" t="s">
        <v>1438</v>
      </c>
      <c r="B190" s="248" t="s">
        <v>1439</v>
      </c>
      <c r="C190" s="249">
        <v>1</v>
      </c>
      <c r="D190" s="272" t="s">
        <v>118</v>
      </c>
      <c r="E190" s="349">
        <v>70.78</v>
      </c>
      <c r="F190" s="252">
        <f t="shared" si="17"/>
        <v>0.09</v>
      </c>
      <c r="G190" s="99">
        <f t="shared" si="15"/>
        <v>64.409800000000004</v>
      </c>
      <c r="H190" s="93"/>
      <c r="I190" s="224">
        <v>0.05</v>
      </c>
      <c r="J190" s="288" t="s">
        <v>1099</v>
      </c>
      <c r="K190" s="89" t="s">
        <v>433</v>
      </c>
      <c r="L190" s="114" t="s">
        <v>1047</v>
      </c>
      <c r="M190" s="241" t="s">
        <v>1438</v>
      </c>
      <c r="N190" s="248" t="s">
        <v>1439</v>
      </c>
      <c r="O190" s="249">
        <v>1</v>
      </c>
      <c r="P190" s="272" t="s">
        <v>118</v>
      </c>
      <c r="Q190" s="349">
        <v>70.78</v>
      </c>
      <c r="R190" s="252">
        <v>0.09</v>
      </c>
      <c r="S190" s="99">
        <v>64.409800000000004</v>
      </c>
      <c r="T190" s="93"/>
      <c r="U190" s="224">
        <v>0.05</v>
      </c>
      <c r="V190" s="288" t="s">
        <v>1099</v>
      </c>
      <c r="W190" s="89" t="s">
        <v>433</v>
      </c>
      <c r="X190" s="114" t="s">
        <v>1047</v>
      </c>
    </row>
    <row r="191" spans="1:24" s="1" customFormat="1">
      <c r="A191" s="263" t="s">
        <v>1440</v>
      </c>
      <c r="B191" s="248" t="s">
        <v>1441</v>
      </c>
      <c r="C191" s="249">
        <v>1</v>
      </c>
      <c r="D191" s="272" t="s">
        <v>1442</v>
      </c>
      <c r="E191" s="349">
        <v>39.99</v>
      </c>
      <c r="F191" s="226">
        <f t="shared" ref="F191:F497" si="18">rv_20</f>
        <v>0.2</v>
      </c>
      <c r="G191" s="99">
        <f t="shared" si="15"/>
        <v>31.992000000000001</v>
      </c>
      <c r="H191" s="93"/>
      <c r="I191" s="224">
        <v>0.02</v>
      </c>
      <c r="J191" s="288" t="s">
        <v>1099</v>
      </c>
      <c r="K191" s="89" t="s">
        <v>433</v>
      </c>
      <c r="L191" s="114" t="s">
        <v>1047</v>
      </c>
      <c r="M191" s="241" t="s">
        <v>1440</v>
      </c>
      <c r="N191" s="248" t="s">
        <v>1441</v>
      </c>
      <c r="O191" s="249">
        <v>1</v>
      </c>
      <c r="P191" s="272" t="s">
        <v>1442</v>
      </c>
      <c r="Q191" s="349">
        <v>39.99</v>
      </c>
      <c r="R191" s="226">
        <v>0.2</v>
      </c>
      <c r="S191" s="99">
        <v>31.992000000000001</v>
      </c>
      <c r="T191" s="93"/>
      <c r="U191" s="224">
        <v>0.02</v>
      </c>
      <c r="V191" s="288" t="s">
        <v>1099</v>
      </c>
      <c r="W191" s="89" t="s">
        <v>433</v>
      </c>
      <c r="X191" s="114" t="s">
        <v>1047</v>
      </c>
    </row>
    <row r="192" spans="1:24" s="1" customFormat="1">
      <c r="A192" s="263" t="s">
        <v>1443</v>
      </c>
      <c r="B192" s="248" t="s">
        <v>1444</v>
      </c>
      <c r="C192" s="249">
        <v>1</v>
      </c>
      <c r="D192" s="272" t="s">
        <v>1442</v>
      </c>
      <c r="E192" s="349">
        <v>39.99</v>
      </c>
      <c r="F192" s="226">
        <f t="shared" si="18"/>
        <v>0.2</v>
      </c>
      <c r="G192" s="99">
        <f t="shared" si="15"/>
        <v>31.992000000000001</v>
      </c>
      <c r="H192" s="93"/>
      <c r="I192" s="224">
        <v>0.02</v>
      </c>
      <c r="J192" s="288" t="s">
        <v>1099</v>
      </c>
      <c r="K192" s="89" t="s">
        <v>433</v>
      </c>
      <c r="L192" s="114" t="s">
        <v>1047</v>
      </c>
      <c r="M192" s="241" t="s">
        <v>1443</v>
      </c>
      <c r="N192" s="248" t="s">
        <v>1444</v>
      </c>
      <c r="O192" s="249">
        <v>1</v>
      </c>
      <c r="P192" s="272" t="s">
        <v>1442</v>
      </c>
      <c r="Q192" s="349">
        <v>39.99</v>
      </c>
      <c r="R192" s="226">
        <v>0.2</v>
      </c>
      <c r="S192" s="99">
        <v>31.992000000000001</v>
      </c>
      <c r="T192" s="93"/>
      <c r="U192" s="224">
        <v>0.02</v>
      </c>
      <c r="V192" s="288" t="s">
        <v>1099</v>
      </c>
      <c r="W192" s="89" t="s">
        <v>433</v>
      </c>
      <c r="X192" s="114" t="s">
        <v>1047</v>
      </c>
    </row>
    <row r="193" spans="1:24" s="1" customFormat="1">
      <c r="A193" s="263" t="s">
        <v>1445</v>
      </c>
      <c r="B193" s="248" t="s">
        <v>1446</v>
      </c>
      <c r="C193" s="249">
        <v>1</v>
      </c>
      <c r="D193" s="272" t="s">
        <v>1442</v>
      </c>
      <c r="E193" s="349">
        <v>41.66</v>
      </c>
      <c r="F193" s="226">
        <f t="shared" si="18"/>
        <v>0.2</v>
      </c>
      <c r="G193" s="99">
        <f t="shared" si="15"/>
        <v>33.327999999999996</v>
      </c>
      <c r="H193" s="93"/>
      <c r="I193" s="224">
        <v>0.02</v>
      </c>
      <c r="J193" s="288" t="s">
        <v>1099</v>
      </c>
      <c r="K193" s="89" t="s">
        <v>433</v>
      </c>
      <c r="L193" s="114" t="s">
        <v>1047</v>
      </c>
      <c r="M193" s="241" t="s">
        <v>1445</v>
      </c>
      <c r="N193" s="248" t="s">
        <v>1446</v>
      </c>
      <c r="O193" s="249">
        <v>1</v>
      </c>
      <c r="P193" s="272" t="s">
        <v>1442</v>
      </c>
      <c r="Q193" s="349">
        <v>41.66</v>
      </c>
      <c r="R193" s="226">
        <v>0.2</v>
      </c>
      <c r="S193" s="99">
        <v>33.327999999999996</v>
      </c>
      <c r="T193" s="93"/>
      <c r="U193" s="224">
        <v>0.02</v>
      </c>
      <c r="V193" s="288" t="s">
        <v>1099</v>
      </c>
      <c r="W193" s="89" t="s">
        <v>433</v>
      </c>
      <c r="X193" s="114" t="s">
        <v>1047</v>
      </c>
    </row>
    <row r="194" spans="1:24" s="1" customFormat="1">
      <c r="A194" s="263" t="s">
        <v>1447</v>
      </c>
      <c r="B194" s="248" t="s">
        <v>1448</v>
      </c>
      <c r="C194" s="249">
        <v>1</v>
      </c>
      <c r="D194" s="272" t="s">
        <v>1442</v>
      </c>
      <c r="E194" s="349">
        <v>41.66</v>
      </c>
      <c r="F194" s="226">
        <f t="shared" si="18"/>
        <v>0.2</v>
      </c>
      <c r="G194" s="99">
        <f t="shared" si="15"/>
        <v>33.327999999999996</v>
      </c>
      <c r="H194" s="93"/>
      <c r="I194" s="224">
        <v>0.02</v>
      </c>
      <c r="J194" s="288" t="s">
        <v>1099</v>
      </c>
      <c r="K194" s="89" t="s">
        <v>433</v>
      </c>
      <c r="L194" s="114" t="s">
        <v>1047</v>
      </c>
      <c r="M194" s="241" t="s">
        <v>1447</v>
      </c>
      <c r="N194" s="248" t="s">
        <v>1448</v>
      </c>
      <c r="O194" s="249">
        <v>1</v>
      </c>
      <c r="P194" s="272" t="s">
        <v>1442</v>
      </c>
      <c r="Q194" s="349">
        <v>41.66</v>
      </c>
      <c r="R194" s="226">
        <v>0.2</v>
      </c>
      <c r="S194" s="99">
        <v>33.327999999999996</v>
      </c>
      <c r="T194" s="93"/>
      <c r="U194" s="224">
        <v>0.02</v>
      </c>
      <c r="V194" s="288" t="s">
        <v>1099</v>
      </c>
      <c r="W194" s="89" t="s">
        <v>433</v>
      </c>
      <c r="X194" s="114" t="s">
        <v>1047</v>
      </c>
    </row>
    <row r="195" spans="1:24" s="1" customFormat="1">
      <c r="A195" s="263" t="s">
        <v>1449</v>
      </c>
      <c r="B195" s="248" t="s">
        <v>1450</v>
      </c>
      <c r="C195" s="249">
        <v>1</v>
      </c>
      <c r="D195" s="272" t="s">
        <v>1442</v>
      </c>
      <c r="E195" s="349">
        <v>74.989999999999995</v>
      </c>
      <c r="F195" s="226">
        <f t="shared" si="18"/>
        <v>0.2</v>
      </c>
      <c r="G195" s="99">
        <f t="shared" si="15"/>
        <v>59.991999999999997</v>
      </c>
      <c r="H195" s="93"/>
      <c r="I195" s="224">
        <v>0.02</v>
      </c>
      <c r="J195" s="288" t="s">
        <v>1099</v>
      </c>
      <c r="K195" s="89" t="s">
        <v>433</v>
      </c>
      <c r="L195" s="114" t="s">
        <v>1047</v>
      </c>
      <c r="M195" s="241" t="s">
        <v>1449</v>
      </c>
      <c r="N195" s="248" t="s">
        <v>1450</v>
      </c>
      <c r="O195" s="249">
        <v>1</v>
      </c>
      <c r="P195" s="272" t="s">
        <v>1442</v>
      </c>
      <c r="Q195" s="349">
        <v>74.989999999999995</v>
      </c>
      <c r="R195" s="226">
        <v>0.2</v>
      </c>
      <c r="S195" s="99">
        <v>59.991999999999997</v>
      </c>
      <c r="T195" s="93"/>
      <c r="U195" s="224">
        <v>0.02</v>
      </c>
      <c r="V195" s="288" t="s">
        <v>1099</v>
      </c>
      <c r="W195" s="89" t="s">
        <v>433</v>
      </c>
      <c r="X195" s="114" t="s">
        <v>1047</v>
      </c>
    </row>
    <row r="196" spans="1:24" s="1" customFormat="1">
      <c r="A196" s="263" t="s">
        <v>1451</v>
      </c>
      <c r="B196" s="248" t="s">
        <v>1452</v>
      </c>
      <c r="C196" s="249">
        <v>1</v>
      </c>
      <c r="D196" s="272" t="s">
        <v>1442</v>
      </c>
      <c r="E196" s="349">
        <v>74.989999999999995</v>
      </c>
      <c r="F196" s="226">
        <f t="shared" si="18"/>
        <v>0.2</v>
      </c>
      <c r="G196" s="99">
        <f t="shared" si="15"/>
        <v>59.991999999999997</v>
      </c>
      <c r="H196" s="93"/>
      <c r="I196" s="224">
        <v>0.02</v>
      </c>
      <c r="J196" s="288" t="s">
        <v>1099</v>
      </c>
      <c r="K196" s="89" t="s">
        <v>433</v>
      </c>
      <c r="L196" s="114" t="s">
        <v>1047</v>
      </c>
      <c r="M196" s="241" t="s">
        <v>1451</v>
      </c>
      <c r="N196" s="248" t="s">
        <v>1452</v>
      </c>
      <c r="O196" s="249">
        <v>1</v>
      </c>
      <c r="P196" s="272" t="s">
        <v>1442</v>
      </c>
      <c r="Q196" s="349">
        <v>74.989999999999995</v>
      </c>
      <c r="R196" s="226">
        <v>0.2</v>
      </c>
      <c r="S196" s="99">
        <v>59.991999999999997</v>
      </c>
      <c r="T196" s="93"/>
      <c r="U196" s="224">
        <v>0.02</v>
      </c>
      <c r="V196" s="288" t="s">
        <v>1099</v>
      </c>
      <c r="W196" s="89" t="s">
        <v>433</v>
      </c>
      <c r="X196" s="114" t="s">
        <v>1047</v>
      </c>
    </row>
    <row r="197" spans="1:24" s="1" customFormat="1">
      <c r="A197" s="263" t="s">
        <v>1453</v>
      </c>
      <c r="B197" s="248" t="s">
        <v>1454</v>
      </c>
      <c r="C197" s="249">
        <v>1</v>
      </c>
      <c r="D197" s="272" t="s">
        <v>1357</v>
      </c>
      <c r="E197" s="349">
        <v>66.66</v>
      </c>
      <c r="F197" s="226">
        <f>rv_20</f>
        <v>0.2</v>
      </c>
      <c r="G197" s="99">
        <f t="shared" si="15"/>
        <v>53.327999999999996</v>
      </c>
      <c r="H197" s="93"/>
      <c r="I197" s="224">
        <v>0.02</v>
      </c>
      <c r="J197" s="288" t="s">
        <v>1099</v>
      </c>
      <c r="K197" s="89" t="s">
        <v>433</v>
      </c>
      <c r="L197" s="114" t="s">
        <v>1047</v>
      </c>
      <c r="M197" s="241" t="s">
        <v>1453</v>
      </c>
      <c r="N197" s="248" t="s">
        <v>1454</v>
      </c>
      <c r="O197" s="249">
        <v>1</v>
      </c>
      <c r="P197" s="272" t="s">
        <v>1357</v>
      </c>
      <c r="Q197" s="349">
        <v>66.66</v>
      </c>
      <c r="R197" s="226">
        <v>0.2</v>
      </c>
      <c r="S197" s="99">
        <v>53.327999999999996</v>
      </c>
      <c r="T197" s="93"/>
      <c r="U197" s="224">
        <v>0.02</v>
      </c>
      <c r="V197" s="288" t="s">
        <v>1099</v>
      </c>
      <c r="W197" s="89" t="s">
        <v>433</v>
      </c>
      <c r="X197" s="114" t="s">
        <v>1047</v>
      </c>
    </row>
    <row r="198" spans="1:24" s="1" customFormat="1">
      <c r="A198" s="263" t="s">
        <v>1455</v>
      </c>
      <c r="B198" s="248" t="s">
        <v>1456</v>
      </c>
      <c r="C198" s="249">
        <v>1</v>
      </c>
      <c r="D198" s="272" t="s">
        <v>1357</v>
      </c>
      <c r="E198" s="349">
        <v>108.33</v>
      </c>
      <c r="F198" s="226">
        <f>rv_20</f>
        <v>0.2</v>
      </c>
      <c r="G198" s="99">
        <f t="shared" si="15"/>
        <v>86.664000000000001</v>
      </c>
      <c r="H198" s="93"/>
      <c r="I198" s="224">
        <v>0.02</v>
      </c>
      <c r="J198" s="288" t="s">
        <v>1099</v>
      </c>
      <c r="K198" s="89" t="s">
        <v>433</v>
      </c>
      <c r="L198" s="114" t="s">
        <v>1047</v>
      </c>
      <c r="M198" s="241" t="s">
        <v>1455</v>
      </c>
      <c r="N198" s="248" t="s">
        <v>1456</v>
      </c>
      <c r="O198" s="249">
        <v>1</v>
      </c>
      <c r="P198" s="272" t="s">
        <v>1357</v>
      </c>
      <c r="Q198" s="349">
        <v>108.33</v>
      </c>
      <c r="R198" s="226">
        <v>0.2</v>
      </c>
      <c r="S198" s="99">
        <v>86.664000000000001</v>
      </c>
      <c r="T198" s="93"/>
      <c r="U198" s="224">
        <v>0.02</v>
      </c>
      <c r="V198" s="288" t="s">
        <v>1099</v>
      </c>
      <c r="W198" s="89" t="s">
        <v>433</v>
      </c>
      <c r="X198" s="114" t="s">
        <v>1047</v>
      </c>
    </row>
    <row r="199" spans="1:24" s="1" customFormat="1">
      <c r="A199" s="263" t="s">
        <v>1457</v>
      </c>
      <c r="B199" s="248" t="s">
        <v>1458</v>
      </c>
      <c r="C199" s="249">
        <v>1</v>
      </c>
      <c r="D199" s="272" t="s">
        <v>1459</v>
      </c>
      <c r="E199" s="348">
        <v>22.32</v>
      </c>
      <c r="F199" s="226">
        <f t="shared" ref="F199:F552" si="19">rv_20</f>
        <v>0.2</v>
      </c>
      <c r="G199" s="67">
        <f t="shared" si="15"/>
        <v>17.856000000000002</v>
      </c>
      <c r="H199" s="93"/>
      <c r="I199" s="224">
        <v>0.02</v>
      </c>
      <c r="J199" s="288" t="s">
        <v>1099</v>
      </c>
      <c r="K199" s="89" t="s">
        <v>433</v>
      </c>
      <c r="L199" s="114" t="s">
        <v>1047</v>
      </c>
      <c r="M199" s="241" t="s">
        <v>1457</v>
      </c>
      <c r="N199" s="248" t="s">
        <v>1458</v>
      </c>
      <c r="O199" s="249">
        <v>1</v>
      </c>
      <c r="P199" s="272" t="s">
        <v>1459</v>
      </c>
      <c r="Q199" s="348">
        <v>22.32</v>
      </c>
      <c r="R199" s="226">
        <v>0.2</v>
      </c>
      <c r="S199" s="67">
        <v>17.856000000000002</v>
      </c>
      <c r="T199" s="93"/>
      <c r="U199" s="224">
        <v>0.02</v>
      </c>
      <c r="V199" s="288" t="s">
        <v>1099</v>
      </c>
      <c r="W199" s="89" t="s">
        <v>433</v>
      </c>
      <c r="X199" s="114" t="s">
        <v>1047</v>
      </c>
    </row>
    <row r="200" spans="1:24" s="1" customFormat="1">
      <c r="A200" s="263" t="s">
        <v>1460</v>
      </c>
      <c r="B200" s="248" t="s">
        <v>1461</v>
      </c>
      <c r="C200" s="249">
        <v>1</v>
      </c>
      <c r="D200" s="272" t="s">
        <v>1459</v>
      </c>
      <c r="E200" s="348">
        <v>29.16</v>
      </c>
      <c r="F200" s="226">
        <f t="shared" si="19"/>
        <v>0.2</v>
      </c>
      <c r="G200" s="67">
        <f t="shared" si="15"/>
        <v>23.327999999999999</v>
      </c>
      <c r="H200" s="93"/>
      <c r="I200" s="224">
        <v>0.02</v>
      </c>
      <c r="J200" s="288" t="s">
        <v>1099</v>
      </c>
      <c r="K200" s="89" t="s">
        <v>433</v>
      </c>
      <c r="L200" s="114" t="s">
        <v>1047</v>
      </c>
      <c r="M200" s="241" t="s">
        <v>1460</v>
      </c>
      <c r="N200" s="248" t="s">
        <v>1461</v>
      </c>
      <c r="O200" s="249">
        <v>1</v>
      </c>
      <c r="P200" s="272" t="s">
        <v>1459</v>
      </c>
      <c r="Q200" s="348">
        <v>29.16</v>
      </c>
      <c r="R200" s="226">
        <v>0.2</v>
      </c>
      <c r="S200" s="67">
        <v>23.327999999999999</v>
      </c>
      <c r="T200" s="93"/>
      <c r="U200" s="224">
        <v>0.02</v>
      </c>
      <c r="V200" s="288" t="s">
        <v>1099</v>
      </c>
      <c r="W200" s="89" t="s">
        <v>433</v>
      </c>
      <c r="X200" s="114" t="s">
        <v>1047</v>
      </c>
    </row>
    <row r="201" spans="1:24" s="1" customFormat="1">
      <c r="A201" s="263" t="s">
        <v>1462</v>
      </c>
      <c r="B201" s="248" t="s">
        <v>1463</v>
      </c>
      <c r="C201" s="249">
        <v>1</v>
      </c>
      <c r="D201" s="272" t="s">
        <v>1459</v>
      </c>
      <c r="E201" s="348">
        <v>29.75</v>
      </c>
      <c r="F201" s="226">
        <f t="shared" si="19"/>
        <v>0.2</v>
      </c>
      <c r="G201" s="67">
        <f t="shared" si="15"/>
        <v>23.8</v>
      </c>
      <c r="H201" s="93"/>
      <c r="I201" s="224">
        <v>0.02</v>
      </c>
      <c r="J201" s="288" t="s">
        <v>1099</v>
      </c>
      <c r="K201" s="89" t="s">
        <v>433</v>
      </c>
      <c r="L201" s="114" t="s">
        <v>1047</v>
      </c>
      <c r="M201" s="241" t="s">
        <v>1462</v>
      </c>
      <c r="N201" s="248" t="s">
        <v>1463</v>
      </c>
      <c r="O201" s="249">
        <v>1</v>
      </c>
      <c r="P201" s="272" t="s">
        <v>1459</v>
      </c>
      <c r="Q201" s="348">
        <v>29.75</v>
      </c>
      <c r="R201" s="226">
        <v>0.2</v>
      </c>
      <c r="S201" s="67">
        <v>23.8</v>
      </c>
      <c r="T201" s="93"/>
      <c r="U201" s="224">
        <v>0.02</v>
      </c>
      <c r="V201" s="288" t="s">
        <v>1099</v>
      </c>
      <c r="W201" s="89" t="s">
        <v>433</v>
      </c>
      <c r="X201" s="114" t="s">
        <v>1047</v>
      </c>
    </row>
    <row r="202" spans="1:24" s="1" customFormat="1">
      <c r="A202" s="263" t="s">
        <v>1464</v>
      </c>
      <c r="B202" s="248" t="s">
        <v>1465</v>
      </c>
      <c r="C202" s="249">
        <v>1</v>
      </c>
      <c r="D202" s="272" t="s">
        <v>1466</v>
      </c>
      <c r="E202" s="348">
        <v>41.66</v>
      </c>
      <c r="F202" s="226">
        <f t="shared" si="19"/>
        <v>0.2</v>
      </c>
      <c r="G202" s="67">
        <f t="shared" si="15"/>
        <v>33.327999999999996</v>
      </c>
      <c r="H202" s="93"/>
      <c r="I202" s="224">
        <v>0.02</v>
      </c>
      <c r="J202" s="288" t="s">
        <v>1099</v>
      </c>
      <c r="K202" s="89" t="s">
        <v>433</v>
      </c>
      <c r="L202" s="114" t="s">
        <v>1047</v>
      </c>
      <c r="M202" s="241" t="s">
        <v>1464</v>
      </c>
      <c r="N202" s="248" t="s">
        <v>1465</v>
      </c>
      <c r="O202" s="249">
        <v>1</v>
      </c>
      <c r="P202" s="272" t="s">
        <v>1466</v>
      </c>
      <c r="Q202" s="348">
        <v>41.66</v>
      </c>
      <c r="R202" s="226">
        <v>0.2</v>
      </c>
      <c r="S202" s="67">
        <v>33.327999999999996</v>
      </c>
      <c r="T202" s="93"/>
      <c r="U202" s="224">
        <v>0.02</v>
      </c>
      <c r="V202" s="288" t="s">
        <v>1099</v>
      </c>
      <c r="W202" s="89" t="s">
        <v>433</v>
      </c>
      <c r="X202" s="114" t="s">
        <v>1047</v>
      </c>
    </row>
    <row r="203" spans="1:24" s="1" customFormat="1">
      <c r="A203" s="263" t="s">
        <v>1467</v>
      </c>
      <c r="B203" s="248" t="s">
        <v>1468</v>
      </c>
      <c r="C203" s="249">
        <v>1</v>
      </c>
      <c r="D203" s="272" t="s">
        <v>1466</v>
      </c>
      <c r="E203" s="348">
        <v>91.66</v>
      </c>
      <c r="F203" s="226">
        <f t="shared" si="19"/>
        <v>0.2</v>
      </c>
      <c r="G203" s="67">
        <f t="shared" si="15"/>
        <v>73.328000000000003</v>
      </c>
      <c r="H203" s="93"/>
      <c r="I203" s="224">
        <v>0.02</v>
      </c>
      <c r="J203" s="288" t="s">
        <v>1099</v>
      </c>
      <c r="K203" s="89" t="s">
        <v>433</v>
      </c>
      <c r="L203" s="114" t="s">
        <v>1047</v>
      </c>
      <c r="M203" s="241" t="s">
        <v>1467</v>
      </c>
      <c r="N203" s="248" t="s">
        <v>1468</v>
      </c>
      <c r="O203" s="249">
        <v>1</v>
      </c>
      <c r="P203" s="272" t="s">
        <v>1466</v>
      </c>
      <c r="Q203" s="348">
        <v>91.66</v>
      </c>
      <c r="R203" s="226">
        <v>0.2</v>
      </c>
      <c r="S203" s="67">
        <v>73.328000000000003</v>
      </c>
      <c r="T203" s="93"/>
      <c r="U203" s="224">
        <v>0.02</v>
      </c>
      <c r="V203" s="288" t="s">
        <v>1099</v>
      </c>
      <c r="W203" s="89" t="s">
        <v>433</v>
      </c>
      <c r="X203" s="114" t="s">
        <v>1047</v>
      </c>
    </row>
    <row r="204" spans="1:24" s="1" customFormat="1">
      <c r="A204" s="263" t="s">
        <v>1469</v>
      </c>
      <c r="B204" s="248" t="s">
        <v>1470</v>
      </c>
      <c r="C204" s="249">
        <v>1</v>
      </c>
      <c r="D204" s="272" t="s">
        <v>1466</v>
      </c>
      <c r="E204" s="348">
        <v>116.66</v>
      </c>
      <c r="F204" s="226">
        <f t="shared" si="19"/>
        <v>0.2</v>
      </c>
      <c r="G204" s="67">
        <f t="shared" si="15"/>
        <v>93.328000000000003</v>
      </c>
      <c r="H204" s="93"/>
      <c r="I204" s="224">
        <v>0.02</v>
      </c>
      <c r="J204" s="288" t="s">
        <v>1099</v>
      </c>
      <c r="K204" s="89" t="s">
        <v>433</v>
      </c>
      <c r="L204" s="114" t="s">
        <v>1047</v>
      </c>
      <c r="M204" s="241" t="s">
        <v>1469</v>
      </c>
      <c r="N204" s="248" t="s">
        <v>1470</v>
      </c>
      <c r="O204" s="249">
        <v>1</v>
      </c>
      <c r="P204" s="272" t="s">
        <v>1466</v>
      </c>
      <c r="Q204" s="348">
        <v>116.66</v>
      </c>
      <c r="R204" s="226">
        <v>0.2</v>
      </c>
      <c r="S204" s="67">
        <v>93.328000000000003</v>
      </c>
      <c r="T204" s="93"/>
      <c r="U204" s="224">
        <v>0.02</v>
      </c>
      <c r="V204" s="288" t="s">
        <v>1099</v>
      </c>
      <c r="W204" s="89" t="s">
        <v>433</v>
      </c>
      <c r="X204" s="114" t="s">
        <v>1047</v>
      </c>
    </row>
    <row r="205" spans="1:24" s="1" customFormat="1" ht="13.5" thickBot="1">
      <c r="A205" s="263" t="s">
        <v>1471</v>
      </c>
      <c r="B205" s="248" t="s">
        <v>1472</v>
      </c>
      <c r="C205" s="249">
        <v>1</v>
      </c>
      <c r="D205" s="272" t="s">
        <v>1466</v>
      </c>
      <c r="E205" s="348">
        <v>151.66</v>
      </c>
      <c r="F205" s="226">
        <f t="shared" si="19"/>
        <v>0.2</v>
      </c>
      <c r="G205" s="67">
        <f t="shared" si="15"/>
        <v>121.328</v>
      </c>
      <c r="H205" s="93"/>
      <c r="I205" s="224">
        <v>0.02</v>
      </c>
      <c r="J205" s="288" t="s">
        <v>1099</v>
      </c>
      <c r="K205" s="89" t="s">
        <v>433</v>
      </c>
      <c r="L205" s="114" t="s">
        <v>1047</v>
      </c>
      <c r="M205" s="241" t="s">
        <v>1471</v>
      </c>
      <c r="N205" s="248" t="s">
        <v>1472</v>
      </c>
      <c r="O205" s="249">
        <v>1</v>
      </c>
      <c r="P205" s="272" t="s">
        <v>1466</v>
      </c>
      <c r="Q205" s="348">
        <v>151.66</v>
      </c>
      <c r="R205" s="226">
        <v>0.2</v>
      </c>
      <c r="S205" s="67">
        <v>121.328</v>
      </c>
      <c r="T205" s="93"/>
      <c r="U205" s="224">
        <v>0.02</v>
      </c>
      <c r="V205" s="288" t="s">
        <v>1099</v>
      </c>
      <c r="W205" s="89" t="s">
        <v>433</v>
      </c>
      <c r="X205" s="114" t="s">
        <v>1047</v>
      </c>
    </row>
    <row r="206" spans="1:24" s="1" customFormat="1" ht="24.95" customHeight="1" thickBot="1">
      <c r="A206" s="680" t="s">
        <v>1473</v>
      </c>
      <c r="B206" s="458" t="s">
        <v>1474</v>
      </c>
      <c r="C206" s="459"/>
      <c r="D206" s="459"/>
      <c r="E206" s="460"/>
      <c r="F206" s="461"/>
      <c r="G206" s="460"/>
      <c r="H206" s="460"/>
      <c r="I206" s="460"/>
      <c r="J206" s="635"/>
      <c r="K206" s="462"/>
      <c r="L206" s="463"/>
      <c r="M206" s="474" t="s">
        <v>1473</v>
      </c>
      <c r="N206" s="458" t="s">
        <v>1474</v>
      </c>
      <c r="O206" s="459"/>
      <c r="P206" s="459"/>
      <c r="Q206" s="460"/>
      <c r="R206" s="461"/>
      <c r="S206" s="460"/>
      <c r="T206" s="460"/>
      <c r="U206" s="460"/>
      <c r="V206" s="635"/>
      <c r="W206" s="462"/>
      <c r="X206" s="463"/>
    </row>
    <row r="207" spans="1:24" s="1" customFormat="1">
      <c r="A207" s="263" t="s">
        <v>1475</v>
      </c>
      <c r="B207" s="248" t="s">
        <v>1476</v>
      </c>
      <c r="C207" s="249">
        <v>1</v>
      </c>
      <c r="D207" s="272" t="s">
        <v>118</v>
      </c>
      <c r="E207" s="349">
        <v>20.81</v>
      </c>
      <c r="F207" s="252">
        <f t="shared" si="16"/>
        <v>0.09</v>
      </c>
      <c r="G207" s="99">
        <f t="shared" ref="G207:G216" si="20">E207-(E207*F207)</f>
        <v>18.937099999999997</v>
      </c>
      <c r="H207" s="93"/>
      <c r="I207" s="224">
        <v>0.02</v>
      </c>
      <c r="J207" s="288" t="s">
        <v>1099</v>
      </c>
      <c r="K207" s="89" t="s">
        <v>433</v>
      </c>
      <c r="L207" s="114" t="s">
        <v>1047</v>
      </c>
      <c r="M207" s="241" t="s">
        <v>1475</v>
      </c>
      <c r="N207" s="248" t="s">
        <v>1477</v>
      </c>
      <c r="O207" s="249">
        <v>1</v>
      </c>
      <c r="P207" s="272" t="s">
        <v>118</v>
      </c>
      <c r="Q207" s="349">
        <v>20.81</v>
      </c>
      <c r="R207" s="252">
        <v>0.09</v>
      </c>
      <c r="S207" s="99">
        <v>18.937099999999997</v>
      </c>
      <c r="T207" s="93"/>
      <c r="U207" s="224">
        <v>0.02</v>
      </c>
      <c r="V207" s="288" t="s">
        <v>1099</v>
      </c>
      <c r="W207" s="89" t="s">
        <v>433</v>
      </c>
      <c r="X207" s="114" t="s">
        <v>1047</v>
      </c>
    </row>
    <row r="208" spans="1:24" s="1" customFormat="1">
      <c r="A208" s="263" t="s">
        <v>1478</v>
      </c>
      <c r="B208" s="248" t="s">
        <v>1479</v>
      </c>
      <c r="C208" s="249">
        <v>1</v>
      </c>
      <c r="D208" s="272" t="s">
        <v>118</v>
      </c>
      <c r="E208" s="349">
        <v>20.81</v>
      </c>
      <c r="F208" s="252">
        <f t="shared" si="16"/>
        <v>0.09</v>
      </c>
      <c r="G208" s="99">
        <f t="shared" si="20"/>
        <v>18.937099999999997</v>
      </c>
      <c r="H208" s="93"/>
      <c r="I208" s="224">
        <v>0.02</v>
      </c>
      <c r="J208" s="288" t="s">
        <v>1099</v>
      </c>
      <c r="K208" s="89" t="s">
        <v>433</v>
      </c>
      <c r="L208" s="114" t="s">
        <v>1047</v>
      </c>
      <c r="M208" s="643" t="s">
        <v>1480</v>
      </c>
      <c r="N208" s="644" t="s">
        <v>1481</v>
      </c>
      <c r="O208" s="645">
        <v>1</v>
      </c>
      <c r="P208" s="646" t="s">
        <v>118</v>
      </c>
      <c r="Q208" s="647">
        <v>20.82</v>
      </c>
      <c r="R208" s="652">
        <v>0.09</v>
      </c>
      <c r="S208" s="649">
        <v>18.946200000000001</v>
      </c>
      <c r="T208" s="650"/>
      <c r="U208" s="651">
        <v>0.02</v>
      </c>
      <c r="V208" s="288" t="s">
        <v>1099</v>
      </c>
      <c r="W208" s="89" t="s">
        <v>433</v>
      </c>
      <c r="X208" s="114" t="s">
        <v>1047</v>
      </c>
    </row>
    <row r="209" spans="1:24" s="1" customFormat="1">
      <c r="A209" s="263" t="s">
        <v>1482</v>
      </c>
      <c r="B209" s="248" t="s">
        <v>1483</v>
      </c>
      <c r="C209" s="249">
        <v>1</v>
      </c>
      <c r="D209" s="272" t="s">
        <v>118</v>
      </c>
      <c r="E209" s="349">
        <v>20.81</v>
      </c>
      <c r="F209" s="252">
        <f t="shared" si="16"/>
        <v>0.09</v>
      </c>
      <c r="G209" s="99">
        <f t="shared" si="20"/>
        <v>18.937099999999997</v>
      </c>
      <c r="H209" s="93"/>
      <c r="I209" s="224">
        <v>0.02</v>
      </c>
      <c r="J209" s="288" t="s">
        <v>1099</v>
      </c>
      <c r="K209" s="89" t="s">
        <v>433</v>
      </c>
      <c r="L209" s="114" t="s">
        <v>1047</v>
      </c>
      <c r="M209" s="241"/>
      <c r="N209" s="248"/>
      <c r="O209" s="249"/>
      <c r="P209" s="272"/>
      <c r="Q209" s="349"/>
      <c r="R209" s="252"/>
      <c r="S209" s="99"/>
      <c r="T209" s="93"/>
      <c r="U209" s="224"/>
      <c r="V209" s="288"/>
      <c r="W209" s="89"/>
      <c r="X209" s="114"/>
    </row>
    <row r="210" spans="1:24" s="1" customFormat="1">
      <c r="A210" s="263" t="s">
        <v>1484</v>
      </c>
      <c r="B210" s="248" t="s">
        <v>1485</v>
      </c>
      <c r="C210" s="249">
        <v>1</v>
      </c>
      <c r="D210" s="274" t="s">
        <v>118</v>
      </c>
      <c r="E210" s="349">
        <v>124.16</v>
      </c>
      <c r="F210" s="226">
        <f>rv_apple_acc_mac</f>
        <v>0.09</v>
      </c>
      <c r="G210" s="67">
        <f t="shared" si="20"/>
        <v>112.98560000000001</v>
      </c>
      <c r="H210" s="93"/>
      <c r="I210" s="224">
        <v>0.01</v>
      </c>
      <c r="J210" s="288" t="s">
        <v>1099</v>
      </c>
      <c r="K210" s="89" t="s">
        <v>433</v>
      </c>
      <c r="L210" s="114" t="s">
        <v>1047</v>
      </c>
      <c r="M210" s="241" t="s">
        <v>1484</v>
      </c>
      <c r="N210" s="248" t="s">
        <v>1486</v>
      </c>
      <c r="O210" s="249">
        <v>1</v>
      </c>
      <c r="P210" s="274" t="s">
        <v>118</v>
      </c>
      <c r="Q210" s="349">
        <v>124.16</v>
      </c>
      <c r="R210" s="226">
        <v>0.09</v>
      </c>
      <c r="S210" s="67">
        <v>112.98560000000001</v>
      </c>
      <c r="T210" s="93"/>
      <c r="U210" s="224">
        <v>0.01</v>
      </c>
      <c r="V210" s="288" t="s">
        <v>1099</v>
      </c>
      <c r="W210" s="89" t="s">
        <v>433</v>
      </c>
      <c r="X210" s="114" t="s">
        <v>1047</v>
      </c>
    </row>
    <row r="211" spans="1:24" s="1" customFormat="1">
      <c r="A211" s="263" t="s">
        <v>1487</v>
      </c>
      <c r="B211" s="248" t="s">
        <v>1488</v>
      </c>
      <c r="C211" s="249">
        <v>1</v>
      </c>
      <c r="D211" s="274" t="s">
        <v>118</v>
      </c>
      <c r="E211" s="349">
        <v>149.16</v>
      </c>
      <c r="F211" s="226">
        <f>rv_apple_acc_mac</f>
        <v>0.09</v>
      </c>
      <c r="G211" s="67">
        <f t="shared" si="20"/>
        <v>135.73560000000001</v>
      </c>
      <c r="H211" s="93"/>
      <c r="I211" s="224">
        <v>0.01</v>
      </c>
      <c r="J211" s="288" t="s">
        <v>1099</v>
      </c>
      <c r="K211" s="89" t="s">
        <v>433</v>
      </c>
      <c r="L211" s="114" t="s">
        <v>1047</v>
      </c>
      <c r="M211" s="241" t="s">
        <v>1487</v>
      </c>
      <c r="N211" s="248" t="s">
        <v>1489</v>
      </c>
      <c r="O211" s="249">
        <v>1</v>
      </c>
      <c r="P211" s="274" t="s">
        <v>118</v>
      </c>
      <c r="Q211" s="349">
        <v>149.16</v>
      </c>
      <c r="R211" s="226">
        <v>0.09</v>
      </c>
      <c r="S211" s="67">
        <v>135.73560000000001</v>
      </c>
      <c r="T211" s="93"/>
      <c r="U211" s="224">
        <v>0.01</v>
      </c>
      <c r="V211" s="288" t="s">
        <v>1099</v>
      </c>
      <c r="W211" s="89" t="s">
        <v>433</v>
      </c>
      <c r="X211" s="114" t="s">
        <v>1047</v>
      </c>
    </row>
    <row r="212" spans="1:24" s="1" customFormat="1">
      <c r="A212" s="263" t="s">
        <v>1490</v>
      </c>
      <c r="B212" s="248" t="s">
        <v>1491</v>
      </c>
      <c r="C212" s="249">
        <v>1</v>
      </c>
      <c r="D212" s="272" t="s">
        <v>118</v>
      </c>
      <c r="E212" s="349">
        <v>29.15</v>
      </c>
      <c r="F212" s="226">
        <f>rv_apple_acc_mac</f>
        <v>0.09</v>
      </c>
      <c r="G212" s="99">
        <f t="shared" si="20"/>
        <v>26.526499999999999</v>
      </c>
      <c r="H212" s="93"/>
      <c r="I212" s="224">
        <v>0.02</v>
      </c>
      <c r="J212" s="288" t="s">
        <v>1099</v>
      </c>
      <c r="K212" s="89" t="s">
        <v>433</v>
      </c>
      <c r="L212" s="114" t="s">
        <v>1047</v>
      </c>
      <c r="M212" s="241" t="s">
        <v>1490</v>
      </c>
      <c r="N212" s="248" t="s">
        <v>1492</v>
      </c>
      <c r="O212" s="249">
        <v>1</v>
      </c>
      <c r="P212" s="272" t="s">
        <v>118</v>
      </c>
      <c r="Q212" s="349">
        <v>29.15</v>
      </c>
      <c r="R212" s="226">
        <v>0.09</v>
      </c>
      <c r="S212" s="99">
        <v>26.526499999999999</v>
      </c>
      <c r="T212" s="93"/>
      <c r="U212" s="224">
        <v>0.02</v>
      </c>
      <c r="V212" s="288" t="s">
        <v>1099</v>
      </c>
      <c r="W212" s="89" t="s">
        <v>433</v>
      </c>
      <c r="X212" s="114" t="s">
        <v>1047</v>
      </c>
    </row>
    <row r="213" spans="1:24" s="1" customFormat="1">
      <c r="A213" s="263" t="s">
        <v>1493</v>
      </c>
      <c r="B213" s="248" t="s">
        <v>1494</v>
      </c>
      <c r="C213" s="249">
        <v>1</v>
      </c>
      <c r="D213" s="272" t="s">
        <v>118</v>
      </c>
      <c r="E213" s="349">
        <v>37.479999999999997</v>
      </c>
      <c r="F213" s="226">
        <f>rv_apple_acc_mac</f>
        <v>0.09</v>
      </c>
      <c r="G213" s="99">
        <f t="shared" si="20"/>
        <v>34.1068</v>
      </c>
      <c r="H213" s="93"/>
      <c r="I213" s="224">
        <v>0.02</v>
      </c>
      <c r="J213" s="288" t="s">
        <v>1099</v>
      </c>
      <c r="K213" s="89" t="s">
        <v>433</v>
      </c>
      <c r="L213" s="114" t="s">
        <v>1047</v>
      </c>
      <c r="M213" s="241" t="s">
        <v>1493</v>
      </c>
      <c r="N213" s="248" t="s">
        <v>1495</v>
      </c>
      <c r="O213" s="249">
        <v>1</v>
      </c>
      <c r="P213" s="272" t="s">
        <v>118</v>
      </c>
      <c r="Q213" s="349">
        <v>37.479999999999997</v>
      </c>
      <c r="R213" s="226">
        <v>0.09</v>
      </c>
      <c r="S213" s="99">
        <v>34.1068</v>
      </c>
      <c r="T213" s="93"/>
      <c r="U213" s="224">
        <v>0.02</v>
      </c>
      <c r="V213" s="288" t="s">
        <v>1099</v>
      </c>
      <c r="W213" s="89" t="s">
        <v>433</v>
      </c>
      <c r="X213" s="114" t="s">
        <v>1047</v>
      </c>
    </row>
    <row r="214" spans="1:24" s="1" customFormat="1">
      <c r="A214" s="263" t="s">
        <v>1496</v>
      </c>
      <c r="B214" s="248" t="s">
        <v>1497</v>
      </c>
      <c r="C214" s="249">
        <v>1</v>
      </c>
      <c r="D214" s="272" t="s">
        <v>118</v>
      </c>
      <c r="E214" s="349">
        <v>20.82</v>
      </c>
      <c r="F214" s="226">
        <f>rv_apple_acc_ipad</f>
        <v>0.15</v>
      </c>
      <c r="G214" s="99">
        <f t="shared" si="20"/>
        <v>17.696999999999999</v>
      </c>
      <c r="H214" s="93"/>
      <c r="I214" s="224">
        <v>0.01</v>
      </c>
      <c r="J214" s="288" t="s">
        <v>1099</v>
      </c>
      <c r="K214" s="89" t="s">
        <v>433</v>
      </c>
      <c r="L214" s="114" t="s">
        <v>1047</v>
      </c>
      <c r="M214" s="241" t="s">
        <v>1496</v>
      </c>
      <c r="N214" s="248" t="s">
        <v>1498</v>
      </c>
      <c r="O214" s="249">
        <v>1</v>
      </c>
      <c r="P214" s="272" t="s">
        <v>118</v>
      </c>
      <c r="Q214" s="349">
        <v>20.82</v>
      </c>
      <c r="R214" s="226">
        <v>0.15</v>
      </c>
      <c r="S214" s="99">
        <v>17.696999999999999</v>
      </c>
      <c r="T214" s="93"/>
      <c r="U214" s="224">
        <v>0.01</v>
      </c>
      <c r="V214" s="288" t="s">
        <v>1099</v>
      </c>
      <c r="W214" s="89" t="s">
        <v>433</v>
      </c>
      <c r="X214" s="114" t="s">
        <v>1047</v>
      </c>
    </row>
    <row r="215" spans="1:24" s="1" customFormat="1">
      <c r="A215" s="263" t="s">
        <v>1499</v>
      </c>
      <c r="B215" s="248" t="s">
        <v>1500</v>
      </c>
      <c r="C215" s="249">
        <v>1</v>
      </c>
      <c r="D215" s="272" t="s">
        <v>118</v>
      </c>
      <c r="E215" s="349">
        <v>20.82</v>
      </c>
      <c r="F215" s="226">
        <f>rv_apple_acc_mac</f>
        <v>0.09</v>
      </c>
      <c r="G215" s="99">
        <f t="shared" si="20"/>
        <v>18.946200000000001</v>
      </c>
      <c r="H215" s="93"/>
      <c r="I215" s="224">
        <v>0.01</v>
      </c>
      <c r="J215" s="288" t="s">
        <v>1099</v>
      </c>
      <c r="K215" s="89" t="s">
        <v>433</v>
      </c>
      <c r="L215" s="114" t="s">
        <v>1047</v>
      </c>
      <c r="M215" s="241" t="s">
        <v>1499</v>
      </c>
      <c r="N215" s="248" t="s">
        <v>1501</v>
      </c>
      <c r="O215" s="249">
        <v>1</v>
      </c>
      <c r="P215" s="272" t="s">
        <v>118</v>
      </c>
      <c r="Q215" s="349">
        <v>20.82</v>
      </c>
      <c r="R215" s="226">
        <v>0.09</v>
      </c>
      <c r="S215" s="99">
        <v>18.946200000000001</v>
      </c>
      <c r="T215" s="93"/>
      <c r="U215" s="224">
        <v>0.01</v>
      </c>
      <c r="V215" s="288" t="s">
        <v>1099</v>
      </c>
      <c r="W215" s="89" t="s">
        <v>433</v>
      </c>
      <c r="X215" s="114" t="s">
        <v>1047</v>
      </c>
    </row>
    <row r="216" spans="1:24" s="1" customFormat="1">
      <c r="A216" s="263" t="s">
        <v>1502</v>
      </c>
      <c r="B216" s="248" t="s">
        <v>1503</v>
      </c>
      <c r="C216" s="249">
        <v>1</v>
      </c>
      <c r="D216" s="272" t="s">
        <v>118</v>
      </c>
      <c r="E216" s="348">
        <v>8.32</v>
      </c>
      <c r="F216" s="226">
        <f>rv_apple_acc_ipad</f>
        <v>0.15</v>
      </c>
      <c r="G216" s="99">
        <f t="shared" si="20"/>
        <v>7.0720000000000001</v>
      </c>
      <c r="H216" s="93"/>
      <c r="I216" s="224">
        <v>0.01</v>
      </c>
      <c r="J216" s="288" t="s">
        <v>1099</v>
      </c>
      <c r="K216" s="89" t="s">
        <v>433</v>
      </c>
      <c r="L216" s="114" t="s">
        <v>1047</v>
      </c>
      <c r="M216" s="241" t="s">
        <v>1502</v>
      </c>
      <c r="N216" s="248" t="s">
        <v>1504</v>
      </c>
      <c r="O216" s="249">
        <v>1</v>
      </c>
      <c r="P216" s="272" t="s">
        <v>118</v>
      </c>
      <c r="Q216" s="348">
        <v>8.32</v>
      </c>
      <c r="R216" s="226">
        <v>0.15</v>
      </c>
      <c r="S216" s="99">
        <v>7.0720000000000001</v>
      </c>
      <c r="T216" s="93"/>
      <c r="U216" s="224">
        <v>0.01</v>
      </c>
      <c r="V216" s="288" t="s">
        <v>1099</v>
      </c>
      <c r="W216" s="89" t="s">
        <v>433</v>
      </c>
      <c r="X216" s="114" t="s">
        <v>1047</v>
      </c>
    </row>
    <row r="217" spans="1:24" s="1" customFormat="1">
      <c r="A217" s="263"/>
      <c r="B217" s="248"/>
      <c r="C217" s="249"/>
      <c r="D217" s="272"/>
      <c r="E217" s="349"/>
      <c r="F217" s="226"/>
      <c r="G217" s="99"/>
      <c r="H217" s="93"/>
      <c r="I217" s="224"/>
      <c r="J217" s="288"/>
      <c r="K217" s="89"/>
      <c r="L217" s="114"/>
      <c r="M217" s="643" t="s">
        <v>1505</v>
      </c>
      <c r="N217" s="644" t="s">
        <v>1506</v>
      </c>
      <c r="O217" s="645">
        <v>1</v>
      </c>
      <c r="P217" s="646" t="s">
        <v>118</v>
      </c>
      <c r="Q217" s="647">
        <v>37.49</v>
      </c>
      <c r="R217" s="648">
        <v>0.09</v>
      </c>
      <c r="S217" s="649">
        <v>34.115900000000003</v>
      </c>
      <c r="T217" s="650"/>
      <c r="U217" s="651">
        <v>0.01</v>
      </c>
      <c r="V217" s="288" t="s">
        <v>1099</v>
      </c>
      <c r="W217" s="89" t="s">
        <v>433</v>
      </c>
      <c r="X217" s="114" t="s">
        <v>1047</v>
      </c>
    </row>
    <row r="218" spans="1:24" s="1" customFormat="1">
      <c r="A218" s="263" t="s">
        <v>1507</v>
      </c>
      <c r="B218" s="248" t="s">
        <v>1508</v>
      </c>
      <c r="C218" s="249">
        <v>1</v>
      </c>
      <c r="D218" s="272" t="s">
        <v>1442</v>
      </c>
      <c r="E218" s="349">
        <v>12.42</v>
      </c>
      <c r="F218" s="226">
        <f t="shared" ref="F218:F221" si="21">rv_20</f>
        <v>0.2</v>
      </c>
      <c r="G218" s="99">
        <f t="shared" ref="G218:G231" si="22">E218-(E218*F218)</f>
        <v>9.9359999999999999</v>
      </c>
      <c r="H218" s="93"/>
      <c r="I218" s="224">
        <v>0.01</v>
      </c>
      <c r="J218" s="288" t="s">
        <v>1099</v>
      </c>
      <c r="K218" s="89" t="s">
        <v>433</v>
      </c>
      <c r="L218" s="114" t="s">
        <v>1047</v>
      </c>
      <c r="M218" s="241" t="s">
        <v>1507</v>
      </c>
      <c r="N218" s="248" t="s">
        <v>1509</v>
      </c>
      <c r="O218" s="249">
        <v>1</v>
      </c>
      <c r="P218" s="272" t="s">
        <v>1442</v>
      </c>
      <c r="Q218" s="349">
        <v>12.42</v>
      </c>
      <c r="R218" s="226">
        <v>0.2</v>
      </c>
      <c r="S218" s="99">
        <v>9.9359999999999999</v>
      </c>
      <c r="T218" s="93"/>
      <c r="U218" s="224">
        <v>0.01</v>
      </c>
      <c r="V218" s="288" t="s">
        <v>1099</v>
      </c>
      <c r="W218" s="89" t="s">
        <v>433</v>
      </c>
      <c r="X218" s="114" t="s">
        <v>1047</v>
      </c>
    </row>
    <row r="219" spans="1:24" s="1" customFormat="1">
      <c r="A219" s="263" t="s">
        <v>1510</v>
      </c>
      <c r="B219" s="248" t="s">
        <v>1511</v>
      </c>
      <c r="C219" s="249">
        <v>1</v>
      </c>
      <c r="D219" s="272" t="s">
        <v>1442</v>
      </c>
      <c r="E219" s="349">
        <v>12.42</v>
      </c>
      <c r="F219" s="226">
        <f t="shared" si="21"/>
        <v>0.2</v>
      </c>
      <c r="G219" s="99">
        <f t="shared" si="22"/>
        <v>9.9359999999999999</v>
      </c>
      <c r="H219" s="93"/>
      <c r="I219" s="224">
        <v>0.01</v>
      </c>
      <c r="J219" s="288" t="s">
        <v>1099</v>
      </c>
      <c r="K219" s="89" t="s">
        <v>433</v>
      </c>
      <c r="L219" s="114" t="s">
        <v>1047</v>
      </c>
      <c r="M219" s="241" t="s">
        <v>1510</v>
      </c>
      <c r="N219" s="248" t="s">
        <v>1512</v>
      </c>
      <c r="O219" s="249">
        <v>1</v>
      </c>
      <c r="P219" s="272" t="s">
        <v>1442</v>
      </c>
      <c r="Q219" s="349">
        <v>12.42</v>
      </c>
      <c r="R219" s="226">
        <v>0.2</v>
      </c>
      <c r="S219" s="99">
        <v>9.9359999999999999</v>
      </c>
      <c r="T219" s="93"/>
      <c r="U219" s="224">
        <v>0.01</v>
      </c>
      <c r="V219" s="288" t="s">
        <v>1099</v>
      </c>
      <c r="W219" s="89" t="s">
        <v>433</v>
      </c>
      <c r="X219" s="114" t="s">
        <v>1047</v>
      </c>
    </row>
    <row r="220" spans="1:24" s="1" customFormat="1">
      <c r="A220" s="263" t="s">
        <v>1513</v>
      </c>
      <c r="B220" s="248" t="s">
        <v>1514</v>
      </c>
      <c r="C220" s="249">
        <v>1</v>
      </c>
      <c r="D220" s="272" t="s">
        <v>1442</v>
      </c>
      <c r="E220" s="349">
        <v>16.579999999999998</v>
      </c>
      <c r="F220" s="226">
        <f t="shared" si="21"/>
        <v>0.2</v>
      </c>
      <c r="G220" s="99">
        <f t="shared" si="22"/>
        <v>13.263999999999999</v>
      </c>
      <c r="H220" s="93"/>
      <c r="I220" s="224">
        <v>0.01</v>
      </c>
      <c r="J220" s="288" t="s">
        <v>1099</v>
      </c>
      <c r="K220" s="89" t="s">
        <v>433</v>
      </c>
      <c r="L220" s="114" t="s">
        <v>1047</v>
      </c>
      <c r="M220" s="241" t="s">
        <v>1513</v>
      </c>
      <c r="N220" s="248" t="s">
        <v>1515</v>
      </c>
      <c r="O220" s="249">
        <v>1</v>
      </c>
      <c r="P220" s="272" t="s">
        <v>1442</v>
      </c>
      <c r="Q220" s="349">
        <v>16.579999999999998</v>
      </c>
      <c r="R220" s="226">
        <v>0.2</v>
      </c>
      <c r="S220" s="99">
        <v>13.263999999999999</v>
      </c>
      <c r="T220" s="93"/>
      <c r="U220" s="224">
        <v>0.01</v>
      </c>
      <c r="V220" s="288" t="s">
        <v>1099</v>
      </c>
      <c r="W220" s="89" t="s">
        <v>433</v>
      </c>
      <c r="X220" s="114" t="s">
        <v>1047</v>
      </c>
    </row>
    <row r="221" spans="1:24" s="1" customFormat="1">
      <c r="A221" s="263" t="s">
        <v>1516</v>
      </c>
      <c r="B221" s="248" t="s">
        <v>1517</v>
      </c>
      <c r="C221" s="249">
        <v>1</v>
      </c>
      <c r="D221" s="272" t="s">
        <v>1442</v>
      </c>
      <c r="E221" s="349">
        <v>16.579999999999998</v>
      </c>
      <c r="F221" s="226">
        <f t="shared" si="21"/>
        <v>0.2</v>
      </c>
      <c r="G221" s="99">
        <f t="shared" si="22"/>
        <v>13.263999999999999</v>
      </c>
      <c r="H221" s="93"/>
      <c r="I221" s="224">
        <v>0.01</v>
      </c>
      <c r="J221" s="288" t="s">
        <v>1099</v>
      </c>
      <c r="K221" s="89" t="s">
        <v>433</v>
      </c>
      <c r="L221" s="114" t="s">
        <v>1047</v>
      </c>
      <c r="M221" s="241" t="s">
        <v>1516</v>
      </c>
      <c r="N221" s="248" t="s">
        <v>1518</v>
      </c>
      <c r="O221" s="249">
        <v>1</v>
      </c>
      <c r="P221" s="272" t="s">
        <v>1442</v>
      </c>
      <c r="Q221" s="349">
        <v>16.579999999999998</v>
      </c>
      <c r="R221" s="226">
        <v>0.2</v>
      </c>
      <c r="S221" s="99">
        <v>13.263999999999999</v>
      </c>
      <c r="T221" s="93"/>
      <c r="U221" s="224">
        <v>0.01</v>
      </c>
      <c r="V221" s="288" t="s">
        <v>1099</v>
      </c>
      <c r="W221" s="89" t="s">
        <v>433</v>
      </c>
      <c r="X221" s="114" t="s">
        <v>1047</v>
      </c>
    </row>
    <row r="222" spans="1:24" s="1" customFormat="1">
      <c r="A222" s="263" t="s">
        <v>1519</v>
      </c>
      <c r="B222" s="248" t="s">
        <v>1520</v>
      </c>
      <c r="C222" s="249">
        <v>1</v>
      </c>
      <c r="D222" s="272" t="s">
        <v>1442</v>
      </c>
      <c r="E222" s="349">
        <v>33.33</v>
      </c>
      <c r="F222" s="226">
        <f t="shared" si="18"/>
        <v>0.2</v>
      </c>
      <c r="G222" s="99">
        <f t="shared" si="22"/>
        <v>26.663999999999998</v>
      </c>
      <c r="H222" s="93"/>
      <c r="I222" s="224">
        <v>0.02</v>
      </c>
      <c r="J222" s="288" t="s">
        <v>1099</v>
      </c>
      <c r="K222" s="89" t="s">
        <v>433</v>
      </c>
      <c r="L222" s="114" t="s">
        <v>1047</v>
      </c>
      <c r="M222" s="241" t="s">
        <v>1519</v>
      </c>
      <c r="N222" s="248" t="s">
        <v>1520</v>
      </c>
      <c r="O222" s="249">
        <v>1</v>
      </c>
      <c r="P222" s="272" t="s">
        <v>1442</v>
      </c>
      <c r="Q222" s="349">
        <v>33.33</v>
      </c>
      <c r="R222" s="226">
        <v>0.2</v>
      </c>
      <c r="S222" s="99">
        <v>26.663999999999998</v>
      </c>
      <c r="T222" s="93"/>
      <c r="U222" s="224">
        <v>0.02</v>
      </c>
      <c r="V222" s="288" t="s">
        <v>1099</v>
      </c>
      <c r="W222" s="89" t="s">
        <v>433</v>
      </c>
      <c r="X222" s="114" t="s">
        <v>1047</v>
      </c>
    </row>
    <row r="223" spans="1:24" s="1" customFormat="1">
      <c r="A223" s="263" t="s">
        <v>1521</v>
      </c>
      <c r="B223" s="248" t="s">
        <v>1522</v>
      </c>
      <c r="C223" s="249">
        <v>1</v>
      </c>
      <c r="D223" s="272" t="s">
        <v>1442</v>
      </c>
      <c r="E223" s="349">
        <v>24.99</v>
      </c>
      <c r="F223" s="226">
        <f t="shared" si="18"/>
        <v>0.2</v>
      </c>
      <c r="G223" s="99">
        <f t="shared" si="22"/>
        <v>19.991999999999997</v>
      </c>
      <c r="H223" s="93"/>
      <c r="I223" s="224">
        <v>0.02</v>
      </c>
      <c r="J223" s="288" t="s">
        <v>1099</v>
      </c>
      <c r="K223" s="89" t="s">
        <v>433</v>
      </c>
      <c r="L223" s="114" t="s">
        <v>1047</v>
      </c>
      <c r="M223" s="241" t="s">
        <v>1521</v>
      </c>
      <c r="N223" s="248" t="s">
        <v>1522</v>
      </c>
      <c r="O223" s="249">
        <v>1</v>
      </c>
      <c r="P223" s="272" t="s">
        <v>1442</v>
      </c>
      <c r="Q223" s="349">
        <v>24.99</v>
      </c>
      <c r="R223" s="226">
        <v>0.2</v>
      </c>
      <c r="S223" s="99">
        <v>19.991999999999997</v>
      </c>
      <c r="T223" s="93"/>
      <c r="U223" s="224">
        <v>0.02</v>
      </c>
      <c r="V223" s="288" t="s">
        <v>1099</v>
      </c>
      <c r="W223" s="89" t="s">
        <v>433</v>
      </c>
      <c r="X223" s="114" t="s">
        <v>1047</v>
      </c>
    </row>
    <row r="224" spans="1:24" s="1" customFormat="1">
      <c r="A224" s="263" t="s">
        <v>1523</v>
      </c>
      <c r="B224" s="248" t="s">
        <v>1524</v>
      </c>
      <c r="C224" s="249">
        <v>1</v>
      </c>
      <c r="D224" s="272" t="s">
        <v>1442</v>
      </c>
      <c r="E224" s="349">
        <v>74.989999999999995</v>
      </c>
      <c r="F224" s="226">
        <f t="shared" si="18"/>
        <v>0.2</v>
      </c>
      <c r="G224" s="99">
        <f t="shared" si="22"/>
        <v>59.991999999999997</v>
      </c>
      <c r="H224" s="93"/>
      <c r="I224" s="224">
        <v>0.02</v>
      </c>
      <c r="J224" s="288" t="s">
        <v>1099</v>
      </c>
      <c r="K224" s="89" t="s">
        <v>433</v>
      </c>
      <c r="L224" s="114" t="s">
        <v>1047</v>
      </c>
      <c r="M224" s="241" t="s">
        <v>1523</v>
      </c>
      <c r="N224" s="248" t="s">
        <v>1524</v>
      </c>
      <c r="O224" s="249">
        <v>1</v>
      </c>
      <c r="P224" s="272" t="s">
        <v>1442</v>
      </c>
      <c r="Q224" s="349">
        <v>74.989999999999995</v>
      </c>
      <c r="R224" s="226">
        <v>0.2</v>
      </c>
      <c r="S224" s="99">
        <v>59.991999999999997</v>
      </c>
      <c r="T224" s="93"/>
      <c r="U224" s="224">
        <v>0.02</v>
      </c>
      <c r="V224" s="288" t="s">
        <v>1099</v>
      </c>
      <c r="W224" s="89" t="s">
        <v>433</v>
      </c>
      <c r="X224" s="114" t="s">
        <v>1047</v>
      </c>
    </row>
    <row r="225" spans="1:24" s="1" customFormat="1">
      <c r="A225" s="263" t="s">
        <v>1525</v>
      </c>
      <c r="B225" s="248" t="s">
        <v>1526</v>
      </c>
      <c r="C225" s="249">
        <v>1</v>
      </c>
      <c r="D225" s="272" t="s">
        <v>1442</v>
      </c>
      <c r="E225" s="348">
        <v>34.99</v>
      </c>
      <c r="F225" s="226">
        <f t="shared" ref="F225:F488" si="23">rv_20</f>
        <v>0.2</v>
      </c>
      <c r="G225" s="67">
        <f t="shared" si="22"/>
        <v>27.992000000000001</v>
      </c>
      <c r="H225" s="93"/>
      <c r="I225" s="224">
        <v>0.02</v>
      </c>
      <c r="J225" s="288" t="s">
        <v>1099</v>
      </c>
      <c r="K225" s="89" t="s">
        <v>433</v>
      </c>
      <c r="L225" s="114" t="s">
        <v>1047</v>
      </c>
      <c r="M225" s="241" t="s">
        <v>1525</v>
      </c>
      <c r="N225" s="248" t="s">
        <v>1526</v>
      </c>
      <c r="O225" s="249">
        <v>1</v>
      </c>
      <c r="P225" s="272" t="s">
        <v>1442</v>
      </c>
      <c r="Q225" s="348">
        <v>34.99</v>
      </c>
      <c r="R225" s="226">
        <v>0.2</v>
      </c>
      <c r="S225" s="67">
        <v>27.992000000000001</v>
      </c>
      <c r="T225" s="93"/>
      <c r="U225" s="224">
        <v>0.02</v>
      </c>
      <c r="V225" s="288" t="s">
        <v>1099</v>
      </c>
      <c r="W225" s="89" t="s">
        <v>433</v>
      </c>
      <c r="X225" s="114" t="s">
        <v>1047</v>
      </c>
    </row>
    <row r="226" spans="1:24" s="1" customFormat="1">
      <c r="A226" s="263" t="s">
        <v>1527</v>
      </c>
      <c r="B226" s="248" t="s">
        <v>1528</v>
      </c>
      <c r="C226" s="249">
        <v>1</v>
      </c>
      <c r="D226" s="272" t="s">
        <v>1442</v>
      </c>
      <c r="E226" s="348">
        <v>24.99</v>
      </c>
      <c r="F226" s="226">
        <f t="shared" ref="F226:F240" si="24">rv_20</f>
        <v>0.2</v>
      </c>
      <c r="G226" s="67">
        <f t="shared" si="22"/>
        <v>19.991999999999997</v>
      </c>
      <c r="H226" s="93"/>
      <c r="I226" s="224">
        <v>0.02</v>
      </c>
      <c r="J226" s="288" t="s">
        <v>1099</v>
      </c>
      <c r="K226" s="89" t="s">
        <v>433</v>
      </c>
      <c r="L226" s="114" t="s">
        <v>1047</v>
      </c>
      <c r="M226" s="241" t="s">
        <v>1527</v>
      </c>
      <c r="N226" s="248" t="s">
        <v>1528</v>
      </c>
      <c r="O226" s="249">
        <v>1</v>
      </c>
      <c r="P226" s="272" t="s">
        <v>1442</v>
      </c>
      <c r="Q226" s="348">
        <v>24.99</v>
      </c>
      <c r="R226" s="226">
        <v>0.2</v>
      </c>
      <c r="S226" s="67">
        <v>19.991999999999997</v>
      </c>
      <c r="T226" s="93"/>
      <c r="U226" s="224">
        <v>0.02</v>
      </c>
      <c r="V226" s="288" t="s">
        <v>1099</v>
      </c>
      <c r="W226" s="89" t="s">
        <v>433</v>
      </c>
      <c r="X226" s="114" t="s">
        <v>1047</v>
      </c>
    </row>
    <row r="227" spans="1:24" s="1" customFormat="1">
      <c r="A227" s="263" t="s">
        <v>1529</v>
      </c>
      <c r="B227" s="248" t="s">
        <v>1530</v>
      </c>
      <c r="C227" s="249">
        <v>1</v>
      </c>
      <c r="D227" s="272" t="s">
        <v>1442</v>
      </c>
      <c r="E227" s="348">
        <v>14.95</v>
      </c>
      <c r="F227" s="226">
        <f t="shared" si="24"/>
        <v>0.2</v>
      </c>
      <c r="G227" s="67">
        <f t="shared" si="22"/>
        <v>11.959999999999999</v>
      </c>
      <c r="H227" s="93"/>
      <c r="I227" s="224">
        <v>0.02</v>
      </c>
      <c r="J227" s="288" t="s">
        <v>1099</v>
      </c>
      <c r="K227" s="89" t="s">
        <v>433</v>
      </c>
      <c r="L227" s="114" t="s">
        <v>1047</v>
      </c>
      <c r="M227" s="241" t="s">
        <v>1529</v>
      </c>
      <c r="N227" s="248" t="s">
        <v>1530</v>
      </c>
      <c r="O227" s="249">
        <v>1</v>
      </c>
      <c r="P227" s="272" t="s">
        <v>1442</v>
      </c>
      <c r="Q227" s="348">
        <v>14.95</v>
      </c>
      <c r="R227" s="226">
        <v>0.2</v>
      </c>
      <c r="S227" s="67">
        <v>11.959999999999999</v>
      </c>
      <c r="T227" s="93"/>
      <c r="U227" s="224">
        <v>0.02</v>
      </c>
      <c r="V227" s="288" t="s">
        <v>1099</v>
      </c>
      <c r="W227" s="89" t="s">
        <v>433</v>
      </c>
      <c r="X227" s="114" t="s">
        <v>1047</v>
      </c>
    </row>
    <row r="228" spans="1:24" s="1" customFormat="1">
      <c r="A228" s="263" t="s">
        <v>1531</v>
      </c>
      <c r="B228" s="248" t="s">
        <v>1532</v>
      </c>
      <c r="C228" s="249">
        <v>1</v>
      </c>
      <c r="D228" s="272" t="s">
        <v>1533</v>
      </c>
      <c r="E228" s="348">
        <v>33.29</v>
      </c>
      <c r="F228" s="226">
        <f t="shared" si="24"/>
        <v>0.2</v>
      </c>
      <c r="G228" s="67">
        <f t="shared" si="22"/>
        <v>26.631999999999998</v>
      </c>
      <c r="H228" s="93"/>
      <c r="I228" s="224">
        <v>0.02</v>
      </c>
      <c r="J228" s="288" t="s">
        <v>1099</v>
      </c>
      <c r="K228" s="89" t="s">
        <v>433</v>
      </c>
      <c r="L228" s="114" t="s">
        <v>1047</v>
      </c>
      <c r="M228" s="241" t="s">
        <v>1531</v>
      </c>
      <c r="N228" s="248" t="s">
        <v>1532</v>
      </c>
      <c r="O228" s="249">
        <v>1</v>
      </c>
      <c r="P228" s="272" t="s">
        <v>1533</v>
      </c>
      <c r="Q228" s="348">
        <v>33.29</v>
      </c>
      <c r="R228" s="226">
        <v>0.2</v>
      </c>
      <c r="S228" s="67">
        <v>26.631999999999998</v>
      </c>
      <c r="T228" s="93"/>
      <c r="U228" s="224">
        <v>0.02</v>
      </c>
      <c r="V228" s="288" t="s">
        <v>1099</v>
      </c>
      <c r="W228" s="89" t="s">
        <v>433</v>
      </c>
      <c r="X228" s="114" t="s">
        <v>1047</v>
      </c>
    </row>
    <row r="229" spans="1:24" s="1" customFormat="1">
      <c r="A229" s="263" t="s">
        <v>1534</v>
      </c>
      <c r="B229" s="248" t="s">
        <v>1535</v>
      </c>
      <c r="C229" s="249">
        <v>1</v>
      </c>
      <c r="D229" s="272" t="s">
        <v>1533</v>
      </c>
      <c r="E229" s="348">
        <v>37.46</v>
      </c>
      <c r="F229" s="226">
        <f t="shared" si="24"/>
        <v>0.2</v>
      </c>
      <c r="G229" s="67">
        <f t="shared" si="22"/>
        <v>29.968</v>
      </c>
      <c r="H229" s="93"/>
      <c r="I229" s="224">
        <v>0.02</v>
      </c>
      <c r="J229" s="288" t="s">
        <v>1099</v>
      </c>
      <c r="K229" s="89" t="s">
        <v>433</v>
      </c>
      <c r="L229" s="114" t="s">
        <v>1047</v>
      </c>
      <c r="M229" s="241" t="s">
        <v>1534</v>
      </c>
      <c r="N229" s="248" t="s">
        <v>1535</v>
      </c>
      <c r="O229" s="249">
        <v>1</v>
      </c>
      <c r="P229" s="272" t="s">
        <v>1533</v>
      </c>
      <c r="Q229" s="348">
        <v>37.46</v>
      </c>
      <c r="R229" s="226">
        <v>0.2</v>
      </c>
      <c r="S229" s="67">
        <v>29.968</v>
      </c>
      <c r="T229" s="93"/>
      <c r="U229" s="224">
        <v>0.02</v>
      </c>
      <c r="V229" s="288" t="s">
        <v>1099</v>
      </c>
      <c r="W229" s="89" t="s">
        <v>433</v>
      </c>
      <c r="X229" s="114" t="s">
        <v>1047</v>
      </c>
    </row>
    <row r="230" spans="1:24" s="1" customFormat="1">
      <c r="A230" s="263" t="s">
        <v>1536</v>
      </c>
      <c r="B230" s="248" t="s">
        <v>1537</v>
      </c>
      <c r="C230" s="249">
        <v>1</v>
      </c>
      <c r="D230" s="272" t="s">
        <v>1533</v>
      </c>
      <c r="E230" s="348">
        <v>76.62</v>
      </c>
      <c r="F230" s="226">
        <f t="shared" si="24"/>
        <v>0.2</v>
      </c>
      <c r="G230" s="67">
        <f t="shared" si="22"/>
        <v>61.296000000000006</v>
      </c>
      <c r="H230" s="93"/>
      <c r="I230" s="224">
        <v>0.02</v>
      </c>
      <c r="J230" s="288" t="s">
        <v>1099</v>
      </c>
      <c r="K230" s="89" t="s">
        <v>433</v>
      </c>
      <c r="L230" s="114" t="s">
        <v>1047</v>
      </c>
      <c r="M230" s="241" t="s">
        <v>1536</v>
      </c>
      <c r="N230" s="248" t="s">
        <v>1537</v>
      </c>
      <c r="O230" s="249">
        <v>1</v>
      </c>
      <c r="P230" s="272" t="s">
        <v>1533</v>
      </c>
      <c r="Q230" s="348">
        <v>76.62</v>
      </c>
      <c r="R230" s="226">
        <v>0.2</v>
      </c>
      <c r="S230" s="67">
        <v>61.296000000000006</v>
      </c>
      <c r="T230" s="93"/>
      <c r="U230" s="224">
        <v>0.02</v>
      </c>
      <c r="V230" s="288" t="s">
        <v>1099</v>
      </c>
      <c r="W230" s="89" t="s">
        <v>433</v>
      </c>
      <c r="X230" s="114" t="s">
        <v>1047</v>
      </c>
    </row>
    <row r="231" spans="1:24" s="1" customFormat="1" ht="13.5" thickBot="1">
      <c r="A231" s="263" t="s">
        <v>1538</v>
      </c>
      <c r="B231" s="248" t="s">
        <v>1539</v>
      </c>
      <c r="C231" s="249">
        <v>1</v>
      </c>
      <c r="D231" s="272" t="s">
        <v>1459</v>
      </c>
      <c r="E231" s="348">
        <v>24.9</v>
      </c>
      <c r="F231" s="226">
        <f>rv_20</f>
        <v>0.2</v>
      </c>
      <c r="G231" s="67">
        <f t="shared" si="22"/>
        <v>19.919999999999998</v>
      </c>
      <c r="H231" s="93"/>
      <c r="I231" s="224">
        <v>0.05</v>
      </c>
      <c r="J231" s="288" t="s">
        <v>1099</v>
      </c>
      <c r="K231" s="89" t="s">
        <v>433</v>
      </c>
      <c r="L231" s="114" t="s">
        <v>1047</v>
      </c>
      <c r="M231" s="241" t="s">
        <v>1538</v>
      </c>
      <c r="N231" s="248" t="s">
        <v>1539</v>
      </c>
      <c r="O231" s="249">
        <v>1</v>
      </c>
      <c r="P231" s="272" t="s">
        <v>1459</v>
      </c>
      <c r="Q231" s="348">
        <v>24.9</v>
      </c>
      <c r="R231" s="226">
        <v>0.2</v>
      </c>
      <c r="S231" s="67">
        <v>19.919999999999998</v>
      </c>
      <c r="T231" s="93"/>
      <c r="U231" s="224">
        <v>0.05</v>
      </c>
      <c r="V231" s="288" t="s">
        <v>1099</v>
      </c>
      <c r="W231" s="89" t="s">
        <v>433</v>
      </c>
      <c r="X231" s="114" t="s">
        <v>1047</v>
      </c>
    </row>
    <row r="232" spans="1:24" s="1" customFormat="1" ht="21.75" thickBot="1">
      <c r="A232" s="680" t="s">
        <v>1540</v>
      </c>
      <c r="B232" s="458" t="s">
        <v>1541</v>
      </c>
      <c r="C232" s="459"/>
      <c r="D232" s="459"/>
      <c r="E232" s="460"/>
      <c r="F232" s="461"/>
      <c r="G232" s="460"/>
      <c r="H232" s="460"/>
      <c r="I232" s="460"/>
      <c r="J232" s="635"/>
      <c r="K232" s="462"/>
      <c r="L232" s="463"/>
      <c r="M232" s="474" t="s">
        <v>1540</v>
      </c>
      <c r="N232" s="458" t="s">
        <v>1541</v>
      </c>
      <c r="O232" s="459"/>
      <c r="P232" s="459"/>
      <c r="Q232" s="460"/>
      <c r="R232" s="461"/>
      <c r="S232" s="460"/>
      <c r="T232" s="460"/>
      <c r="U232" s="460"/>
      <c r="V232" s="635"/>
      <c r="W232" s="462"/>
      <c r="X232" s="463"/>
    </row>
    <row r="233" spans="1:24" s="1" customFormat="1">
      <c r="A233" s="263" t="s">
        <v>1542</v>
      </c>
      <c r="B233" s="248" t="s">
        <v>1543</v>
      </c>
      <c r="C233" s="249">
        <v>1</v>
      </c>
      <c r="D233" s="272" t="s">
        <v>118</v>
      </c>
      <c r="E233" s="349">
        <v>20.81</v>
      </c>
      <c r="F233" s="226">
        <f t="shared" ref="F233:F259" si="25">rv_apple_acc_ipad</f>
        <v>0.15</v>
      </c>
      <c r="G233" s="99">
        <f t="shared" ref="G233:G245" si="26">E233-(E233*F233)</f>
        <v>17.688499999999998</v>
      </c>
      <c r="H233" s="93"/>
      <c r="I233" s="224">
        <v>0.02</v>
      </c>
      <c r="J233" s="288" t="s">
        <v>1099</v>
      </c>
      <c r="K233" s="89" t="s">
        <v>433</v>
      </c>
      <c r="L233" s="114" t="s">
        <v>1047</v>
      </c>
      <c r="M233" s="241" t="s">
        <v>1542</v>
      </c>
      <c r="N233" s="248" t="s">
        <v>1543</v>
      </c>
      <c r="O233" s="249">
        <v>1</v>
      </c>
      <c r="P233" s="272" t="s">
        <v>118</v>
      </c>
      <c r="Q233" s="349">
        <v>20.81</v>
      </c>
      <c r="R233" s="226">
        <v>0.15</v>
      </c>
      <c r="S233" s="99">
        <v>17.688499999999998</v>
      </c>
      <c r="T233" s="93"/>
      <c r="U233" s="224">
        <v>0.02</v>
      </c>
      <c r="V233" s="288" t="s">
        <v>1099</v>
      </c>
      <c r="W233" s="89" t="s">
        <v>433</v>
      </c>
      <c r="X233" s="114" t="s">
        <v>1047</v>
      </c>
    </row>
    <row r="234" spans="1:24" s="1" customFormat="1">
      <c r="A234" s="263" t="s">
        <v>1544</v>
      </c>
      <c r="B234" s="248" t="s">
        <v>1545</v>
      </c>
      <c r="C234" s="249">
        <v>1</v>
      </c>
      <c r="D234" s="272" t="s">
        <v>118</v>
      </c>
      <c r="E234" s="349">
        <v>32.479999999999997</v>
      </c>
      <c r="F234" s="226">
        <f t="shared" si="25"/>
        <v>0.15</v>
      </c>
      <c r="G234" s="99">
        <f t="shared" si="26"/>
        <v>27.607999999999997</v>
      </c>
      <c r="H234" s="93"/>
      <c r="I234" s="224">
        <v>0.02</v>
      </c>
      <c r="J234" s="288" t="s">
        <v>1099</v>
      </c>
      <c r="K234" s="89" t="s">
        <v>433</v>
      </c>
      <c r="L234" s="114" t="s">
        <v>1047</v>
      </c>
      <c r="M234" s="241" t="s">
        <v>1544</v>
      </c>
      <c r="N234" s="248" t="s">
        <v>1545</v>
      </c>
      <c r="O234" s="249">
        <v>1</v>
      </c>
      <c r="P234" s="272" t="s">
        <v>118</v>
      </c>
      <c r="Q234" s="349">
        <v>32.479999999999997</v>
      </c>
      <c r="R234" s="226">
        <v>0.15</v>
      </c>
      <c r="S234" s="99">
        <v>27.607999999999997</v>
      </c>
      <c r="T234" s="93"/>
      <c r="U234" s="224">
        <v>0.02</v>
      </c>
      <c r="V234" s="288" t="s">
        <v>1099</v>
      </c>
      <c r="W234" s="89" t="s">
        <v>433</v>
      </c>
      <c r="X234" s="114" t="s">
        <v>1047</v>
      </c>
    </row>
    <row r="235" spans="1:24" s="1" customFormat="1">
      <c r="A235" s="263" t="s">
        <v>1546</v>
      </c>
      <c r="B235" s="248" t="s">
        <v>1547</v>
      </c>
      <c r="C235" s="249">
        <v>1</v>
      </c>
      <c r="D235" s="272" t="s">
        <v>118</v>
      </c>
      <c r="E235" s="349">
        <v>29.16</v>
      </c>
      <c r="F235" s="226">
        <f>rv_apple_acc_ipad</f>
        <v>0.15</v>
      </c>
      <c r="G235" s="99">
        <f t="shared" si="26"/>
        <v>24.786000000000001</v>
      </c>
      <c r="H235" s="93"/>
      <c r="I235" s="224">
        <v>0.01</v>
      </c>
      <c r="J235" s="288" t="s">
        <v>1099</v>
      </c>
      <c r="K235" s="89" t="s">
        <v>433</v>
      </c>
      <c r="L235" s="114" t="s">
        <v>1047</v>
      </c>
      <c r="M235" s="241" t="s">
        <v>1546</v>
      </c>
      <c r="N235" s="248" t="s">
        <v>1547</v>
      </c>
      <c r="O235" s="249">
        <v>1</v>
      </c>
      <c r="P235" s="272" t="s">
        <v>118</v>
      </c>
      <c r="Q235" s="349">
        <v>29.16</v>
      </c>
      <c r="R235" s="226">
        <v>0.15</v>
      </c>
      <c r="S235" s="99">
        <v>24.786000000000001</v>
      </c>
      <c r="T235" s="93"/>
      <c r="U235" s="224">
        <v>0.01</v>
      </c>
      <c r="V235" s="288" t="s">
        <v>1099</v>
      </c>
      <c r="W235" s="89" t="s">
        <v>433</v>
      </c>
      <c r="X235" s="114" t="s">
        <v>1047</v>
      </c>
    </row>
    <row r="236" spans="1:24" s="1" customFormat="1">
      <c r="A236" s="263" t="s">
        <v>1548</v>
      </c>
      <c r="B236" s="248" t="s">
        <v>1549</v>
      </c>
      <c r="C236" s="249">
        <v>1</v>
      </c>
      <c r="D236" s="272" t="s">
        <v>118</v>
      </c>
      <c r="E236" s="349">
        <v>20.83</v>
      </c>
      <c r="F236" s="252">
        <f t="shared" si="17"/>
        <v>0.09</v>
      </c>
      <c r="G236" s="99">
        <f t="shared" si="26"/>
        <v>18.955299999999998</v>
      </c>
      <c r="H236" s="93"/>
      <c r="I236" s="224">
        <v>0.05</v>
      </c>
      <c r="J236" s="288" t="s">
        <v>1099</v>
      </c>
      <c r="K236" s="89" t="s">
        <v>433</v>
      </c>
      <c r="L236" s="114" t="s">
        <v>1047</v>
      </c>
      <c r="M236" s="241" t="s">
        <v>1548</v>
      </c>
      <c r="N236" s="248" t="s">
        <v>1549</v>
      </c>
      <c r="O236" s="249">
        <v>1</v>
      </c>
      <c r="P236" s="272" t="s">
        <v>118</v>
      </c>
      <c r="Q236" s="349">
        <v>20.83</v>
      </c>
      <c r="R236" s="252">
        <v>0.09</v>
      </c>
      <c r="S236" s="99">
        <v>18.955299999999998</v>
      </c>
      <c r="T236" s="93"/>
      <c r="U236" s="224">
        <v>0.05</v>
      </c>
      <c r="V236" s="288" t="s">
        <v>1099</v>
      </c>
      <c r="W236" s="89" t="s">
        <v>433</v>
      </c>
      <c r="X236" s="114" t="s">
        <v>1047</v>
      </c>
    </row>
    <row r="237" spans="1:24" s="1" customFormat="1">
      <c r="A237" s="263" t="s">
        <v>1550</v>
      </c>
      <c r="B237" s="248" t="s">
        <v>1551</v>
      </c>
      <c r="C237" s="249">
        <v>1</v>
      </c>
      <c r="D237" s="272" t="s">
        <v>118</v>
      </c>
      <c r="E237" s="349">
        <v>45.83</v>
      </c>
      <c r="F237" s="252">
        <f t="shared" si="17"/>
        <v>0.09</v>
      </c>
      <c r="G237" s="99">
        <f t="shared" si="26"/>
        <v>41.705300000000001</v>
      </c>
      <c r="H237" s="93"/>
      <c r="I237" s="224">
        <v>0.01</v>
      </c>
      <c r="J237" s="288" t="s">
        <v>1099</v>
      </c>
      <c r="K237" s="89" t="s">
        <v>433</v>
      </c>
      <c r="L237" s="114" t="s">
        <v>1047</v>
      </c>
      <c r="M237" s="241" t="s">
        <v>1550</v>
      </c>
      <c r="N237" s="248" t="s">
        <v>1552</v>
      </c>
      <c r="O237" s="249">
        <v>1</v>
      </c>
      <c r="P237" s="272" t="s">
        <v>118</v>
      </c>
      <c r="Q237" s="349">
        <v>45.83</v>
      </c>
      <c r="R237" s="252">
        <v>0.09</v>
      </c>
      <c r="S237" s="99">
        <v>41.705300000000001</v>
      </c>
      <c r="T237" s="93"/>
      <c r="U237" s="224">
        <v>0.01</v>
      </c>
      <c r="V237" s="288" t="s">
        <v>1099</v>
      </c>
      <c r="W237" s="89" t="s">
        <v>433</v>
      </c>
      <c r="X237" s="114" t="s">
        <v>1047</v>
      </c>
    </row>
    <row r="238" spans="1:24" s="1" customFormat="1">
      <c r="A238" s="263" t="s">
        <v>1553</v>
      </c>
      <c r="B238" s="248" t="s">
        <v>1554</v>
      </c>
      <c r="C238" s="249">
        <v>1</v>
      </c>
      <c r="D238" s="272" t="s">
        <v>118</v>
      </c>
      <c r="E238" s="349">
        <v>20.81</v>
      </c>
      <c r="F238" s="252">
        <f t="shared" si="16"/>
        <v>0.09</v>
      </c>
      <c r="G238" s="99">
        <f t="shared" si="26"/>
        <v>18.937099999999997</v>
      </c>
      <c r="H238" s="93"/>
      <c r="I238" s="224">
        <v>0.02</v>
      </c>
      <c r="J238" s="288" t="s">
        <v>1099</v>
      </c>
      <c r="K238" s="89" t="s">
        <v>433</v>
      </c>
      <c r="L238" s="114" t="s">
        <v>1047</v>
      </c>
      <c r="M238" s="241" t="s">
        <v>1553</v>
      </c>
      <c r="N238" s="248" t="s">
        <v>1554</v>
      </c>
      <c r="O238" s="249">
        <v>1</v>
      </c>
      <c r="P238" s="272" t="s">
        <v>118</v>
      </c>
      <c r="Q238" s="349">
        <v>20.81</v>
      </c>
      <c r="R238" s="252">
        <v>0.09</v>
      </c>
      <c r="S238" s="99">
        <v>18.937099999999997</v>
      </c>
      <c r="T238" s="93"/>
      <c r="U238" s="224">
        <v>0.02</v>
      </c>
      <c r="V238" s="288" t="s">
        <v>1099</v>
      </c>
      <c r="W238" s="89" t="s">
        <v>433</v>
      </c>
      <c r="X238" s="114" t="s">
        <v>1047</v>
      </c>
    </row>
    <row r="239" spans="1:24" s="1" customFormat="1">
      <c r="A239" s="263" t="s">
        <v>1555</v>
      </c>
      <c r="B239" s="248" t="s">
        <v>1556</v>
      </c>
      <c r="C239" s="249">
        <v>1</v>
      </c>
      <c r="D239" s="272" t="s">
        <v>1533</v>
      </c>
      <c r="E239" s="348">
        <v>51.59</v>
      </c>
      <c r="F239" s="226">
        <f t="shared" si="24"/>
        <v>0.2</v>
      </c>
      <c r="G239" s="67">
        <f t="shared" si="26"/>
        <v>41.272000000000006</v>
      </c>
      <c r="H239" s="93"/>
      <c r="I239" s="224">
        <v>0.02</v>
      </c>
      <c r="J239" s="288" t="s">
        <v>1099</v>
      </c>
      <c r="K239" s="89" t="s">
        <v>433</v>
      </c>
      <c r="L239" s="114" t="s">
        <v>1047</v>
      </c>
      <c r="M239" s="241" t="s">
        <v>1555</v>
      </c>
      <c r="N239" s="248" t="s">
        <v>1557</v>
      </c>
      <c r="O239" s="249">
        <v>1</v>
      </c>
      <c r="P239" s="272" t="s">
        <v>1533</v>
      </c>
      <c r="Q239" s="348">
        <v>51.59</v>
      </c>
      <c r="R239" s="226">
        <v>0.2</v>
      </c>
      <c r="S239" s="67">
        <v>41.272000000000006</v>
      </c>
      <c r="T239" s="93"/>
      <c r="U239" s="224">
        <v>0.02</v>
      </c>
      <c r="V239" s="288" t="s">
        <v>1099</v>
      </c>
      <c r="W239" s="89" t="s">
        <v>433</v>
      </c>
      <c r="X239" s="114" t="s">
        <v>1047</v>
      </c>
    </row>
    <row r="240" spans="1:24" s="1" customFormat="1">
      <c r="A240" s="263" t="s">
        <v>1558</v>
      </c>
      <c r="B240" s="248" t="s">
        <v>1559</v>
      </c>
      <c r="C240" s="249">
        <v>1</v>
      </c>
      <c r="D240" s="272" t="s">
        <v>1533</v>
      </c>
      <c r="E240" s="348">
        <v>55.99</v>
      </c>
      <c r="F240" s="226">
        <f t="shared" si="24"/>
        <v>0.2</v>
      </c>
      <c r="G240" s="67">
        <f t="shared" si="26"/>
        <v>44.792000000000002</v>
      </c>
      <c r="H240" s="93"/>
      <c r="I240" s="224">
        <v>0.05</v>
      </c>
      <c r="J240" s="288" t="s">
        <v>1099</v>
      </c>
      <c r="K240" s="89" t="s">
        <v>433</v>
      </c>
      <c r="L240" s="114" t="s">
        <v>1047</v>
      </c>
      <c r="M240" s="241" t="s">
        <v>1558</v>
      </c>
      <c r="N240" s="248" t="s">
        <v>1560</v>
      </c>
      <c r="O240" s="249">
        <v>1</v>
      </c>
      <c r="P240" s="272" t="s">
        <v>1533</v>
      </c>
      <c r="Q240" s="348">
        <v>55.99</v>
      </c>
      <c r="R240" s="226">
        <v>0.2</v>
      </c>
      <c r="S240" s="67">
        <v>44.792000000000002</v>
      </c>
      <c r="T240" s="93"/>
      <c r="U240" s="224">
        <v>0.05</v>
      </c>
      <c r="V240" s="288" t="s">
        <v>1099</v>
      </c>
      <c r="W240" s="89" t="s">
        <v>433</v>
      </c>
      <c r="X240" s="114" t="s">
        <v>1047</v>
      </c>
    </row>
    <row r="241" spans="1:24" s="1" customFormat="1">
      <c r="A241" s="263" t="s">
        <v>1561</v>
      </c>
      <c r="B241" s="248" t="s">
        <v>1562</v>
      </c>
      <c r="C241" s="249">
        <v>1</v>
      </c>
      <c r="D241" s="272" t="s">
        <v>1442</v>
      </c>
      <c r="E241" s="349">
        <v>24.99</v>
      </c>
      <c r="F241" s="226">
        <f t="shared" si="18"/>
        <v>0.2</v>
      </c>
      <c r="G241" s="99">
        <f t="shared" si="26"/>
        <v>19.991999999999997</v>
      </c>
      <c r="H241" s="93"/>
      <c r="I241" s="224">
        <v>0.01</v>
      </c>
      <c r="J241" s="288" t="s">
        <v>1099</v>
      </c>
      <c r="K241" s="89" t="s">
        <v>433</v>
      </c>
      <c r="L241" s="114" t="s">
        <v>1047</v>
      </c>
      <c r="M241" s="241" t="s">
        <v>1561</v>
      </c>
      <c r="N241" s="248" t="s">
        <v>1562</v>
      </c>
      <c r="O241" s="249">
        <v>1</v>
      </c>
      <c r="P241" s="272" t="s">
        <v>1442</v>
      </c>
      <c r="Q241" s="349">
        <v>24.99</v>
      </c>
      <c r="R241" s="226">
        <v>0.2</v>
      </c>
      <c r="S241" s="99">
        <v>19.991999999999997</v>
      </c>
      <c r="T241" s="93"/>
      <c r="U241" s="224">
        <v>0.01</v>
      </c>
      <c r="V241" s="288" t="s">
        <v>1099</v>
      </c>
      <c r="W241" s="89" t="s">
        <v>433</v>
      </c>
      <c r="X241" s="114" t="s">
        <v>1047</v>
      </c>
    </row>
    <row r="242" spans="1:24" s="1" customFormat="1">
      <c r="A242" s="263" t="s">
        <v>1563</v>
      </c>
      <c r="B242" s="248" t="s">
        <v>1564</v>
      </c>
      <c r="C242" s="249">
        <v>1</v>
      </c>
      <c r="D242" s="272" t="s">
        <v>1533</v>
      </c>
      <c r="E242" s="349">
        <v>13.99</v>
      </c>
      <c r="F242" s="226">
        <f>rv_20</f>
        <v>0.2</v>
      </c>
      <c r="G242" s="99">
        <f t="shared" si="26"/>
        <v>11.192</v>
      </c>
      <c r="H242" s="93"/>
      <c r="I242" s="224">
        <v>0.02</v>
      </c>
      <c r="J242" s="288" t="s">
        <v>1099</v>
      </c>
      <c r="K242" s="89" t="s">
        <v>433</v>
      </c>
      <c r="L242" s="114" t="s">
        <v>1047</v>
      </c>
      <c r="M242" s="241" t="s">
        <v>1563</v>
      </c>
      <c r="N242" s="248" t="s">
        <v>1565</v>
      </c>
      <c r="O242" s="249">
        <v>1</v>
      </c>
      <c r="P242" s="272" t="s">
        <v>1533</v>
      </c>
      <c r="Q242" s="349">
        <v>11.99</v>
      </c>
      <c r="R242" s="226">
        <v>0.1</v>
      </c>
      <c r="S242" s="99">
        <v>10.791</v>
      </c>
      <c r="T242" s="93"/>
      <c r="U242" s="224">
        <v>0.02</v>
      </c>
      <c r="V242" s="288" t="s">
        <v>1099</v>
      </c>
      <c r="W242" s="89" t="s">
        <v>433</v>
      </c>
      <c r="X242" s="114" t="s">
        <v>1047</v>
      </c>
    </row>
    <row r="243" spans="1:24" s="1" customFormat="1">
      <c r="A243" s="263" t="s">
        <v>2985</v>
      </c>
      <c r="B243" s="248" t="s">
        <v>1567</v>
      </c>
      <c r="C243" s="249">
        <v>1</v>
      </c>
      <c r="D243" s="272" t="s">
        <v>1357</v>
      </c>
      <c r="E243" s="349">
        <v>50.01</v>
      </c>
      <c r="F243" s="226">
        <f>rv_20</f>
        <v>0.2</v>
      </c>
      <c r="G243" s="99">
        <f t="shared" si="26"/>
        <v>40.007999999999996</v>
      </c>
      <c r="H243" s="93"/>
      <c r="I243" s="224">
        <v>0.02</v>
      </c>
      <c r="J243" s="288" t="s">
        <v>1099</v>
      </c>
      <c r="K243" s="89" t="s">
        <v>433</v>
      </c>
      <c r="L243" s="114" t="s">
        <v>1047</v>
      </c>
      <c r="M243" s="241"/>
      <c r="N243" s="248"/>
      <c r="O243" s="249"/>
      <c r="P243" s="272"/>
      <c r="Q243" s="349"/>
      <c r="R243" s="226"/>
      <c r="S243" s="99"/>
      <c r="T243" s="93"/>
      <c r="U243" s="224"/>
      <c r="V243" s="288"/>
      <c r="W243" s="89"/>
      <c r="X243" s="114"/>
    </row>
    <row r="244" spans="1:24" s="1" customFormat="1">
      <c r="A244" s="263" t="s">
        <v>1566</v>
      </c>
      <c r="B244" s="248" t="s">
        <v>1568</v>
      </c>
      <c r="C244" s="249">
        <v>1</v>
      </c>
      <c r="D244" s="272" t="s">
        <v>1357</v>
      </c>
      <c r="E244" s="349">
        <v>50.01</v>
      </c>
      <c r="F244" s="226">
        <f>rv_20</f>
        <v>0.2</v>
      </c>
      <c r="G244" s="99">
        <f t="shared" si="26"/>
        <v>40.007999999999996</v>
      </c>
      <c r="H244" s="93"/>
      <c r="I244" s="224">
        <v>0.02</v>
      </c>
      <c r="J244" s="288" t="s">
        <v>1099</v>
      </c>
      <c r="K244" s="89" t="s">
        <v>433</v>
      </c>
      <c r="L244" s="114" t="s">
        <v>1047</v>
      </c>
      <c r="M244" s="241"/>
      <c r="N244" s="248"/>
      <c r="O244" s="249"/>
      <c r="P244" s="272"/>
      <c r="Q244" s="349"/>
      <c r="R244" s="226"/>
      <c r="S244" s="99"/>
      <c r="T244" s="93"/>
      <c r="U244" s="224"/>
      <c r="V244" s="288"/>
      <c r="W244" s="89"/>
      <c r="X244" s="114"/>
    </row>
    <row r="245" spans="1:24" s="1" customFormat="1" ht="13.5" thickBot="1">
      <c r="A245" s="263" t="s">
        <v>1569</v>
      </c>
      <c r="B245" s="248" t="s">
        <v>1570</v>
      </c>
      <c r="C245" s="249">
        <v>1</v>
      </c>
      <c r="D245" s="272" t="s">
        <v>1442</v>
      </c>
      <c r="E245" s="349">
        <v>57.82</v>
      </c>
      <c r="F245" s="226">
        <f>rv_20</f>
        <v>0.2</v>
      </c>
      <c r="G245" s="99">
        <f t="shared" si="26"/>
        <v>46.256</v>
      </c>
      <c r="H245" s="93"/>
      <c r="I245" s="224">
        <v>0.01</v>
      </c>
      <c r="J245" s="288" t="s">
        <v>1099</v>
      </c>
      <c r="K245" s="89" t="s">
        <v>433</v>
      </c>
      <c r="L245" s="114" t="s">
        <v>1047</v>
      </c>
      <c r="M245" s="241"/>
      <c r="N245" s="248"/>
      <c r="O245" s="249"/>
      <c r="P245" s="272"/>
      <c r="Q245" s="349"/>
      <c r="R245" s="226"/>
      <c r="S245" s="99"/>
      <c r="T245" s="93"/>
      <c r="U245" s="224"/>
      <c r="V245" s="288"/>
      <c r="W245" s="89"/>
      <c r="X245" s="114"/>
    </row>
    <row r="246" spans="1:24" s="1" customFormat="1" ht="24" customHeight="1" thickBot="1">
      <c r="A246" s="680" t="s">
        <v>1571</v>
      </c>
      <c r="B246" s="458" t="s">
        <v>1572</v>
      </c>
      <c r="C246" s="459"/>
      <c r="D246" s="459"/>
      <c r="E246" s="460"/>
      <c r="F246" s="461"/>
      <c r="G246" s="460"/>
      <c r="H246" s="460"/>
      <c r="I246" s="460"/>
      <c r="J246" s="635"/>
      <c r="K246" s="462"/>
      <c r="L246" s="463"/>
      <c r="M246" s="474" t="s">
        <v>1571</v>
      </c>
      <c r="N246" s="458" t="s">
        <v>1572</v>
      </c>
      <c r="O246" s="459"/>
      <c r="P246" s="459"/>
      <c r="Q246" s="460"/>
      <c r="R246" s="461"/>
      <c r="S246" s="460"/>
      <c r="T246" s="460"/>
      <c r="U246" s="460"/>
      <c r="V246" s="635"/>
      <c r="W246" s="462"/>
      <c r="X246" s="463"/>
    </row>
    <row r="247" spans="1:24" s="1" customFormat="1">
      <c r="A247" s="263" t="s">
        <v>1573</v>
      </c>
      <c r="B247" s="248" t="s">
        <v>1574</v>
      </c>
      <c r="C247" s="249">
        <v>1</v>
      </c>
      <c r="D247" s="272" t="s">
        <v>118</v>
      </c>
      <c r="E247" s="349">
        <v>45.81</v>
      </c>
      <c r="F247" s="226">
        <f t="shared" ref="F247:F260" si="27">rv_apple_acc_mac</f>
        <v>0.09</v>
      </c>
      <c r="G247" s="99">
        <f t="shared" ref="G247:G252" si="28">E247-(E247*F247)</f>
        <v>41.687100000000001</v>
      </c>
      <c r="H247" s="93"/>
      <c r="I247" s="224">
        <v>0.02</v>
      </c>
      <c r="J247" s="288" t="s">
        <v>1099</v>
      </c>
      <c r="K247" s="89" t="s">
        <v>433</v>
      </c>
      <c r="L247" s="114" t="s">
        <v>1047</v>
      </c>
      <c r="M247" s="241" t="s">
        <v>1573</v>
      </c>
      <c r="N247" s="248" t="s">
        <v>1574</v>
      </c>
      <c r="O247" s="249">
        <v>1</v>
      </c>
      <c r="P247" s="272" t="s">
        <v>118</v>
      </c>
      <c r="Q247" s="349">
        <v>45.81</v>
      </c>
      <c r="R247" s="226">
        <v>0.09</v>
      </c>
      <c r="S247" s="99">
        <v>41.687100000000001</v>
      </c>
      <c r="T247" s="93"/>
      <c r="U247" s="224">
        <v>0.02</v>
      </c>
      <c r="V247" s="288" t="s">
        <v>1099</v>
      </c>
      <c r="W247" s="89" t="s">
        <v>433</v>
      </c>
      <c r="X247" s="114" t="s">
        <v>1047</v>
      </c>
    </row>
    <row r="248" spans="1:24" s="1" customFormat="1">
      <c r="A248" s="263" t="s">
        <v>1575</v>
      </c>
      <c r="B248" s="248" t="s">
        <v>1576</v>
      </c>
      <c r="C248" s="249">
        <v>1</v>
      </c>
      <c r="D248" s="272" t="s">
        <v>118</v>
      </c>
      <c r="E248" s="349">
        <v>65.81</v>
      </c>
      <c r="F248" s="226">
        <f>rv_apple_acc_mac</f>
        <v>0.09</v>
      </c>
      <c r="G248" s="99">
        <f t="shared" si="28"/>
        <v>59.887100000000004</v>
      </c>
      <c r="H248" s="93"/>
      <c r="I248" s="224">
        <v>0.02</v>
      </c>
      <c r="J248" s="288" t="s">
        <v>1099</v>
      </c>
      <c r="K248" s="89" t="s">
        <v>433</v>
      </c>
      <c r="L248" s="114" t="s">
        <v>1047</v>
      </c>
      <c r="M248" s="241" t="s">
        <v>1575</v>
      </c>
      <c r="N248" s="248" t="s">
        <v>1577</v>
      </c>
      <c r="O248" s="249">
        <v>1</v>
      </c>
      <c r="P248" s="272" t="s">
        <v>118</v>
      </c>
      <c r="Q248" s="349">
        <v>65.81</v>
      </c>
      <c r="R248" s="226">
        <v>0.09</v>
      </c>
      <c r="S248" s="99">
        <v>59.887100000000004</v>
      </c>
      <c r="T248" s="93"/>
      <c r="U248" s="224">
        <v>0.02</v>
      </c>
      <c r="V248" s="288" t="s">
        <v>1099</v>
      </c>
      <c r="W248" s="89" t="s">
        <v>433</v>
      </c>
      <c r="X248" s="114" t="s">
        <v>1047</v>
      </c>
    </row>
    <row r="249" spans="1:24" s="1" customFormat="1">
      <c r="A249" s="263" t="s">
        <v>1578</v>
      </c>
      <c r="B249" s="248" t="s">
        <v>1579</v>
      </c>
      <c r="C249" s="249">
        <v>1</v>
      </c>
      <c r="D249" s="272" t="s">
        <v>118</v>
      </c>
      <c r="E249" s="349">
        <v>65.81</v>
      </c>
      <c r="F249" s="226">
        <f>rv_apple_acc_mac</f>
        <v>0.09</v>
      </c>
      <c r="G249" s="99">
        <f t="shared" si="28"/>
        <v>59.887100000000004</v>
      </c>
      <c r="H249" s="93"/>
      <c r="I249" s="224">
        <v>0.02</v>
      </c>
      <c r="J249" s="288" t="s">
        <v>1099</v>
      </c>
      <c r="K249" s="89" t="s">
        <v>433</v>
      </c>
      <c r="L249" s="114" t="s">
        <v>1047</v>
      </c>
      <c r="M249" s="241" t="s">
        <v>1578</v>
      </c>
      <c r="N249" s="248" t="s">
        <v>1580</v>
      </c>
      <c r="O249" s="249">
        <v>1</v>
      </c>
      <c r="P249" s="272" t="s">
        <v>118</v>
      </c>
      <c r="Q249" s="349">
        <v>65.81</v>
      </c>
      <c r="R249" s="226">
        <v>0.09</v>
      </c>
      <c r="S249" s="99">
        <v>59.887100000000004</v>
      </c>
      <c r="T249" s="93"/>
      <c r="U249" s="224">
        <v>0.02</v>
      </c>
      <c r="V249" s="288" t="s">
        <v>1099</v>
      </c>
      <c r="W249" s="89" t="s">
        <v>433</v>
      </c>
      <c r="X249" s="114" t="s">
        <v>1047</v>
      </c>
    </row>
    <row r="250" spans="1:24" s="1" customFormat="1">
      <c r="A250" s="263" t="s">
        <v>1581</v>
      </c>
      <c r="B250" s="248" t="s">
        <v>1582</v>
      </c>
      <c r="C250" s="249">
        <v>1</v>
      </c>
      <c r="D250" s="272" t="s">
        <v>118</v>
      </c>
      <c r="E250" s="349">
        <v>37.49</v>
      </c>
      <c r="F250" s="226">
        <f t="shared" si="27"/>
        <v>0.09</v>
      </c>
      <c r="G250" s="99">
        <f t="shared" si="28"/>
        <v>34.115900000000003</v>
      </c>
      <c r="H250" s="93"/>
      <c r="I250" s="224">
        <v>0.01</v>
      </c>
      <c r="J250" s="288" t="s">
        <v>1099</v>
      </c>
      <c r="K250" s="89" t="s">
        <v>433</v>
      </c>
      <c r="L250" s="114" t="s">
        <v>1047</v>
      </c>
      <c r="M250" s="241" t="s">
        <v>1581</v>
      </c>
      <c r="N250" s="248" t="s">
        <v>1583</v>
      </c>
      <c r="O250" s="249">
        <v>1</v>
      </c>
      <c r="P250" s="272" t="s">
        <v>118</v>
      </c>
      <c r="Q250" s="349">
        <v>37.49</v>
      </c>
      <c r="R250" s="226">
        <v>0.09</v>
      </c>
      <c r="S250" s="99">
        <v>34.115900000000003</v>
      </c>
      <c r="T250" s="93"/>
      <c r="U250" s="224">
        <v>0.01</v>
      </c>
      <c r="V250" s="288" t="s">
        <v>1099</v>
      </c>
      <c r="W250" s="89" t="s">
        <v>433</v>
      </c>
      <c r="X250" s="114" t="s">
        <v>1047</v>
      </c>
    </row>
    <row r="251" spans="1:24" s="1" customFormat="1">
      <c r="A251" s="263" t="s">
        <v>1584</v>
      </c>
      <c r="B251" s="248" t="s">
        <v>1585</v>
      </c>
      <c r="C251" s="249">
        <v>1</v>
      </c>
      <c r="D251" s="272" t="s">
        <v>118</v>
      </c>
      <c r="E251" s="349">
        <v>29.15</v>
      </c>
      <c r="F251" s="226">
        <f>rv_apple_acc_mac</f>
        <v>0.09</v>
      </c>
      <c r="G251" s="99">
        <f t="shared" si="28"/>
        <v>26.526499999999999</v>
      </c>
      <c r="H251" s="93"/>
      <c r="I251" s="224">
        <v>0.02</v>
      </c>
      <c r="J251" s="288" t="s">
        <v>1099</v>
      </c>
      <c r="K251" s="89" t="s">
        <v>433</v>
      </c>
      <c r="L251" s="114" t="s">
        <v>1047</v>
      </c>
      <c r="M251" s="241" t="s">
        <v>1584</v>
      </c>
      <c r="N251" s="248" t="s">
        <v>1585</v>
      </c>
      <c r="O251" s="249">
        <v>1</v>
      </c>
      <c r="P251" s="272" t="s">
        <v>118</v>
      </c>
      <c r="Q251" s="349">
        <v>29.15</v>
      </c>
      <c r="R251" s="226">
        <v>0.09</v>
      </c>
      <c r="S251" s="99">
        <v>26.526499999999999</v>
      </c>
      <c r="T251" s="93"/>
      <c r="U251" s="224">
        <v>0.02</v>
      </c>
      <c r="V251" s="288" t="s">
        <v>1099</v>
      </c>
      <c r="W251" s="89" t="s">
        <v>433</v>
      </c>
      <c r="X251" s="114" t="s">
        <v>1047</v>
      </c>
    </row>
    <row r="252" spans="1:24" s="1" customFormat="1">
      <c r="A252" s="263" t="s">
        <v>1586</v>
      </c>
      <c r="B252" s="248" t="s">
        <v>1587</v>
      </c>
      <c r="C252" s="249">
        <v>1</v>
      </c>
      <c r="D252" s="272" t="s">
        <v>118</v>
      </c>
      <c r="E252" s="349">
        <v>29.16</v>
      </c>
      <c r="F252" s="226">
        <f>rv_apple_acc_mac</f>
        <v>0.09</v>
      </c>
      <c r="G252" s="99">
        <f t="shared" si="28"/>
        <v>26.535599999999999</v>
      </c>
      <c r="H252" s="93"/>
      <c r="I252" s="224">
        <v>0.01</v>
      </c>
      <c r="J252" s="288" t="s">
        <v>1099</v>
      </c>
      <c r="K252" s="89" t="s">
        <v>433</v>
      </c>
      <c r="L252" s="114" t="s">
        <v>1047</v>
      </c>
      <c r="M252" s="241" t="s">
        <v>1586</v>
      </c>
      <c r="N252" s="248" t="s">
        <v>1587</v>
      </c>
      <c r="O252" s="249">
        <v>1</v>
      </c>
      <c r="P252" s="272" t="s">
        <v>118</v>
      </c>
      <c r="Q252" s="349">
        <v>29.16</v>
      </c>
      <c r="R252" s="226">
        <v>0.09</v>
      </c>
      <c r="S252" s="99">
        <v>26.535599999999999</v>
      </c>
      <c r="T252" s="93"/>
      <c r="U252" s="224">
        <v>0.01</v>
      </c>
      <c r="V252" s="288" t="s">
        <v>1099</v>
      </c>
      <c r="W252" s="89" t="s">
        <v>433</v>
      </c>
      <c r="X252" s="114" t="s">
        <v>1047</v>
      </c>
    </row>
    <row r="253" spans="1:24" s="1" customFormat="1">
      <c r="A253" s="263"/>
      <c r="B253" s="248"/>
      <c r="C253" s="249"/>
      <c r="D253" s="272"/>
      <c r="E253" s="349"/>
      <c r="F253" s="226"/>
      <c r="G253" s="99"/>
      <c r="H253" s="93"/>
      <c r="I253" s="224"/>
      <c r="J253" s="288"/>
      <c r="K253" s="89"/>
      <c r="L253" s="114"/>
      <c r="M253" s="643" t="s">
        <v>1588</v>
      </c>
      <c r="N253" s="644" t="s">
        <v>1589</v>
      </c>
      <c r="O253" s="645">
        <v>1</v>
      </c>
      <c r="P253" s="646" t="s">
        <v>118</v>
      </c>
      <c r="Q253" s="647">
        <v>29.15</v>
      </c>
      <c r="R253" s="648">
        <v>0.09</v>
      </c>
      <c r="S253" s="649">
        <v>26.526499999999999</v>
      </c>
      <c r="T253" s="650"/>
      <c r="U253" s="651">
        <v>0.02</v>
      </c>
      <c r="V253" s="288" t="s">
        <v>1099</v>
      </c>
      <c r="W253" s="89" t="s">
        <v>433</v>
      </c>
      <c r="X253" s="114" t="s">
        <v>1047</v>
      </c>
    </row>
    <row r="254" spans="1:24" s="1" customFormat="1">
      <c r="A254" s="263" t="s">
        <v>1590</v>
      </c>
      <c r="B254" s="248" t="s">
        <v>1591</v>
      </c>
      <c r="C254" s="249">
        <v>1</v>
      </c>
      <c r="D254" s="272" t="s">
        <v>118</v>
      </c>
      <c r="E254" s="349">
        <v>32.49</v>
      </c>
      <c r="F254" s="226">
        <f>rv_apple_acc_ipad</f>
        <v>0.15</v>
      </c>
      <c r="G254" s="99">
        <f t="shared" ref="G254:G288" si="29">E254-(E254*F254)</f>
        <v>27.616500000000002</v>
      </c>
      <c r="H254" s="93"/>
      <c r="I254" s="224">
        <v>0.01</v>
      </c>
      <c r="J254" s="288" t="s">
        <v>1099</v>
      </c>
      <c r="K254" s="89" t="s">
        <v>433</v>
      </c>
      <c r="L254" s="114" t="s">
        <v>1047</v>
      </c>
      <c r="M254" s="241" t="s">
        <v>1590</v>
      </c>
      <c r="N254" s="248" t="s">
        <v>1591</v>
      </c>
      <c r="O254" s="249">
        <v>1</v>
      </c>
      <c r="P254" s="272" t="s">
        <v>118</v>
      </c>
      <c r="Q254" s="349">
        <v>32.49</v>
      </c>
      <c r="R254" s="226">
        <v>0.15</v>
      </c>
      <c r="S254" s="99">
        <v>27.616500000000002</v>
      </c>
      <c r="T254" s="93"/>
      <c r="U254" s="224">
        <v>0.01</v>
      </c>
      <c r="V254" s="288" t="s">
        <v>1099</v>
      </c>
      <c r="W254" s="89" t="s">
        <v>433</v>
      </c>
      <c r="X254" s="114" t="s">
        <v>1047</v>
      </c>
    </row>
    <row r="255" spans="1:24" s="1" customFormat="1">
      <c r="A255" s="263" t="s">
        <v>1592</v>
      </c>
      <c r="B255" s="248" t="s">
        <v>1593</v>
      </c>
      <c r="C255" s="249">
        <v>1</v>
      </c>
      <c r="D255" s="272" t="s">
        <v>118</v>
      </c>
      <c r="E255" s="349">
        <v>49.16</v>
      </c>
      <c r="F255" s="226">
        <f t="shared" si="25"/>
        <v>0.15</v>
      </c>
      <c r="G255" s="99">
        <f t="shared" si="29"/>
        <v>41.786000000000001</v>
      </c>
      <c r="H255" s="93"/>
      <c r="I255" s="224">
        <v>0.01</v>
      </c>
      <c r="J255" s="288" t="s">
        <v>1099</v>
      </c>
      <c r="K255" s="89" t="s">
        <v>433</v>
      </c>
      <c r="L255" s="114" t="s">
        <v>1047</v>
      </c>
      <c r="M255" s="241" t="s">
        <v>1592</v>
      </c>
      <c r="N255" s="248" t="s">
        <v>1593</v>
      </c>
      <c r="O255" s="249">
        <v>1</v>
      </c>
      <c r="P255" s="272" t="s">
        <v>118</v>
      </c>
      <c r="Q255" s="349">
        <v>49.16</v>
      </c>
      <c r="R255" s="226">
        <v>0.15</v>
      </c>
      <c r="S255" s="99">
        <v>41.786000000000001</v>
      </c>
      <c r="T255" s="93"/>
      <c r="U255" s="224">
        <v>0.01</v>
      </c>
      <c r="V255" s="288" t="s">
        <v>1099</v>
      </c>
      <c r="W255" s="89" t="s">
        <v>433</v>
      </c>
      <c r="X255" s="114" t="s">
        <v>1047</v>
      </c>
    </row>
    <row r="256" spans="1:24" s="1" customFormat="1">
      <c r="A256" s="263" t="s">
        <v>1594</v>
      </c>
      <c r="B256" s="248" t="s">
        <v>1595</v>
      </c>
      <c r="C256" s="249">
        <v>1</v>
      </c>
      <c r="D256" s="272" t="s">
        <v>118</v>
      </c>
      <c r="E256" s="349">
        <v>32.49</v>
      </c>
      <c r="F256" s="226">
        <f t="shared" si="25"/>
        <v>0.15</v>
      </c>
      <c r="G256" s="99">
        <f t="shared" si="29"/>
        <v>27.616500000000002</v>
      </c>
      <c r="H256" s="93"/>
      <c r="I256" s="224">
        <v>0.01</v>
      </c>
      <c r="J256" s="288" t="s">
        <v>1099</v>
      </c>
      <c r="K256" s="89" t="s">
        <v>433</v>
      </c>
      <c r="L256" s="114" t="s">
        <v>1047</v>
      </c>
      <c r="M256" s="241" t="s">
        <v>1594</v>
      </c>
      <c r="N256" s="248" t="s">
        <v>1595</v>
      </c>
      <c r="O256" s="249">
        <v>1</v>
      </c>
      <c r="P256" s="272" t="s">
        <v>118</v>
      </c>
      <c r="Q256" s="349">
        <v>32.49</v>
      </c>
      <c r="R256" s="226">
        <v>0.15</v>
      </c>
      <c r="S256" s="99">
        <v>27.616500000000002</v>
      </c>
      <c r="T256" s="93"/>
      <c r="U256" s="224">
        <v>0.01</v>
      </c>
      <c r="V256" s="288" t="s">
        <v>1099</v>
      </c>
      <c r="W256" s="89" t="s">
        <v>433</v>
      </c>
      <c r="X256" s="114" t="s">
        <v>1047</v>
      </c>
    </row>
    <row r="257" spans="1:24" s="1" customFormat="1">
      <c r="A257" s="263" t="s">
        <v>1596</v>
      </c>
      <c r="B257" s="248" t="s">
        <v>1597</v>
      </c>
      <c r="C257" s="249">
        <v>1</v>
      </c>
      <c r="D257" s="272" t="s">
        <v>118</v>
      </c>
      <c r="E257" s="349">
        <v>40.82</v>
      </c>
      <c r="F257" s="226">
        <f>rv_apple_acc_ipad</f>
        <v>0.15</v>
      </c>
      <c r="G257" s="99">
        <f t="shared" si="29"/>
        <v>34.697000000000003</v>
      </c>
      <c r="H257" s="93"/>
      <c r="I257" s="224">
        <v>0.02</v>
      </c>
      <c r="J257" s="288" t="s">
        <v>1099</v>
      </c>
      <c r="K257" s="89" t="s">
        <v>433</v>
      </c>
      <c r="L257" s="114" t="s">
        <v>1047</v>
      </c>
      <c r="M257" s="241" t="s">
        <v>1596</v>
      </c>
      <c r="N257" s="248" t="s">
        <v>1597</v>
      </c>
      <c r="O257" s="249">
        <v>1</v>
      </c>
      <c r="P257" s="272" t="s">
        <v>118</v>
      </c>
      <c r="Q257" s="349">
        <v>40.82</v>
      </c>
      <c r="R257" s="226">
        <v>0.15</v>
      </c>
      <c r="S257" s="99">
        <v>34.697000000000003</v>
      </c>
      <c r="T257" s="93"/>
      <c r="U257" s="224">
        <v>0.02</v>
      </c>
      <c r="V257" s="288" t="s">
        <v>1099</v>
      </c>
      <c r="W257" s="89" t="s">
        <v>433</v>
      </c>
      <c r="X257" s="114" t="s">
        <v>1047</v>
      </c>
    </row>
    <row r="258" spans="1:24" s="1" customFormat="1">
      <c r="A258" s="263" t="s">
        <v>1598</v>
      </c>
      <c r="B258" s="248" t="s">
        <v>1599</v>
      </c>
      <c r="C258" s="249">
        <v>1</v>
      </c>
      <c r="D258" s="272" t="s">
        <v>118</v>
      </c>
      <c r="E258" s="349">
        <v>49.16</v>
      </c>
      <c r="F258" s="226">
        <f t="shared" si="25"/>
        <v>0.15</v>
      </c>
      <c r="G258" s="99">
        <f t="shared" si="29"/>
        <v>41.786000000000001</v>
      </c>
      <c r="H258" s="93"/>
      <c r="I258" s="224">
        <v>0.01</v>
      </c>
      <c r="J258" s="288" t="s">
        <v>1099</v>
      </c>
      <c r="K258" s="89" t="s">
        <v>433</v>
      </c>
      <c r="L258" s="114" t="s">
        <v>1047</v>
      </c>
      <c r="M258" s="241" t="s">
        <v>1598</v>
      </c>
      <c r="N258" s="248" t="s">
        <v>1599</v>
      </c>
      <c r="O258" s="249">
        <v>1</v>
      </c>
      <c r="P258" s="272" t="s">
        <v>118</v>
      </c>
      <c r="Q258" s="349">
        <v>49.16</v>
      </c>
      <c r="R258" s="226">
        <v>0.15</v>
      </c>
      <c r="S258" s="99">
        <v>41.786000000000001</v>
      </c>
      <c r="T258" s="93"/>
      <c r="U258" s="224">
        <v>0.01</v>
      </c>
      <c r="V258" s="288" t="s">
        <v>1099</v>
      </c>
      <c r="W258" s="89" t="s">
        <v>433</v>
      </c>
      <c r="X258" s="114" t="s">
        <v>1047</v>
      </c>
    </row>
    <row r="259" spans="1:24" s="1" customFormat="1">
      <c r="A259" s="263" t="s">
        <v>1600</v>
      </c>
      <c r="B259" s="248" t="s">
        <v>1601</v>
      </c>
      <c r="C259" s="249">
        <v>1</v>
      </c>
      <c r="D259" s="272" t="s">
        <v>118</v>
      </c>
      <c r="E259" s="349">
        <v>29.17</v>
      </c>
      <c r="F259" s="226">
        <f t="shared" si="25"/>
        <v>0.15</v>
      </c>
      <c r="G259" s="99">
        <f t="shared" si="29"/>
        <v>24.794500000000003</v>
      </c>
      <c r="H259" s="93"/>
      <c r="I259" s="224">
        <v>0.01</v>
      </c>
      <c r="J259" s="288" t="s">
        <v>1099</v>
      </c>
      <c r="K259" s="89" t="s">
        <v>433</v>
      </c>
      <c r="L259" s="114" t="s">
        <v>1047</v>
      </c>
      <c r="M259" s="241"/>
      <c r="N259" s="248"/>
      <c r="O259" s="249"/>
      <c r="P259" s="272"/>
      <c r="Q259" s="349"/>
      <c r="R259" s="226"/>
      <c r="S259" s="99"/>
      <c r="T259" s="93"/>
      <c r="U259" s="224"/>
      <c r="V259" s="288"/>
      <c r="W259" s="89"/>
      <c r="X259" s="114"/>
    </row>
    <row r="260" spans="1:24" s="1" customFormat="1">
      <c r="A260" s="263" t="s">
        <v>1602</v>
      </c>
      <c r="B260" s="248" t="s">
        <v>1603</v>
      </c>
      <c r="C260" s="249">
        <v>1</v>
      </c>
      <c r="D260" s="272" t="s">
        <v>118</v>
      </c>
      <c r="E260" s="349">
        <v>74.17</v>
      </c>
      <c r="F260" s="226">
        <f t="shared" si="27"/>
        <v>0.09</v>
      </c>
      <c r="G260" s="99">
        <f t="shared" si="29"/>
        <v>67.494699999999995</v>
      </c>
      <c r="H260" s="93"/>
      <c r="I260" s="224">
        <v>0.02</v>
      </c>
      <c r="J260" s="288" t="s">
        <v>1099</v>
      </c>
      <c r="K260" s="89" t="s">
        <v>433</v>
      </c>
      <c r="L260" s="114" t="s">
        <v>1047</v>
      </c>
      <c r="M260" s="241" t="s">
        <v>1602</v>
      </c>
      <c r="N260" s="248" t="s">
        <v>1603</v>
      </c>
      <c r="O260" s="249">
        <v>1</v>
      </c>
      <c r="P260" s="272" t="s">
        <v>118</v>
      </c>
      <c r="Q260" s="349">
        <v>74.17</v>
      </c>
      <c r="R260" s="226">
        <v>0.09</v>
      </c>
      <c r="S260" s="99">
        <v>67.494699999999995</v>
      </c>
      <c r="T260" s="93"/>
      <c r="U260" s="224">
        <v>0.02</v>
      </c>
      <c r="V260" s="288" t="s">
        <v>1099</v>
      </c>
      <c r="W260" s="89" t="s">
        <v>433</v>
      </c>
      <c r="X260" s="114" t="s">
        <v>1047</v>
      </c>
    </row>
    <row r="261" spans="1:24" s="1" customFormat="1">
      <c r="A261" s="263" t="s">
        <v>1604</v>
      </c>
      <c r="B261" s="248" t="s">
        <v>1605</v>
      </c>
      <c r="C261" s="249">
        <v>1</v>
      </c>
      <c r="D261" s="272" t="s">
        <v>118</v>
      </c>
      <c r="E261" s="349">
        <v>9.32</v>
      </c>
      <c r="F261" s="226">
        <f>rv_apple_acc_mac</f>
        <v>0.09</v>
      </c>
      <c r="G261" s="99">
        <f t="shared" si="29"/>
        <v>8.4812000000000012</v>
      </c>
      <c r="H261" s="93"/>
      <c r="I261" s="224">
        <v>0.01</v>
      </c>
      <c r="J261" s="288" t="s">
        <v>1099</v>
      </c>
      <c r="K261" s="89" t="s">
        <v>433</v>
      </c>
      <c r="L261" s="114" t="s">
        <v>1047</v>
      </c>
      <c r="M261" s="241" t="s">
        <v>1604</v>
      </c>
      <c r="N261" s="248" t="s">
        <v>1605</v>
      </c>
      <c r="O261" s="249">
        <v>1</v>
      </c>
      <c r="P261" s="272" t="s">
        <v>118</v>
      </c>
      <c r="Q261" s="349">
        <v>9.32</v>
      </c>
      <c r="R261" s="226">
        <v>0.09</v>
      </c>
      <c r="S261" s="99">
        <v>8.4812000000000012</v>
      </c>
      <c r="T261" s="93"/>
      <c r="U261" s="224">
        <v>0.01</v>
      </c>
      <c r="V261" s="288" t="s">
        <v>1099</v>
      </c>
      <c r="W261" s="89" t="s">
        <v>433</v>
      </c>
      <c r="X261" s="114" t="s">
        <v>1047</v>
      </c>
    </row>
    <row r="262" spans="1:24" s="1" customFormat="1">
      <c r="A262" s="263" t="s">
        <v>1606</v>
      </c>
      <c r="B262" s="248" t="s">
        <v>1607</v>
      </c>
      <c r="C262" s="249">
        <v>1</v>
      </c>
      <c r="D262" s="272" t="s">
        <v>118</v>
      </c>
      <c r="E262" s="349">
        <v>32.450000000000003</v>
      </c>
      <c r="F262" s="226">
        <f>rv_apple_acc_ipad</f>
        <v>0.15</v>
      </c>
      <c r="G262" s="99">
        <f t="shared" si="29"/>
        <v>27.582500000000003</v>
      </c>
      <c r="H262" s="93"/>
      <c r="I262" s="224">
        <v>0.05</v>
      </c>
      <c r="J262" s="288" t="s">
        <v>1099</v>
      </c>
      <c r="K262" s="89" t="s">
        <v>433</v>
      </c>
      <c r="L262" s="114" t="s">
        <v>1047</v>
      </c>
      <c r="M262" s="241" t="s">
        <v>1606</v>
      </c>
      <c r="N262" s="248" t="s">
        <v>1607</v>
      </c>
      <c r="O262" s="249">
        <v>1</v>
      </c>
      <c r="P262" s="272" t="s">
        <v>118</v>
      </c>
      <c r="Q262" s="349">
        <v>32.450000000000003</v>
      </c>
      <c r="R262" s="226">
        <v>0.15</v>
      </c>
      <c r="S262" s="99">
        <v>27.582500000000003</v>
      </c>
      <c r="T262" s="93"/>
      <c r="U262" s="224">
        <v>0.05</v>
      </c>
      <c r="V262" s="288" t="s">
        <v>1099</v>
      </c>
      <c r="W262" s="89" t="s">
        <v>433</v>
      </c>
      <c r="X262" s="114" t="s">
        <v>1047</v>
      </c>
    </row>
    <row r="263" spans="1:24" s="1" customFormat="1">
      <c r="A263" s="263">
        <v>84315</v>
      </c>
      <c r="B263" s="248" t="s">
        <v>1608</v>
      </c>
      <c r="C263" s="249">
        <v>1</v>
      </c>
      <c r="D263" s="272" t="s">
        <v>1609</v>
      </c>
      <c r="E263" s="349">
        <v>39.15</v>
      </c>
      <c r="F263" s="226">
        <f>rv_30</f>
        <v>0.3</v>
      </c>
      <c r="G263" s="99">
        <f t="shared" si="29"/>
        <v>27.405000000000001</v>
      </c>
      <c r="H263" s="93"/>
      <c r="I263" s="224">
        <v>0</v>
      </c>
      <c r="J263" s="288" t="s">
        <v>1099</v>
      </c>
      <c r="K263" s="89" t="s">
        <v>433</v>
      </c>
      <c r="L263" s="114" t="s">
        <v>1047</v>
      </c>
      <c r="M263" s="241">
        <v>84315</v>
      </c>
      <c r="N263" s="248" t="s">
        <v>1608</v>
      </c>
      <c r="O263" s="249">
        <v>1</v>
      </c>
      <c r="P263" s="272" t="s">
        <v>1609</v>
      </c>
      <c r="Q263" s="349">
        <v>39.15</v>
      </c>
      <c r="R263" s="226">
        <v>0.3</v>
      </c>
      <c r="S263" s="99">
        <v>27.405000000000001</v>
      </c>
      <c r="T263" s="93"/>
      <c r="U263" s="224">
        <v>0</v>
      </c>
      <c r="V263" s="288" t="s">
        <v>1099</v>
      </c>
      <c r="W263" s="89" t="s">
        <v>433</v>
      </c>
      <c r="X263" s="114" t="s">
        <v>1047</v>
      </c>
    </row>
    <row r="264" spans="1:24" s="1" customFormat="1">
      <c r="A264" s="263" t="s">
        <v>1610</v>
      </c>
      <c r="B264" s="248" t="s">
        <v>1611</v>
      </c>
      <c r="C264" s="249">
        <v>1</v>
      </c>
      <c r="D264" s="272" t="s">
        <v>1533</v>
      </c>
      <c r="E264" s="349">
        <v>43.99</v>
      </c>
      <c r="F264" s="226">
        <f>rv_10</f>
        <v>0.1</v>
      </c>
      <c r="G264" s="99">
        <f t="shared" si="29"/>
        <v>39.591000000000001</v>
      </c>
      <c r="H264" s="93"/>
      <c r="I264" s="224">
        <v>0.01</v>
      </c>
      <c r="J264" s="288" t="s">
        <v>1099</v>
      </c>
      <c r="K264" s="89" t="s">
        <v>433</v>
      </c>
      <c r="L264" s="114" t="s">
        <v>1047</v>
      </c>
      <c r="M264" s="241" t="s">
        <v>1610</v>
      </c>
      <c r="N264" s="248" t="s">
        <v>1611</v>
      </c>
      <c r="O264" s="249">
        <v>1</v>
      </c>
      <c r="P264" s="272" t="s">
        <v>1533</v>
      </c>
      <c r="Q264" s="349">
        <v>43.99</v>
      </c>
      <c r="R264" s="226">
        <v>0.1</v>
      </c>
      <c r="S264" s="99">
        <v>39.591000000000001</v>
      </c>
      <c r="T264" s="93"/>
      <c r="U264" s="224">
        <v>0.01</v>
      </c>
      <c r="V264" s="288" t="s">
        <v>1099</v>
      </c>
      <c r="W264" s="89" t="s">
        <v>433</v>
      </c>
      <c r="X264" s="114" t="s">
        <v>1047</v>
      </c>
    </row>
    <row r="265" spans="1:24" s="1" customFormat="1">
      <c r="A265" s="681" t="s">
        <v>1612</v>
      </c>
      <c r="B265" s="248" t="s">
        <v>1613</v>
      </c>
      <c r="C265" s="249">
        <v>1</v>
      </c>
      <c r="D265" s="272" t="s">
        <v>1533</v>
      </c>
      <c r="E265" s="349">
        <v>41.99</v>
      </c>
      <c r="F265" s="226">
        <f>rv_10</f>
        <v>0.1</v>
      </c>
      <c r="G265" s="99">
        <f t="shared" si="29"/>
        <v>37.791000000000004</v>
      </c>
      <c r="H265" s="93"/>
      <c r="I265" s="224">
        <v>0.01</v>
      </c>
      <c r="J265" s="288" t="s">
        <v>1099</v>
      </c>
      <c r="K265" s="89" t="s">
        <v>433</v>
      </c>
      <c r="L265" s="114" t="s">
        <v>1047</v>
      </c>
      <c r="M265" s="486" t="s">
        <v>1612</v>
      </c>
      <c r="N265" s="248" t="s">
        <v>1613</v>
      </c>
      <c r="O265" s="249">
        <v>1</v>
      </c>
      <c r="P265" s="272" t="s">
        <v>1533</v>
      </c>
      <c r="Q265" s="349">
        <v>41.99</v>
      </c>
      <c r="R265" s="226">
        <v>0.1</v>
      </c>
      <c r="S265" s="99">
        <v>37.791000000000004</v>
      </c>
      <c r="T265" s="93"/>
      <c r="U265" s="224">
        <v>0.01</v>
      </c>
      <c r="V265" s="288" t="s">
        <v>1099</v>
      </c>
      <c r="W265" s="89" t="s">
        <v>433</v>
      </c>
      <c r="X265" s="114" t="s">
        <v>1047</v>
      </c>
    </row>
    <row r="266" spans="1:24" s="1" customFormat="1">
      <c r="A266" s="263" t="s">
        <v>1614</v>
      </c>
      <c r="B266" s="248" t="s">
        <v>1615</v>
      </c>
      <c r="C266" s="249">
        <v>1</v>
      </c>
      <c r="D266" s="272" t="s">
        <v>1442</v>
      </c>
      <c r="E266" s="349">
        <v>83.33</v>
      </c>
      <c r="F266" s="226">
        <f>rv_10</f>
        <v>0.1</v>
      </c>
      <c r="G266" s="99">
        <f t="shared" si="29"/>
        <v>74.997</v>
      </c>
      <c r="H266" s="93"/>
      <c r="I266" s="224">
        <v>0.01</v>
      </c>
      <c r="J266" s="288" t="s">
        <v>1099</v>
      </c>
      <c r="K266" s="89" t="s">
        <v>433</v>
      </c>
      <c r="L266" s="114" t="s">
        <v>1047</v>
      </c>
      <c r="M266" s="241" t="s">
        <v>1614</v>
      </c>
      <c r="N266" s="248" t="s">
        <v>1615</v>
      </c>
      <c r="O266" s="249">
        <v>1</v>
      </c>
      <c r="P266" s="272" t="s">
        <v>1442</v>
      </c>
      <c r="Q266" s="349">
        <v>83.33</v>
      </c>
      <c r="R266" s="226">
        <v>0.1</v>
      </c>
      <c r="S266" s="99">
        <v>74.997</v>
      </c>
      <c r="T266" s="93"/>
      <c r="U266" s="224">
        <v>0.01</v>
      </c>
      <c r="V266" s="288" t="s">
        <v>1099</v>
      </c>
      <c r="W266" s="89" t="s">
        <v>433</v>
      </c>
      <c r="X266" s="114" t="s">
        <v>1047</v>
      </c>
    </row>
    <row r="267" spans="1:24" s="1" customFormat="1">
      <c r="A267" s="263" t="s">
        <v>1616</v>
      </c>
      <c r="B267" s="248" t="s">
        <v>1617</v>
      </c>
      <c r="C267" s="249">
        <v>1</v>
      </c>
      <c r="D267" s="272" t="s">
        <v>1442</v>
      </c>
      <c r="E267" s="349">
        <v>29.16</v>
      </c>
      <c r="F267" s="226">
        <f t="shared" ref="F267:F270" si="30">rv_20</f>
        <v>0.2</v>
      </c>
      <c r="G267" s="99">
        <f t="shared" si="29"/>
        <v>23.327999999999999</v>
      </c>
      <c r="H267" s="93"/>
      <c r="I267" s="224">
        <v>0.01</v>
      </c>
      <c r="J267" s="288" t="s">
        <v>1099</v>
      </c>
      <c r="K267" s="89" t="s">
        <v>433</v>
      </c>
      <c r="L267" s="114" t="s">
        <v>1047</v>
      </c>
      <c r="M267" s="241" t="s">
        <v>1616</v>
      </c>
      <c r="N267" s="248" t="s">
        <v>1617</v>
      </c>
      <c r="O267" s="249">
        <v>1</v>
      </c>
      <c r="P267" s="272" t="s">
        <v>1442</v>
      </c>
      <c r="Q267" s="349">
        <v>29.16</v>
      </c>
      <c r="R267" s="226">
        <v>0.2</v>
      </c>
      <c r="S267" s="99">
        <v>23.327999999999999</v>
      </c>
      <c r="T267" s="93"/>
      <c r="U267" s="224">
        <v>0.01</v>
      </c>
      <c r="V267" s="288" t="s">
        <v>1099</v>
      </c>
      <c r="W267" s="89" t="s">
        <v>433</v>
      </c>
      <c r="X267" s="114" t="s">
        <v>1047</v>
      </c>
    </row>
    <row r="268" spans="1:24" s="1" customFormat="1">
      <c r="A268" s="263" t="s">
        <v>1618</v>
      </c>
      <c r="B268" s="248" t="s">
        <v>1619</v>
      </c>
      <c r="C268" s="249">
        <v>1</v>
      </c>
      <c r="D268" s="272" t="s">
        <v>1442</v>
      </c>
      <c r="E268" s="349">
        <v>24.99</v>
      </c>
      <c r="F268" s="226">
        <f t="shared" si="30"/>
        <v>0.2</v>
      </c>
      <c r="G268" s="99">
        <f t="shared" si="29"/>
        <v>19.991999999999997</v>
      </c>
      <c r="H268" s="93"/>
      <c r="I268" s="224">
        <v>0.01</v>
      </c>
      <c r="J268" s="288" t="s">
        <v>1099</v>
      </c>
      <c r="K268" s="89" t="s">
        <v>433</v>
      </c>
      <c r="L268" s="114" t="s">
        <v>1047</v>
      </c>
      <c r="M268" s="241" t="s">
        <v>1618</v>
      </c>
      <c r="N268" s="248" t="s">
        <v>1619</v>
      </c>
      <c r="O268" s="249">
        <v>1</v>
      </c>
      <c r="P268" s="272" t="s">
        <v>1442</v>
      </c>
      <c r="Q268" s="349">
        <v>24.99</v>
      </c>
      <c r="R268" s="226">
        <v>0.2</v>
      </c>
      <c r="S268" s="99">
        <v>19.991999999999997</v>
      </c>
      <c r="T268" s="93"/>
      <c r="U268" s="224">
        <v>0.01</v>
      </c>
      <c r="V268" s="288" t="s">
        <v>1099</v>
      </c>
      <c r="W268" s="89" t="s">
        <v>433</v>
      </c>
      <c r="X268" s="114" t="s">
        <v>1047</v>
      </c>
    </row>
    <row r="269" spans="1:24" s="1" customFormat="1">
      <c r="A269" s="263" t="s">
        <v>1620</v>
      </c>
      <c r="B269" s="248" t="s">
        <v>1621</v>
      </c>
      <c r="C269" s="249">
        <v>1</v>
      </c>
      <c r="D269" s="272" t="s">
        <v>1442</v>
      </c>
      <c r="E269" s="349">
        <v>44.99</v>
      </c>
      <c r="F269" s="226">
        <f t="shared" si="30"/>
        <v>0.2</v>
      </c>
      <c r="G269" s="99">
        <f t="shared" si="29"/>
        <v>35.992000000000004</v>
      </c>
      <c r="H269" s="93"/>
      <c r="I269" s="224">
        <v>0.01</v>
      </c>
      <c r="J269" s="288" t="s">
        <v>1099</v>
      </c>
      <c r="K269" s="89" t="s">
        <v>433</v>
      </c>
      <c r="L269" s="114" t="s">
        <v>1047</v>
      </c>
      <c r="M269" s="241" t="s">
        <v>1620</v>
      </c>
      <c r="N269" s="248" t="s">
        <v>1621</v>
      </c>
      <c r="O269" s="249">
        <v>1</v>
      </c>
      <c r="P269" s="272" t="s">
        <v>1442</v>
      </c>
      <c r="Q269" s="349">
        <v>44.99</v>
      </c>
      <c r="R269" s="226">
        <v>0.2</v>
      </c>
      <c r="S269" s="99">
        <v>35.992000000000004</v>
      </c>
      <c r="T269" s="93"/>
      <c r="U269" s="224">
        <v>0.01</v>
      </c>
      <c r="V269" s="288" t="s">
        <v>1099</v>
      </c>
      <c r="W269" s="89" t="s">
        <v>433</v>
      </c>
      <c r="X269" s="114" t="s">
        <v>1047</v>
      </c>
    </row>
    <row r="270" spans="1:24" s="1" customFormat="1">
      <c r="A270" s="263" t="s">
        <v>1622</v>
      </c>
      <c r="B270" s="248" t="s">
        <v>1623</v>
      </c>
      <c r="C270" s="249">
        <v>1</v>
      </c>
      <c r="D270" s="272" t="s">
        <v>1442</v>
      </c>
      <c r="E270" s="349">
        <v>24.99</v>
      </c>
      <c r="F270" s="226">
        <f t="shared" si="30"/>
        <v>0.2</v>
      </c>
      <c r="G270" s="99">
        <f t="shared" si="29"/>
        <v>19.991999999999997</v>
      </c>
      <c r="H270" s="93"/>
      <c r="I270" s="224">
        <v>0.01</v>
      </c>
      <c r="J270" s="288" t="s">
        <v>1099</v>
      </c>
      <c r="K270" s="89" t="s">
        <v>433</v>
      </c>
      <c r="L270" s="114" t="s">
        <v>1047</v>
      </c>
      <c r="M270" s="241" t="s">
        <v>1622</v>
      </c>
      <c r="N270" s="248" t="s">
        <v>1623</v>
      </c>
      <c r="O270" s="249">
        <v>1</v>
      </c>
      <c r="P270" s="272" t="s">
        <v>1442</v>
      </c>
      <c r="Q270" s="349">
        <v>24.99</v>
      </c>
      <c r="R270" s="226">
        <v>0.2</v>
      </c>
      <c r="S270" s="99">
        <v>19.991999999999997</v>
      </c>
      <c r="T270" s="93"/>
      <c r="U270" s="224">
        <v>0.01</v>
      </c>
      <c r="V270" s="288" t="s">
        <v>1099</v>
      </c>
      <c r="W270" s="89" t="s">
        <v>433</v>
      </c>
      <c r="X270" s="114" t="s">
        <v>1047</v>
      </c>
    </row>
    <row r="271" spans="1:24" s="1" customFormat="1">
      <c r="A271" s="263" t="s">
        <v>1624</v>
      </c>
      <c r="B271" s="248" t="s">
        <v>1625</v>
      </c>
      <c r="C271" s="249">
        <v>1</v>
      </c>
      <c r="D271" s="272" t="s">
        <v>1442</v>
      </c>
      <c r="E271" s="348">
        <v>33.33</v>
      </c>
      <c r="F271" s="226">
        <f>rv_30</f>
        <v>0.3</v>
      </c>
      <c r="G271" s="67">
        <f t="shared" si="29"/>
        <v>23.331</v>
      </c>
      <c r="H271" s="93"/>
      <c r="I271" s="224">
        <v>0.05</v>
      </c>
      <c r="J271" s="288" t="s">
        <v>1099</v>
      </c>
      <c r="K271" s="89" t="s">
        <v>433</v>
      </c>
      <c r="L271" s="114" t="s">
        <v>1047</v>
      </c>
      <c r="M271" s="241" t="s">
        <v>1624</v>
      </c>
      <c r="N271" s="248" t="s">
        <v>1625</v>
      </c>
      <c r="O271" s="249">
        <v>1</v>
      </c>
      <c r="P271" s="272" t="s">
        <v>1442</v>
      </c>
      <c r="Q271" s="348">
        <v>33.33</v>
      </c>
      <c r="R271" s="226">
        <v>0.3</v>
      </c>
      <c r="S271" s="67">
        <v>23.331</v>
      </c>
      <c r="T271" s="93"/>
      <c r="U271" s="224">
        <v>0.05</v>
      </c>
      <c r="V271" s="288" t="s">
        <v>1099</v>
      </c>
      <c r="W271" s="89" t="s">
        <v>433</v>
      </c>
      <c r="X271" s="114" t="s">
        <v>1047</v>
      </c>
    </row>
    <row r="272" spans="1:24" s="1" customFormat="1">
      <c r="A272" s="263" t="s">
        <v>1626</v>
      </c>
      <c r="B272" s="248" t="s">
        <v>1627</v>
      </c>
      <c r="C272" s="249">
        <v>1</v>
      </c>
      <c r="D272" s="272" t="s">
        <v>1442</v>
      </c>
      <c r="E272" s="348">
        <v>33.33</v>
      </c>
      <c r="F272" s="226">
        <f>rv_30</f>
        <v>0.3</v>
      </c>
      <c r="G272" s="67">
        <f t="shared" si="29"/>
        <v>23.331</v>
      </c>
      <c r="H272" s="93"/>
      <c r="I272" s="224">
        <v>0.01</v>
      </c>
      <c r="J272" s="288" t="s">
        <v>1099</v>
      </c>
      <c r="K272" s="89" t="s">
        <v>433</v>
      </c>
      <c r="L272" s="114" t="s">
        <v>1047</v>
      </c>
      <c r="M272" s="241" t="s">
        <v>1626</v>
      </c>
      <c r="N272" s="248" t="s">
        <v>1627</v>
      </c>
      <c r="O272" s="249">
        <v>1</v>
      </c>
      <c r="P272" s="272" t="s">
        <v>1442</v>
      </c>
      <c r="Q272" s="348">
        <v>33.33</v>
      </c>
      <c r="R272" s="226">
        <v>0.3</v>
      </c>
      <c r="S272" s="67">
        <v>23.331</v>
      </c>
      <c r="T272" s="93"/>
      <c r="U272" s="224">
        <v>0.01</v>
      </c>
      <c r="V272" s="288" t="s">
        <v>1099</v>
      </c>
      <c r="W272" s="89" t="s">
        <v>433</v>
      </c>
      <c r="X272" s="114" t="s">
        <v>1047</v>
      </c>
    </row>
    <row r="273" spans="1:24" s="1" customFormat="1">
      <c r="A273" s="263" t="s">
        <v>1628</v>
      </c>
      <c r="B273" s="248" t="s">
        <v>1629</v>
      </c>
      <c r="C273" s="249">
        <v>1</v>
      </c>
      <c r="D273" s="272" t="s">
        <v>1442</v>
      </c>
      <c r="E273" s="348">
        <v>24.99</v>
      </c>
      <c r="F273" s="226">
        <f>rv_30</f>
        <v>0.3</v>
      </c>
      <c r="G273" s="67">
        <f t="shared" si="29"/>
        <v>17.492999999999999</v>
      </c>
      <c r="H273" s="93"/>
      <c r="I273" s="224">
        <v>0.05</v>
      </c>
      <c r="J273" s="288" t="s">
        <v>1099</v>
      </c>
      <c r="K273" s="89" t="s">
        <v>433</v>
      </c>
      <c r="L273" s="114" t="s">
        <v>1047</v>
      </c>
      <c r="M273" s="241" t="s">
        <v>1628</v>
      </c>
      <c r="N273" s="248" t="s">
        <v>1629</v>
      </c>
      <c r="O273" s="249">
        <v>1</v>
      </c>
      <c r="P273" s="272" t="s">
        <v>1442</v>
      </c>
      <c r="Q273" s="348">
        <v>24.99</v>
      </c>
      <c r="R273" s="226">
        <v>0.3</v>
      </c>
      <c r="S273" s="67">
        <v>17.492999999999999</v>
      </c>
      <c r="T273" s="93"/>
      <c r="U273" s="224">
        <v>0.05</v>
      </c>
      <c r="V273" s="288" t="s">
        <v>1099</v>
      </c>
      <c r="W273" s="89" t="s">
        <v>433</v>
      </c>
      <c r="X273" s="114" t="s">
        <v>1047</v>
      </c>
    </row>
    <row r="274" spans="1:24" s="1" customFormat="1">
      <c r="A274" s="263" t="s">
        <v>1630</v>
      </c>
      <c r="B274" s="248" t="s">
        <v>1631</v>
      </c>
      <c r="C274" s="249">
        <v>1</v>
      </c>
      <c r="D274" s="272" t="s">
        <v>1442</v>
      </c>
      <c r="E274" s="348">
        <v>49.99</v>
      </c>
      <c r="F274" s="226">
        <f t="shared" si="23"/>
        <v>0.2</v>
      </c>
      <c r="G274" s="67">
        <f t="shared" si="29"/>
        <v>39.992000000000004</v>
      </c>
      <c r="H274" s="93"/>
      <c r="I274" s="224">
        <v>0.01</v>
      </c>
      <c r="J274" s="288" t="s">
        <v>1099</v>
      </c>
      <c r="K274" s="89" t="s">
        <v>433</v>
      </c>
      <c r="L274" s="114" t="s">
        <v>1047</v>
      </c>
      <c r="M274" s="241" t="s">
        <v>1630</v>
      </c>
      <c r="N274" s="248" t="s">
        <v>1631</v>
      </c>
      <c r="O274" s="249">
        <v>1</v>
      </c>
      <c r="P274" s="272" t="s">
        <v>1442</v>
      </c>
      <c r="Q274" s="348">
        <v>49.99</v>
      </c>
      <c r="R274" s="226">
        <v>0.2</v>
      </c>
      <c r="S274" s="67">
        <v>39.992000000000004</v>
      </c>
      <c r="T274" s="93"/>
      <c r="U274" s="224">
        <v>0.01</v>
      </c>
      <c r="V274" s="288" t="s">
        <v>1099</v>
      </c>
      <c r="W274" s="89" t="s">
        <v>433</v>
      </c>
      <c r="X274" s="114" t="s">
        <v>1047</v>
      </c>
    </row>
    <row r="275" spans="1:24" s="1" customFormat="1">
      <c r="A275" s="263" t="s">
        <v>1632</v>
      </c>
      <c r="B275" s="248" t="s">
        <v>1633</v>
      </c>
      <c r="C275" s="249">
        <v>1</v>
      </c>
      <c r="D275" s="272" t="s">
        <v>1442</v>
      </c>
      <c r="E275" s="348">
        <v>37.49</v>
      </c>
      <c r="F275" s="226">
        <f t="shared" si="18"/>
        <v>0.2</v>
      </c>
      <c r="G275" s="67">
        <f t="shared" si="29"/>
        <v>29.992000000000001</v>
      </c>
      <c r="H275" s="93"/>
      <c r="I275" s="224">
        <v>0.02</v>
      </c>
      <c r="J275" s="288" t="s">
        <v>1099</v>
      </c>
      <c r="K275" s="89" t="s">
        <v>433</v>
      </c>
      <c r="L275" s="114" t="s">
        <v>1047</v>
      </c>
      <c r="M275" s="241" t="s">
        <v>1632</v>
      </c>
      <c r="N275" s="248" t="s">
        <v>1633</v>
      </c>
      <c r="O275" s="249">
        <v>1</v>
      </c>
      <c r="P275" s="272" t="s">
        <v>1442</v>
      </c>
      <c r="Q275" s="348">
        <v>37.49</v>
      </c>
      <c r="R275" s="226">
        <v>0.2</v>
      </c>
      <c r="S275" s="67">
        <v>29.992000000000001</v>
      </c>
      <c r="T275" s="93"/>
      <c r="U275" s="224">
        <v>0.02</v>
      </c>
      <c r="V275" s="288" t="s">
        <v>1099</v>
      </c>
      <c r="W275" s="89" t="s">
        <v>433</v>
      </c>
      <c r="X275" s="114" t="s">
        <v>1047</v>
      </c>
    </row>
    <row r="276" spans="1:24" s="1" customFormat="1">
      <c r="A276" s="263" t="s">
        <v>1634</v>
      </c>
      <c r="B276" s="248" t="s">
        <v>1635</v>
      </c>
      <c r="C276" s="249">
        <v>1</v>
      </c>
      <c r="D276" s="272" t="s">
        <v>1389</v>
      </c>
      <c r="E276" s="348">
        <v>46.09</v>
      </c>
      <c r="F276" s="226">
        <f>rv_20</f>
        <v>0.2</v>
      </c>
      <c r="G276" s="67">
        <f t="shared" si="29"/>
        <v>36.872</v>
      </c>
      <c r="H276" s="93"/>
      <c r="I276" s="224">
        <v>0.02</v>
      </c>
      <c r="J276" s="288" t="s">
        <v>1099</v>
      </c>
      <c r="K276" s="89" t="s">
        <v>433</v>
      </c>
      <c r="L276" s="114" t="s">
        <v>1047</v>
      </c>
      <c r="M276" s="241" t="s">
        <v>1634</v>
      </c>
      <c r="N276" s="248" t="s">
        <v>1635</v>
      </c>
      <c r="O276" s="249">
        <v>1</v>
      </c>
      <c r="P276" s="272" t="s">
        <v>1389</v>
      </c>
      <c r="Q276" s="348">
        <v>46.09</v>
      </c>
      <c r="R276" s="226">
        <v>0.2</v>
      </c>
      <c r="S276" s="67">
        <v>36.872</v>
      </c>
      <c r="T276" s="93"/>
      <c r="U276" s="224">
        <v>0.02</v>
      </c>
      <c r="V276" s="288" t="s">
        <v>1099</v>
      </c>
      <c r="W276" s="89" t="s">
        <v>433</v>
      </c>
      <c r="X276" s="114" t="s">
        <v>1047</v>
      </c>
    </row>
    <row r="277" spans="1:24" s="1" customFormat="1">
      <c r="A277" s="682" t="s">
        <v>1636</v>
      </c>
      <c r="B277" s="327" t="s">
        <v>1637</v>
      </c>
      <c r="C277" s="249">
        <v>1</v>
      </c>
      <c r="D277" s="272" t="s">
        <v>1357</v>
      </c>
      <c r="E277" s="348">
        <v>15.99</v>
      </c>
      <c r="F277" s="226">
        <f t="shared" ref="F277" si="31">rv_20</f>
        <v>0.2</v>
      </c>
      <c r="G277" s="67">
        <f t="shared" si="29"/>
        <v>12.792</v>
      </c>
      <c r="H277" s="93"/>
      <c r="I277" s="224">
        <v>0.01</v>
      </c>
      <c r="J277" s="288" t="s">
        <v>1099</v>
      </c>
      <c r="K277" s="89" t="s">
        <v>433</v>
      </c>
      <c r="L277" s="114" t="s">
        <v>1047</v>
      </c>
      <c r="M277" s="265" t="s">
        <v>1636</v>
      </c>
      <c r="N277" s="327" t="s">
        <v>1637</v>
      </c>
      <c r="O277" s="249">
        <v>1</v>
      </c>
      <c r="P277" s="272" t="s">
        <v>1357</v>
      </c>
      <c r="Q277" s="348">
        <v>15.99</v>
      </c>
      <c r="R277" s="226">
        <v>0.2</v>
      </c>
      <c r="S277" s="67">
        <v>12.792</v>
      </c>
      <c r="T277" s="93"/>
      <c r="U277" s="224">
        <v>0.01</v>
      </c>
      <c r="V277" s="288" t="s">
        <v>1099</v>
      </c>
      <c r="W277" s="89" t="s">
        <v>433</v>
      </c>
      <c r="X277" s="114" t="s">
        <v>1047</v>
      </c>
    </row>
    <row r="278" spans="1:24" s="1" customFormat="1">
      <c r="A278" s="263" t="s">
        <v>1638</v>
      </c>
      <c r="B278" s="248" t="s">
        <v>1639</v>
      </c>
      <c r="C278" s="249">
        <v>1</v>
      </c>
      <c r="D278" s="272" t="s">
        <v>1357</v>
      </c>
      <c r="E278" s="348">
        <v>8.5</v>
      </c>
      <c r="F278" s="226">
        <f>rv_20</f>
        <v>0.2</v>
      </c>
      <c r="G278" s="67">
        <f t="shared" si="29"/>
        <v>6.8</v>
      </c>
      <c r="H278" s="93"/>
      <c r="I278" s="224">
        <v>0.01</v>
      </c>
      <c r="J278" s="288" t="s">
        <v>1099</v>
      </c>
      <c r="K278" s="89" t="s">
        <v>433</v>
      </c>
      <c r="L278" s="114" t="s">
        <v>1047</v>
      </c>
      <c r="M278" s="241" t="s">
        <v>1638</v>
      </c>
      <c r="N278" s="248" t="s">
        <v>1639</v>
      </c>
      <c r="O278" s="249">
        <v>1</v>
      </c>
      <c r="P278" s="272" t="s">
        <v>1357</v>
      </c>
      <c r="Q278" s="348">
        <v>8.5</v>
      </c>
      <c r="R278" s="226">
        <v>0.2</v>
      </c>
      <c r="S278" s="67">
        <v>6.8</v>
      </c>
      <c r="T278" s="93"/>
      <c r="U278" s="224">
        <v>0.01</v>
      </c>
      <c r="V278" s="288" t="s">
        <v>1099</v>
      </c>
      <c r="W278" s="89" t="s">
        <v>433</v>
      </c>
      <c r="X278" s="114" t="s">
        <v>1047</v>
      </c>
    </row>
    <row r="279" spans="1:24" s="1" customFormat="1">
      <c r="A279" s="263" t="s">
        <v>1640</v>
      </c>
      <c r="B279" s="248" t="s">
        <v>1641</v>
      </c>
      <c r="C279" s="249">
        <v>1</v>
      </c>
      <c r="D279" s="272" t="s">
        <v>1357</v>
      </c>
      <c r="E279" s="348">
        <v>29.16</v>
      </c>
      <c r="F279" s="226">
        <f>rv_20</f>
        <v>0.2</v>
      </c>
      <c r="G279" s="67">
        <f t="shared" si="29"/>
        <v>23.327999999999999</v>
      </c>
      <c r="H279" s="93"/>
      <c r="I279" s="224">
        <v>0.01</v>
      </c>
      <c r="J279" s="288" t="s">
        <v>1099</v>
      </c>
      <c r="K279" s="89" t="s">
        <v>433</v>
      </c>
      <c r="L279" s="114" t="s">
        <v>1047</v>
      </c>
      <c r="M279" s="241" t="s">
        <v>1640</v>
      </c>
      <c r="N279" s="248" t="s">
        <v>1641</v>
      </c>
      <c r="O279" s="249">
        <v>1</v>
      </c>
      <c r="P279" s="272" t="s">
        <v>1357</v>
      </c>
      <c r="Q279" s="348">
        <v>29.16</v>
      </c>
      <c r="R279" s="226">
        <v>0.2</v>
      </c>
      <c r="S279" s="67">
        <v>23.327999999999999</v>
      </c>
      <c r="T279" s="93"/>
      <c r="U279" s="224">
        <v>0.01</v>
      </c>
      <c r="V279" s="288" t="s">
        <v>1099</v>
      </c>
      <c r="W279" s="89" t="s">
        <v>433</v>
      </c>
      <c r="X279" s="114" t="s">
        <v>1047</v>
      </c>
    </row>
    <row r="280" spans="1:24" s="1" customFormat="1">
      <c r="A280" s="263" t="s">
        <v>1642</v>
      </c>
      <c r="B280" s="248" t="s">
        <v>1643</v>
      </c>
      <c r="C280" s="249">
        <v>1</v>
      </c>
      <c r="D280" s="272" t="s">
        <v>1357</v>
      </c>
      <c r="E280" s="348">
        <v>33.33</v>
      </c>
      <c r="F280" s="226">
        <f>rv_20</f>
        <v>0.2</v>
      </c>
      <c r="G280" s="67">
        <f t="shared" si="29"/>
        <v>26.663999999999998</v>
      </c>
      <c r="H280" s="93"/>
      <c r="I280" s="224">
        <v>0.01</v>
      </c>
      <c r="J280" s="288" t="s">
        <v>1099</v>
      </c>
      <c r="K280" s="89" t="s">
        <v>433</v>
      </c>
      <c r="L280" s="114" t="s">
        <v>1047</v>
      </c>
      <c r="M280" s="241" t="s">
        <v>1642</v>
      </c>
      <c r="N280" s="248" t="s">
        <v>1643</v>
      </c>
      <c r="O280" s="249">
        <v>1</v>
      </c>
      <c r="P280" s="272" t="s">
        <v>1357</v>
      </c>
      <c r="Q280" s="348">
        <v>33.33</v>
      </c>
      <c r="R280" s="226">
        <v>0.2</v>
      </c>
      <c r="S280" s="67">
        <v>26.663999999999998</v>
      </c>
      <c r="T280" s="93"/>
      <c r="U280" s="224">
        <v>0.01</v>
      </c>
      <c r="V280" s="288" t="s">
        <v>1099</v>
      </c>
      <c r="W280" s="89" t="s">
        <v>433</v>
      </c>
      <c r="X280" s="114" t="s">
        <v>1047</v>
      </c>
    </row>
    <row r="281" spans="1:24" s="1" customFormat="1">
      <c r="A281" s="263" t="s">
        <v>1644</v>
      </c>
      <c r="B281" s="248" t="s">
        <v>1645</v>
      </c>
      <c r="C281" s="249">
        <v>1</v>
      </c>
      <c r="D281" s="272" t="s">
        <v>1357</v>
      </c>
      <c r="E281" s="348">
        <v>33.33</v>
      </c>
      <c r="F281" s="226">
        <f>rv_20</f>
        <v>0.2</v>
      </c>
      <c r="G281" s="67">
        <f t="shared" si="29"/>
        <v>26.663999999999998</v>
      </c>
      <c r="H281" s="93"/>
      <c r="I281" s="224">
        <v>0.01</v>
      </c>
      <c r="J281" s="288" t="s">
        <v>1099</v>
      </c>
      <c r="K281" s="89" t="s">
        <v>433</v>
      </c>
      <c r="L281" s="114" t="s">
        <v>1047</v>
      </c>
      <c r="M281" s="241" t="s">
        <v>1644</v>
      </c>
      <c r="N281" s="248" t="s">
        <v>1645</v>
      </c>
      <c r="O281" s="249">
        <v>1</v>
      </c>
      <c r="P281" s="272" t="s">
        <v>1357</v>
      </c>
      <c r="Q281" s="348">
        <v>33.33</v>
      </c>
      <c r="R281" s="226">
        <v>0.2</v>
      </c>
      <c r="S281" s="67">
        <v>26.663999999999998</v>
      </c>
      <c r="T281" s="93"/>
      <c r="U281" s="224">
        <v>0.01</v>
      </c>
      <c r="V281" s="288" t="s">
        <v>1099</v>
      </c>
      <c r="W281" s="89" t="s">
        <v>433</v>
      </c>
      <c r="X281" s="114" t="s">
        <v>1047</v>
      </c>
    </row>
    <row r="282" spans="1:24" s="1" customFormat="1">
      <c r="A282" s="263" t="s">
        <v>1646</v>
      </c>
      <c r="B282" s="248" t="s">
        <v>1647</v>
      </c>
      <c r="C282" s="249">
        <v>1</v>
      </c>
      <c r="D282" s="272" t="s">
        <v>1357</v>
      </c>
      <c r="E282" s="348">
        <v>29.16</v>
      </c>
      <c r="F282" s="226">
        <v>0.2</v>
      </c>
      <c r="G282" s="67">
        <f t="shared" si="29"/>
        <v>23.327999999999999</v>
      </c>
      <c r="H282" s="93"/>
      <c r="I282" s="224">
        <v>0.01</v>
      </c>
      <c r="J282" s="288" t="s">
        <v>1099</v>
      </c>
      <c r="K282" s="89" t="s">
        <v>433</v>
      </c>
      <c r="L282" s="114" t="s">
        <v>1047</v>
      </c>
      <c r="M282" s="241" t="s">
        <v>1646</v>
      </c>
      <c r="N282" s="248" t="s">
        <v>1647</v>
      </c>
      <c r="O282" s="249">
        <v>1</v>
      </c>
      <c r="P282" s="272" t="s">
        <v>1357</v>
      </c>
      <c r="Q282" s="348">
        <v>29.16</v>
      </c>
      <c r="R282" s="226">
        <v>0.2</v>
      </c>
      <c r="S282" s="67">
        <v>23.327999999999999</v>
      </c>
      <c r="T282" s="93"/>
      <c r="U282" s="224">
        <v>0.01</v>
      </c>
      <c r="V282" s="288" t="s">
        <v>1099</v>
      </c>
      <c r="W282" s="89" t="s">
        <v>433</v>
      </c>
      <c r="X282" s="114" t="s">
        <v>1047</v>
      </c>
    </row>
    <row r="283" spans="1:24" s="1" customFormat="1">
      <c r="A283" s="263" t="s">
        <v>1648</v>
      </c>
      <c r="B283" s="248" t="s">
        <v>1649</v>
      </c>
      <c r="C283" s="249">
        <v>1</v>
      </c>
      <c r="D283" s="272" t="s">
        <v>1357</v>
      </c>
      <c r="E283" s="348">
        <v>29.16</v>
      </c>
      <c r="F283" s="226">
        <f t="shared" ref="F283:F288" si="32">rv_20</f>
        <v>0.2</v>
      </c>
      <c r="G283" s="67">
        <f t="shared" si="29"/>
        <v>23.327999999999999</v>
      </c>
      <c r="H283" s="93"/>
      <c r="I283" s="224">
        <v>0.01</v>
      </c>
      <c r="J283" s="288" t="s">
        <v>1099</v>
      </c>
      <c r="K283" s="89" t="s">
        <v>433</v>
      </c>
      <c r="L283" s="114" t="s">
        <v>1047</v>
      </c>
      <c r="M283" s="241" t="s">
        <v>1648</v>
      </c>
      <c r="N283" s="248" t="s">
        <v>1649</v>
      </c>
      <c r="O283" s="249">
        <v>1</v>
      </c>
      <c r="P283" s="272" t="s">
        <v>1357</v>
      </c>
      <c r="Q283" s="348">
        <v>29.16</v>
      </c>
      <c r="R283" s="226">
        <v>0.2</v>
      </c>
      <c r="S283" s="67">
        <v>23.327999999999999</v>
      </c>
      <c r="T283" s="93"/>
      <c r="U283" s="224">
        <v>0.01</v>
      </c>
      <c r="V283" s="288" t="s">
        <v>1099</v>
      </c>
      <c r="W283" s="89" t="s">
        <v>433</v>
      </c>
      <c r="X283" s="114" t="s">
        <v>1047</v>
      </c>
    </row>
    <row r="284" spans="1:24" s="1" customFormat="1">
      <c r="A284" s="263" t="s">
        <v>1650</v>
      </c>
      <c r="B284" s="248" t="s">
        <v>1651</v>
      </c>
      <c r="C284" s="249">
        <v>1</v>
      </c>
      <c r="D284" s="272" t="s">
        <v>1357</v>
      </c>
      <c r="E284" s="348">
        <v>37.49</v>
      </c>
      <c r="F284" s="226">
        <f t="shared" si="32"/>
        <v>0.2</v>
      </c>
      <c r="G284" s="67">
        <f t="shared" si="29"/>
        <v>29.992000000000001</v>
      </c>
      <c r="H284" s="93"/>
      <c r="I284" s="224">
        <v>0.02</v>
      </c>
      <c r="J284" s="288" t="s">
        <v>1099</v>
      </c>
      <c r="K284" s="89" t="s">
        <v>433</v>
      </c>
      <c r="L284" s="114" t="s">
        <v>1047</v>
      </c>
      <c r="M284" s="241" t="s">
        <v>1650</v>
      </c>
      <c r="N284" s="248" t="s">
        <v>1651</v>
      </c>
      <c r="O284" s="249">
        <v>1</v>
      </c>
      <c r="P284" s="272" t="s">
        <v>1357</v>
      </c>
      <c r="Q284" s="348">
        <v>37.49</v>
      </c>
      <c r="R284" s="226">
        <v>0.2</v>
      </c>
      <c r="S284" s="67">
        <v>29.992000000000001</v>
      </c>
      <c r="T284" s="93"/>
      <c r="U284" s="224">
        <v>0.02</v>
      </c>
      <c r="V284" s="288" t="s">
        <v>1099</v>
      </c>
      <c r="W284" s="89" t="s">
        <v>433</v>
      </c>
      <c r="X284" s="114" t="s">
        <v>1047</v>
      </c>
    </row>
    <row r="285" spans="1:24" s="1" customFormat="1">
      <c r="A285" s="263" t="s">
        <v>1652</v>
      </c>
      <c r="B285" s="248" t="s">
        <v>1653</v>
      </c>
      <c r="C285" s="249">
        <v>1</v>
      </c>
      <c r="D285" s="272" t="s">
        <v>1466</v>
      </c>
      <c r="E285" s="348">
        <v>108.33</v>
      </c>
      <c r="F285" s="226">
        <f t="shared" si="32"/>
        <v>0.2</v>
      </c>
      <c r="G285" s="67">
        <f t="shared" si="29"/>
        <v>86.664000000000001</v>
      </c>
      <c r="H285" s="93"/>
      <c r="I285" s="224">
        <v>0.01</v>
      </c>
      <c r="J285" s="288" t="s">
        <v>1099</v>
      </c>
      <c r="K285" s="89" t="s">
        <v>433</v>
      </c>
      <c r="L285" s="114" t="s">
        <v>1047</v>
      </c>
      <c r="M285" s="241" t="s">
        <v>1652</v>
      </c>
      <c r="N285" s="248" t="s">
        <v>1653</v>
      </c>
      <c r="O285" s="249">
        <v>1</v>
      </c>
      <c r="P285" s="272" t="s">
        <v>1466</v>
      </c>
      <c r="Q285" s="348">
        <v>108.33</v>
      </c>
      <c r="R285" s="226">
        <v>0.2</v>
      </c>
      <c r="S285" s="67">
        <v>86.664000000000001</v>
      </c>
      <c r="T285" s="93"/>
      <c r="U285" s="224">
        <v>0.01</v>
      </c>
      <c r="V285" s="288" t="s">
        <v>1099</v>
      </c>
      <c r="W285" s="89" t="s">
        <v>433</v>
      </c>
      <c r="X285" s="114" t="s">
        <v>1047</v>
      </c>
    </row>
    <row r="286" spans="1:24" s="1" customFormat="1">
      <c r="A286" s="263" t="s">
        <v>1654</v>
      </c>
      <c r="B286" s="248" t="s">
        <v>1655</v>
      </c>
      <c r="C286" s="249">
        <v>1</v>
      </c>
      <c r="D286" s="272" t="s">
        <v>1466</v>
      </c>
      <c r="E286" s="348">
        <v>58.33</v>
      </c>
      <c r="F286" s="226">
        <f t="shared" si="32"/>
        <v>0.2</v>
      </c>
      <c r="G286" s="67">
        <f t="shared" si="29"/>
        <v>46.664000000000001</v>
      </c>
      <c r="H286" s="93"/>
      <c r="I286" s="224">
        <v>0.01</v>
      </c>
      <c r="J286" s="288" t="s">
        <v>1099</v>
      </c>
      <c r="K286" s="89" t="s">
        <v>433</v>
      </c>
      <c r="L286" s="114" t="s">
        <v>1047</v>
      </c>
      <c r="M286" s="241" t="s">
        <v>1654</v>
      </c>
      <c r="N286" s="248" t="s">
        <v>1655</v>
      </c>
      <c r="O286" s="249">
        <v>1</v>
      </c>
      <c r="P286" s="272" t="s">
        <v>1466</v>
      </c>
      <c r="Q286" s="348">
        <v>58.33</v>
      </c>
      <c r="R286" s="226">
        <v>0.2</v>
      </c>
      <c r="S286" s="67">
        <v>46.664000000000001</v>
      </c>
      <c r="T286" s="93"/>
      <c r="U286" s="224">
        <v>0.01</v>
      </c>
      <c r="V286" s="288" t="s">
        <v>1099</v>
      </c>
      <c r="W286" s="89" t="s">
        <v>433</v>
      </c>
      <c r="X286" s="114" t="s">
        <v>1047</v>
      </c>
    </row>
    <row r="287" spans="1:24" s="1" customFormat="1">
      <c r="A287" s="263" t="s">
        <v>1656</v>
      </c>
      <c r="B287" s="248" t="s">
        <v>1657</v>
      </c>
      <c r="C287" s="249">
        <v>1</v>
      </c>
      <c r="D287" s="272" t="s">
        <v>1466</v>
      </c>
      <c r="E287" s="348">
        <v>51.66</v>
      </c>
      <c r="F287" s="226">
        <f t="shared" si="32"/>
        <v>0.2</v>
      </c>
      <c r="G287" s="67">
        <f t="shared" si="29"/>
        <v>41.327999999999996</v>
      </c>
      <c r="H287" s="93"/>
      <c r="I287" s="224">
        <v>0.01</v>
      </c>
      <c r="J287" s="288" t="s">
        <v>1099</v>
      </c>
      <c r="K287" s="89" t="s">
        <v>433</v>
      </c>
      <c r="L287" s="114" t="s">
        <v>1047</v>
      </c>
      <c r="M287" s="241" t="s">
        <v>1656</v>
      </c>
      <c r="N287" s="248" t="s">
        <v>1657</v>
      </c>
      <c r="O287" s="249">
        <v>1</v>
      </c>
      <c r="P287" s="272" t="s">
        <v>1466</v>
      </c>
      <c r="Q287" s="348">
        <v>51.66</v>
      </c>
      <c r="R287" s="226">
        <v>0.2</v>
      </c>
      <c r="S287" s="67">
        <v>41.327999999999996</v>
      </c>
      <c r="T287" s="93"/>
      <c r="U287" s="224">
        <v>0.01</v>
      </c>
      <c r="V287" s="288" t="s">
        <v>1099</v>
      </c>
      <c r="W287" s="89" t="s">
        <v>433</v>
      </c>
      <c r="X287" s="114" t="s">
        <v>1047</v>
      </c>
    </row>
    <row r="288" spans="1:24" s="1" customFormat="1" ht="13.5" thickBot="1">
      <c r="A288" s="263" t="s">
        <v>1658</v>
      </c>
      <c r="B288" s="248" t="s">
        <v>1659</v>
      </c>
      <c r="C288" s="249">
        <v>1</v>
      </c>
      <c r="D288" s="272" t="s">
        <v>1410</v>
      </c>
      <c r="E288" s="348">
        <v>19.989999999999998</v>
      </c>
      <c r="F288" s="226">
        <f t="shared" si="32"/>
        <v>0.2</v>
      </c>
      <c r="G288" s="67">
        <f t="shared" si="29"/>
        <v>15.991999999999999</v>
      </c>
      <c r="H288" s="93"/>
      <c r="I288" s="224">
        <v>0.01</v>
      </c>
      <c r="J288" s="288" t="s">
        <v>1099</v>
      </c>
      <c r="K288" s="89" t="s">
        <v>433</v>
      </c>
      <c r="L288" s="114" t="s">
        <v>1047</v>
      </c>
      <c r="M288" s="241" t="s">
        <v>1658</v>
      </c>
      <c r="N288" s="248" t="s">
        <v>1659</v>
      </c>
      <c r="O288" s="249">
        <v>1</v>
      </c>
      <c r="P288" s="272" t="s">
        <v>1410</v>
      </c>
      <c r="Q288" s="348">
        <v>19.989999999999998</v>
      </c>
      <c r="R288" s="226">
        <v>0.2</v>
      </c>
      <c r="S288" s="67">
        <v>15.991999999999999</v>
      </c>
      <c r="T288" s="93"/>
      <c r="U288" s="224">
        <v>0.01</v>
      </c>
      <c r="V288" s="288" t="s">
        <v>1099</v>
      </c>
      <c r="W288" s="89" t="s">
        <v>433</v>
      </c>
      <c r="X288" s="114" t="s">
        <v>1047</v>
      </c>
    </row>
    <row r="289" spans="1:24" s="1" customFormat="1" ht="21.75" thickBot="1">
      <c r="A289" s="680" t="s">
        <v>1660</v>
      </c>
      <c r="B289" s="458" t="s">
        <v>1661</v>
      </c>
      <c r="C289" s="459"/>
      <c r="D289" s="459"/>
      <c r="E289" s="460"/>
      <c r="F289" s="461"/>
      <c r="G289" s="460"/>
      <c r="H289" s="460"/>
      <c r="I289" s="460"/>
      <c r="J289" s="635"/>
      <c r="K289" s="462"/>
      <c r="L289" s="463"/>
      <c r="M289" s="474" t="s">
        <v>1660</v>
      </c>
      <c r="N289" s="458" t="s">
        <v>1661</v>
      </c>
      <c r="O289" s="459"/>
      <c r="P289" s="459"/>
      <c r="Q289" s="460"/>
      <c r="R289" s="461"/>
      <c r="S289" s="460"/>
      <c r="T289" s="460"/>
      <c r="U289" s="460"/>
      <c r="V289" s="635"/>
      <c r="W289" s="462"/>
      <c r="X289" s="463"/>
    </row>
    <row r="290" spans="1:24" s="1" customFormat="1">
      <c r="A290" s="263" t="s">
        <v>1662</v>
      </c>
      <c r="B290" s="248" t="s">
        <v>2951</v>
      </c>
      <c r="C290" s="249">
        <v>1</v>
      </c>
      <c r="D290" s="272" t="s">
        <v>1442</v>
      </c>
      <c r="E290" s="348">
        <v>66.66</v>
      </c>
      <c r="F290" s="226">
        <f t="shared" si="18"/>
        <v>0.2</v>
      </c>
      <c r="G290" s="67">
        <f>E290-(E290*F290)</f>
        <v>53.327999999999996</v>
      </c>
      <c r="H290" s="93"/>
      <c r="I290" s="224">
        <v>0.01</v>
      </c>
      <c r="J290" s="288" t="s">
        <v>1099</v>
      </c>
      <c r="K290" s="89" t="s">
        <v>433</v>
      </c>
      <c r="L290" s="114" t="s">
        <v>1047</v>
      </c>
      <c r="M290" s="241" t="s">
        <v>1662</v>
      </c>
      <c r="N290" s="248" t="s">
        <v>1663</v>
      </c>
      <c r="O290" s="249">
        <v>1</v>
      </c>
      <c r="P290" s="272" t="s">
        <v>1442</v>
      </c>
      <c r="Q290" s="348">
        <v>66.66</v>
      </c>
      <c r="R290" s="226">
        <v>0.2</v>
      </c>
      <c r="S290" s="67">
        <v>53.327999999999996</v>
      </c>
      <c r="T290" s="93"/>
      <c r="U290" s="224">
        <v>0.01</v>
      </c>
      <c r="V290" s="288" t="s">
        <v>1099</v>
      </c>
      <c r="W290" s="89" t="s">
        <v>433</v>
      </c>
      <c r="X290" s="114" t="s">
        <v>1047</v>
      </c>
    </row>
    <row r="291" spans="1:24" s="1" customFormat="1">
      <c r="A291" s="263" t="s">
        <v>1664</v>
      </c>
      <c r="B291" s="248" t="s">
        <v>2947</v>
      </c>
      <c r="C291" s="249">
        <v>1</v>
      </c>
      <c r="D291" s="272" t="s">
        <v>1442</v>
      </c>
      <c r="E291" s="348">
        <v>41.66</v>
      </c>
      <c r="F291" s="226">
        <f t="shared" si="18"/>
        <v>0.2</v>
      </c>
      <c r="G291" s="67">
        <f>E291-(E291*F291)</f>
        <v>33.327999999999996</v>
      </c>
      <c r="H291" s="93"/>
      <c r="I291" s="224">
        <v>0.01</v>
      </c>
      <c r="J291" s="288" t="s">
        <v>1099</v>
      </c>
      <c r="K291" s="89" t="s">
        <v>433</v>
      </c>
      <c r="L291" s="114" t="s">
        <v>1047</v>
      </c>
      <c r="M291" s="241" t="s">
        <v>1664</v>
      </c>
      <c r="N291" s="248" t="s">
        <v>1665</v>
      </c>
      <c r="O291" s="249">
        <v>1</v>
      </c>
      <c r="P291" s="272" t="s">
        <v>1442</v>
      </c>
      <c r="Q291" s="348">
        <v>41.66</v>
      </c>
      <c r="R291" s="226">
        <v>0.2</v>
      </c>
      <c r="S291" s="67">
        <v>33.327999999999996</v>
      </c>
      <c r="T291" s="93"/>
      <c r="U291" s="224">
        <v>0.01</v>
      </c>
      <c r="V291" s="288" t="s">
        <v>1099</v>
      </c>
      <c r="W291" s="89" t="s">
        <v>433</v>
      </c>
      <c r="X291" s="114" t="s">
        <v>1047</v>
      </c>
    </row>
    <row r="292" spans="1:24" s="1" customFormat="1">
      <c r="A292" s="263" t="s">
        <v>1666</v>
      </c>
      <c r="B292" s="248" t="s">
        <v>2953</v>
      </c>
      <c r="C292" s="249">
        <v>1</v>
      </c>
      <c r="D292" s="272" t="s">
        <v>1442</v>
      </c>
      <c r="E292" s="348">
        <v>66.66</v>
      </c>
      <c r="F292" s="226">
        <f t="shared" si="18"/>
        <v>0.2</v>
      </c>
      <c r="G292" s="67">
        <f>E292-(E292*F292)</f>
        <v>53.327999999999996</v>
      </c>
      <c r="H292" s="93"/>
      <c r="I292" s="224">
        <v>0.01</v>
      </c>
      <c r="J292" s="288" t="s">
        <v>1099</v>
      </c>
      <c r="K292" s="89" t="s">
        <v>433</v>
      </c>
      <c r="L292" s="114" t="s">
        <v>1047</v>
      </c>
      <c r="M292" s="241" t="s">
        <v>1666</v>
      </c>
      <c r="N292" s="248" t="s">
        <v>1667</v>
      </c>
      <c r="O292" s="249">
        <v>1</v>
      </c>
      <c r="P292" s="272" t="s">
        <v>1442</v>
      </c>
      <c r="Q292" s="348">
        <v>66.66</v>
      </c>
      <c r="R292" s="226">
        <v>0.2</v>
      </c>
      <c r="S292" s="67">
        <v>53.327999999999996</v>
      </c>
      <c r="T292" s="93"/>
      <c r="U292" s="224">
        <v>0.01</v>
      </c>
      <c r="V292" s="288" t="s">
        <v>1099</v>
      </c>
      <c r="W292" s="89" t="s">
        <v>433</v>
      </c>
      <c r="X292" s="114" t="s">
        <v>1047</v>
      </c>
    </row>
    <row r="293" spans="1:24" s="1" customFormat="1">
      <c r="A293" s="263" t="s">
        <v>1668</v>
      </c>
      <c r="B293" s="248" t="s">
        <v>2952</v>
      </c>
      <c r="C293" s="249">
        <v>1</v>
      </c>
      <c r="D293" s="272" t="s">
        <v>1442</v>
      </c>
      <c r="E293" s="348">
        <v>83.33</v>
      </c>
      <c r="F293" s="226">
        <f>rv_10</f>
        <v>0.1</v>
      </c>
      <c r="G293" s="67">
        <f>E293-(E293*F293)</f>
        <v>74.997</v>
      </c>
      <c r="H293" s="93"/>
      <c r="I293" s="224">
        <v>0.01</v>
      </c>
      <c r="J293" s="288" t="s">
        <v>1099</v>
      </c>
      <c r="K293" s="89" t="s">
        <v>433</v>
      </c>
      <c r="L293" s="114" t="s">
        <v>1047</v>
      </c>
      <c r="M293" s="241" t="s">
        <v>1668</v>
      </c>
      <c r="N293" s="248" t="s">
        <v>1669</v>
      </c>
      <c r="O293" s="249">
        <v>1</v>
      </c>
      <c r="P293" s="272" t="s">
        <v>1442</v>
      </c>
      <c r="Q293" s="348">
        <v>83.33</v>
      </c>
      <c r="R293" s="226">
        <v>0.1</v>
      </c>
      <c r="S293" s="67">
        <v>74.997</v>
      </c>
      <c r="T293" s="93"/>
      <c r="U293" s="224">
        <v>0.01</v>
      </c>
      <c r="V293" s="288" t="s">
        <v>1099</v>
      </c>
      <c r="W293" s="89" t="s">
        <v>433</v>
      </c>
      <c r="X293" s="114" t="s">
        <v>1047</v>
      </c>
    </row>
    <row r="294" spans="1:24" s="1" customFormat="1">
      <c r="A294" s="263" t="s">
        <v>1670</v>
      </c>
      <c r="B294" s="248" t="s">
        <v>2954</v>
      </c>
      <c r="C294" s="249">
        <v>1</v>
      </c>
      <c r="D294" s="272" t="s">
        <v>1389</v>
      </c>
      <c r="E294" s="348">
        <v>95</v>
      </c>
      <c r="F294" s="226">
        <f>rv_20</f>
        <v>0.2</v>
      </c>
      <c r="G294" s="67">
        <f>E294-(E294*F294)</f>
        <v>76</v>
      </c>
      <c r="H294" s="93"/>
      <c r="I294" s="224">
        <v>0</v>
      </c>
      <c r="J294" s="288" t="s">
        <v>1099</v>
      </c>
      <c r="K294" s="89" t="s">
        <v>433</v>
      </c>
      <c r="L294" s="114" t="s">
        <v>1047</v>
      </c>
      <c r="M294" s="241" t="s">
        <v>1670</v>
      </c>
      <c r="N294" s="248" t="s">
        <v>1671</v>
      </c>
      <c r="O294" s="249">
        <v>1</v>
      </c>
      <c r="P294" s="272" t="s">
        <v>1389</v>
      </c>
      <c r="Q294" s="348">
        <v>95</v>
      </c>
      <c r="R294" s="226">
        <v>0.2</v>
      </c>
      <c r="S294" s="67">
        <v>76</v>
      </c>
      <c r="T294" s="93"/>
      <c r="U294" s="224">
        <v>0</v>
      </c>
      <c r="V294" s="288" t="s">
        <v>1099</v>
      </c>
      <c r="W294" s="89" t="s">
        <v>433</v>
      </c>
      <c r="X294" s="114" t="s">
        <v>1047</v>
      </c>
    </row>
    <row r="295" spans="1:24" s="1" customFormat="1">
      <c r="A295" s="263"/>
      <c r="B295" s="248"/>
      <c r="C295" s="239"/>
      <c r="D295" s="250"/>
      <c r="E295" s="348"/>
      <c r="F295" s="226"/>
      <c r="G295" s="67"/>
      <c r="H295" s="93"/>
      <c r="I295" s="224"/>
      <c r="J295" s="288"/>
      <c r="K295" s="89"/>
      <c r="L295" s="114"/>
      <c r="M295" s="643" t="s">
        <v>1672</v>
      </c>
      <c r="N295" s="644" t="s">
        <v>1673</v>
      </c>
      <c r="O295" s="671">
        <v>1</v>
      </c>
      <c r="P295" s="673" t="s">
        <v>1674</v>
      </c>
      <c r="Q295" s="654">
        <v>68</v>
      </c>
      <c r="R295" s="648">
        <v>0.2</v>
      </c>
      <c r="S295" s="659">
        <v>54.4</v>
      </c>
      <c r="T295" s="650"/>
      <c r="U295" s="651">
        <v>0.02</v>
      </c>
      <c r="V295" s="288" t="s">
        <v>1099</v>
      </c>
      <c r="W295" s="89" t="s">
        <v>433</v>
      </c>
      <c r="X295" s="114" t="s">
        <v>1047</v>
      </c>
    </row>
    <row r="296" spans="1:24" s="1" customFormat="1">
      <c r="A296" s="263" t="s">
        <v>1675</v>
      </c>
      <c r="B296" s="248" t="s">
        <v>2973</v>
      </c>
      <c r="C296" s="249">
        <v>1</v>
      </c>
      <c r="D296" s="272" t="s">
        <v>1357</v>
      </c>
      <c r="E296" s="348">
        <v>70.83</v>
      </c>
      <c r="F296" s="226">
        <f>rv_20</f>
        <v>0.2</v>
      </c>
      <c r="G296" s="67">
        <f t="shared" ref="G296:G316" si="33">E296-(E296*F296)</f>
        <v>56.664000000000001</v>
      </c>
      <c r="H296" s="93"/>
      <c r="I296" s="224">
        <v>0.02</v>
      </c>
      <c r="J296" s="288" t="s">
        <v>1099</v>
      </c>
      <c r="K296" s="89" t="s">
        <v>433</v>
      </c>
      <c r="L296" s="114" t="s">
        <v>1047</v>
      </c>
      <c r="M296" s="241" t="s">
        <v>1675</v>
      </c>
      <c r="N296" s="248" t="s">
        <v>1676</v>
      </c>
      <c r="O296" s="249">
        <v>1</v>
      </c>
      <c r="P296" s="272" t="s">
        <v>1357</v>
      </c>
      <c r="Q296" s="348">
        <v>70.83</v>
      </c>
      <c r="R296" s="226">
        <v>0.2</v>
      </c>
      <c r="S296" s="67">
        <v>56.664000000000001</v>
      </c>
      <c r="T296" s="93"/>
      <c r="U296" s="224">
        <v>0.02</v>
      </c>
      <c r="V296" s="288" t="s">
        <v>1099</v>
      </c>
      <c r="W296" s="89" t="s">
        <v>433</v>
      </c>
      <c r="X296" s="114" t="s">
        <v>1047</v>
      </c>
    </row>
    <row r="297" spans="1:24" s="1" customFormat="1">
      <c r="A297" s="263" t="s">
        <v>1677</v>
      </c>
      <c r="B297" s="248" t="s">
        <v>1678</v>
      </c>
      <c r="C297" s="249">
        <v>1</v>
      </c>
      <c r="D297" s="272" t="s">
        <v>1357</v>
      </c>
      <c r="E297" s="348">
        <v>83.33</v>
      </c>
      <c r="F297" s="226">
        <f>rv_20</f>
        <v>0.2</v>
      </c>
      <c r="G297" s="67">
        <f t="shared" si="33"/>
        <v>66.664000000000001</v>
      </c>
      <c r="H297" s="93"/>
      <c r="I297" s="224">
        <v>0.02</v>
      </c>
      <c r="J297" s="288" t="s">
        <v>1099</v>
      </c>
      <c r="K297" s="89" t="s">
        <v>433</v>
      </c>
      <c r="L297" s="114" t="s">
        <v>1047</v>
      </c>
      <c r="M297" s="241" t="s">
        <v>1677</v>
      </c>
      <c r="N297" s="248" t="s">
        <v>1678</v>
      </c>
      <c r="O297" s="249">
        <v>1</v>
      </c>
      <c r="P297" s="272" t="s">
        <v>1357</v>
      </c>
      <c r="Q297" s="348">
        <v>83.33</v>
      </c>
      <c r="R297" s="226">
        <v>0.2</v>
      </c>
      <c r="S297" s="67">
        <v>66.664000000000001</v>
      </c>
      <c r="T297" s="93"/>
      <c r="U297" s="224">
        <v>0.02</v>
      </c>
      <c r="V297" s="288" t="s">
        <v>1099</v>
      </c>
      <c r="W297" s="89" t="s">
        <v>433</v>
      </c>
      <c r="X297" s="114" t="s">
        <v>1047</v>
      </c>
    </row>
    <row r="298" spans="1:24" s="1" customFormat="1">
      <c r="A298" s="263" t="s">
        <v>1679</v>
      </c>
      <c r="B298" s="248" t="s">
        <v>1680</v>
      </c>
      <c r="C298" s="249">
        <v>1</v>
      </c>
      <c r="D298" s="272" t="s">
        <v>1357</v>
      </c>
      <c r="E298" s="348">
        <v>124.99</v>
      </c>
      <c r="F298" s="226">
        <f>rv_10</f>
        <v>0.1</v>
      </c>
      <c r="G298" s="67">
        <f t="shared" si="33"/>
        <v>112.491</v>
      </c>
      <c r="H298" s="93"/>
      <c r="I298" s="224">
        <v>0.02</v>
      </c>
      <c r="J298" s="288" t="s">
        <v>1099</v>
      </c>
      <c r="K298" s="89" t="s">
        <v>433</v>
      </c>
      <c r="L298" s="114" t="s">
        <v>1047</v>
      </c>
      <c r="M298" s="241" t="s">
        <v>1679</v>
      </c>
      <c r="N298" s="248" t="s">
        <v>1680</v>
      </c>
      <c r="O298" s="249">
        <v>1</v>
      </c>
      <c r="P298" s="272" t="s">
        <v>1357</v>
      </c>
      <c r="Q298" s="348">
        <v>124.99</v>
      </c>
      <c r="R298" s="226">
        <v>0.1</v>
      </c>
      <c r="S298" s="67">
        <v>112.491</v>
      </c>
      <c r="T298" s="93"/>
      <c r="U298" s="224">
        <v>0.02</v>
      </c>
      <c r="V298" s="288" t="s">
        <v>1099</v>
      </c>
      <c r="W298" s="89" t="s">
        <v>433</v>
      </c>
      <c r="X298" s="114" t="s">
        <v>1047</v>
      </c>
    </row>
    <row r="299" spans="1:24" s="1" customFormat="1">
      <c r="A299" s="263" t="s">
        <v>1681</v>
      </c>
      <c r="B299" s="248" t="s">
        <v>2945</v>
      </c>
      <c r="C299" s="249">
        <v>1</v>
      </c>
      <c r="D299" s="272" t="s">
        <v>1357</v>
      </c>
      <c r="E299" s="348">
        <v>69.989999999999995</v>
      </c>
      <c r="F299" s="226">
        <f t="shared" ref="F299:F305" si="34">rv_20</f>
        <v>0.2</v>
      </c>
      <c r="G299" s="67">
        <f t="shared" si="33"/>
        <v>55.991999999999997</v>
      </c>
      <c r="H299" s="93"/>
      <c r="I299" s="224">
        <v>0.02</v>
      </c>
      <c r="J299" s="288" t="s">
        <v>1099</v>
      </c>
      <c r="K299" s="89" t="s">
        <v>433</v>
      </c>
      <c r="L299" s="114" t="s">
        <v>1047</v>
      </c>
      <c r="M299" s="241" t="s">
        <v>1681</v>
      </c>
      <c r="N299" s="248" t="s">
        <v>1682</v>
      </c>
      <c r="O299" s="249">
        <v>1</v>
      </c>
      <c r="P299" s="272" t="s">
        <v>1357</v>
      </c>
      <c r="Q299" s="348">
        <v>66.66</v>
      </c>
      <c r="R299" s="226">
        <v>0.2</v>
      </c>
      <c r="S299" s="67">
        <v>53.327999999999996</v>
      </c>
      <c r="T299" s="93"/>
      <c r="U299" s="224">
        <v>0.02</v>
      </c>
      <c r="V299" s="288" t="s">
        <v>1099</v>
      </c>
      <c r="W299" s="89" t="s">
        <v>1364</v>
      </c>
      <c r="X299" s="114" t="s">
        <v>1365</v>
      </c>
    </row>
    <row r="300" spans="1:24" s="1" customFormat="1">
      <c r="A300" s="263" t="s">
        <v>1683</v>
      </c>
      <c r="B300" s="248" t="s">
        <v>2946</v>
      </c>
      <c r="C300" s="249">
        <v>1</v>
      </c>
      <c r="D300" s="272" t="s">
        <v>1357</v>
      </c>
      <c r="E300" s="348">
        <v>69.989999999999995</v>
      </c>
      <c r="F300" s="226">
        <f t="shared" si="34"/>
        <v>0.2</v>
      </c>
      <c r="G300" s="67">
        <f t="shared" si="33"/>
        <v>55.991999999999997</v>
      </c>
      <c r="H300" s="93"/>
      <c r="I300" s="224">
        <v>0.02</v>
      </c>
      <c r="J300" s="288" t="s">
        <v>1099</v>
      </c>
      <c r="K300" s="89" t="s">
        <v>433</v>
      </c>
      <c r="L300" s="114" t="s">
        <v>1047</v>
      </c>
      <c r="M300" s="241" t="s">
        <v>1683</v>
      </c>
      <c r="N300" s="248" t="s">
        <v>1684</v>
      </c>
      <c r="O300" s="249">
        <v>1</v>
      </c>
      <c r="P300" s="272" t="s">
        <v>1357</v>
      </c>
      <c r="Q300" s="348">
        <v>66.66</v>
      </c>
      <c r="R300" s="226">
        <v>0.2</v>
      </c>
      <c r="S300" s="67">
        <v>53.327999999999996</v>
      </c>
      <c r="T300" s="93"/>
      <c r="U300" s="224">
        <v>0.02</v>
      </c>
      <c r="V300" s="288" t="s">
        <v>1099</v>
      </c>
      <c r="W300" s="89" t="s">
        <v>1685</v>
      </c>
      <c r="X300" s="114" t="s">
        <v>1686</v>
      </c>
    </row>
    <row r="301" spans="1:24" s="1" customFormat="1">
      <c r="A301" s="263" t="s">
        <v>1687</v>
      </c>
      <c r="B301" s="248" t="s">
        <v>2955</v>
      </c>
      <c r="C301" s="249">
        <v>1</v>
      </c>
      <c r="D301" s="272" t="s">
        <v>1357</v>
      </c>
      <c r="E301" s="348">
        <v>99.99</v>
      </c>
      <c r="F301" s="226">
        <f t="shared" si="34"/>
        <v>0.2</v>
      </c>
      <c r="G301" s="67">
        <f t="shared" si="33"/>
        <v>79.99199999999999</v>
      </c>
      <c r="H301" s="93"/>
      <c r="I301" s="224">
        <v>0.02</v>
      </c>
      <c r="J301" s="288" t="s">
        <v>1099</v>
      </c>
      <c r="K301" s="89" t="s">
        <v>433</v>
      </c>
      <c r="L301" s="114" t="s">
        <v>1047</v>
      </c>
      <c r="M301" s="241" t="s">
        <v>1687</v>
      </c>
      <c r="N301" s="248" t="s">
        <v>1688</v>
      </c>
      <c r="O301" s="249">
        <v>1</v>
      </c>
      <c r="P301" s="272" t="s">
        <v>1357</v>
      </c>
      <c r="Q301" s="348">
        <v>91.66</v>
      </c>
      <c r="R301" s="226">
        <v>0.2</v>
      </c>
      <c r="S301" s="67">
        <v>73.328000000000003</v>
      </c>
      <c r="T301" s="93"/>
      <c r="U301" s="224">
        <v>0.02</v>
      </c>
      <c r="V301" s="288" t="s">
        <v>1099</v>
      </c>
      <c r="W301" s="89" t="s">
        <v>1689</v>
      </c>
      <c r="X301" s="114" t="s">
        <v>1690</v>
      </c>
    </row>
    <row r="302" spans="1:24" s="1" customFormat="1">
      <c r="A302" s="263" t="s">
        <v>1691</v>
      </c>
      <c r="B302" s="248" t="s">
        <v>2956</v>
      </c>
      <c r="C302" s="249">
        <v>1</v>
      </c>
      <c r="D302" s="272" t="s">
        <v>1357</v>
      </c>
      <c r="E302" s="348">
        <v>99.99</v>
      </c>
      <c r="F302" s="226">
        <f t="shared" si="34"/>
        <v>0.2</v>
      </c>
      <c r="G302" s="67">
        <f t="shared" si="33"/>
        <v>79.99199999999999</v>
      </c>
      <c r="H302" s="93"/>
      <c r="I302" s="224">
        <v>0.02</v>
      </c>
      <c r="J302" s="288" t="s">
        <v>1099</v>
      </c>
      <c r="K302" s="89" t="s">
        <v>433</v>
      </c>
      <c r="L302" s="114" t="s">
        <v>1047</v>
      </c>
      <c r="M302" s="241" t="s">
        <v>1691</v>
      </c>
      <c r="N302" s="248" t="s">
        <v>1692</v>
      </c>
      <c r="O302" s="249">
        <v>1</v>
      </c>
      <c r="P302" s="272" t="s">
        <v>1357</v>
      </c>
      <c r="Q302" s="348">
        <v>91.66</v>
      </c>
      <c r="R302" s="226">
        <v>0.2</v>
      </c>
      <c r="S302" s="67">
        <v>73.328000000000003</v>
      </c>
      <c r="T302" s="93"/>
      <c r="U302" s="224">
        <v>0.02</v>
      </c>
      <c r="V302" s="288" t="s">
        <v>1099</v>
      </c>
      <c r="W302" s="89" t="s">
        <v>1693</v>
      </c>
      <c r="X302" s="114" t="s">
        <v>1694</v>
      </c>
    </row>
    <row r="303" spans="1:24" s="1" customFormat="1">
      <c r="A303" s="263" t="s">
        <v>1695</v>
      </c>
      <c r="B303" s="248" t="s">
        <v>2948</v>
      </c>
      <c r="C303" s="249">
        <v>1</v>
      </c>
      <c r="D303" s="272" t="s">
        <v>1357</v>
      </c>
      <c r="E303" s="348">
        <v>89.99</v>
      </c>
      <c r="F303" s="226">
        <f t="shared" si="34"/>
        <v>0.2</v>
      </c>
      <c r="G303" s="67">
        <f t="shared" si="33"/>
        <v>71.99199999999999</v>
      </c>
      <c r="H303" s="93"/>
      <c r="I303" s="224">
        <v>0.02</v>
      </c>
      <c r="J303" s="288" t="s">
        <v>1099</v>
      </c>
      <c r="K303" s="89" t="s">
        <v>433</v>
      </c>
      <c r="L303" s="114" t="s">
        <v>1047</v>
      </c>
      <c r="M303" s="241"/>
      <c r="N303" s="248"/>
      <c r="O303" s="249"/>
      <c r="P303" s="272"/>
      <c r="Q303" s="348"/>
      <c r="R303" s="226"/>
      <c r="S303" s="67"/>
      <c r="T303" s="93"/>
      <c r="U303" s="224"/>
      <c r="V303" s="288"/>
      <c r="W303" s="89"/>
      <c r="X303" s="114"/>
    </row>
    <row r="304" spans="1:24" s="1" customFormat="1">
      <c r="A304" s="263" t="s">
        <v>1696</v>
      </c>
      <c r="B304" s="248" t="s">
        <v>2949</v>
      </c>
      <c r="C304" s="249">
        <v>1</v>
      </c>
      <c r="D304" s="272" t="s">
        <v>1357</v>
      </c>
      <c r="E304" s="348">
        <v>89.99</v>
      </c>
      <c r="F304" s="226">
        <f t="shared" si="34"/>
        <v>0.2</v>
      </c>
      <c r="G304" s="67">
        <f t="shared" si="33"/>
        <v>71.99199999999999</v>
      </c>
      <c r="H304" s="93"/>
      <c r="I304" s="224">
        <v>0.02</v>
      </c>
      <c r="J304" s="288" t="s">
        <v>1099</v>
      </c>
      <c r="K304" s="89" t="s">
        <v>433</v>
      </c>
      <c r="L304" s="114" t="s">
        <v>1047</v>
      </c>
      <c r="M304" s="241"/>
      <c r="N304" s="248"/>
      <c r="O304" s="249"/>
      <c r="P304" s="272"/>
      <c r="Q304" s="348"/>
      <c r="R304" s="226"/>
      <c r="S304" s="67"/>
      <c r="T304" s="93"/>
      <c r="U304" s="224"/>
      <c r="V304" s="288"/>
      <c r="W304" s="89"/>
      <c r="X304" s="114"/>
    </row>
    <row r="305" spans="1:24" s="1" customFormat="1">
      <c r="A305" s="263" t="s">
        <v>1697</v>
      </c>
      <c r="B305" s="248" t="s">
        <v>2950</v>
      </c>
      <c r="C305" s="249">
        <v>1</v>
      </c>
      <c r="D305" s="272" t="s">
        <v>1357</v>
      </c>
      <c r="E305" s="348">
        <v>89.99</v>
      </c>
      <c r="F305" s="226">
        <f t="shared" si="34"/>
        <v>0.2</v>
      </c>
      <c r="G305" s="67">
        <f t="shared" si="33"/>
        <v>71.99199999999999</v>
      </c>
      <c r="H305" s="93"/>
      <c r="I305" s="224">
        <v>0.02</v>
      </c>
      <c r="J305" s="288" t="s">
        <v>1099</v>
      </c>
      <c r="K305" s="89" t="s">
        <v>433</v>
      </c>
      <c r="L305" s="114" t="s">
        <v>1047</v>
      </c>
      <c r="M305" s="241"/>
      <c r="N305" s="248"/>
      <c r="O305" s="249"/>
      <c r="P305" s="272"/>
      <c r="Q305" s="348"/>
      <c r="R305" s="226"/>
      <c r="S305" s="67"/>
      <c r="T305" s="93"/>
      <c r="U305" s="224"/>
      <c r="V305" s="288"/>
      <c r="W305" s="89"/>
      <c r="X305" s="114"/>
    </row>
    <row r="306" spans="1:24" s="1" customFormat="1">
      <c r="A306" s="263" t="s">
        <v>1698</v>
      </c>
      <c r="B306" s="248" t="s">
        <v>2958</v>
      </c>
      <c r="C306" s="249">
        <v>1</v>
      </c>
      <c r="D306" s="272" t="s">
        <v>1357</v>
      </c>
      <c r="E306" s="348">
        <v>91.66</v>
      </c>
      <c r="F306" s="226">
        <f t="shared" ref="F306:F311" si="35">rv_20</f>
        <v>0.2</v>
      </c>
      <c r="G306" s="67">
        <f t="shared" si="33"/>
        <v>73.328000000000003</v>
      </c>
      <c r="H306" s="93"/>
      <c r="I306" s="224">
        <v>0.05</v>
      </c>
      <c r="J306" s="288" t="s">
        <v>1099</v>
      </c>
      <c r="K306" s="89" t="s">
        <v>433</v>
      </c>
      <c r="L306" s="114" t="s">
        <v>1047</v>
      </c>
      <c r="M306" s="241" t="s">
        <v>1698</v>
      </c>
      <c r="N306" s="248" t="s">
        <v>1699</v>
      </c>
      <c r="O306" s="249">
        <v>1</v>
      </c>
      <c r="P306" s="272" t="s">
        <v>1357</v>
      </c>
      <c r="Q306" s="348">
        <v>91.66</v>
      </c>
      <c r="R306" s="226">
        <v>0.2</v>
      </c>
      <c r="S306" s="67">
        <v>73.328000000000003</v>
      </c>
      <c r="T306" s="93"/>
      <c r="U306" s="224">
        <v>0.05</v>
      </c>
      <c r="V306" s="288" t="s">
        <v>1099</v>
      </c>
      <c r="W306" s="89" t="s">
        <v>433</v>
      </c>
      <c r="X306" s="114" t="s">
        <v>1047</v>
      </c>
    </row>
    <row r="307" spans="1:24" s="1" customFormat="1">
      <c r="A307" s="263" t="s">
        <v>1700</v>
      </c>
      <c r="B307" s="248" t="s">
        <v>2960</v>
      </c>
      <c r="C307" s="249">
        <v>1</v>
      </c>
      <c r="D307" s="272" t="s">
        <v>1357</v>
      </c>
      <c r="E307" s="348">
        <v>74.989999999999995</v>
      </c>
      <c r="F307" s="226">
        <f t="shared" si="35"/>
        <v>0.2</v>
      </c>
      <c r="G307" s="67">
        <f t="shared" si="33"/>
        <v>59.991999999999997</v>
      </c>
      <c r="H307" s="93"/>
      <c r="I307" s="224">
        <v>0.05</v>
      </c>
      <c r="J307" s="288" t="s">
        <v>1099</v>
      </c>
      <c r="K307" s="89" t="s">
        <v>433</v>
      </c>
      <c r="L307" s="114" t="s">
        <v>1047</v>
      </c>
      <c r="M307" s="241" t="s">
        <v>1700</v>
      </c>
      <c r="N307" s="248" t="s">
        <v>1701</v>
      </c>
      <c r="O307" s="249">
        <v>1</v>
      </c>
      <c r="P307" s="272" t="s">
        <v>1357</v>
      </c>
      <c r="Q307" s="348">
        <v>74.989999999999995</v>
      </c>
      <c r="R307" s="226">
        <v>0.2</v>
      </c>
      <c r="S307" s="67">
        <v>59.991999999999997</v>
      </c>
      <c r="T307" s="93"/>
      <c r="U307" s="224">
        <v>0.05</v>
      </c>
      <c r="V307" s="288" t="s">
        <v>1099</v>
      </c>
      <c r="W307" s="89" t="s">
        <v>433</v>
      </c>
      <c r="X307" s="114" t="s">
        <v>1047</v>
      </c>
    </row>
    <row r="308" spans="1:24" s="1" customFormat="1">
      <c r="A308" s="263" t="s">
        <v>1704</v>
      </c>
      <c r="B308" s="248" t="s">
        <v>2957</v>
      </c>
      <c r="C308" s="249">
        <v>1</v>
      </c>
      <c r="D308" s="272" t="s">
        <v>1357</v>
      </c>
      <c r="E308" s="348">
        <v>74.989999999999995</v>
      </c>
      <c r="F308" s="226">
        <f t="shared" si="35"/>
        <v>0.2</v>
      </c>
      <c r="G308" s="67">
        <f t="shared" si="33"/>
        <v>59.991999999999997</v>
      </c>
      <c r="H308" s="93"/>
      <c r="I308" s="224">
        <v>0.05</v>
      </c>
      <c r="J308" s="288" t="s">
        <v>1099</v>
      </c>
      <c r="K308" s="89" t="s">
        <v>433</v>
      </c>
      <c r="L308" s="114" t="s">
        <v>1047</v>
      </c>
      <c r="M308" s="241" t="s">
        <v>1704</v>
      </c>
      <c r="N308" s="248" t="s">
        <v>1705</v>
      </c>
      <c r="O308" s="249">
        <v>1</v>
      </c>
      <c r="P308" s="272" t="s">
        <v>1357</v>
      </c>
      <c r="Q308" s="348">
        <v>74.989999999999995</v>
      </c>
      <c r="R308" s="226">
        <v>0.2</v>
      </c>
      <c r="S308" s="67">
        <v>59.991999999999997</v>
      </c>
      <c r="T308" s="93"/>
      <c r="U308" s="224">
        <v>0.05</v>
      </c>
      <c r="V308" s="288" t="s">
        <v>1099</v>
      </c>
      <c r="W308" s="89" t="s">
        <v>433</v>
      </c>
      <c r="X308" s="114" t="s">
        <v>1047</v>
      </c>
    </row>
    <row r="309" spans="1:24" s="1" customFormat="1">
      <c r="A309" s="263" t="s">
        <v>1702</v>
      </c>
      <c r="B309" s="248" t="s">
        <v>2959</v>
      </c>
      <c r="C309" s="249">
        <v>1</v>
      </c>
      <c r="D309" s="272" t="s">
        <v>1357</v>
      </c>
      <c r="E309" s="348">
        <v>59.99</v>
      </c>
      <c r="F309" s="226">
        <f t="shared" si="35"/>
        <v>0.2</v>
      </c>
      <c r="G309" s="67">
        <f t="shared" si="33"/>
        <v>47.992000000000004</v>
      </c>
      <c r="H309" s="93"/>
      <c r="I309" s="224">
        <v>0.02</v>
      </c>
      <c r="J309" s="288" t="s">
        <v>1099</v>
      </c>
      <c r="K309" s="89" t="s">
        <v>433</v>
      </c>
      <c r="L309" s="114" t="s">
        <v>1047</v>
      </c>
      <c r="M309" s="241" t="s">
        <v>1702</v>
      </c>
      <c r="N309" s="248" t="s">
        <v>1703</v>
      </c>
      <c r="O309" s="249">
        <v>1</v>
      </c>
      <c r="P309" s="272" t="s">
        <v>1357</v>
      </c>
      <c r="Q309" s="348">
        <v>59.99</v>
      </c>
      <c r="R309" s="226">
        <v>0.2</v>
      </c>
      <c r="S309" s="67">
        <v>47.992000000000004</v>
      </c>
      <c r="T309" s="93"/>
      <c r="U309" s="224">
        <v>0.02</v>
      </c>
      <c r="V309" s="288" t="s">
        <v>1099</v>
      </c>
      <c r="W309" s="89" t="s">
        <v>433</v>
      </c>
      <c r="X309" s="114" t="s">
        <v>1047</v>
      </c>
    </row>
    <row r="310" spans="1:24" s="1" customFormat="1">
      <c r="A310" s="263" t="s">
        <v>1706</v>
      </c>
      <c r="B310" s="248" t="s">
        <v>1707</v>
      </c>
      <c r="C310" s="239">
        <v>1</v>
      </c>
      <c r="D310" s="272" t="s">
        <v>1379</v>
      </c>
      <c r="E310" s="348">
        <v>89.29</v>
      </c>
      <c r="F310" s="226">
        <f t="shared" si="35"/>
        <v>0.2</v>
      </c>
      <c r="G310" s="67">
        <f t="shared" si="33"/>
        <v>71.432000000000002</v>
      </c>
      <c r="H310" s="93"/>
      <c r="I310" s="224">
        <v>0.02</v>
      </c>
      <c r="J310" s="288" t="s">
        <v>1099</v>
      </c>
      <c r="K310" s="89" t="s">
        <v>433</v>
      </c>
      <c r="L310" s="114" t="s">
        <v>1047</v>
      </c>
      <c r="M310" s="241" t="s">
        <v>1706</v>
      </c>
      <c r="N310" s="248" t="s">
        <v>1707</v>
      </c>
      <c r="O310" s="239">
        <v>1</v>
      </c>
      <c r="P310" s="272" t="s">
        <v>1379</v>
      </c>
      <c r="Q310" s="348">
        <v>89.29</v>
      </c>
      <c r="R310" s="226">
        <v>0.2</v>
      </c>
      <c r="S310" s="67">
        <v>71.432000000000002</v>
      </c>
      <c r="T310" s="93"/>
      <c r="U310" s="224">
        <v>0.02</v>
      </c>
      <c r="V310" s="288" t="s">
        <v>1099</v>
      </c>
      <c r="W310" s="89" t="s">
        <v>433</v>
      </c>
      <c r="X310" s="114" t="s">
        <v>1047</v>
      </c>
    </row>
    <row r="311" spans="1:24" s="1" customFormat="1">
      <c r="A311" s="263" t="s">
        <v>1708</v>
      </c>
      <c r="B311" s="248" t="s">
        <v>2974</v>
      </c>
      <c r="C311" s="239">
        <v>1</v>
      </c>
      <c r="D311" s="272" t="s">
        <v>1379</v>
      </c>
      <c r="E311" s="348">
        <v>108.28</v>
      </c>
      <c r="F311" s="226">
        <f t="shared" si="35"/>
        <v>0.2</v>
      </c>
      <c r="G311" s="67">
        <f t="shared" si="33"/>
        <v>86.623999999999995</v>
      </c>
      <c r="H311" s="93"/>
      <c r="I311" s="224">
        <v>0.02</v>
      </c>
      <c r="J311" s="288" t="s">
        <v>1099</v>
      </c>
      <c r="K311" s="89" t="s">
        <v>433</v>
      </c>
      <c r="L311" s="114" t="s">
        <v>1047</v>
      </c>
      <c r="M311" s="241" t="s">
        <v>1708</v>
      </c>
      <c r="N311" s="248" t="s">
        <v>1709</v>
      </c>
      <c r="O311" s="239">
        <v>1</v>
      </c>
      <c r="P311" s="272" t="s">
        <v>1379</v>
      </c>
      <c r="Q311" s="348">
        <v>108.28</v>
      </c>
      <c r="R311" s="226">
        <v>0.2</v>
      </c>
      <c r="S311" s="67">
        <v>86.623999999999995</v>
      </c>
      <c r="T311" s="93"/>
      <c r="U311" s="224">
        <v>0.02</v>
      </c>
      <c r="V311" s="288" t="s">
        <v>1099</v>
      </c>
      <c r="W311" s="89" t="s">
        <v>433</v>
      </c>
      <c r="X311" s="114" t="s">
        <v>1047</v>
      </c>
    </row>
    <row r="312" spans="1:24" s="1" customFormat="1">
      <c r="A312" s="263" t="s">
        <v>1710</v>
      </c>
      <c r="B312" s="248" t="s">
        <v>1711</v>
      </c>
      <c r="C312" s="239">
        <v>1</v>
      </c>
      <c r="D312" s="272" t="s">
        <v>1466</v>
      </c>
      <c r="E312" s="348">
        <v>166.66</v>
      </c>
      <c r="F312" s="226">
        <f>rv_10</f>
        <v>0.1</v>
      </c>
      <c r="G312" s="67">
        <f t="shared" si="33"/>
        <v>149.994</v>
      </c>
      <c r="H312" s="93"/>
      <c r="I312" s="224">
        <v>0.02</v>
      </c>
      <c r="J312" s="288" t="s">
        <v>1099</v>
      </c>
      <c r="K312" s="89" t="s">
        <v>433</v>
      </c>
      <c r="L312" s="114" t="s">
        <v>1047</v>
      </c>
      <c r="M312" s="241" t="s">
        <v>1710</v>
      </c>
      <c r="N312" s="248" t="s">
        <v>1711</v>
      </c>
      <c r="O312" s="239">
        <v>1</v>
      </c>
      <c r="P312" s="272" t="s">
        <v>1466</v>
      </c>
      <c r="Q312" s="348">
        <v>166.66</v>
      </c>
      <c r="R312" s="226">
        <v>0.1</v>
      </c>
      <c r="S312" s="67">
        <v>149.994</v>
      </c>
      <c r="T312" s="93"/>
      <c r="U312" s="224">
        <v>0.02</v>
      </c>
      <c r="V312" s="288" t="s">
        <v>1099</v>
      </c>
      <c r="W312" s="89" t="s">
        <v>433</v>
      </c>
      <c r="X312" s="114" t="s">
        <v>1047</v>
      </c>
    </row>
    <row r="313" spans="1:24" s="1" customFormat="1">
      <c r="A313" s="263" t="s">
        <v>1712</v>
      </c>
      <c r="B313" s="248" t="s">
        <v>1713</v>
      </c>
      <c r="C313" s="239">
        <v>1</v>
      </c>
      <c r="D313" s="272" t="s">
        <v>1466</v>
      </c>
      <c r="E313" s="348">
        <v>108.33</v>
      </c>
      <c r="F313" s="226">
        <f>rv_20</f>
        <v>0.2</v>
      </c>
      <c r="G313" s="67">
        <f t="shared" si="33"/>
        <v>86.664000000000001</v>
      </c>
      <c r="H313" s="93"/>
      <c r="I313" s="224">
        <v>0.02</v>
      </c>
      <c r="J313" s="288" t="s">
        <v>1099</v>
      </c>
      <c r="K313" s="89" t="s">
        <v>433</v>
      </c>
      <c r="L313" s="114" t="s">
        <v>1047</v>
      </c>
      <c r="M313" s="241" t="s">
        <v>1712</v>
      </c>
      <c r="N313" s="248" t="s">
        <v>1713</v>
      </c>
      <c r="O313" s="239">
        <v>1</v>
      </c>
      <c r="P313" s="272" t="s">
        <v>1466</v>
      </c>
      <c r="Q313" s="348">
        <v>108.33</v>
      </c>
      <c r="R313" s="226">
        <v>0.2</v>
      </c>
      <c r="S313" s="67">
        <v>86.664000000000001</v>
      </c>
      <c r="T313" s="93"/>
      <c r="U313" s="224">
        <v>0.02</v>
      </c>
      <c r="V313" s="288" t="s">
        <v>1099</v>
      </c>
      <c r="W313" s="89" t="s">
        <v>433</v>
      </c>
      <c r="X313" s="114" t="s">
        <v>1047</v>
      </c>
    </row>
    <row r="314" spans="1:24" s="1" customFormat="1">
      <c r="A314" s="263" t="s">
        <v>1714</v>
      </c>
      <c r="B314" s="248" t="s">
        <v>1715</v>
      </c>
      <c r="C314" s="239">
        <v>1</v>
      </c>
      <c r="D314" s="272" t="s">
        <v>1466</v>
      </c>
      <c r="E314" s="348">
        <v>108.33</v>
      </c>
      <c r="F314" s="226">
        <f>rv_20</f>
        <v>0.2</v>
      </c>
      <c r="G314" s="67">
        <f t="shared" si="33"/>
        <v>86.664000000000001</v>
      </c>
      <c r="H314" s="93"/>
      <c r="I314" s="224">
        <v>0.02</v>
      </c>
      <c r="J314" s="288" t="s">
        <v>1099</v>
      </c>
      <c r="K314" s="89" t="s">
        <v>433</v>
      </c>
      <c r="L314" s="114" t="s">
        <v>1047</v>
      </c>
      <c r="M314" s="241" t="s">
        <v>1714</v>
      </c>
      <c r="N314" s="248" t="s">
        <v>1715</v>
      </c>
      <c r="O314" s="239">
        <v>1</v>
      </c>
      <c r="P314" s="272" t="s">
        <v>1466</v>
      </c>
      <c r="Q314" s="348">
        <v>108.33</v>
      </c>
      <c r="R314" s="226">
        <v>0.2</v>
      </c>
      <c r="S314" s="67">
        <v>86.664000000000001</v>
      </c>
      <c r="T314" s="93"/>
      <c r="U314" s="224">
        <v>0.02</v>
      </c>
      <c r="V314" s="288" t="s">
        <v>1099</v>
      </c>
      <c r="W314" s="89" t="s">
        <v>433</v>
      </c>
      <c r="X314" s="114" t="s">
        <v>1047</v>
      </c>
    </row>
    <row r="315" spans="1:24" s="1" customFormat="1">
      <c r="A315" s="263" t="s">
        <v>1716</v>
      </c>
      <c r="B315" s="248" t="s">
        <v>1717</v>
      </c>
      <c r="C315" s="239">
        <v>1</v>
      </c>
      <c r="D315" s="272" t="s">
        <v>1466</v>
      </c>
      <c r="E315" s="348">
        <v>83.33</v>
      </c>
      <c r="F315" s="226">
        <f>rv_20</f>
        <v>0.2</v>
      </c>
      <c r="G315" s="67">
        <f t="shared" si="33"/>
        <v>66.664000000000001</v>
      </c>
      <c r="H315" s="93"/>
      <c r="I315" s="224">
        <v>0.02</v>
      </c>
      <c r="J315" s="288" t="s">
        <v>1099</v>
      </c>
      <c r="K315" s="89" t="s">
        <v>433</v>
      </c>
      <c r="L315" s="114" t="s">
        <v>1047</v>
      </c>
      <c r="M315" s="241" t="s">
        <v>1716</v>
      </c>
      <c r="N315" s="248" t="s">
        <v>1718</v>
      </c>
      <c r="O315" s="239">
        <v>1</v>
      </c>
      <c r="P315" s="272" t="s">
        <v>1466</v>
      </c>
      <c r="Q315" s="348">
        <v>83.33</v>
      </c>
      <c r="R315" s="226">
        <v>0.2</v>
      </c>
      <c r="S315" s="67">
        <v>66.664000000000001</v>
      </c>
      <c r="T315" s="93"/>
      <c r="U315" s="224">
        <v>0.02</v>
      </c>
      <c r="V315" s="288" t="s">
        <v>1099</v>
      </c>
      <c r="W315" s="89" t="s">
        <v>433</v>
      </c>
      <c r="X315" s="114" t="s">
        <v>1047</v>
      </c>
    </row>
    <row r="316" spans="1:24" s="1" customFormat="1" ht="13.5" thickBot="1">
      <c r="A316" s="263" t="s">
        <v>1719</v>
      </c>
      <c r="B316" s="579" t="s">
        <v>1720</v>
      </c>
      <c r="C316" s="250">
        <v>1</v>
      </c>
      <c r="D316" s="250" t="s">
        <v>1466</v>
      </c>
      <c r="E316" s="348">
        <v>141.66</v>
      </c>
      <c r="F316" s="226">
        <f>rv_20</f>
        <v>0.2</v>
      </c>
      <c r="G316" s="67">
        <f t="shared" si="33"/>
        <v>113.328</v>
      </c>
      <c r="H316" s="93"/>
      <c r="I316" s="224">
        <v>0</v>
      </c>
      <c r="J316" s="288" t="s">
        <v>1099</v>
      </c>
      <c r="K316" s="89" t="s">
        <v>433</v>
      </c>
      <c r="L316" s="114" t="s">
        <v>1047</v>
      </c>
      <c r="M316" s="241" t="s">
        <v>1719</v>
      </c>
      <c r="N316" s="579" t="s">
        <v>1721</v>
      </c>
      <c r="O316" s="250">
        <v>1</v>
      </c>
      <c r="P316" s="250" t="s">
        <v>1466</v>
      </c>
      <c r="Q316" s="348">
        <v>141.66</v>
      </c>
      <c r="R316" s="226">
        <v>0.2</v>
      </c>
      <c r="S316" s="67">
        <v>113.328</v>
      </c>
      <c r="T316" s="93"/>
      <c r="U316" s="224">
        <v>0</v>
      </c>
      <c r="V316" s="288" t="s">
        <v>1099</v>
      </c>
      <c r="W316" s="89" t="s">
        <v>433</v>
      </c>
      <c r="X316" s="114" t="s">
        <v>1047</v>
      </c>
    </row>
    <row r="317" spans="1:24" s="1" customFormat="1" ht="21.75" thickBot="1">
      <c r="A317" s="680" t="s">
        <v>1722</v>
      </c>
      <c r="B317" s="458" t="s">
        <v>1723</v>
      </c>
      <c r="C317" s="459"/>
      <c r="D317" s="459"/>
      <c r="E317" s="460"/>
      <c r="F317" s="461"/>
      <c r="G317" s="460"/>
      <c r="H317" s="460"/>
      <c r="I317" s="460"/>
      <c r="J317" s="635"/>
      <c r="K317" s="462"/>
      <c r="L317" s="463"/>
      <c r="M317" s="474" t="s">
        <v>1722</v>
      </c>
      <c r="N317" s="458" t="s">
        <v>1723</v>
      </c>
      <c r="O317" s="459"/>
      <c r="P317" s="459"/>
      <c r="Q317" s="460"/>
      <c r="R317" s="461"/>
      <c r="S317" s="460"/>
      <c r="T317" s="460"/>
      <c r="U317" s="460"/>
      <c r="V317" s="635"/>
      <c r="W317" s="462"/>
      <c r="X317" s="463"/>
    </row>
    <row r="318" spans="1:24" s="1" customFormat="1">
      <c r="A318" s="263" t="s">
        <v>1724</v>
      </c>
      <c r="B318" s="248" t="s">
        <v>2975</v>
      </c>
      <c r="C318" s="249">
        <v>1</v>
      </c>
      <c r="D318" s="272" t="s">
        <v>1442</v>
      </c>
      <c r="E318" s="348">
        <v>203.55</v>
      </c>
      <c r="F318" s="226">
        <f>rv_20</f>
        <v>0.2</v>
      </c>
      <c r="G318" s="67">
        <f t="shared" ref="G318:G330" si="36">E318-(E318*F318)</f>
        <v>162.84</v>
      </c>
      <c r="H318" s="93"/>
      <c r="I318" s="224">
        <v>0.02</v>
      </c>
      <c r="J318" s="288" t="s">
        <v>1099</v>
      </c>
      <c r="K318" s="89" t="s">
        <v>433</v>
      </c>
      <c r="L318" s="114" t="s">
        <v>1047</v>
      </c>
      <c r="M318" s="241" t="s">
        <v>1724</v>
      </c>
      <c r="N318" s="248" t="s">
        <v>1725</v>
      </c>
      <c r="O318" s="249">
        <v>1</v>
      </c>
      <c r="P318" s="272" t="s">
        <v>1442</v>
      </c>
      <c r="Q318" s="348">
        <v>203.55</v>
      </c>
      <c r="R318" s="226">
        <v>0.2</v>
      </c>
      <c r="S318" s="67">
        <v>162.84</v>
      </c>
      <c r="T318" s="93"/>
      <c r="U318" s="224">
        <v>0.02</v>
      </c>
      <c r="V318" s="288" t="s">
        <v>1099</v>
      </c>
      <c r="W318" s="89" t="s">
        <v>433</v>
      </c>
      <c r="X318" s="114" t="s">
        <v>1047</v>
      </c>
    </row>
    <row r="319" spans="1:24" s="1" customFormat="1">
      <c r="A319" s="263" t="s">
        <v>1726</v>
      </c>
      <c r="B319" s="248" t="s">
        <v>2976</v>
      </c>
      <c r="C319" s="249">
        <v>1</v>
      </c>
      <c r="D319" s="272" t="s">
        <v>1442</v>
      </c>
      <c r="E319" s="348">
        <v>265.16000000000003</v>
      </c>
      <c r="F319" s="226">
        <f>rv_20</f>
        <v>0.2</v>
      </c>
      <c r="G319" s="67">
        <f t="shared" si="36"/>
        <v>212.12800000000001</v>
      </c>
      <c r="H319" s="93"/>
      <c r="I319" s="224">
        <v>0.02</v>
      </c>
      <c r="J319" s="288" t="s">
        <v>1099</v>
      </c>
      <c r="K319" s="89" t="s">
        <v>433</v>
      </c>
      <c r="L319" s="114" t="s">
        <v>1047</v>
      </c>
      <c r="M319" s="241" t="s">
        <v>1726</v>
      </c>
      <c r="N319" s="248" t="s">
        <v>1727</v>
      </c>
      <c r="O319" s="249">
        <v>1</v>
      </c>
      <c r="P319" s="272" t="s">
        <v>1442</v>
      </c>
      <c r="Q319" s="348">
        <v>265.16000000000003</v>
      </c>
      <c r="R319" s="226">
        <v>0.2</v>
      </c>
      <c r="S319" s="67">
        <v>212.12800000000001</v>
      </c>
      <c r="T319" s="93"/>
      <c r="U319" s="224">
        <v>0.02</v>
      </c>
      <c r="V319" s="288" t="s">
        <v>1099</v>
      </c>
      <c r="W319" s="89" t="s">
        <v>433</v>
      </c>
      <c r="X319" s="114" t="s">
        <v>1047</v>
      </c>
    </row>
    <row r="320" spans="1:24" s="1" customFormat="1">
      <c r="A320" s="263" t="s">
        <v>1728</v>
      </c>
      <c r="B320" s="248" t="s">
        <v>2977</v>
      </c>
      <c r="C320" s="249">
        <v>1</v>
      </c>
      <c r="D320" s="272" t="s">
        <v>1442</v>
      </c>
      <c r="E320" s="348">
        <v>291.66000000000003</v>
      </c>
      <c r="F320" s="226">
        <f>rv_10</f>
        <v>0.1</v>
      </c>
      <c r="G320" s="67">
        <f t="shared" si="36"/>
        <v>262.49400000000003</v>
      </c>
      <c r="H320" s="93"/>
      <c r="I320" s="224">
        <v>0.2</v>
      </c>
      <c r="J320" s="288" t="s">
        <v>1099</v>
      </c>
      <c r="K320" s="89" t="s">
        <v>433</v>
      </c>
      <c r="L320" s="114" t="s">
        <v>1047</v>
      </c>
      <c r="M320" s="241" t="s">
        <v>1728</v>
      </c>
      <c r="N320" s="248" t="s">
        <v>1729</v>
      </c>
      <c r="O320" s="249">
        <v>1</v>
      </c>
      <c r="P320" s="272" t="s">
        <v>1442</v>
      </c>
      <c r="Q320" s="348">
        <v>291.66000000000003</v>
      </c>
      <c r="R320" s="226">
        <v>0.1</v>
      </c>
      <c r="S320" s="67">
        <v>262.49400000000003</v>
      </c>
      <c r="T320" s="93"/>
      <c r="U320" s="224">
        <v>0.2</v>
      </c>
      <c r="V320" s="288" t="s">
        <v>1099</v>
      </c>
      <c r="W320" s="89" t="s">
        <v>433</v>
      </c>
      <c r="X320" s="114" t="s">
        <v>1047</v>
      </c>
    </row>
    <row r="321" spans="1:24" s="1" customFormat="1">
      <c r="A321" s="263" t="s">
        <v>1730</v>
      </c>
      <c r="B321" s="248" t="s">
        <v>2978</v>
      </c>
      <c r="C321" s="249">
        <v>1</v>
      </c>
      <c r="D321" s="272" t="s">
        <v>1442</v>
      </c>
      <c r="E321" s="348">
        <v>332.5</v>
      </c>
      <c r="F321" s="226">
        <f>rv_10</f>
        <v>0.1</v>
      </c>
      <c r="G321" s="67">
        <f t="shared" si="36"/>
        <v>299.25</v>
      </c>
      <c r="H321" s="93"/>
      <c r="I321" s="224">
        <v>0.02</v>
      </c>
      <c r="J321" s="288" t="s">
        <v>1099</v>
      </c>
      <c r="K321" s="89" t="s">
        <v>433</v>
      </c>
      <c r="L321" s="114" t="s">
        <v>1047</v>
      </c>
      <c r="M321" s="241" t="s">
        <v>1730</v>
      </c>
      <c r="N321" s="248" t="s">
        <v>1731</v>
      </c>
      <c r="O321" s="249">
        <v>1</v>
      </c>
      <c r="P321" s="272" t="s">
        <v>1442</v>
      </c>
      <c r="Q321" s="348">
        <v>332.5</v>
      </c>
      <c r="R321" s="226">
        <v>0.1</v>
      </c>
      <c r="S321" s="67">
        <v>299.25</v>
      </c>
      <c r="T321" s="93"/>
      <c r="U321" s="224">
        <v>0.02</v>
      </c>
      <c r="V321" s="288" t="s">
        <v>1099</v>
      </c>
      <c r="W321" s="89" t="s">
        <v>433</v>
      </c>
      <c r="X321" s="114" t="s">
        <v>1047</v>
      </c>
    </row>
    <row r="322" spans="1:24" s="1" customFormat="1">
      <c r="A322" s="263" t="s">
        <v>1732</v>
      </c>
      <c r="B322" s="248" t="s">
        <v>2979</v>
      </c>
      <c r="C322" s="249">
        <v>1</v>
      </c>
      <c r="D322" s="272" t="s">
        <v>1442</v>
      </c>
      <c r="E322" s="348">
        <v>266.66000000000003</v>
      </c>
      <c r="F322" s="226">
        <f>rv_10</f>
        <v>0.1</v>
      </c>
      <c r="G322" s="67">
        <f t="shared" si="36"/>
        <v>239.99400000000003</v>
      </c>
      <c r="H322" s="93"/>
      <c r="I322" s="224">
        <v>0</v>
      </c>
      <c r="J322" s="288" t="s">
        <v>1099</v>
      </c>
      <c r="K322" s="89" t="s">
        <v>433</v>
      </c>
      <c r="L322" s="114" t="s">
        <v>1047</v>
      </c>
      <c r="M322" s="241" t="s">
        <v>1732</v>
      </c>
      <c r="N322" s="248" t="s">
        <v>1733</v>
      </c>
      <c r="O322" s="249">
        <v>1</v>
      </c>
      <c r="P322" s="272" t="s">
        <v>1442</v>
      </c>
      <c r="Q322" s="348">
        <v>266.66000000000003</v>
      </c>
      <c r="R322" s="226">
        <v>0.1</v>
      </c>
      <c r="S322" s="67">
        <v>239.99400000000003</v>
      </c>
      <c r="T322" s="93"/>
      <c r="U322" s="224">
        <v>0</v>
      </c>
      <c r="V322" s="288" t="s">
        <v>1099</v>
      </c>
      <c r="W322" s="89" t="s">
        <v>433</v>
      </c>
      <c r="X322" s="114" t="s">
        <v>1047</v>
      </c>
    </row>
    <row r="323" spans="1:24" s="1" customFormat="1">
      <c r="A323" s="263" t="s">
        <v>1734</v>
      </c>
      <c r="B323" s="248" t="s">
        <v>1735</v>
      </c>
      <c r="C323" s="249">
        <v>1</v>
      </c>
      <c r="D323" s="272" t="s">
        <v>1442</v>
      </c>
      <c r="E323" s="348">
        <v>141.66</v>
      </c>
      <c r="F323" s="226">
        <f>rv_10</f>
        <v>0.1</v>
      </c>
      <c r="G323" s="67">
        <f t="shared" si="36"/>
        <v>127.494</v>
      </c>
      <c r="H323" s="93"/>
      <c r="I323" s="224">
        <v>0.01</v>
      </c>
      <c r="J323" s="288" t="s">
        <v>1099</v>
      </c>
      <c r="K323" s="89" t="s">
        <v>433</v>
      </c>
      <c r="L323" s="114" t="s">
        <v>1047</v>
      </c>
      <c r="M323" s="241" t="s">
        <v>1734</v>
      </c>
      <c r="N323" s="248" t="s">
        <v>1736</v>
      </c>
      <c r="O323" s="249">
        <v>1</v>
      </c>
      <c r="P323" s="272" t="s">
        <v>1442</v>
      </c>
      <c r="Q323" s="348">
        <v>141.66</v>
      </c>
      <c r="R323" s="226">
        <v>0.1</v>
      </c>
      <c r="S323" s="67">
        <v>127.494</v>
      </c>
      <c r="T323" s="93"/>
      <c r="U323" s="224">
        <v>0.01</v>
      </c>
      <c r="V323" s="288" t="s">
        <v>1099</v>
      </c>
      <c r="W323" s="89" t="s">
        <v>433</v>
      </c>
      <c r="X323" s="114" t="s">
        <v>1047</v>
      </c>
    </row>
    <row r="324" spans="1:24" s="1" customFormat="1">
      <c r="A324" s="263" t="s">
        <v>1737</v>
      </c>
      <c r="B324" s="248" t="s">
        <v>2980</v>
      </c>
      <c r="C324" s="250">
        <v>1</v>
      </c>
      <c r="D324" s="250" t="s">
        <v>1389</v>
      </c>
      <c r="E324" s="348">
        <v>373</v>
      </c>
      <c r="F324" s="226">
        <f>rv_20</f>
        <v>0.2</v>
      </c>
      <c r="G324" s="67">
        <f t="shared" si="36"/>
        <v>298.39999999999998</v>
      </c>
      <c r="H324" s="93"/>
      <c r="I324" s="224">
        <v>0.1</v>
      </c>
      <c r="J324" s="288" t="s">
        <v>1099</v>
      </c>
      <c r="K324" s="89" t="s">
        <v>433</v>
      </c>
      <c r="L324" s="114" t="s">
        <v>1047</v>
      </c>
      <c r="M324" s="241" t="s">
        <v>1737</v>
      </c>
      <c r="N324" s="248" t="s">
        <v>1738</v>
      </c>
      <c r="O324" s="250">
        <v>1</v>
      </c>
      <c r="P324" s="250" t="s">
        <v>1389</v>
      </c>
      <c r="Q324" s="348">
        <v>373</v>
      </c>
      <c r="R324" s="226">
        <v>0.2</v>
      </c>
      <c r="S324" s="67">
        <v>298.39999999999998</v>
      </c>
      <c r="T324" s="93"/>
      <c r="U324" s="224">
        <v>0.1</v>
      </c>
      <c r="V324" s="288" t="s">
        <v>1099</v>
      </c>
      <c r="W324" s="89" t="s">
        <v>433</v>
      </c>
      <c r="X324" s="114" t="s">
        <v>1047</v>
      </c>
    </row>
    <row r="325" spans="1:24" s="1" customFormat="1">
      <c r="A325" s="263" t="s">
        <v>1739</v>
      </c>
      <c r="B325" s="580" t="s">
        <v>1740</v>
      </c>
      <c r="C325" s="250">
        <v>1</v>
      </c>
      <c r="D325" s="250" t="s">
        <v>1466</v>
      </c>
      <c r="E325" s="348">
        <v>274.99</v>
      </c>
      <c r="F325" s="226">
        <f>rv_20</f>
        <v>0.2</v>
      </c>
      <c r="G325" s="67">
        <f t="shared" si="36"/>
        <v>219.99200000000002</v>
      </c>
      <c r="H325" s="93"/>
      <c r="I325" s="224">
        <v>0</v>
      </c>
      <c r="J325" s="288" t="s">
        <v>1099</v>
      </c>
      <c r="K325" s="89" t="s">
        <v>433</v>
      </c>
      <c r="L325" s="114" t="s">
        <v>1047</v>
      </c>
      <c r="M325" s="241" t="s">
        <v>1739</v>
      </c>
      <c r="N325" s="580" t="s">
        <v>1741</v>
      </c>
      <c r="O325" s="250">
        <v>1</v>
      </c>
      <c r="P325" s="250" t="s">
        <v>1466</v>
      </c>
      <c r="Q325" s="348">
        <v>274.99</v>
      </c>
      <c r="R325" s="226">
        <v>0.2</v>
      </c>
      <c r="S325" s="67">
        <v>219.99200000000002</v>
      </c>
      <c r="T325" s="93"/>
      <c r="U325" s="224">
        <v>0</v>
      </c>
      <c r="V325" s="288" t="s">
        <v>1099</v>
      </c>
      <c r="W325" s="89" t="s">
        <v>433</v>
      </c>
      <c r="X325" s="114" t="s">
        <v>1047</v>
      </c>
    </row>
    <row r="326" spans="1:24" s="1" customFormat="1">
      <c r="A326" s="263" t="s">
        <v>1742</v>
      </c>
      <c r="B326" s="579" t="s">
        <v>1743</v>
      </c>
      <c r="C326" s="250">
        <v>1</v>
      </c>
      <c r="D326" s="250" t="s">
        <v>1466</v>
      </c>
      <c r="E326" s="348">
        <v>416.66</v>
      </c>
      <c r="F326" s="226">
        <f>rv_10</f>
        <v>0.1</v>
      </c>
      <c r="G326" s="67">
        <f t="shared" si="36"/>
        <v>374.99400000000003</v>
      </c>
      <c r="H326" s="93"/>
      <c r="I326" s="224">
        <v>0</v>
      </c>
      <c r="J326" s="288" t="s">
        <v>1099</v>
      </c>
      <c r="K326" s="89" t="s">
        <v>433</v>
      </c>
      <c r="L326" s="114" t="s">
        <v>1047</v>
      </c>
      <c r="M326" s="241" t="s">
        <v>1742</v>
      </c>
      <c r="N326" s="579" t="s">
        <v>1744</v>
      </c>
      <c r="O326" s="250">
        <v>1</v>
      </c>
      <c r="P326" s="250" t="s">
        <v>1466</v>
      </c>
      <c r="Q326" s="348">
        <v>416.66</v>
      </c>
      <c r="R326" s="226">
        <v>0.1</v>
      </c>
      <c r="S326" s="67">
        <v>374.99400000000003</v>
      </c>
      <c r="T326" s="93"/>
      <c r="U326" s="224">
        <v>0</v>
      </c>
      <c r="V326" s="288" t="s">
        <v>1099</v>
      </c>
      <c r="W326" s="89" t="s">
        <v>433</v>
      </c>
      <c r="X326" s="114" t="s">
        <v>1047</v>
      </c>
    </row>
    <row r="327" spans="1:24" s="1" customFormat="1">
      <c r="A327" s="263" t="s">
        <v>1745</v>
      </c>
      <c r="B327" s="248" t="s">
        <v>2981</v>
      </c>
      <c r="C327" s="250">
        <v>1</v>
      </c>
      <c r="D327" s="250" t="s">
        <v>1410</v>
      </c>
      <c r="E327" s="348">
        <v>421.45</v>
      </c>
      <c r="F327" s="226">
        <f>rv_10</f>
        <v>0.1</v>
      </c>
      <c r="G327" s="67">
        <f t="shared" si="36"/>
        <v>379.30500000000001</v>
      </c>
      <c r="H327" s="93"/>
      <c r="I327" s="224">
        <v>0</v>
      </c>
      <c r="J327" s="288" t="s">
        <v>1099</v>
      </c>
      <c r="K327" s="89" t="s">
        <v>433</v>
      </c>
      <c r="L327" s="114" t="s">
        <v>1047</v>
      </c>
      <c r="M327" s="241" t="s">
        <v>1745</v>
      </c>
      <c r="N327" s="580" t="s">
        <v>1746</v>
      </c>
      <c r="O327" s="250">
        <v>1</v>
      </c>
      <c r="P327" s="250" t="s">
        <v>1410</v>
      </c>
      <c r="Q327" s="348">
        <v>421.45</v>
      </c>
      <c r="R327" s="226">
        <v>0.1</v>
      </c>
      <c r="S327" s="67">
        <v>379.30500000000001</v>
      </c>
      <c r="T327" s="93"/>
      <c r="U327" s="224">
        <v>0</v>
      </c>
      <c r="V327" s="288" t="s">
        <v>1099</v>
      </c>
      <c r="W327" s="89" t="s">
        <v>433</v>
      </c>
      <c r="X327" s="114" t="s">
        <v>1047</v>
      </c>
    </row>
    <row r="328" spans="1:24" s="1" customFormat="1">
      <c r="A328" s="263" t="s">
        <v>1747</v>
      </c>
      <c r="B328" s="248" t="s">
        <v>2982</v>
      </c>
      <c r="C328" s="249">
        <v>1</v>
      </c>
      <c r="D328" s="272" t="s">
        <v>1357</v>
      </c>
      <c r="E328" s="348">
        <v>301.75</v>
      </c>
      <c r="F328" s="226">
        <f>rv_10</f>
        <v>0.1</v>
      </c>
      <c r="G328" s="67">
        <f t="shared" si="36"/>
        <v>271.57499999999999</v>
      </c>
      <c r="H328" s="93"/>
      <c r="I328" s="224">
        <v>0.02</v>
      </c>
      <c r="J328" s="288" t="s">
        <v>1099</v>
      </c>
      <c r="K328" s="89" t="s">
        <v>433</v>
      </c>
      <c r="L328" s="114" t="s">
        <v>1694</v>
      </c>
      <c r="M328" s="241" t="s">
        <v>1747</v>
      </c>
      <c r="N328" s="248" t="s">
        <v>1748</v>
      </c>
      <c r="O328" s="249">
        <v>1</v>
      </c>
      <c r="P328" s="272" t="s">
        <v>1357</v>
      </c>
      <c r="Q328" s="348">
        <v>301.75</v>
      </c>
      <c r="R328" s="226">
        <v>0.1</v>
      </c>
      <c r="S328" s="67">
        <v>271.57499999999999</v>
      </c>
      <c r="T328" s="93"/>
      <c r="U328" s="224">
        <v>0.02</v>
      </c>
      <c r="V328" s="288" t="s">
        <v>1099</v>
      </c>
      <c r="W328" s="89" t="s">
        <v>1693</v>
      </c>
      <c r="X328" s="114" t="s">
        <v>1694</v>
      </c>
    </row>
    <row r="329" spans="1:24" s="1" customFormat="1">
      <c r="A329" s="263" t="s">
        <v>1749</v>
      </c>
      <c r="B329" s="248" t="s">
        <v>1750</v>
      </c>
      <c r="C329" s="249">
        <v>1</v>
      </c>
      <c r="D329" s="272" t="s">
        <v>1357</v>
      </c>
      <c r="E329" s="348">
        <v>299.83</v>
      </c>
      <c r="F329" s="226">
        <f>rv_10</f>
        <v>0.1</v>
      </c>
      <c r="G329" s="67">
        <f t="shared" si="36"/>
        <v>269.84699999999998</v>
      </c>
      <c r="H329" s="93"/>
      <c r="I329" s="224">
        <v>0.2</v>
      </c>
      <c r="J329" s="288" t="s">
        <v>1099</v>
      </c>
      <c r="K329" s="89" t="s">
        <v>433</v>
      </c>
      <c r="L329" s="114" t="s">
        <v>1694</v>
      </c>
      <c r="M329" s="241"/>
      <c r="N329" s="580"/>
      <c r="O329" s="250"/>
      <c r="P329" s="674"/>
      <c r="Q329" s="348"/>
      <c r="R329" s="226"/>
      <c r="S329" s="67"/>
      <c r="T329" s="93"/>
      <c r="U329" s="224"/>
      <c r="V329" s="288"/>
      <c r="W329" s="89"/>
      <c r="X329" s="114"/>
    </row>
    <row r="330" spans="1:24" s="1" customFormat="1" ht="13.5" thickBot="1">
      <c r="A330" s="263" t="s">
        <v>1751</v>
      </c>
      <c r="B330" s="580" t="s">
        <v>2983</v>
      </c>
      <c r="C330" s="249">
        <v>1</v>
      </c>
      <c r="D330" s="272" t="s">
        <v>1357</v>
      </c>
      <c r="E330" s="348">
        <v>195.08</v>
      </c>
      <c r="F330" s="226">
        <f>rv_10</f>
        <v>0.1</v>
      </c>
      <c r="G330" s="67">
        <f t="shared" si="36"/>
        <v>175.572</v>
      </c>
      <c r="H330" s="93"/>
      <c r="I330" s="224">
        <v>0.1</v>
      </c>
      <c r="J330" s="288" t="s">
        <v>1099</v>
      </c>
      <c r="K330" s="89" t="s">
        <v>433</v>
      </c>
      <c r="L330" s="114" t="s">
        <v>1694</v>
      </c>
      <c r="M330" s="241"/>
      <c r="N330" s="580"/>
      <c r="O330" s="250"/>
      <c r="P330" s="674"/>
      <c r="Q330" s="348"/>
      <c r="R330" s="226"/>
      <c r="S330" s="67"/>
      <c r="T330" s="93"/>
      <c r="U330" s="224"/>
      <c r="V330" s="288"/>
      <c r="W330" s="89"/>
      <c r="X330" s="114"/>
    </row>
    <row r="331" spans="1:24" s="75" customFormat="1" ht="24" customHeight="1" thickBot="1">
      <c r="A331" s="680" t="s">
        <v>1752</v>
      </c>
      <c r="B331" s="458" t="s">
        <v>1753</v>
      </c>
      <c r="C331" s="459"/>
      <c r="D331" s="459"/>
      <c r="E331" s="460"/>
      <c r="F331" s="461"/>
      <c r="G331" s="460"/>
      <c r="H331" s="460"/>
      <c r="I331" s="460"/>
      <c r="J331" s="635"/>
      <c r="K331" s="462"/>
      <c r="L331" s="463"/>
      <c r="M331" s="474" t="s">
        <v>1752</v>
      </c>
      <c r="N331" s="458" t="s">
        <v>1753</v>
      </c>
      <c r="O331" s="459"/>
      <c r="P331" s="459"/>
      <c r="Q331" s="460"/>
      <c r="R331" s="461"/>
      <c r="S331" s="460"/>
      <c r="T331" s="460"/>
      <c r="U331" s="460"/>
      <c r="V331" s="635"/>
      <c r="W331" s="462"/>
      <c r="X331" s="463"/>
    </row>
    <row r="332" spans="1:24" s="1" customFormat="1">
      <c r="A332" s="263" t="s">
        <v>1754</v>
      </c>
      <c r="B332" s="248" t="s">
        <v>1755</v>
      </c>
      <c r="C332" s="249">
        <v>1</v>
      </c>
      <c r="D332" s="272" t="s">
        <v>118</v>
      </c>
      <c r="E332" s="349">
        <v>62.5</v>
      </c>
      <c r="F332" s="226">
        <f t="shared" ref="F332:F335" si="37">rv_apple_acc_ipad</f>
        <v>0.15</v>
      </c>
      <c r="G332" s="99">
        <f t="shared" ref="G332:G341" si="38">E332-(E332*F332)</f>
        <v>53.125</v>
      </c>
      <c r="H332" s="93"/>
      <c r="I332" s="224">
        <v>0</v>
      </c>
      <c r="J332" s="288" t="s">
        <v>1099</v>
      </c>
      <c r="K332" s="89" t="s">
        <v>433</v>
      </c>
      <c r="L332" s="114" t="s">
        <v>1047</v>
      </c>
      <c r="M332" s="241" t="s">
        <v>1754</v>
      </c>
      <c r="N332" s="248" t="s">
        <v>1755</v>
      </c>
      <c r="O332" s="249">
        <v>1</v>
      </c>
      <c r="P332" s="272" t="s">
        <v>118</v>
      </c>
      <c r="Q332" s="349">
        <v>62.5</v>
      </c>
      <c r="R332" s="226">
        <v>0.15</v>
      </c>
      <c r="S332" s="99">
        <v>53.125</v>
      </c>
      <c r="T332" s="93"/>
      <c r="U332" s="224">
        <v>0</v>
      </c>
      <c r="V332" s="288" t="s">
        <v>1099</v>
      </c>
      <c r="W332" s="89" t="s">
        <v>433</v>
      </c>
      <c r="X332" s="114" t="s">
        <v>1047</v>
      </c>
    </row>
    <row r="333" spans="1:24" s="1" customFormat="1">
      <c r="A333" s="263" t="s">
        <v>1756</v>
      </c>
      <c r="B333" s="248" t="s">
        <v>1757</v>
      </c>
      <c r="C333" s="249">
        <v>1</v>
      </c>
      <c r="D333" s="272" t="s">
        <v>118</v>
      </c>
      <c r="E333" s="349">
        <v>49.17</v>
      </c>
      <c r="F333" s="226">
        <f t="shared" si="37"/>
        <v>0.15</v>
      </c>
      <c r="G333" s="99">
        <f t="shared" si="38"/>
        <v>41.794499999999999</v>
      </c>
      <c r="H333" s="93"/>
      <c r="I333" s="224">
        <v>0</v>
      </c>
      <c r="J333" s="288" t="s">
        <v>1099</v>
      </c>
      <c r="K333" s="89" t="s">
        <v>433</v>
      </c>
      <c r="L333" s="114" t="s">
        <v>1365</v>
      </c>
      <c r="M333" s="241" t="s">
        <v>1756</v>
      </c>
      <c r="N333" s="248" t="s">
        <v>1757</v>
      </c>
      <c r="O333" s="249">
        <v>1</v>
      </c>
      <c r="P333" s="272" t="s">
        <v>118</v>
      </c>
      <c r="Q333" s="349">
        <v>49.17</v>
      </c>
      <c r="R333" s="226">
        <v>0.15</v>
      </c>
      <c r="S333" s="99">
        <v>41.794499999999999</v>
      </c>
      <c r="T333" s="93"/>
      <c r="U333" s="224">
        <v>0</v>
      </c>
      <c r="V333" s="288" t="s">
        <v>1099</v>
      </c>
      <c r="W333" s="89" t="s">
        <v>1364</v>
      </c>
      <c r="X333" s="114" t="s">
        <v>1365</v>
      </c>
    </row>
    <row r="334" spans="1:24" s="1" customFormat="1">
      <c r="A334" s="263" t="s">
        <v>1758</v>
      </c>
      <c r="B334" s="248" t="s">
        <v>1759</v>
      </c>
      <c r="C334" s="249">
        <v>1</v>
      </c>
      <c r="D334" s="272" t="s">
        <v>118</v>
      </c>
      <c r="E334" s="349">
        <v>82.5</v>
      </c>
      <c r="F334" s="226">
        <f t="shared" si="37"/>
        <v>0.15</v>
      </c>
      <c r="G334" s="99">
        <f t="shared" si="38"/>
        <v>70.125</v>
      </c>
      <c r="H334" s="93"/>
      <c r="I334" s="224">
        <v>0</v>
      </c>
      <c r="J334" s="288" t="s">
        <v>1099</v>
      </c>
      <c r="K334" s="89" t="s">
        <v>433</v>
      </c>
      <c r="L334" s="114" t="s">
        <v>1047</v>
      </c>
      <c r="M334" s="241" t="s">
        <v>1758</v>
      </c>
      <c r="N334" s="248" t="s">
        <v>1759</v>
      </c>
      <c r="O334" s="249">
        <v>1</v>
      </c>
      <c r="P334" s="272" t="s">
        <v>118</v>
      </c>
      <c r="Q334" s="349">
        <v>82.5</v>
      </c>
      <c r="R334" s="226">
        <v>0.15</v>
      </c>
      <c r="S334" s="99">
        <v>70.125</v>
      </c>
      <c r="T334" s="93"/>
      <c r="U334" s="224">
        <v>0</v>
      </c>
      <c r="V334" s="288" t="s">
        <v>1099</v>
      </c>
      <c r="W334" s="89" t="s">
        <v>433</v>
      </c>
      <c r="X334" s="114" t="s">
        <v>1047</v>
      </c>
    </row>
    <row r="335" spans="1:24" s="1" customFormat="1">
      <c r="A335" s="263" t="s">
        <v>1760</v>
      </c>
      <c r="B335" s="248" t="s">
        <v>1761</v>
      </c>
      <c r="C335" s="249">
        <v>1</v>
      </c>
      <c r="D335" s="272" t="s">
        <v>118</v>
      </c>
      <c r="E335" s="349">
        <v>82.5</v>
      </c>
      <c r="F335" s="226">
        <f t="shared" si="37"/>
        <v>0.15</v>
      </c>
      <c r="G335" s="99">
        <f t="shared" si="38"/>
        <v>70.125</v>
      </c>
      <c r="H335" s="93"/>
      <c r="I335" s="224">
        <v>0</v>
      </c>
      <c r="J335" s="288" t="s">
        <v>1099</v>
      </c>
      <c r="K335" s="89" t="s">
        <v>433</v>
      </c>
      <c r="L335" s="114" t="s">
        <v>1047</v>
      </c>
      <c r="M335" s="241" t="s">
        <v>1760</v>
      </c>
      <c r="N335" s="248" t="s">
        <v>1761</v>
      </c>
      <c r="O335" s="249">
        <v>1</v>
      </c>
      <c r="P335" s="272" t="s">
        <v>118</v>
      </c>
      <c r="Q335" s="349">
        <v>82.5</v>
      </c>
      <c r="R335" s="226">
        <v>0.15</v>
      </c>
      <c r="S335" s="99">
        <v>70.125</v>
      </c>
      <c r="T335" s="93"/>
      <c r="U335" s="224">
        <v>0</v>
      </c>
      <c r="V335" s="288" t="s">
        <v>1099</v>
      </c>
      <c r="W335" s="89" t="s">
        <v>433</v>
      </c>
      <c r="X335" s="114" t="s">
        <v>1047</v>
      </c>
    </row>
    <row r="336" spans="1:24" s="1" customFormat="1">
      <c r="A336" s="683" t="s">
        <v>1762</v>
      </c>
      <c r="B336" s="256" t="s">
        <v>1763</v>
      </c>
      <c r="C336" s="257">
        <v>1</v>
      </c>
      <c r="D336" s="275" t="s">
        <v>118</v>
      </c>
      <c r="E336" s="350">
        <v>82.5</v>
      </c>
      <c r="F336" s="259">
        <f t="shared" ref="F336:F341" si="39">rv_apple_acc_ipad</f>
        <v>0.15</v>
      </c>
      <c r="G336" s="260">
        <f t="shared" si="38"/>
        <v>70.125</v>
      </c>
      <c r="H336" s="93"/>
      <c r="I336" s="224">
        <v>0</v>
      </c>
      <c r="J336" s="288" t="s">
        <v>1099</v>
      </c>
      <c r="K336" s="89" t="s">
        <v>433</v>
      </c>
      <c r="L336" s="114" t="s">
        <v>1047</v>
      </c>
      <c r="M336" s="255" t="s">
        <v>1762</v>
      </c>
      <c r="N336" s="256" t="s">
        <v>1763</v>
      </c>
      <c r="O336" s="257">
        <v>1</v>
      </c>
      <c r="P336" s="275" t="s">
        <v>118</v>
      </c>
      <c r="Q336" s="350">
        <v>82.5</v>
      </c>
      <c r="R336" s="259">
        <v>0.15</v>
      </c>
      <c r="S336" s="260">
        <v>70.125</v>
      </c>
      <c r="T336" s="93"/>
      <c r="U336" s="224">
        <v>0</v>
      </c>
      <c r="V336" s="288" t="s">
        <v>1099</v>
      </c>
      <c r="W336" s="89" t="s">
        <v>433</v>
      </c>
      <c r="X336" s="114" t="s">
        <v>1047</v>
      </c>
    </row>
    <row r="337" spans="1:24" s="1" customFormat="1">
      <c r="A337" s="683" t="s">
        <v>1764</v>
      </c>
      <c r="B337" s="256" t="s">
        <v>1765</v>
      </c>
      <c r="C337" s="257">
        <v>1</v>
      </c>
      <c r="D337" s="275" t="s">
        <v>118</v>
      </c>
      <c r="E337" s="350">
        <v>104.17</v>
      </c>
      <c r="F337" s="259">
        <f t="shared" si="39"/>
        <v>0.15</v>
      </c>
      <c r="G337" s="260">
        <f t="shared" si="38"/>
        <v>88.544499999999999</v>
      </c>
      <c r="H337" s="93"/>
      <c r="I337" s="224">
        <v>0</v>
      </c>
      <c r="J337" s="288" t="s">
        <v>1099</v>
      </c>
      <c r="K337" s="89" t="s">
        <v>433</v>
      </c>
      <c r="L337" s="114" t="s">
        <v>1047</v>
      </c>
      <c r="M337" s="255" t="s">
        <v>1764</v>
      </c>
      <c r="N337" s="256" t="s">
        <v>1765</v>
      </c>
      <c r="O337" s="257">
        <v>1</v>
      </c>
      <c r="P337" s="275" t="s">
        <v>118</v>
      </c>
      <c r="Q337" s="350">
        <v>104.17</v>
      </c>
      <c r="R337" s="259">
        <v>0.15</v>
      </c>
      <c r="S337" s="260">
        <v>88.544499999999999</v>
      </c>
      <c r="T337" s="93"/>
      <c r="U337" s="224">
        <v>0</v>
      </c>
      <c r="V337" s="288" t="s">
        <v>1099</v>
      </c>
      <c r="W337" s="89" t="s">
        <v>433</v>
      </c>
      <c r="X337" s="114" t="s">
        <v>1047</v>
      </c>
    </row>
    <row r="338" spans="1:24" s="106" customFormat="1">
      <c r="A338" s="263" t="s">
        <v>1766</v>
      </c>
      <c r="B338" s="256" t="s">
        <v>1767</v>
      </c>
      <c r="C338" s="257">
        <v>1</v>
      </c>
      <c r="D338" s="275" t="s">
        <v>1768</v>
      </c>
      <c r="E338" s="350">
        <v>30</v>
      </c>
      <c r="F338" s="259">
        <f t="shared" si="39"/>
        <v>0.15</v>
      </c>
      <c r="G338" s="260">
        <f t="shared" si="38"/>
        <v>25.5</v>
      </c>
      <c r="H338" s="93"/>
      <c r="I338" s="224">
        <v>0</v>
      </c>
      <c r="J338" s="288" t="s">
        <v>1099</v>
      </c>
      <c r="K338" s="89" t="s">
        <v>433</v>
      </c>
      <c r="L338" s="114" t="s">
        <v>1047</v>
      </c>
      <c r="M338" s="241" t="s">
        <v>1766</v>
      </c>
      <c r="N338" s="256" t="s">
        <v>1767</v>
      </c>
      <c r="O338" s="257">
        <v>1</v>
      </c>
      <c r="P338" s="275" t="s">
        <v>1768</v>
      </c>
      <c r="Q338" s="350">
        <v>30</v>
      </c>
      <c r="R338" s="259">
        <v>0.15</v>
      </c>
      <c r="S338" s="260">
        <v>25.5</v>
      </c>
      <c r="T338" s="93"/>
      <c r="U338" s="224">
        <v>0</v>
      </c>
      <c r="V338" s="288" t="s">
        <v>1099</v>
      </c>
      <c r="W338" s="89" t="s">
        <v>433</v>
      </c>
      <c r="X338" s="114" t="s">
        <v>1047</v>
      </c>
    </row>
    <row r="339" spans="1:24" s="106" customFormat="1" ht="14.1" customHeight="1">
      <c r="A339" s="263" t="s">
        <v>1769</v>
      </c>
      <c r="B339" s="256" t="s">
        <v>1770</v>
      </c>
      <c r="C339" s="261">
        <v>1</v>
      </c>
      <c r="D339" s="262" t="s">
        <v>1768</v>
      </c>
      <c r="E339" s="350">
        <v>35</v>
      </c>
      <c r="F339" s="259">
        <f t="shared" si="39"/>
        <v>0.15</v>
      </c>
      <c r="G339" s="260">
        <f t="shared" si="38"/>
        <v>29.75</v>
      </c>
      <c r="H339" s="93"/>
      <c r="I339" s="224">
        <v>0</v>
      </c>
      <c r="J339" s="288" t="s">
        <v>1099</v>
      </c>
      <c r="K339" s="89" t="s">
        <v>433</v>
      </c>
      <c r="L339" s="114" t="s">
        <v>1047</v>
      </c>
      <c r="M339" s="241" t="s">
        <v>1769</v>
      </c>
      <c r="N339" s="256" t="s">
        <v>1770</v>
      </c>
      <c r="O339" s="261">
        <v>1</v>
      </c>
      <c r="P339" s="262" t="s">
        <v>1768</v>
      </c>
      <c r="Q339" s="350">
        <v>35</v>
      </c>
      <c r="R339" s="259">
        <v>0.15</v>
      </c>
      <c r="S339" s="260">
        <v>29.75</v>
      </c>
      <c r="T339" s="93"/>
      <c r="U339" s="224">
        <v>0</v>
      </c>
      <c r="V339" s="288" t="s">
        <v>1099</v>
      </c>
      <c r="W339" s="89" t="s">
        <v>433</v>
      </c>
      <c r="X339" s="114" t="s">
        <v>1047</v>
      </c>
    </row>
    <row r="340" spans="1:24" s="106" customFormat="1" ht="14.1" customHeight="1">
      <c r="A340" s="263" t="s">
        <v>1771</v>
      </c>
      <c r="B340" s="256" t="s">
        <v>1772</v>
      </c>
      <c r="C340" s="261">
        <v>1</v>
      </c>
      <c r="D340" s="262" t="s">
        <v>1768</v>
      </c>
      <c r="E340" s="350">
        <v>32</v>
      </c>
      <c r="F340" s="259">
        <f t="shared" si="39"/>
        <v>0.15</v>
      </c>
      <c r="G340" s="260">
        <f t="shared" si="38"/>
        <v>27.2</v>
      </c>
      <c r="H340" s="93"/>
      <c r="I340" s="224">
        <v>0</v>
      </c>
      <c r="J340" s="288" t="s">
        <v>1099</v>
      </c>
      <c r="K340" s="89" t="s">
        <v>433</v>
      </c>
      <c r="L340" s="114" t="s">
        <v>1047</v>
      </c>
      <c r="M340" s="241" t="s">
        <v>1771</v>
      </c>
      <c r="N340" s="256" t="s">
        <v>1772</v>
      </c>
      <c r="O340" s="261">
        <v>1</v>
      </c>
      <c r="P340" s="262" t="s">
        <v>1768</v>
      </c>
      <c r="Q340" s="350">
        <v>32</v>
      </c>
      <c r="R340" s="259">
        <v>0.15</v>
      </c>
      <c r="S340" s="260">
        <v>27.2</v>
      </c>
      <c r="T340" s="93"/>
      <c r="U340" s="224">
        <v>0</v>
      </c>
      <c r="V340" s="288" t="s">
        <v>1099</v>
      </c>
      <c r="W340" s="89" t="s">
        <v>433</v>
      </c>
      <c r="X340" s="114" t="s">
        <v>1047</v>
      </c>
    </row>
    <row r="341" spans="1:24" s="106" customFormat="1" ht="14.1" customHeight="1">
      <c r="A341" s="263" t="s">
        <v>1773</v>
      </c>
      <c r="B341" s="256" t="s">
        <v>1774</v>
      </c>
      <c r="C341" s="258">
        <v>1</v>
      </c>
      <c r="D341" s="262" t="s">
        <v>1768</v>
      </c>
      <c r="E341" s="350">
        <v>35</v>
      </c>
      <c r="F341" s="259">
        <f t="shared" si="39"/>
        <v>0.15</v>
      </c>
      <c r="G341" s="260">
        <f t="shared" si="38"/>
        <v>29.75</v>
      </c>
      <c r="H341" s="93"/>
      <c r="I341" s="224">
        <v>0</v>
      </c>
      <c r="J341" s="288" t="s">
        <v>1099</v>
      </c>
      <c r="K341" s="89" t="s">
        <v>433</v>
      </c>
      <c r="L341" s="114" t="s">
        <v>1047</v>
      </c>
      <c r="M341" s="241" t="s">
        <v>1773</v>
      </c>
      <c r="N341" s="256" t="s">
        <v>1774</v>
      </c>
      <c r="O341" s="258">
        <v>1</v>
      </c>
      <c r="P341" s="262" t="s">
        <v>1768</v>
      </c>
      <c r="Q341" s="350">
        <v>35</v>
      </c>
      <c r="R341" s="259">
        <v>0.15</v>
      </c>
      <c r="S341" s="260">
        <v>29.75</v>
      </c>
      <c r="T341" s="93"/>
      <c r="U341" s="224">
        <v>0</v>
      </c>
      <c r="V341" s="288" t="s">
        <v>1099</v>
      </c>
      <c r="W341" s="89" t="s">
        <v>433</v>
      </c>
      <c r="X341" s="114" t="s">
        <v>1047</v>
      </c>
    </row>
    <row r="342" spans="1:24">
      <c r="A342" s="263"/>
      <c r="B342" s="245"/>
      <c r="C342" s="239"/>
      <c r="D342" s="276"/>
      <c r="E342" s="348"/>
      <c r="F342" s="226"/>
      <c r="G342" s="85"/>
      <c r="H342" s="246"/>
      <c r="I342" s="246"/>
      <c r="J342" s="288"/>
      <c r="K342" s="89"/>
      <c r="L342" s="114"/>
      <c r="M342" s="669" t="s">
        <v>1775</v>
      </c>
      <c r="N342" s="670" t="s">
        <v>1776</v>
      </c>
      <c r="O342" s="671">
        <v>1</v>
      </c>
      <c r="P342" s="672" t="s">
        <v>1777</v>
      </c>
      <c r="Q342" s="654">
        <v>41.66</v>
      </c>
      <c r="R342" s="648">
        <v>0.2</v>
      </c>
      <c r="S342" s="655">
        <v>33.327999999999996</v>
      </c>
      <c r="T342" s="656"/>
      <c r="U342" s="656"/>
      <c r="V342" s="288" t="s">
        <v>1099</v>
      </c>
      <c r="W342" s="89" t="s">
        <v>433</v>
      </c>
      <c r="X342" s="114" t="s">
        <v>1047</v>
      </c>
    </row>
    <row r="343" spans="1:24">
      <c r="A343" s="263"/>
      <c r="B343" s="245"/>
      <c r="C343" s="239"/>
      <c r="D343" s="276"/>
      <c r="E343" s="348"/>
      <c r="F343" s="226"/>
      <c r="G343" s="85"/>
      <c r="H343" s="246"/>
      <c r="I343" s="246"/>
      <c r="J343" s="288"/>
      <c r="K343" s="89"/>
      <c r="L343" s="114"/>
      <c r="M343" s="669" t="s">
        <v>1778</v>
      </c>
      <c r="N343" s="670" t="s">
        <v>1779</v>
      </c>
      <c r="O343" s="671">
        <v>1</v>
      </c>
      <c r="P343" s="672" t="s">
        <v>1777</v>
      </c>
      <c r="Q343" s="654">
        <v>20.83</v>
      </c>
      <c r="R343" s="648">
        <v>0.2</v>
      </c>
      <c r="S343" s="655">
        <v>16.663999999999998</v>
      </c>
      <c r="T343" s="656"/>
      <c r="U343" s="656"/>
      <c r="V343" s="288" t="s">
        <v>1099</v>
      </c>
      <c r="W343" s="89" t="s">
        <v>433</v>
      </c>
      <c r="X343" s="114" t="s">
        <v>1047</v>
      </c>
    </row>
    <row r="344" spans="1:24">
      <c r="A344" s="263" t="s">
        <v>1780</v>
      </c>
      <c r="B344" s="245" t="s">
        <v>1781</v>
      </c>
      <c r="C344" s="239">
        <v>1</v>
      </c>
      <c r="D344" s="276" t="s">
        <v>1777</v>
      </c>
      <c r="E344" s="348">
        <v>24.99</v>
      </c>
      <c r="F344" s="226">
        <f t="shared" ref="F344:F359" si="40">rv_20</f>
        <v>0.2</v>
      </c>
      <c r="G344" s="85">
        <f>E344-(E344*F344)</f>
        <v>19.991999999999997</v>
      </c>
      <c r="H344" s="246"/>
      <c r="I344" s="246"/>
      <c r="J344" s="288" t="s">
        <v>1099</v>
      </c>
      <c r="K344" s="89" t="s">
        <v>433</v>
      </c>
      <c r="L344" s="114" t="s">
        <v>1047</v>
      </c>
      <c r="M344" s="263" t="s">
        <v>1780</v>
      </c>
      <c r="N344" s="245" t="s">
        <v>1782</v>
      </c>
      <c r="O344" s="239">
        <v>1</v>
      </c>
      <c r="P344" s="276" t="s">
        <v>1777</v>
      </c>
      <c r="Q344" s="348">
        <v>24.99</v>
      </c>
      <c r="R344" s="226">
        <v>0.2</v>
      </c>
      <c r="S344" s="85">
        <v>19.991999999999997</v>
      </c>
      <c r="T344" s="246"/>
      <c r="U344" s="246"/>
      <c r="V344" s="288" t="s">
        <v>1099</v>
      </c>
      <c r="W344" s="89" t="s">
        <v>433</v>
      </c>
      <c r="X344" s="114" t="s">
        <v>1047</v>
      </c>
    </row>
    <row r="345" spans="1:24">
      <c r="A345" s="263" t="s">
        <v>1783</v>
      </c>
      <c r="B345" s="245" t="s">
        <v>1784</v>
      </c>
      <c r="C345" s="239">
        <v>1</v>
      </c>
      <c r="D345" s="276" t="s">
        <v>1777</v>
      </c>
      <c r="E345" s="348">
        <v>29.16</v>
      </c>
      <c r="F345" s="226">
        <f t="shared" si="40"/>
        <v>0.2</v>
      </c>
      <c r="G345" s="85">
        <f>E345-(E345*F345)</f>
        <v>23.327999999999999</v>
      </c>
      <c r="H345" s="246"/>
      <c r="I345" s="246"/>
      <c r="J345" s="288" t="s">
        <v>1099</v>
      </c>
      <c r="K345" s="89" t="s">
        <v>433</v>
      </c>
      <c r="L345" s="114" t="s">
        <v>1047</v>
      </c>
      <c r="M345" s="263" t="s">
        <v>1783</v>
      </c>
      <c r="N345" s="245" t="s">
        <v>1785</v>
      </c>
      <c r="O345" s="239">
        <v>1</v>
      </c>
      <c r="P345" s="276" t="s">
        <v>1777</v>
      </c>
      <c r="Q345" s="348">
        <v>24.99</v>
      </c>
      <c r="R345" s="226">
        <v>0.2</v>
      </c>
      <c r="S345" s="85">
        <v>19.991999999999997</v>
      </c>
      <c r="T345" s="246"/>
      <c r="U345" s="246"/>
      <c r="V345" s="288" t="s">
        <v>1099</v>
      </c>
      <c r="W345" s="89" t="s">
        <v>433</v>
      </c>
      <c r="X345" s="114" t="s">
        <v>1047</v>
      </c>
    </row>
    <row r="346" spans="1:24">
      <c r="A346" s="263" t="s">
        <v>1786</v>
      </c>
      <c r="B346" s="245" t="s">
        <v>1787</v>
      </c>
      <c r="C346" s="239">
        <v>1</v>
      </c>
      <c r="D346" s="347" t="s">
        <v>1777</v>
      </c>
      <c r="E346" s="348">
        <v>29.16</v>
      </c>
      <c r="F346" s="226">
        <f t="shared" si="40"/>
        <v>0.2</v>
      </c>
      <c r="G346" s="85">
        <f>E346-(E346*F346)</f>
        <v>23.327999999999999</v>
      </c>
      <c r="H346" s="246"/>
      <c r="I346" s="246"/>
      <c r="J346" s="288" t="s">
        <v>1099</v>
      </c>
      <c r="K346" s="89" t="s">
        <v>433</v>
      </c>
      <c r="L346" s="114" t="s">
        <v>1047</v>
      </c>
      <c r="M346" s="241" t="s">
        <v>1786</v>
      </c>
      <c r="N346" s="245" t="s">
        <v>1788</v>
      </c>
      <c r="O346" s="239">
        <v>1</v>
      </c>
      <c r="P346" s="347" t="s">
        <v>1777</v>
      </c>
      <c r="Q346" s="348">
        <v>24.99</v>
      </c>
      <c r="R346" s="226">
        <v>0.2</v>
      </c>
      <c r="S346" s="85">
        <v>19.991999999999997</v>
      </c>
      <c r="T346" s="246"/>
      <c r="U346" s="246"/>
      <c r="V346" s="288" t="s">
        <v>1099</v>
      </c>
      <c r="W346" s="89" t="s">
        <v>433</v>
      </c>
      <c r="X346" s="114" t="s">
        <v>1047</v>
      </c>
    </row>
    <row r="347" spans="1:24">
      <c r="A347" s="263" t="s">
        <v>1789</v>
      </c>
      <c r="B347" s="245" t="s">
        <v>1790</v>
      </c>
      <c r="C347" s="239">
        <v>1</v>
      </c>
      <c r="D347" s="276" t="s">
        <v>1777</v>
      </c>
      <c r="E347" s="348">
        <v>29.16</v>
      </c>
      <c r="F347" s="226">
        <f t="shared" si="40"/>
        <v>0.2</v>
      </c>
      <c r="G347" s="85">
        <f>E347-(E347*F347)</f>
        <v>23.327999999999999</v>
      </c>
      <c r="H347" s="246"/>
      <c r="I347" s="246"/>
      <c r="J347" s="288" t="s">
        <v>1099</v>
      </c>
      <c r="K347" s="89" t="s">
        <v>433</v>
      </c>
      <c r="L347" s="114" t="s">
        <v>1047</v>
      </c>
      <c r="M347" s="241" t="s">
        <v>1789</v>
      </c>
      <c r="N347" s="245" t="s">
        <v>1791</v>
      </c>
      <c r="O347" s="239">
        <v>1</v>
      </c>
      <c r="P347" s="276" t="s">
        <v>1777</v>
      </c>
      <c r="Q347" s="348">
        <v>29.16</v>
      </c>
      <c r="R347" s="226">
        <v>0.2</v>
      </c>
      <c r="S347" s="85">
        <v>23.327999999999999</v>
      </c>
      <c r="T347" s="246"/>
      <c r="U347" s="246"/>
      <c r="V347" s="288" t="s">
        <v>1099</v>
      </c>
      <c r="W347" s="89" t="s">
        <v>433</v>
      </c>
      <c r="X347" s="114" t="s">
        <v>1047</v>
      </c>
    </row>
    <row r="348" spans="1:24">
      <c r="A348" s="263"/>
      <c r="B348" s="245"/>
      <c r="C348" s="239"/>
      <c r="D348" s="276"/>
      <c r="E348" s="348"/>
      <c r="F348" s="226"/>
      <c r="G348" s="85"/>
      <c r="H348" s="246"/>
      <c r="I348" s="246"/>
      <c r="J348" s="288"/>
      <c r="K348" s="89"/>
      <c r="L348" s="114"/>
      <c r="M348" s="643" t="s">
        <v>1792</v>
      </c>
      <c r="N348" s="670" t="s">
        <v>1793</v>
      </c>
      <c r="O348" s="671">
        <v>1</v>
      </c>
      <c r="P348" s="672" t="s">
        <v>1777</v>
      </c>
      <c r="Q348" s="654">
        <v>29.16</v>
      </c>
      <c r="R348" s="648">
        <v>0.2</v>
      </c>
      <c r="S348" s="655">
        <v>23.327999999999999</v>
      </c>
      <c r="T348" s="656"/>
      <c r="U348" s="656"/>
      <c r="V348" s="288" t="s">
        <v>1099</v>
      </c>
      <c r="W348" s="89" t="s">
        <v>433</v>
      </c>
      <c r="X348" s="114" t="s">
        <v>1047</v>
      </c>
    </row>
    <row r="349" spans="1:24">
      <c r="A349" s="263" t="s">
        <v>1794</v>
      </c>
      <c r="B349" s="245" t="s">
        <v>1795</v>
      </c>
      <c r="C349" s="239">
        <v>1</v>
      </c>
      <c r="D349" s="276" t="s">
        <v>1777</v>
      </c>
      <c r="E349" s="348">
        <v>39.159999999999997</v>
      </c>
      <c r="F349" s="226">
        <f t="shared" si="40"/>
        <v>0.2</v>
      </c>
      <c r="G349" s="85">
        <f>E349-(E349*F349)</f>
        <v>31.327999999999996</v>
      </c>
      <c r="H349" s="246"/>
      <c r="I349" s="246"/>
      <c r="J349" s="288" t="s">
        <v>1099</v>
      </c>
      <c r="K349" s="89" t="s">
        <v>433</v>
      </c>
      <c r="L349" s="114" t="s">
        <v>1047</v>
      </c>
      <c r="M349" s="241" t="s">
        <v>1794</v>
      </c>
      <c r="N349" s="245" t="s">
        <v>1796</v>
      </c>
      <c r="O349" s="239">
        <v>1</v>
      </c>
      <c r="P349" s="276" t="s">
        <v>1777</v>
      </c>
      <c r="Q349" s="348">
        <v>33.33</v>
      </c>
      <c r="R349" s="226">
        <v>0.2</v>
      </c>
      <c r="S349" s="85">
        <v>26.663999999999998</v>
      </c>
      <c r="T349" s="246"/>
      <c r="U349" s="246"/>
      <c r="V349" s="288" t="s">
        <v>1099</v>
      </c>
      <c r="W349" s="89" t="s">
        <v>433</v>
      </c>
      <c r="X349" s="114" t="s">
        <v>1047</v>
      </c>
    </row>
    <row r="350" spans="1:24">
      <c r="A350" s="263" t="s">
        <v>1797</v>
      </c>
      <c r="B350" s="245" t="s">
        <v>1798</v>
      </c>
      <c r="C350" s="239">
        <v>1</v>
      </c>
      <c r="D350" s="276" t="s">
        <v>1777</v>
      </c>
      <c r="E350" s="348">
        <v>39.159999999999997</v>
      </c>
      <c r="F350" s="226">
        <f t="shared" si="40"/>
        <v>0.2</v>
      </c>
      <c r="G350" s="85">
        <f>E350-(E350*F350)</f>
        <v>31.327999999999996</v>
      </c>
      <c r="H350" s="246"/>
      <c r="I350" s="246"/>
      <c r="J350" s="288" t="s">
        <v>1099</v>
      </c>
      <c r="K350" s="89" t="s">
        <v>433</v>
      </c>
      <c r="L350" s="114" t="s">
        <v>1047</v>
      </c>
      <c r="M350" s="241" t="s">
        <v>1797</v>
      </c>
      <c r="N350" s="245" t="s">
        <v>1799</v>
      </c>
      <c r="O350" s="239">
        <v>1</v>
      </c>
      <c r="P350" s="276" t="s">
        <v>1777</v>
      </c>
      <c r="Q350" s="348">
        <v>33.33</v>
      </c>
      <c r="R350" s="226">
        <v>0.2</v>
      </c>
      <c r="S350" s="85">
        <v>26.663999999999998</v>
      </c>
      <c r="T350" s="246"/>
      <c r="U350" s="246"/>
      <c r="V350" s="288" t="s">
        <v>1099</v>
      </c>
      <c r="W350" s="89" t="s">
        <v>433</v>
      </c>
      <c r="X350" s="114" t="s">
        <v>1047</v>
      </c>
    </row>
    <row r="351" spans="1:24">
      <c r="A351" s="263" t="s">
        <v>1800</v>
      </c>
      <c r="B351" s="245" t="s">
        <v>1801</v>
      </c>
      <c r="C351" s="239">
        <v>1</v>
      </c>
      <c r="D351" s="276" t="s">
        <v>1777</v>
      </c>
      <c r="E351" s="348">
        <v>43.32</v>
      </c>
      <c r="F351" s="226">
        <v>0.2</v>
      </c>
      <c r="G351" s="85">
        <v>34.655999999999999</v>
      </c>
      <c r="H351" s="246"/>
      <c r="I351" s="246"/>
      <c r="J351" s="288" t="s">
        <v>1099</v>
      </c>
      <c r="K351" s="89" t="s">
        <v>433</v>
      </c>
      <c r="L351" s="114" t="s">
        <v>1047</v>
      </c>
      <c r="M351" s="241" t="s">
        <v>1800</v>
      </c>
      <c r="N351" s="245" t="s">
        <v>1802</v>
      </c>
      <c r="O351" s="239">
        <v>1</v>
      </c>
      <c r="P351" s="276" t="s">
        <v>1777</v>
      </c>
      <c r="Q351" s="348">
        <v>33.33</v>
      </c>
      <c r="R351" s="226">
        <v>0.2</v>
      </c>
      <c r="S351" s="85">
        <v>26.663999999999998</v>
      </c>
      <c r="T351" s="246"/>
      <c r="U351" s="246"/>
      <c r="V351" s="288" t="s">
        <v>1099</v>
      </c>
      <c r="W351" s="89" t="s">
        <v>433</v>
      </c>
      <c r="X351" s="114" t="s">
        <v>1047</v>
      </c>
    </row>
    <row r="352" spans="1:24">
      <c r="A352" s="263" t="s">
        <v>1803</v>
      </c>
      <c r="B352" s="245" t="s">
        <v>1804</v>
      </c>
      <c r="C352" s="239">
        <v>1</v>
      </c>
      <c r="D352" s="276" t="s">
        <v>1777</v>
      </c>
      <c r="E352" s="348">
        <v>45.83</v>
      </c>
      <c r="F352" s="226">
        <f t="shared" si="40"/>
        <v>0.2</v>
      </c>
      <c r="G352" s="85">
        <f t="shared" ref="G352:G382" si="41">E352-(E352*F352)</f>
        <v>36.664000000000001</v>
      </c>
      <c r="H352" s="246"/>
      <c r="I352" s="246"/>
      <c r="J352" s="288" t="s">
        <v>1099</v>
      </c>
      <c r="K352" s="89" t="s">
        <v>433</v>
      </c>
      <c r="L352" s="114" t="s">
        <v>1047</v>
      </c>
      <c r="M352" s="241" t="s">
        <v>1803</v>
      </c>
      <c r="N352" s="245" t="s">
        <v>1805</v>
      </c>
      <c r="O352" s="239">
        <v>1</v>
      </c>
      <c r="P352" s="276" t="s">
        <v>1777</v>
      </c>
      <c r="Q352" s="348">
        <v>45.83</v>
      </c>
      <c r="R352" s="226">
        <v>0.2</v>
      </c>
      <c r="S352" s="85">
        <v>36.664000000000001</v>
      </c>
      <c r="T352" s="246"/>
      <c r="U352" s="246"/>
      <c r="V352" s="288" t="s">
        <v>1099</v>
      </c>
      <c r="W352" s="89" t="s">
        <v>433</v>
      </c>
      <c r="X352" s="114" t="s">
        <v>1047</v>
      </c>
    </row>
    <row r="353" spans="1:24">
      <c r="A353" s="263" t="s">
        <v>1806</v>
      </c>
      <c r="B353" s="245" t="s">
        <v>1807</v>
      </c>
      <c r="C353" s="239">
        <v>1</v>
      </c>
      <c r="D353" s="276" t="s">
        <v>1777</v>
      </c>
      <c r="E353" s="348">
        <v>83.32</v>
      </c>
      <c r="F353" s="226">
        <f t="shared" si="40"/>
        <v>0.2</v>
      </c>
      <c r="G353" s="85">
        <f t="shared" si="41"/>
        <v>66.655999999999992</v>
      </c>
      <c r="H353" s="246"/>
      <c r="I353" s="246"/>
      <c r="J353" s="288" t="s">
        <v>1099</v>
      </c>
      <c r="K353" s="89" t="s">
        <v>433</v>
      </c>
      <c r="L353" s="114" t="s">
        <v>1047</v>
      </c>
      <c r="M353" s="241"/>
      <c r="N353" s="245"/>
      <c r="O353" s="239"/>
      <c r="P353" s="276"/>
      <c r="Q353" s="348"/>
      <c r="R353" s="226"/>
      <c r="S353" s="85"/>
      <c r="T353" s="246"/>
      <c r="U353" s="246"/>
      <c r="V353" s="288"/>
      <c r="W353" s="89"/>
      <c r="X353" s="114"/>
    </row>
    <row r="354" spans="1:24">
      <c r="A354" s="263" t="s">
        <v>1808</v>
      </c>
      <c r="B354" s="245" t="s">
        <v>1809</v>
      </c>
      <c r="C354" s="239">
        <v>1</v>
      </c>
      <c r="D354" s="276" t="s">
        <v>1777</v>
      </c>
      <c r="E354" s="348">
        <v>45.825000000000003</v>
      </c>
      <c r="F354" s="226">
        <f t="shared" si="40"/>
        <v>0.2</v>
      </c>
      <c r="G354" s="85">
        <f t="shared" si="41"/>
        <v>36.660000000000004</v>
      </c>
      <c r="H354" s="246"/>
      <c r="I354" s="246"/>
      <c r="J354" s="288" t="s">
        <v>1099</v>
      </c>
      <c r="K354" s="89" t="s">
        <v>433</v>
      </c>
      <c r="L354" s="114" t="s">
        <v>1047</v>
      </c>
      <c r="M354" s="263" t="s">
        <v>1808</v>
      </c>
      <c r="N354" s="245" t="s">
        <v>1810</v>
      </c>
      <c r="O354" s="239">
        <v>1</v>
      </c>
      <c r="P354" s="276" t="s">
        <v>1777</v>
      </c>
      <c r="Q354" s="348">
        <v>45.825000000000003</v>
      </c>
      <c r="R354" s="226">
        <v>0.2</v>
      </c>
      <c r="S354" s="85">
        <v>36.660000000000004</v>
      </c>
      <c r="T354" s="246"/>
      <c r="U354" s="246"/>
      <c r="V354" s="288" t="s">
        <v>1099</v>
      </c>
      <c r="W354" s="89" t="s">
        <v>433</v>
      </c>
      <c r="X354" s="114" t="s">
        <v>1047</v>
      </c>
    </row>
    <row r="355" spans="1:24">
      <c r="A355" s="263" t="s">
        <v>1811</v>
      </c>
      <c r="B355" s="245" t="s">
        <v>1812</v>
      </c>
      <c r="C355" s="239">
        <v>1</v>
      </c>
      <c r="D355" s="276" t="s">
        <v>1777</v>
      </c>
      <c r="E355" s="348">
        <v>15</v>
      </c>
      <c r="F355" s="226">
        <f t="shared" si="40"/>
        <v>0.2</v>
      </c>
      <c r="G355" s="85">
        <f t="shared" si="41"/>
        <v>12</v>
      </c>
      <c r="H355" s="246"/>
      <c r="I355" s="246"/>
      <c r="J355" s="288" t="s">
        <v>1099</v>
      </c>
      <c r="K355" s="89" t="s">
        <v>433</v>
      </c>
      <c r="L355" s="114" t="s">
        <v>1047</v>
      </c>
      <c r="M355" s="263" t="s">
        <v>1811</v>
      </c>
      <c r="N355" s="245" t="s">
        <v>1813</v>
      </c>
      <c r="O355" s="239">
        <v>1</v>
      </c>
      <c r="P355" s="276" t="s">
        <v>1777</v>
      </c>
      <c r="Q355" s="348">
        <v>15</v>
      </c>
      <c r="R355" s="226">
        <v>0.2</v>
      </c>
      <c r="S355" s="85">
        <v>12</v>
      </c>
      <c r="T355" s="246"/>
      <c r="U355" s="246"/>
      <c r="V355" s="288" t="s">
        <v>1099</v>
      </c>
      <c r="W355" s="89" t="s">
        <v>433</v>
      </c>
      <c r="X355" s="114" t="s">
        <v>1047</v>
      </c>
    </row>
    <row r="356" spans="1:24" ht="15" customHeight="1">
      <c r="A356" s="263" t="s">
        <v>1814</v>
      </c>
      <c r="B356" s="245" t="s">
        <v>1815</v>
      </c>
      <c r="C356" s="239">
        <v>1</v>
      </c>
      <c r="D356" s="347" t="s">
        <v>1777</v>
      </c>
      <c r="E356" s="348">
        <v>19.989999999999998</v>
      </c>
      <c r="F356" s="226">
        <f t="shared" si="40"/>
        <v>0.2</v>
      </c>
      <c r="G356" s="85">
        <f t="shared" si="41"/>
        <v>15.991999999999999</v>
      </c>
      <c r="H356" s="246"/>
      <c r="I356" s="246"/>
      <c r="J356" s="288" t="s">
        <v>1099</v>
      </c>
      <c r="K356" s="89" t="s">
        <v>433</v>
      </c>
      <c r="L356" s="114" t="s">
        <v>1047</v>
      </c>
      <c r="M356" s="241" t="s">
        <v>1814</v>
      </c>
      <c r="N356" s="245" t="s">
        <v>1816</v>
      </c>
      <c r="O356" s="239">
        <v>1</v>
      </c>
      <c r="P356" s="347" t="s">
        <v>1777</v>
      </c>
      <c r="Q356" s="348">
        <v>16.66</v>
      </c>
      <c r="R356" s="226">
        <v>0.2</v>
      </c>
      <c r="S356" s="85">
        <v>13.327999999999999</v>
      </c>
      <c r="T356" s="246"/>
      <c r="U356" s="246"/>
      <c r="V356" s="288" t="s">
        <v>1099</v>
      </c>
      <c r="W356" s="89" t="s">
        <v>433</v>
      </c>
      <c r="X356" s="114" t="s">
        <v>1047</v>
      </c>
    </row>
    <row r="357" spans="1:24" ht="14.1" customHeight="1">
      <c r="A357" s="263" t="s">
        <v>1817</v>
      </c>
      <c r="B357" s="256" t="s">
        <v>1818</v>
      </c>
      <c r="C357" s="261">
        <v>1</v>
      </c>
      <c r="D357" s="264" t="s">
        <v>1379</v>
      </c>
      <c r="E357" s="348">
        <v>30</v>
      </c>
      <c r="F357" s="226">
        <f t="shared" si="40"/>
        <v>0.2</v>
      </c>
      <c r="G357" s="85">
        <f t="shared" si="41"/>
        <v>24</v>
      </c>
      <c r="H357" s="246"/>
      <c r="I357" s="246"/>
      <c r="J357" s="288" t="s">
        <v>1099</v>
      </c>
      <c r="K357" s="89" t="s">
        <v>433</v>
      </c>
      <c r="L357" s="114" t="s">
        <v>1047</v>
      </c>
      <c r="M357" s="241" t="s">
        <v>1817</v>
      </c>
      <c r="N357" s="256" t="s">
        <v>1818</v>
      </c>
      <c r="O357" s="261">
        <v>1</v>
      </c>
      <c r="P357" s="264" t="s">
        <v>1379</v>
      </c>
      <c r="Q357" s="348">
        <v>30</v>
      </c>
      <c r="R357" s="226">
        <v>0.2</v>
      </c>
      <c r="S357" s="85">
        <v>24</v>
      </c>
      <c r="T357" s="246"/>
      <c r="U357" s="246"/>
      <c r="V357" s="288" t="s">
        <v>1099</v>
      </c>
      <c r="W357" s="89" t="s">
        <v>433</v>
      </c>
      <c r="X357" s="114" t="s">
        <v>1047</v>
      </c>
    </row>
    <row r="358" spans="1:24" ht="15" customHeight="1">
      <c r="A358" s="263" t="s">
        <v>1819</v>
      </c>
      <c r="B358" s="256" t="s">
        <v>1820</v>
      </c>
      <c r="C358" s="261">
        <v>1</v>
      </c>
      <c r="D358" s="264" t="s">
        <v>1379</v>
      </c>
      <c r="E358" s="348">
        <v>35</v>
      </c>
      <c r="F358" s="226">
        <f t="shared" si="40"/>
        <v>0.2</v>
      </c>
      <c r="G358" s="85">
        <f t="shared" si="41"/>
        <v>28</v>
      </c>
      <c r="H358" s="246"/>
      <c r="I358" s="246"/>
      <c r="J358" s="288" t="s">
        <v>1099</v>
      </c>
      <c r="K358" s="89" t="s">
        <v>433</v>
      </c>
      <c r="L358" s="114" t="s">
        <v>1047</v>
      </c>
      <c r="M358" s="241" t="s">
        <v>1819</v>
      </c>
      <c r="N358" s="256" t="s">
        <v>1820</v>
      </c>
      <c r="O358" s="261">
        <v>1</v>
      </c>
      <c r="P358" s="264" t="s">
        <v>1379</v>
      </c>
      <c r="Q358" s="348">
        <v>35</v>
      </c>
      <c r="R358" s="226">
        <v>0.2</v>
      </c>
      <c r="S358" s="85">
        <v>28</v>
      </c>
      <c r="T358" s="246"/>
      <c r="U358" s="246"/>
      <c r="V358" s="288" t="s">
        <v>1099</v>
      </c>
      <c r="W358" s="89" t="s">
        <v>433</v>
      </c>
      <c r="X358" s="114" t="s">
        <v>1047</v>
      </c>
    </row>
    <row r="359" spans="1:24" ht="14.1" customHeight="1">
      <c r="A359" s="263" t="s">
        <v>1821</v>
      </c>
      <c r="B359" s="256" t="s">
        <v>1822</v>
      </c>
      <c r="C359" s="261">
        <v>1</v>
      </c>
      <c r="D359" s="264" t="s">
        <v>1379</v>
      </c>
      <c r="E359" s="348">
        <v>38</v>
      </c>
      <c r="F359" s="226">
        <f t="shared" si="40"/>
        <v>0.2</v>
      </c>
      <c r="G359" s="85">
        <f t="shared" si="41"/>
        <v>30.4</v>
      </c>
      <c r="H359" s="246"/>
      <c r="I359" s="246"/>
      <c r="J359" s="288" t="s">
        <v>1099</v>
      </c>
      <c r="K359" s="89" t="s">
        <v>433</v>
      </c>
      <c r="L359" s="114" t="s">
        <v>1047</v>
      </c>
      <c r="M359" s="241" t="s">
        <v>1821</v>
      </c>
      <c r="N359" s="256" t="s">
        <v>1822</v>
      </c>
      <c r="O359" s="261">
        <v>1</v>
      </c>
      <c r="P359" s="264" t="s">
        <v>1379</v>
      </c>
      <c r="Q359" s="348">
        <v>38</v>
      </c>
      <c r="R359" s="226">
        <v>0.2</v>
      </c>
      <c r="S359" s="85">
        <v>30.4</v>
      </c>
      <c r="T359" s="246"/>
      <c r="U359" s="246"/>
      <c r="V359" s="288" t="s">
        <v>1099</v>
      </c>
      <c r="W359" s="89" t="s">
        <v>433</v>
      </c>
      <c r="X359" s="114" t="s">
        <v>1047</v>
      </c>
    </row>
    <row r="360" spans="1:24" s="1" customFormat="1">
      <c r="A360" s="263" t="s">
        <v>1823</v>
      </c>
      <c r="B360" s="248" t="s">
        <v>1824</v>
      </c>
      <c r="C360" s="249">
        <v>1</v>
      </c>
      <c r="D360" s="272" t="s">
        <v>1825</v>
      </c>
      <c r="E360" s="348">
        <v>29.99</v>
      </c>
      <c r="F360" s="226">
        <f t="shared" ref="F360:F365" si="42">rv_20</f>
        <v>0.2</v>
      </c>
      <c r="G360" s="67">
        <f t="shared" si="41"/>
        <v>23.991999999999997</v>
      </c>
      <c r="H360" s="93"/>
      <c r="I360" s="224"/>
      <c r="J360" s="288" t="s">
        <v>1099</v>
      </c>
      <c r="K360" s="89" t="s">
        <v>433</v>
      </c>
      <c r="L360" s="114" t="s">
        <v>1047</v>
      </c>
      <c r="M360" s="241" t="s">
        <v>1823</v>
      </c>
      <c r="N360" s="248" t="s">
        <v>1824</v>
      </c>
      <c r="O360" s="249">
        <v>1</v>
      </c>
      <c r="P360" s="272" t="s">
        <v>1825</v>
      </c>
      <c r="Q360" s="348">
        <v>29.99</v>
      </c>
      <c r="R360" s="226">
        <v>0.2</v>
      </c>
      <c r="S360" s="67">
        <v>23.991999999999997</v>
      </c>
      <c r="T360" s="93"/>
      <c r="U360" s="224"/>
      <c r="V360" s="288" t="s">
        <v>1099</v>
      </c>
      <c r="W360" s="89" t="s">
        <v>433</v>
      </c>
      <c r="X360" s="114" t="s">
        <v>1047</v>
      </c>
    </row>
    <row r="361" spans="1:24" s="1" customFormat="1">
      <c r="A361" s="263" t="s">
        <v>1826</v>
      </c>
      <c r="B361" s="248" t="s">
        <v>1827</v>
      </c>
      <c r="C361" s="249">
        <v>1</v>
      </c>
      <c r="D361" s="272" t="s">
        <v>1825</v>
      </c>
      <c r="E361" s="348">
        <v>29.99</v>
      </c>
      <c r="F361" s="226">
        <f t="shared" si="42"/>
        <v>0.2</v>
      </c>
      <c r="G361" s="67">
        <f t="shared" si="41"/>
        <v>23.991999999999997</v>
      </c>
      <c r="H361" s="93"/>
      <c r="I361" s="224"/>
      <c r="J361" s="288" t="s">
        <v>1099</v>
      </c>
      <c r="K361" s="89" t="s">
        <v>433</v>
      </c>
      <c r="L361" s="114" t="s">
        <v>1047</v>
      </c>
      <c r="M361" s="241" t="s">
        <v>1826</v>
      </c>
      <c r="N361" s="248" t="s">
        <v>1827</v>
      </c>
      <c r="O361" s="249">
        <v>1</v>
      </c>
      <c r="P361" s="272" t="s">
        <v>1825</v>
      </c>
      <c r="Q361" s="348">
        <v>29.99</v>
      </c>
      <c r="R361" s="226">
        <v>0.2</v>
      </c>
      <c r="S361" s="67">
        <v>23.991999999999997</v>
      </c>
      <c r="T361" s="93"/>
      <c r="U361" s="224"/>
      <c r="V361" s="288" t="s">
        <v>1099</v>
      </c>
      <c r="W361" s="89" t="s">
        <v>433</v>
      </c>
      <c r="X361" s="114" t="s">
        <v>1047</v>
      </c>
    </row>
    <row r="362" spans="1:24" s="1" customFormat="1">
      <c r="A362" s="263" t="s">
        <v>1828</v>
      </c>
      <c r="B362" s="248" t="s">
        <v>1829</v>
      </c>
      <c r="C362" s="249">
        <v>1</v>
      </c>
      <c r="D362" s="272" t="s">
        <v>1825</v>
      </c>
      <c r="E362" s="348">
        <v>34.99</v>
      </c>
      <c r="F362" s="226">
        <f t="shared" si="42"/>
        <v>0.2</v>
      </c>
      <c r="G362" s="67">
        <f t="shared" si="41"/>
        <v>27.992000000000001</v>
      </c>
      <c r="H362" s="93"/>
      <c r="I362" s="224"/>
      <c r="J362" s="288" t="s">
        <v>1099</v>
      </c>
      <c r="K362" s="89" t="s">
        <v>433</v>
      </c>
      <c r="L362" s="114" t="s">
        <v>1047</v>
      </c>
      <c r="M362" s="241"/>
      <c r="N362" s="248"/>
      <c r="O362" s="249"/>
      <c r="P362" s="272"/>
      <c r="Q362" s="348"/>
      <c r="R362" s="226"/>
      <c r="S362" s="67"/>
      <c r="T362" s="93"/>
      <c r="U362" s="224"/>
      <c r="V362" s="288"/>
      <c r="W362" s="89"/>
      <c r="X362" s="114"/>
    </row>
    <row r="363" spans="1:24" s="1" customFormat="1">
      <c r="A363" s="263" t="s">
        <v>1830</v>
      </c>
      <c r="B363" s="248" t="s">
        <v>1831</v>
      </c>
      <c r="C363" s="249">
        <v>1</v>
      </c>
      <c r="D363" s="272" t="s">
        <v>1825</v>
      </c>
      <c r="E363" s="348">
        <v>29.99</v>
      </c>
      <c r="F363" s="226">
        <f t="shared" si="42"/>
        <v>0.2</v>
      </c>
      <c r="G363" s="67">
        <f t="shared" si="41"/>
        <v>23.991999999999997</v>
      </c>
      <c r="H363" s="93"/>
      <c r="I363" s="224"/>
      <c r="J363" s="288" t="s">
        <v>1099</v>
      </c>
      <c r="K363" s="89" t="s">
        <v>433</v>
      </c>
      <c r="L363" s="114" t="s">
        <v>1047</v>
      </c>
      <c r="M363" s="241" t="s">
        <v>1830</v>
      </c>
      <c r="N363" s="248" t="s">
        <v>1831</v>
      </c>
      <c r="O363" s="249">
        <v>1</v>
      </c>
      <c r="P363" s="272" t="s">
        <v>1825</v>
      </c>
      <c r="Q363" s="348">
        <v>29.99</v>
      </c>
      <c r="R363" s="226">
        <v>0.2</v>
      </c>
      <c r="S363" s="67">
        <v>23.991999999999997</v>
      </c>
      <c r="T363" s="93"/>
      <c r="U363" s="224"/>
      <c r="V363" s="288" t="s">
        <v>1099</v>
      </c>
      <c r="W363" s="89" t="s">
        <v>433</v>
      </c>
      <c r="X363" s="114" t="s">
        <v>1047</v>
      </c>
    </row>
    <row r="364" spans="1:24" s="1" customFormat="1">
      <c r="A364" s="263" t="s">
        <v>1832</v>
      </c>
      <c r="B364" s="248" t="s">
        <v>1833</v>
      </c>
      <c r="C364" s="249">
        <v>1</v>
      </c>
      <c r="D364" s="272" t="s">
        <v>1825</v>
      </c>
      <c r="E364" s="348">
        <v>29.99</v>
      </c>
      <c r="F364" s="226">
        <f t="shared" si="42"/>
        <v>0.2</v>
      </c>
      <c r="G364" s="67">
        <f t="shared" si="41"/>
        <v>23.991999999999997</v>
      </c>
      <c r="H364" s="93"/>
      <c r="I364" s="224"/>
      <c r="J364" s="288" t="s">
        <v>1099</v>
      </c>
      <c r="K364" s="89" t="s">
        <v>433</v>
      </c>
      <c r="L364" s="114" t="s">
        <v>1047</v>
      </c>
      <c r="M364" s="241" t="s">
        <v>1832</v>
      </c>
      <c r="N364" s="248" t="s">
        <v>1833</v>
      </c>
      <c r="O364" s="249">
        <v>1</v>
      </c>
      <c r="P364" s="272" t="s">
        <v>1825</v>
      </c>
      <c r="Q364" s="348">
        <v>29.99</v>
      </c>
      <c r="R364" s="226">
        <v>0.2</v>
      </c>
      <c r="S364" s="67">
        <v>23.991999999999997</v>
      </c>
      <c r="T364" s="93"/>
      <c r="U364" s="224"/>
      <c r="V364" s="288" t="s">
        <v>1099</v>
      </c>
      <c r="W364" s="89" t="s">
        <v>433</v>
      </c>
      <c r="X364" s="114" t="s">
        <v>1047</v>
      </c>
    </row>
    <row r="365" spans="1:24" s="106" customFormat="1">
      <c r="A365" s="263" t="s">
        <v>1834</v>
      </c>
      <c r="B365" s="248" t="s">
        <v>1835</v>
      </c>
      <c r="C365" s="249">
        <v>1</v>
      </c>
      <c r="D365" s="272" t="s">
        <v>1825</v>
      </c>
      <c r="E365" s="348">
        <v>34.99</v>
      </c>
      <c r="F365" s="226">
        <f t="shared" si="42"/>
        <v>0.2</v>
      </c>
      <c r="G365" s="67">
        <f t="shared" si="41"/>
        <v>27.992000000000001</v>
      </c>
      <c r="H365" s="93"/>
      <c r="I365" s="224"/>
      <c r="J365" s="288" t="s">
        <v>1099</v>
      </c>
      <c r="K365" s="89" t="s">
        <v>433</v>
      </c>
      <c r="L365" s="114" t="s">
        <v>1047</v>
      </c>
      <c r="M365" s="241" t="s">
        <v>1834</v>
      </c>
      <c r="N365" s="248" t="s">
        <v>1835</v>
      </c>
      <c r="O365" s="249">
        <v>1</v>
      </c>
      <c r="P365" s="272" t="s">
        <v>1825</v>
      </c>
      <c r="Q365" s="348">
        <v>34.99</v>
      </c>
      <c r="R365" s="226">
        <v>0.2</v>
      </c>
      <c r="S365" s="67">
        <v>27.992000000000001</v>
      </c>
      <c r="T365" s="93"/>
      <c r="U365" s="224"/>
      <c r="V365" s="288" t="s">
        <v>1099</v>
      </c>
      <c r="W365" s="89" t="s">
        <v>433</v>
      </c>
      <c r="X365" s="114" t="s">
        <v>1047</v>
      </c>
    </row>
    <row r="366" spans="1:24" s="1" customFormat="1">
      <c r="A366" s="263" t="s">
        <v>1836</v>
      </c>
      <c r="B366" s="248" t="s">
        <v>1837</v>
      </c>
      <c r="C366" s="249">
        <v>1</v>
      </c>
      <c r="D366" s="272" t="s">
        <v>1838</v>
      </c>
      <c r="E366" s="348">
        <v>45.79</v>
      </c>
      <c r="F366" s="226">
        <f t="shared" ref="F366:F372" si="43">rv_20</f>
        <v>0.2</v>
      </c>
      <c r="G366" s="67">
        <f t="shared" si="41"/>
        <v>36.631999999999998</v>
      </c>
      <c r="H366" s="93"/>
      <c r="I366" s="224">
        <v>0</v>
      </c>
      <c r="J366" s="288" t="s">
        <v>1099</v>
      </c>
      <c r="K366" s="89" t="s">
        <v>433</v>
      </c>
      <c r="L366" s="114" t="s">
        <v>1047</v>
      </c>
      <c r="M366" s="241" t="s">
        <v>1836</v>
      </c>
      <c r="N366" s="248" t="s">
        <v>1837</v>
      </c>
      <c r="O366" s="249">
        <v>1</v>
      </c>
      <c r="P366" s="272" t="s">
        <v>1838</v>
      </c>
      <c r="Q366" s="348">
        <v>45.79</v>
      </c>
      <c r="R366" s="226">
        <v>0.2</v>
      </c>
      <c r="S366" s="67">
        <v>36.631999999999998</v>
      </c>
      <c r="T366" s="93"/>
      <c r="U366" s="224">
        <v>0</v>
      </c>
      <c r="V366" s="288" t="s">
        <v>1099</v>
      </c>
      <c r="W366" s="89" t="s">
        <v>433</v>
      </c>
      <c r="X366" s="114" t="s">
        <v>1047</v>
      </c>
    </row>
    <row r="367" spans="1:24" s="1" customFormat="1">
      <c r="A367" s="263" t="s">
        <v>1839</v>
      </c>
      <c r="B367" s="248" t="s">
        <v>1840</v>
      </c>
      <c r="C367" s="249">
        <v>1</v>
      </c>
      <c r="D367" s="272" t="s">
        <v>1841</v>
      </c>
      <c r="E367" s="348">
        <v>127.93</v>
      </c>
      <c r="F367" s="226">
        <f t="shared" si="43"/>
        <v>0.2</v>
      </c>
      <c r="G367" s="67">
        <f t="shared" si="41"/>
        <v>102.34400000000001</v>
      </c>
      <c r="H367" s="93"/>
      <c r="I367" s="224">
        <v>0</v>
      </c>
      <c r="J367" s="288" t="s">
        <v>1099</v>
      </c>
      <c r="K367" s="89" t="s">
        <v>433</v>
      </c>
      <c r="L367" s="114" t="s">
        <v>1047</v>
      </c>
      <c r="M367" s="241" t="s">
        <v>1839</v>
      </c>
      <c r="N367" s="248" t="s">
        <v>1840</v>
      </c>
      <c r="O367" s="249">
        <v>1</v>
      </c>
      <c r="P367" s="272" t="s">
        <v>1841</v>
      </c>
      <c r="Q367" s="348">
        <v>127.93</v>
      </c>
      <c r="R367" s="226">
        <v>0.2</v>
      </c>
      <c r="S367" s="67">
        <v>102.34400000000001</v>
      </c>
      <c r="T367" s="93"/>
      <c r="U367" s="224">
        <v>0</v>
      </c>
      <c r="V367" s="288" t="s">
        <v>1099</v>
      </c>
      <c r="W367" s="89" t="s">
        <v>433</v>
      </c>
      <c r="X367" s="114" t="s">
        <v>1047</v>
      </c>
    </row>
    <row r="368" spans="1:24" s="1" customFormat="1">
      <c r="A368" s="263" t="s">
        <v>1842</v>
      </c>
      <c r="B368" s="248" t="s">
        <v>1843</v>
      </c>
      <c r="C368" s="249">
        <v>1</v>
      </c>
      <c r="D368" s="272" t="s">
        <v>1841</v>
      </c>
      <c r="E368" s="348">
        <v>149.29</v>
      </c>
      <c r="F368" s="226">
        <f t="shared" si="43"/>
        <v>0.2</v>
      </c>
      <c r="G368" s="67">
        <f t="shared" si="41"/>
        <v>119.43199999999999</v>
      </c>
      <c r="H368" s="93"/>
      <c r="I368" s="224">
        <v>0</v>
      </c>
      <c r="J368" s="288" t="s">
        <v>1099</v>
      </c>
      <c r="K368" s="89" t="s">
        <v>433</v>
      </c>
      <c r="L368" s="114" t="s">
        <v>1047</v>
      </c>
      <c r="M368" s="241" t="s">
        <v>1842</v>
      </c>
      <c r="N368" s="248" t="s">
        <v>1843</v>
      </c>
      <c r="O368" s="249">
        <v>1</v>
      </c>
      <c r="P368" s="272" t="s">
        <v>1841</v>
      </c>
      <c r="Q368" s="348">
        <v>149.29</v>
      </c>
      <c r="R368" s="226">
        <v>0.2</v>
      </c>
      <c r="S368" s="67">
        <v>119.43199999999999</v>
      </c>
      <c r="T368" s="93"/>
      <c r="U368" s="224">
        <v>0</v>
      </c>
      <c r="V368" s="288" t="s">
        <v>1099</v>
      </c>
      <c r="W368" s="89" t="s">
        <v>433</v>
      </c>
      <c r="X368" s="114" t="s">
        <v>1047</v>
      </c>
    </row>
    <row r="369" spans="1:24" s="1" customFormat="1">
      <c r="A369" s="263" t="s">
        <v>1844</v>
      </c>
      <c r="B369" s="248" t="s">
        <v>1845</v>
      </c>
      <c r="C369" s="249">
        <v>1</v>
      </c>
      <c r="D369" s="272" t="s">
        <v>1841</v>
      </c>
      <c r="E369" s="348">
        <v>65.13</v>
      </c>
      <c r="F369" s="226">
        <f t="shared" si="43"/>
        <v>0.2</v>
      </c>
      <c r="G369" s="67">
        <f t="shared" si="41"/>
        <v>52.103999999999999</v>
      </c>
      <c r="H369" s="93"/>
      <c r="I369" s="224">
        <v>0</v>
      </c>
      <c r="J369" s="288" t="s">
        <v>1099</v>
      </c>
      <c r="K369" s="89" t="s">
        <v>433</v>
      </c>
      <c r="L369" s="114" t="s">
        <v>1047</v>
      </c>
      <c r="M369" s="241" t="s">
        <v>1844</v>
      </c>
      <c r="N369" s="248" t="s">
        <v>1845</v>
      </c>
      <c r="O369" s="249">
        <v>1</v>
      </c>
      <c r="P369" s="272" t="s">
        <v>1841</v>
      </c>
      <c r="Q369" s="348">
        <v>65.13</v>
      </c>
      <c r="R369" s="226">
        <v>0.2</v>
      </c>
      <c r="S369" s="67">
        <v>52.103999999999999</v>
      </c>
      <c r="T369" s="93"/>
      <c r="U369" s="224">
        <v>0</v>
      </c>
      <c r="V369" s="288" t="s">
        <v>1099</v>
      </c>
      <c r="W369" s="89" t="s">
        <v>433</v>
      </c>
      <c r="X369" s="114" t="s">
        <v>1047</v>
      </c>
    </row>
    <row r="370" spans="1:24" s="1" customFormat="1">
      <c r="A370" s="263" t="s">
        <v>1846</v>
      </c>
      <c r="B370" s="248" t="s">
        <v>1847</v>
      </c>
      <c r="C370" s="249">
        <v>1</v>
      </c>
      <c r="D370" s="272" t="s">
        <v>1841</v>
      </c>
      <c r="E370" s="348">
        <v>67.23</v>
      </c>
      <c r="F370" s="226">
        <f t="shared" si="43"/>
        <v>0.2</v>
      </c>
      <c r="G370" s="67">
        <f t="shared" si="41"/>
        <v>53.784000000000006</v>
      </c>
      <c r="H370" s="93"/>
      <c r="I370" s="224">
        <v>0</v>
      </c>
      <c r="J370" s="288" t="s">
        <v>1099</v>
      </c>
      <c r="K370" s="89" t="s">
        <v>433</v>
      </c>
      <c r="L370" s="114" t="s">
        <v>1047</v>
      </c>
      <c r="M370" s="241" t="s">
        <v>1846</v>
      </c>
      <c r="N370" s="248" t="s">
        <v>1847</v>
      </c>
      <c r="O370" s="249">
        <v>1</v>
      </c>
      <c r="P370" s="272" t="s">
        <v>1841</v>
      </c>
      <c r="Q370" s="348">
        <v>67.23</v>
      </c>
      <c r="R370" s="226">
        <v>0.2</v>
      </c>
      <c r="S370" s="67">
        <v>53.784000000000006</v>
      </c>
      <c r="T370" s="93"/>
      <c r="U370" s="224">
        <v>0</v>
      </c>
      <c r="V370" s="288" t="s">
        <v>1099</v>
      </c>
      <c r="W370" s="89" t="s">
        <v>433</v>
      </c>
      <c r="X370" s="114" t="s">
        <v>1047</v>
      </c>
    </row>
    <row r="371" spans="1:24" s="1" customFormat="1">
      <c r="A371" s="263" t="s">
        <v>1848</v>
      </c>
      <c r="B371" s="248" t="s">
        <v>1849</v>
      </c>
      <c r="C371" s="249">
        <v>1</v>
      </c>
      <c r="D371" s="272" t="s">
        <v>1841</v>
      </c>
      <c r="E371" s="348">
        <v>88.23</v>
      </c>
      <c r="F371" s="226">
        <f t="shared" si="43"/>
        <v>0.2</v>
      </c>
      <c r="G371" s="67">
        <f t="shared" si="41"/>
        <v>70.584000000000003</v>
      </c>
      <c r="H371" s="93"/>
      <c r="I371" s="224">
        <v>0</v>
      </c>
      <c r="J371" s="288" t="s">
        <v>1099</v>
      </c>
      <c r="K371" s="89" t="s">
        <v>433</v>
      </c>
      <c r="L371" s="114" t="s">
        <v>1047</v>
      </c>
      <c r="M371" s="241" t="s">
        <v>1848</v>
      </c>
      <c r="N371" s="248" t="s">
        <v>1849</v>
      </c>
      <c r="O371" s="249">
        <v>1</v>
      </c>
      <c r="P371" s="272" t="s">
        <v>1841</v>
      </c>
      <c r="Q371" s="348">
        <v>88.23</v>
      </c>
      <c r="R371" s="226">
        <v>0.2</v>
      </c>
      <c r="S371" s="67">
        <v>70.584000000000003</v>
      </c>
      <c r="T371" s="93"/>
      <c r="U371" s="224">
        <v>0</v>
      </c>
      <c r="V371" s="288" t="s">
        <v>1099</v>
      </c>
      <c r="W371" s="89" t="s">
        <v>433</v>
      </c>
      <c r="X371" s="114" t="s">
        <v>1047</v>
      </c>
    </row>
    <row r="372" spans="1:24" s="1" customFormat="1">
      <c r="A372" s="263" t="s">
        <v>1850</v>
      </c>
      <c r="B372" s="248" t="s">
        <v>1851</v>
      </c>
      <c r="C372" s="249">
        <v>1</v>
      </c>
      <c r="D372" s="272" t="s">
        <v>1841</v>
      </c>
      <c r="E372" s="348">
        <v>100.84</v>
      </c>
      <c r="F372" s="226">
        <f t="shared" si="43"/>
        <v>0.2</v>
      </c>
      <c r="G372" s="67">
        <f t="shared" si="41"/>
        <v>80.671999999999997</v>
      </c>
      <c r="H372" s="93"/>
      <c r="I372" s="224">
        <v>0</v>
      </c>
      <c r="J372" s="288" t="s">
        <v>1099</v>
      </c>
      <c r="K372" s="89" t="s">
        <v>433</v>
      </c>
      <c r="L372" s="114" t="s">
        <v>1047</v>
      </c>
      <c r="M372" s="241" t="s">
        <v>1850</v>
      </c>
      <c r="N372" s="248" t="s">
        <v>1851</v>
      </c>
      <c r="O372" s="249">
        <v>1</v>
      </c>
      <c r="P372" s="272" t="s">
        <v>1841</v>
      </c>
      <c r="Q372" s="348">
        <v>100.84</v>
      </c>
      <c r="R372" s="226">
        <v>0.2</v>
      </c>
      <c r="S372" s="67">
        <v>80.671999999999997</v>
      </c>
      <c r="T372" s="93"/>
      <c r="U372" s="224">
        <v>0</v>
      </c>
      <c r="V372" s="288" t="s">
        <v>1099</v>
      </c>
      <c r="W372" s="89" t="s">
        <v>433</v>
      </c>
      <c r="X372" s="114" t="s">
        <v>1047</v>
      </c>
    </row>
    <row r="373" spans="1:24" s="1" customFormat="1">
      <c r="A373" s="263" t="s">
        <v>1852</v>
      </c>
      <c r="B373" s="248" t="s">
        <v>1853</v>
      </c>
      <c r="C373" s="249">
        <v>1</v>
      </c>
      <c r="D373" s="272" t="s">
        <v>1825</v>
      </c>
      <c r="E373" s="348">
        <v>29.16</v>
      </c>
      <c r="F373" s="226">
        <f t="shared" ref="F373:F375" si="44">rv_20</f>
        <v>0.2</v>
      </c>
      <c r="G373" s="67">
        <f t="shared" si="41"/>
        <v>23.327999999999999</v>
      </c>
      <c r="H373" s="93"/>
      <c r="I373" s="224">
        <v>0</v>
      </c>
      <c r="J373" s="288" t="s">
        <v>1099</v>
      </c>
      <c r="K373" s="89" t="s">
        <v>433</v>
      </c>
      <c r="L373" s="114" t="s">
        <v>1047</v>
      </c>
      <c r="M373" s="241" t="s">
        <v>1852</v>
      </c>
      <c r="N373" s="248" t="s">
        <v>1853</v>
      </c>
      <c r="O373" s="249">
        <v>1</v>
      </c>
      <c r="P373" s="272" t="s">
        <v>1825</v>
      </c>
      <c r="Q373" s="348">
        <v>29.16</v>
      </c>
      <c r="R373" s="226">
        <v>0.2</v>
      </c>
      <c r="S373" s="67">
        <v>23.327999999999999</v>
      </c>
      <c r="T373" s="93"/>
      <c r="U373" s="224">
        <v>0</v>
      </c>
      <c r="V373" s="288" t="s">
        <v>1099</v>
      </c>
      <c r="W373" s="89" t="s">
        <v>433</v>
      </c>
      <c r="X373" s="114" t="s">
        <v>1047</v>
      </c>
    </row>
    <row r="374" spans="1:24" s="1" customFormat="1">
      <c r="A374" s="263" t="s">
        <v>1854</v>
      </c>
      <c r="B374" s="248" t="s">
        <v>1855</v>
      </c>
      <c r="C374" s="249">
        <v>1</v>
      </c>
      <c r="D374" s="272" t="s">
        <v>1825</v>
      </c>
      <c r="E374" s="348">
        <v>29.16</v>
      </c>
      <c r="F374" s="226">
        <f t="shared" si="44"/>
        <v>0.2</v>
      </c>
      <c r="G374" s="67">
        <f t="shared" si="41"/>
        <v>23.327999999999999</v>
      </c>
      <c r="H374" s="93"/>
      <c r="I374" s="224">
        <v>0</v>
      </c>
      <c r="J374" s="288" t="s">
        <v>1099</v>
      </c>
      <c r="K374" s="89" t="s">
        <v>433</v>
      </c>
      <c r="L374" s="114" t="s">
        <v>1047</v>
      </c>
      <c r="M374" s="241" t="s">
        <v>1854</v>
      </c>
      <c r="N374" s="248" t="s">
        <v>1855</v>
      </c>
      <c r="O374" s="249">
        <v>1</v>
      </c>
      <c r="P374" s="272" t="s">
        <v>1825</v>
      </c>
      <c r="Q374" s="348">
        <v>29.16</v>
      </c>
      <c r="R374" s="226">
        <v>0.2</v>
      </c>
      <c r="S374" s="67">
        <v>23.327999999999999</v>
      </c>
      <c r="T374" s="93"/>
      <c r="U374" s="224">
        <v>0</v>
      </c>
      <c r="V374" s="288" t="s">
        <v>1099</v>
      </c>
      <c r="W374" s="89" t="s">
        <v>433</v>
      </c>
      <c r="X374" s="114" t="s">
        <v>1047</v>
      </c>
    </row>
    <row r="375" spans="1:24" s="1" customFormat="1">
      <c r="A375" s="263" t="s">
        <v>1856</v>
      </c>
      <c r="B375" s="248" t="s">
        <v>1857</v>
      </c>
      <c r="C375" s="249">
        <v>1</v>
      </c>
      <c r="D375" s="272" t="s">
        <v>1825</v>
      </c>
      <c r="E375" s="348">
        <v>31.65</v>
      </c>
      <c r="F375" s="226">
        <f t="shared" si="44"/>
        <v>0.2</v>
      </c>
      <c r="G375" s="67">
        <f t="shared" si="41"/>
        <v>25.32</v>
      </c>
      <c r="H375" s="93"/>
      <c r="I375" s="224">
        <v>0</v>
      </c>
      <c r="J375" s="288" t="s">
        <v>1099</v>
      </c>
      <c r="K375" s="89" t="s">
        <v>433</v>
      </c>
      <c r="L375" s="114" t="s">
        <v>1047</v>
      </c>
      <c r="M375" s="241" t="s">
        <v>1856</v>
      </c>
      <c r="N375" s="248" t="s">
        <v>1857</v>
      </c>
      <c r="O375" s="249">
        <v>1</v>
      </c>
      <c r="P375" s="272" t="s">
        <v>1825</v>
      </c>
      <c r="Q375" s="348">
        <v>31.65</v>
      </c>
      <c r="R375" s="226">
        <v>0.2</v>
      </c>
      <c r="S375" s="67">
        <v>25.32</v>
      </c>
      <c r="T375" s="93"/>
      <c r="U375" s="224">
        <v>0</v>
      </c>
      <c r="V375" s="288" t="s">
        <v>1099</v>
      </c>
      <c r="W375" s="89" t="s">
        <v>433</v>
      </c>
      <c r="X375" s="114" t="s">
        <v>1047</v>
      </c>
    </row>
    <row r="376" spans="1:24" s="106" customFormat="1">
      <c r="A376" s="263" t="s">
        <v>1858</v>
      </c>
      <c r="B376" s="248" t="s">
        <v>1859</v>
      </c>
      <c r="C376" s="249">
        <v>1</v>
      </c>
      <c r="D376" s="272" t="s">
        <v>1825</v>
      </c>
      <c r="E376" s="348">
        <v>29.16</v>
      </c>
      <c r="F376" s="226">
        <f t="shared" ref="F376:F382" si="45">rv_10</f>
        <v>0.1</v>
      </c>
      <c r="G376" s="67">
        <f t="shared" si="41"/>
        <v>26.244</v>
      </c>
      <c r="H376" s="93"/>
      <c r="I376" s="224">
        <v>0</v>
      </c>
      <c r="J376" s="288" t="s">
        <v>1099</v>
      </c>
      <c r="K376" s="89" t="s">
        <v>433</v>
      </c>
      <c r="L376" s="114" t="s">
        <v>1047</v>
      </c>
      <c r="M376" s="241" t="s">
        <v>1858</v>
      </c>
      <c r="N376" s="248" t="s">
        <v>1859</v>
      </c>
      <c r="O376" s="249">
        <v>1</v>
      </c>
      <c r="P376" s="272" t="s">
        <v>1825</v>
      </c>
      <c r="Q376" s="348">
        <v>29.16</v>
      </c>
      <c r="R376" s="226">
        <v>0.1</v>
      </c>
      <c r="S376" s="67">
        <v>26.244</v>
      </c>
      <c r="T376" s="93"/>
      <c r="U376" s="224">
        <v>0</v>
      </c>
      <c r="V376" s="288" t="s">
        <v>1099</v>
      </c>
      <c r="W376" s="89" t="s">
        <v>433</v>
      </c>
      <c r="X376" s="114" t="s">
        <v>1047</v>
      </c>
    </row>
    <row r="377" spans="1:24" s="106" customFormat="1">
      <c r="A377" s="263" t="s">
        <v>1860</v>
      </c>
      <c r="B377" s="248" t="s">
        <v>1861</v>
      </c>
      <c r="C377" s="249">
        <v>1</v>
      </c>
      <c r="D377" s="272" t="s">
        <v>1825</v>
      </c>
      <c r="E377" s="348">
        <v>29.16</v>
      </c>
      <c r="F377" s="226">
        <f t="shared" si="45"/>
        <v>0.1</v>
      </c>
      <c r="G377" s="67">
        <f t="shared" si="41"/>
        <v>26.244</v>
      </c>
      <c r="H377" s="93"/>
      <c r="I377" s="224">
        <v>0</v>
      </c>
      <c r="J377" s="288" t="s">
        <v>1099</v>
      </c>
      <c r="K377" s="89" t="s">
        <v>433</v>
      </c>
      <c r="L377" s="114" t="s">
        <v>1047</v>
      </c>
      <c r="M377" s="241" t="s">
        <v>1860</v>
      </c>
      <c r="N377" s="248" t="s">
        <v>1861</v>
      </c>
      <c r="O377" s="249">
        <v>1</v>
      </c>
      <c r="P377" s="272" t="s">
        <v>1825</v>
      </c>
      <c r="Q377" s="348">
        <v>29.16</v>
      </c>
      <c r="R377" s="226">
        <v>0.1</v>
      </c>
      <c r="S377" s="67">
        <v>26.244</v>
      </c>
      <c r="T377" s="93"/>
      <c r="U377" s="224">
        <v>0</v>
      </c>
      <c r="V377" s="288" t="s">
        <v>1099</v>
      </c>
      <c r="W377" s="89" t="s">
        <v>433</v>
      </c>
      <c r="X377" s="114" t="s">
        <v>1047</v>
      </c>
    </row>
    <row r="378" spans="1:24" s="1" customFormat="1">
      <c r="A378" s="263" t="s">
        <v>1862</v>
      </c>
      <c r="B378" s="248" t="s">
        <v>1863</v>
      </c>
      <c r="C378" s="249">
        <v>1</v>
      </c>
      <c r="D378" s="272" t="s">
        <v>1825</v>
      </c>
      <c r="E378" s="348">
        <v>29.16</v>
      </c>
      <c r="F378" s="226">
        <f t="shared" si="45"/>
        <v>0.1</v>
      </c>
      <c r="G378" s="67">
        <f t="shared" si="41"/>
        <v>26.244</v>
      </c>
      <c r="H378" s="93"/>
      <c r="I378" s="224">
        <v>0</v>
      </c>
      <c r="J378" s="288" t="s">
        <v>1099</v>
      </c>
      <c r="K378" s="89" t="s">
        <v>433</v>
      </c>
      <c r="L378" s="114" t="s">
        <v>1047</v>
      </c>
      <c r="M378" s="241"/>
      <c r="N378" s="248"/>
      <c r="O378" s="249"/>
      <c r="P378" s="272"/>
      <c r="Q378" s="348"/>
      <c r="R378" s="226"/>
      <c r="S378" s="67"/>
      <c r="T378" s="93"/>
      <c r="U378" s="224"/>
      <c r="V378" s="288"/>
      <c r="W378" s="89"/>
      <c r="X378" s="114"/>
    </row>
    <row r="379" spans="1:24" s="1" customFormat="1">
      <c r="A379" s="263" t="s">
        <v>1864</v>
      </c>
      <c r="B379" s="248" t="s">
        <v>1865</v>
      </c>
      <c r="C379" s="249">
        <v>1</v>
      </c>
      <c r="D379" s="272" t="s">
        <v>1825</v>
      </c>
      <c r="E379" s="348">
        <v>29.16</v>
      </c>
      <c r="F379" s="226">
        <f t="shared" si="45"/>
        <v>0.1</v>
      </c>
      <c r="G379" s="67">
        <f t="shared" si="41"/>
        <v>26.244</v>
      </c>
      <c r="H379" s="93"/>
      <c r="I379" s="224">
        <v>0</v>
      </c>
      <c r="J379" s="288" t="s">
        <v>1099</v>
      </c>
      <c r="K379" s="89" t="s">
        <v>433</v>
      </c>
      <c r="L379" s="114" t="s">
        <v>1047</v>
      </c>
      <c r="M379" s="241"/>
      <c r="N379" s="248"/>
      <c r="O379" s="249"/>
      <c r="P379" s="272"/>
      <c r="Q379" s="348"/>
      <c r="R379" s="226"/>
      <c r="S379" s="67"/>
      <c r="T379" s="93"/>
      <c r="U379" s="224"/>
      <c r="V379" s="288"/>
      <c r="W379" s="89"/>
      <c r="X379" s="114"/>
    </row>
    <row r="380" spans="1:24" s="106" customFormat="1">
      <c r="A380" s="263" t="s">
        <v>1866</v>
      </c>
      <c r="B380" s="248" t="s">
        <v>1867</v>
      </c>
      <c r="C380" s="249">
        <v>1</v>
      </c>
      <c r="D380" s="272" t="s">
        <v>1825</v>
      </c>
      <c r="E380" s="348">
        <v>29.16</v>
      </c>
      <c r="F380" s="226">
        <f t="shared" si="45"/>
        <v>0.1</v>
      </c>
      <c r="G380" s="67">
        <f t="shared" si="41"/>
        <v>26.244</v>
      </c>
      <c r="H380" s="93"/>
      <c r="I380" s="224">
        <v>0</v>
      </c>
      <c r="J380" s="288" t="s">
        <v>1099</v>
      </c>
      <c r="K380" s="89" t="s">
        <v>433</v>
      </c>
      <c r="L380" s="114" t="s">
        <v>1047</v>
      </c>
      <c r="M380" s="241" t="s">
        <v>1866</v>
      </c>
      <c r="N380" s="248" t="s">
        <v>1867</v>
      </c>
      <c r="O380" s="249">
        <v>1</v>
      </c>
      <c r="P380" s="272" t="s">
        <v>1825</v>
      </c>
      <c r="Q380" s="348">
        <v>29.16</v>
      </c>
      <c r="R380" s="226">
        <v>0.1</v>
      </c>
      <c r="S380" s="67">
        <v>26.244</v>
      </c>
      <c r="T380" s="93"/>
      <c r="U380" s="224">
        <v>0</v>
      </c>
      <c r="V380" s="288" t="s">
        <v>1099</v>
      </c>
      <c r="W380" s="89" t="s">
        <v>433</v>
      </c>
      <c r="X380" s="114" t="s">
        <v>1047</v>
      </c>
    </row>
    <row r="381" spans="1:24" s="106" customFormat="1">
      <c r="A381" s="263" t="s">
        <v>1868</v>
      </c>
      <c r="B381" s="248" t="s">
        <v>1869</v>
      </c>
      <c r="C381" s="249">
        <v>1</v>
      </c>
      <c r="D381" s="272" t="s">
        <v>1825</v>
      </c>
      <c r="E381" s="348">
        <v>29.16</v>
      </c>
      <c r="F381" s="226">
        <f t="shared" si="45"/>
        <v>0.1</v>
      </c>
      <c r="G381" s="67">
        <f t="shared" si="41"/>
        <v>26.244</v>
      </c>
      <c r="H381" s="93"/>
      <c r="I381" s="224">
        <v>0</v>
      </c>
      <c r="J381" s="288" t="s">
        <v>1099</v>
      </c>
      <c r="K381" s="89" t="s">
        <v>433</v>
      </c>
      <c r="L381" s="114" t="s">
        <v>1047</v>
      </c>
      <c r="M381" s="241" t="s">
        <v>1868</v>
      </c>
      <c r="N381" s="248" t="s">
        <v>1869</v>
      </c>
      <c r="O381" s="249">
        <v>1</v>
      </c>
      <c r="P381" s="272" t="s">
        <v>1825</v>
      </c>
      <c r="Q381" s="348">
        <v>29.16</v>
      </c>
      <c r="R381" s="226">
        <v>0.1</v>
      </c>
      <c r="S381" s="67">
        <v>26.244</v>
      </c>
      <c r="T381" s="93"/>
      <c r="U381" s="224">
        <v>0</v>
      </c>
      <c r="V381" s="288" t="s">
        <v>1099</v>
      </c>
      <c r="W381" s="89" t="s">
        <v>433</v>
      </c>
      <c r="X381" s="114" t="s">
        <v>1047</v>
      </c>
    </row>
    <row r="382" spans="1:24" s="106" customFormat="1">
      <c r="A382" s="263" t="s">
        <v>1870</v>
      </c>
      <c r="B382" s="248" t="s">
        <v>1871</v>
      </c>
      <c r="C382" s="249">
        <v>1</v>
      </c>
      <c r="D382" s="272" t="s">
        <v>1411</v>
      </c>
      <c r="E382" s="348">
        <v>16.579999999999998</v>
      </c>
      <c r="F382" s="226">
        <f t="shared" si="45"/>
        <v>0.1</v>
      </c>
      <c r="G382" s="67">
        <f t="shared" si="41"/>
        <v>14.921999999999999</v>
      </c>
      <c r="H382" s="93"/>
      <c r="I382" s="224">
        <v>0</v>
      </c>
      <c r="J382" s="288" t="s">
        <v>1099</v>
      </c>
      <c r="K382" s="89" t="s">
        <v>433</v>
      </c>
      <c r="L382" s="114" t="s">
        <v>1047</v>
      </c>
      <c r="M382" s="241" t="s">
        <v>1870</v>
      </c>
      <c r="N382" s="248" t="s">
        <v>1871</v>
      </c>
      <c r="O382" s="249">
        <v>1</v>
      </c>
      <c r="P382" s="272" t="s">
        <v>1411</v>
      </c>
      <c r="Q382" s="348">
        <v>16.579999999999998</v>
      </c>
      <c r="R382" s="226">
        <v>0.1</v>
      </c>
      <c r="S382" s="67">
        <v>14.921999999999999</v>
      </c>
      <c r="T382" s="93"/>
      <c r="U382" s="224">
        <v>0</v>
      </c>
      <c r="V382" s="288" t="s">
        <v>1099</v>
      </c>
      <c r="W382" s="89" t="s">
        <v>433</v>
      </c>
      <c r="X382" s="114" t="s">
        <v>1047</v>
      </c>
    </row>
    <row r="383" spans="1:24" s="1" customFormat="1">
      <c r="A383" s="263"/>
      <c r="B383" s="248"/>
      <c r="C383" s="239"/>
      <c r="D383" s="250"/>
      <c r="E383" s="348"/>
      <c r="F383" s="226"/>
      <c r="G383" s="67"/>
      <c r="H383" s="93"/>
      <c r="I383" s="224"/>
      <c r="J383" s="288"/>
      <c r="K383" s="89"/>
      <c r="L383" s="114"/>
      <c r="M383" s="643" t="s">
        <v>1872</v>
      </c>
      <c r="N383" s="644" t="s">
        <v>1873</v>
      </c>
      <c r="O383" s="671">
        <v>1</v>
      </c>
      <c r="P383" s="673" t="s">
        <v>1674</v>
      </c>
      <c r="Q383" s="654">
        <v>84.79</v>
      </c>
      <c r="R383" s="648">
        <v>0.2</v>
      </c>
      <c r="S383" s="659">
        <v>67.832000000000008</v>
      </c>
      <c r="T383" s="650"/>
      <c r="U383" s="651"/>
      <c r="V383" s="288" t="s">
        <v>1099</v>
      </c>
      <c r="W383" s="89" t="s">
        <v>433</v>
      </c>
      <c r="X383" s="114" t="s">
        <v>1047</v>
      </c>
    </row>
    <row r="384" spans="1:24" s="1" customFormat="1">
      <c r="A384" s="263" t="s">
        <v>1874</v>
      </c>
      <c r="B384" s="248" t="s">
        <v>1875</v>
      </c>
      <c r="C384" s="239">
        <v>1</v>
      </c>
      <c r="D384" s="250" t="s">
        <v>1674</v>
      </c>
      <c r="E384" s="348">
        <v>35.369999999999997</v>
      </c>
      <c r="F384" s="226">
        <f>rv_20</f>
        <v>0.2</v>
      </c>
      <c r="G384" s="67">
        <f>E384-(E384*F384)</f>
        <v>28.295999999999999</v>
      </c>
      <c r="H384" s="93"/>
      <c r="I384" s="224"/>
      <c r="J384" s="288" t="s">
        <v>1099</v>
      </c>
      <c r="K384" s="89" t="s">
        <v>433</v>
      </c>
      <c r="L384" s="114" t="s">
        <v>1047</v>
      </c>
      <c r="M384" s="241" t="s">
        <v>1874</v>
      </c>
      <c r="N384" s="248" t="s">
        <v>1875</v>
      </c>
      <c r="O384" s="239">
        <v>1</v>
      </c>
      <c r="P384" s="250" t="s">
        <v>1674</v>
      </c>
      <c r="Q384" s="348">
        <v>35.369999999999997</v>
      </c>
      <c r="R384" s="226">
        <v>0.2</v>
      </c>
      <c r="S384" s="67">
        <v>28.295999999999999</v>
      </c>
      <c r="T384" s="93"/>
      <c r="U384" s="224"/>
      <c r="V384" s="288" t="s">
        <v>1099</v>
      </c>
      <c r="W384" s="89" t="s">
        <v>433</v>
      </c>
      <c r="X384" s="114" t="s">
        <v>1047</v>
      </c>
    </row>
    <row r="385" spans="1:24" s="1" customFormat="1">
      <c r="A385" s="263"/>
      <c r="B385" s="248"/>
      <c r="C385" s="239"/>
      <c r="D385" s="250"/>
      <c r="E385" s="348"/>
      <c r="F385" s="226"/>
      <c r="G385" s="67"/>
      <c r="H385" s="93"/>
      <c r="I385" s="224"/>
      <c r="J385" s="288"/>
      <c r="K385" s="89"/>
      <c r="L385" s="114"/>
      <c r="M385" s="643" t="s">
        <v>1876</v>
      </c>
      <c r="N385" s="644" t="s">
        <v>1877</v>
      </c>
      <c r="O385" s="671">
        <v>1</v>
      </c>
      <c r="P385" s="673" t="s">
        <v>1674</v>
      </c>
      <c r="Q385" s="654">
        <v>50.37</v>
      </c>
      <c r="R385" s="648">
        <v>0.2</v>
      </c>
      <c r="S385" s="659">
        <v>40.295999999999999</v>
      </c>
      <c r="T385" s="650"/>
      <c r="U385" s="651"/>
      <c r="V385" s="288" t="s">
        <v>1099</v>
      </c>
      <c r="W385" s="89" t="s">
        <v>433</v>
      </c>
      <c r="X385" s="114" t="s">
        <v>1047</v>
      </c>
    </row>
    <row r="386" spans="1:24" s="1" customFormat="1" ht="15" customHeight="1">
      <c r="A386" s="263"/>
      <c r="B386" s="248"/>
      <c r="C386" s="239"/>
      <c r="D386" s="250"/>
      <c r="E386" s="348"/>
      <c r="F386" s="226"/>
      <c r="G386" s="67"/>
      <c r="H386" s="93"/>
      <c r="I386" s="224"/>
      <c r="J386" s="288"/>
      <c r="K386" s="89"/>
      <c r="L386" s="114"/>
      <c r="M386" s="643" t="s">
        <v>1878</v>
      </c>
      <c r="N386" s="644" t="s">
        <v>1879</v>
      </c>
      <c r="O386" s="671">
        <v>1</v>
      </c>
      <c r="P386" s="673" t="s">
        <v>1674</v>
      </c>
      <c r="Q386" s="654">
        <v>58.29</v>
      </c>
      <c r="R386" s="648">
        <v>0.2</v>
      </c>
      <c r="S386" s="659">
        <v>46.631999999999998</v>
      </c>
      <c r="T386" s="650"/>
      <c r="U386" s="651"/>
      <c r="V386" s="288" t="s">
        <v>1099</v>
      </c>
      <c r="W386" s="89" t="s">
        <v>433</v>
      </c>
      <c r="X386" s="114" t="s">
        <v>1047</v>
      </c>
    </row>
    <row r="387" spans="1:24" s="1" customFormat="1">
      <c r="A387" s="263" t="s">
        <v>1880</v>
      </c>
      <c r="B387" s="248" t="s">
        <v>1881</v>
      </c>
      <c r="C387" s="249">
        <v>1</v>
      </c>
      <c r="D387" s="272" t="s">
        <v>1825</v>
      </c>
      <c r="E387" s="348">
        <v>24.99</v>
      </c>
      <c r="F387" s="226">
        <f t="shared" ref="F387:F395" si="46">rv_20</f>
        <v>0.2</v>
      </c>
      <c r="G387" s="67">
        <f t="shared" ref="G387:G421" si="47">E387-(E387*F387)</f>
        <v>19.991999999999997</v>
      </c>
      <c r="H387" s="93"/>
      <c r="I387" s="224"/>
      <c r="J387" s="288" t="s">
        <v>1099</v>
      </c>
      <c r="K387" s="89" t="s">
        <v>433</v>
      </c>
      <c r="L387" s="114" t="s">
        <v>1047</v>
      </c>
      <c r="M387" s="241" t="s">
        <v>1880</v>
      </c>
      <c r="N387" s="248" t="s">
        <v>1881</v>
      </c>
      <c r="O387" s="249">
        <v>1</v>
      </c>
      <c r="P387" s="272" t="s">
        <v>1825</v>
      </c>
      <c r="Q387" s="348">
        <v>24.99</v>
      </c>
      <c r="R387" s="226">
        <v>0.2</v>
      </c>
      <c r="S387" s="67">
        <v>19.991999999999997</v>
      </c>
      <c r="T387" s="93"/>
      <c r="U387" s="224"/>
      <c r="V387" s="288" t="s">
        <v>1099</v>
      </c>
      <c r="W387" s="89" t="s">
        <v>433</v>
      </c>
      <c r="X387" s="114" t="s">
        <v>1047</v>
      </c>
    </row>
    <row r="388" spans="1:24" s="1" customFormat="1">
      <c r="A388" s="263" t="s">
        <v>1882</v>
      </c>
      <c r="B388" s="248" t="s">
        <v>1883</v>
      </c>
      <c r="C388" s="249">
        <v>1</v>
      </c>
      <c r="D388" s="272" t="s">
        <v>1825</v>
      </c>
      <c r="E388" s="348">
        <v>24.99</v>
      </c>
      <c r="F388" s="226">
        <f t="shared" si="46"/>
        <v>0.2</v>
      </c>
      <c r="G388" s="67">
        <f t="shared" si="47"/>
        <v>19.991999999999997</v>
      </c>
      <c r="H388" s="93"/>
      <c r="I388" s="224"/>
      <c r="J388" s="288" t="s">
        <v>1099</v>
      </c>
      <c r="K388" s="89" t="s">
        <v>433</v>
      </c>
      <c r="L388" s="114" t="s">
        <v>1047</v>
      </c>
      <c r="M388" s="241" t="s">
        <v>1882</v>
      </c>
      <c r="N388" s="248" t="s">
        <v>1883</v>
      </c>
      <c r="O388" s="249">
        <v>1</v>
      </c>
      <c r="P388" s="272" t="s">
        <v>1825</v>
      </c>
      <c r="Q388" s="348">
        <v>24.99</v>
      </c>
      <c r="R388" s="226">
        <v>0.2</v>
      </c>
      <c r="S388" s="67">
        <v>19.991999999999997</v>
      </c>
      <c r="T388" s="93"/>
      <c r="U388" s="224"/>
      <c r="V388" s="288" t="s">
        <v>1099</v>
      </c>
      <c r="W388" s="89" t="s">
        <v>433</v>
      </c>
      <c r="X388" s="114" t="s">
        <v>1047</v>
      </c>
    </row>
    <row r="389" spans="1:24" s="1" customFormat="1">
      <c r="A389" s="263" t="s">
        <v>1884</v>
      </c>
      <c r="B389" s="248" t="s">
        <v>1885</v>
      </c>
      <c r="C389" s="249">
        <v>1</v>
      </c>
      <c r="D389" s="272" t="s">
        <v>1825</v>
      </c>
      <c r="E389" s="348">
        <v>24.99</v>
      </c>
      <c r="F389" s="226">
        <f t="shared" si="46"/>
        <v>0.2</v>
      </c>
      <c r="G389" s="67">
        <f t="shared" si="47"/>
        <v>19.991999999999997</v>
      </c>
      <c r="H389" s="93"/>
      <c r="I389" s="224"/>
      <c r="J389" s="288" t="s">
        <v>1099</v>
      </c>
      <c r="K389" s="89" t="s">
        <v>433</v>
      </c>
      <c r="L389" s="114" t="s">
        <v>1047</v>
      </c>
      <c r="M389" s="241" t="s">
        <v>1884</v>
      </c>
      <c r="N389" s="248" t="s">
        <v>1885</v>
      </c>
      <c r="O389" s="249">
        <v>1</v>
      </c>
      <c r="P389" s="272" t="s">
        <v>1825</v>
      </c>
      <c r="Q389" s="348">
        <v>24.99</v>
      </c>
      <c r="R389" s="226">
        <v>0.2</v>
      </c>
      <c r="S389" s="67">
        <v>19.991999999999997</v>
      </c>
      <c r="T389" s="93"/>
      <c r="U389" s="224"/>
      <c r="V389" s="288" t="s">
        <v>1099</v>
      </c>
      <c r="W389" s="89" t="s">
        <v>433</v>
      </c>
      <c r="X389" s="114" t="s">
        <v>1047</v>
      </c>
    </row>
    <row r="390" spans="1:24" s="1" customFormat="1">
      <c r="A390" s="263" t="s">
        <v>1886</v>
      </c>
      <c r="B390" s="248" t="s">
        <v>1887</v>
      </c>
      <c r="C390" s="249">
        <v>1</v>
      </c>
      <c r="D390" s="272" t="s">
        <v>1825</v>
      </c>
      <c r="E390" s="348">
        <v>24.99</v>
      </c>
      <c r="F390" s="226">
        <f t="shared" si="46"/>
        <v>0.2</v>
      </c>
      <c r="G390" s="67">
        <f t="shared" si="47"/>
        <v>19.991999999999997</v>
      </c>
      <c r="H390" s="93"/>
      <c r="I390" s="224"/>
      <c r="J390" s="288" t="s">
        <v>1099</v>
      </c>
      <c r="K390" s="89" t="s">
        <v>433</v>
      </c>
      <c r="L390" s="114" t="s">
        <v>1047</v>
      </c>
      <c r="M390" s="241" t="s">
        <v>1886</v>
      </c>
      <c r="N390" s="248" t="s">
        <v>1887</v>
      </c>
      <c r="O390" s="249">
        <v>1</v>
      </c>
      <c r="P390" s="272" t="s">
        <v>1825</v>
      </c>
      <c r="Q390" s="348">
        <v>24.99</v>
      </c>
      <c r="R390" s="226">
        <v>0.2</v>
      </c>
      <c r="S390" s="67">
        <v>19.991999999999997</v>
      </c>
      <c r="T390" s="93"/>
      <c r="U390" s="224"/>
      <c r="V390" s="288" t="s">
        <v>1099</v>
      </c>
      <c r="W390" s="89" t="s">
        <v>433</v>
      </c>
      <c r="X390" s="114" t="s">
        <v>1047</v>
      </c>
    </row>
    <row r="391" spans="1:24" s="1" customFormat="1">
      <c r="A391" s="263" t="s">
        <v>1888</v>
      </c>
      <c r="B391" s="248" t="s">
        <v>1889</v>
      </c>
      <c r="C391" s="249">
        <v>1</v>
      </c>
      <c r="D391" s="272" t="s">
        <v>1825</v>
      </c>
      <c r="E391" s="348">
        <v>20.83</v>
      </c>
      <c r="F391" s="226">
        <f t="shared" si="46"/>
        <v>0.2</v>
      </c>
      <c r="G391" s="67">
        <f t="shared" si="47"/>
        <v>16.663999999999998</v>
      </c>
      <c r="H391" s="93"/>
      <c r="I391" s="224"/>
      <c r="J391" s="288" t="s">
        <v>1099</v>
      </c>
      <c r="K391" s="89" t="s">
        <v>433</v>
      </c>
      <c r="L391" s="114" t="s">
        <v>1047</v>
      </c>
      <c r="M391" s="241" t="s">
        <v>1888</v>
      </c>
      <c r="N391" s="248" t="s">
        <v>1889</v>
      </c>
      <c r="O391" s="249">
        <v>1</v>
      </c>
      <c r="P391" s="272" t="s">
        <v>1825</v>
      </c>
      <c r="Q391" s="348">
        <v>20.83</v>
      </c>
      <c r="R391" s="226">
        <v>0.2</v>
      </c>
      <c r="S391" s="67">
        <v>16.663999999999998</v>
      </c>
      <c r="T391" s="93"/>
      <c r="U391" s="224"/>
      <c r="V391" s="288" t="s">
        <v>1099</v>
      </c>
      <c r="W391" s="89" t="s">
        <v>433</v>
      </c>
      <c r="X391" s="114" t="s">
        <v>1047</v>
      </c>
    </row>
    <row r="392" spans="1:24" s="1" customFormat="1">
      <c r="A392" s="263" t="s">
        <v>1890</v>
      </c>
      <c r="B392" s="248" t="s">
        <v>1891</v>
      </c>
      <c r="C392" s="249">
        <v>1</v>
      </c>
      <c r="D392" s="272" t="s">
        <v>1825</v>
      </c>
      <c r="E392" s="348">
        <v>20.83</v>
      </c>
      <c r="F392" s="226">
        <f t="shared" si="46"/>
        <v>0.2</v>
      </c>
      <c r="G392" s="67">
        <f t="shared" si="47"/>
        <v>16.663999999999998</v>
      </c>
      <c r="H392" s="93"/>
      <c r="I392" s="224"/>
      <c r="J392" s="288" t="s">
        <v>1099</v>
      </c>
      <c r="K392" s="89" t="s">
        <v>433</v>
      </c>
      <c r="L392" s="114" t="s">
        <v>1047</v>
      </c>
      <c r="M392" s="241" t="s">
        <v>1890</v>
      </c>
      <c r="N392" s="248" t="s">
        <v>1891</v>
      </c>
      <c r="O392" s="249">
        <v>1</v>
      </c>
      <c r="P392" s="272" t="s">
        <v>1825</v>
      </c>
      <c r="Q392" s="348">
        <v>20.83</v>
      </c>
      <c r="R392" s="226">
        <v>0.2</v>
      </c>
      <c r="S392" s="67">
        <v>16.663999999999998</v>
      </c>
      <c r="T392" s="93"/>
      <c r="U392" s="224"/>
      <c r="V392" s="288" t="s">
        <v>1099</v>
      </c>
      <c r="W392" s="89" t="s">
        <v>433</v>
      </c>
      <c r="X392" s="114" t="s">
        <v>1047</v>
      </c>
    </row>
    <row r="393" spans="1:24" s="1" customFormat="1">
      <c r="A393" s="263" t="s">
        <v>1892</v>
      </c>
      <c r="B393" s="248" t="s">
        <v>1893</v>
      </c>
      <c r="C393" s="249">
        <v>1</v>
      </c>
      <c r="D393" s="272" t="s">
        <v>1825</v>
      </c>
      <c r="E393" s="348">
        <v>20.83</v>
      </c>
      <c r="F393" s="226">
        <f t="shared" si="46"/>
        <v>0.2</v>
      </c>
      <c r="G393" s="67">
        <f t="shared" si="47"/>
        <v>16.663999999999998</v>
      </c>
      <c r="H393" s="93"/>
      <c r="I393" s="224"/>
      <c r="J393" s="288" t="s">
        <v>1099</v>
      </c>
      <c r="K393" s="89" t="s">
        <v>433</v>
      </c>
      <c r="L393" s="114" t="s">
        <v>1047</v>
      </c>
      <c r="M393" s="643" t="s">
        <v>1894</v>
      </c>
      <c r="N393" s="644" t="s">
        <v>1893</v>
      </c>
      <c r="O393" s="645">
        <v>1</v>
      </c>
      <c r="P393" s="646" t="s">
        <v>1825</v>
      </c>
      <c r="Q393" s="654">
        <v>20.83</v>
      </c>
      <c r="R393" s="648">
        <v>0.2</v>
      </c>
      <c r="S393" s="659">
        <v>16.663999999999998</v>
      </c>
      <c r="T393" s="650"/>
      <c r="U393" s="651"/>
      <c r="V393" s="288" t="s">
        <v>1099</v>
      </c>
      <c r="W393" s="89" t="s">
        <v>433</v>
      </c>
      <c r="X393" s="114" t="s">
        <v>1047</v>
      </c>
    </row>
    <row r="394" spans="1:24" s="1" customFormat="1">
      <c r="A394" s="263" t="s">
        <v>1895</v>
      </c>
      <c r="B394" s="248" t="s">
        <v>1896</v>
      </c>
      <c r="C394" s="249">
        <v>1</v>
      </c>
      <c r="D394" s="272" t="s">
        <v>1825</v>
      </c>
      <c r="E394" s="348">
        <v>20.83</v>
      </c>
      <c r="F394" s="226">
        <f t="shared" si="46"/>
        <v>0.2</v>
      </c>
      <c r="G394" s="67">
        <f t="shared" si="47"/>
        <v>16.663999999999998</v>
      </c>
      <c r="H394" s="93"/>
      <c r="I394" s="224"/>
      <c r="J394" s="288" t="s">
        <v>1099</v>
      </c>
      <c r="K394" s="89" t="s">
        <v>433</v>
      </c>
      <c r="L394" s="114" t="s">
        <v>1047</v>
      </c>
      <c r="M394" s="241" t="s">
        <v>1895</v>
      </c>
      <c r="N394" s="248" t="s">
        <v>1896</v>
      </c>
      <c r="O394" s="249">
        <v>1</v>
      </c>
      <c r="P394" s="272" t="s">
        <v>1825</v>
      </c>
      <c r="Q394" s="348">
        <v>20.83</v>
      </c>
      <c r="R394" s="226">
        <v>0.2</v>
      </c>
      <c r="S394" s="67">
        <v>16.663999999999998</v>
      </c>
      <c r="T394" s="93"/>
      <c r="U394" s="224"/>
      <c r="V394" s="288" t="s">
        <v>1099</v>
      </c>
      <c r="W394" s="89" t="s">
        <v>433</v>
      </c>
      <c r="X394" s="114" t="s">
        <v>1047</v>
      </c>
    </row>
    <row r="395" spans="1:24" s="1" customFormat="1">
      <c r="A395" s="263" t="s">
        <v>1897</v>
      </c>
      <c r="B395" s="248" t="s">
        <v>1898</v>
      </c>
      <c r="C395" s="249">
        <v>1</v>
      </c>
      <c r="D395" s="272" t="s">
        <v>1825</v>
      </c>
      <c r="E395" s="348">
        <v>24.99</v>
      </c>
      <c r="F395" s="226">
        <f t="shared" si="46"/>
        <v>0.2</v>
      </c>
      <c r="G395" s="67">
        <f t="shared" si="47"/>
        <v>19.991999999999997</v>
      </c>
      <c r="H395" s="93"/>
      <c r="I395" s="224"/>
      <c r="J395" s="288" t="s">
        <v>1099</v>
      </c>
      <c r="K395" s="89" t="s">
        <v>433</v>
      </c>
      <c r="L395" s="114" t="s">
        <v>1047</v>
      </c>
      <c r="M395" s="241" t="s">
        <v>1897</v>
      </c>
      <c r="N395" s="248" t="s">
        <v>1898</v>
      </c>
      <c r="O395" s="249">
        <v>1</v>
      </c>
      <c r="P395" s="272" t="s">
        <v>1825</v>
      </c>
      <c r="Q395" s="348">
        <v>24.99</v>
      </c>
      <c r="R395" s="226">
        <v>0.2</v>
      </c>
      <c r="S395" s="67">
        <v>19.991999999999997</v>
      </c>
      <c r="T395" s="93"/>
      <c r="U395" s="224"/>
      <c r="V395" s="288" t="s">
        <v>1099</v>
      </c>
      <c r="W395" s="89" t="s">
        <v>433</v>
      </c>
      <c r="X395" s="114" t="s">
        <v>1047</v>
      </c>
    </row>
    <row r="396" spans="1:24" s="1" customFormat="1">
      <c r="A396" s="263" t="s">
        <v>1899</v>
      </c>
      <c r="B396" s="248" t="s">
        <v>1900</v>
      </c>
      <c r="C396" s="249">
        <v>1</v>
      </c>
      <c r="D396" s="272" t="s">
        <v>1459</v>
      </c>
      <c r="E396" s="348">
        <v>28.14</v>
      </c>
      <c r="F396" s="226">
        <f t="shared" si="19"/>
        <v>0.2</v>
      </c>
      <c r="G396" s="67">
        <f t="shared" si="47"/>
        <v>22.512</v>
      </c>
      <c r="H396" s="93"/>
      <c r="I396" s="224"/>
      <c r="J396" s="288" t="s">
        <v>1099</v>
      </c>
      <c r="K396" s="89" t="s">
        <v>433</v>
      </c>
      <c r="L396" s="114" t="s">
        <v>1047</v>
      </c>
      <c r="M396" s="241" t="s">
        <v>1899</v>
      </c>
      <c r="N396" s="248" t="s">
        <v>1900</v>
      </c>
      <c r="O396" s="249">
        <v>1</v>
      </c>
      <c r="P396" s="272" t="s">
        <v>1459</v>
      </c>
      <c r="Q396" s="348">
        <v>28.14</v>
      </c>
      <c r="R396" s="226">
        <v>0.2</v>
      </c>
      <c r="S396" s="67">
        <v>22.512</v>
      </c>
      <c r="T396" s="93"/>
      <c r="U396" s="224"/>
      <c r="V396" s="288" t="s">
        <v>1099</v>
      </c>
      <c r="W396" s="89" t="s">
        <v>433</v>
      </c>
      <c r="X396" s="114" t="s">
        <v>1047</v>
      </c>
    </row>
    <row r="397" spans="1:24" s="1" customFormat="1">
      <c r="A397" s="263" t="s">
        <v>1901</v>
      </c>
      <c r="B397" s="248" t="s">
        <v>1902</v>
      </c>
      <c r="C397" s="249">
        <v>1</v>
      </c>
      <c r="D397" s="272" t="s">
        <v>1459</v>
      </c>
      <c r="E397" s="348">
        <v>28.14</v>
      </c>
      <c r="F397" s="226">
        <f t="shared" si="19"/>
        <v>0.2</v>
      </c>
      <c r="G397" s="67">
        <f t="shared" si="47"/>
        <v>22.512</v>
      </c>
      <c r="H397" s="93"/>
      <c r="I397" s="224"/>
      <c r="J397" s="288" t="s">
        <v>1099</v>
      </c>
      <c r="K397" s="89" t="s">
        <v>433</v>
      </c>
      <c r="L397" s="114" t="s">
        <v>1047</v>
      </c>
      <c r="M397" s="241" t="s">
        <v>1901</v>
      </c>
      <c r="N397" s="248" t="s">
        <v>1902</v>
      </c>
      <c r="O397" s="249">
        <v>1</v>
      </c>
      <c r="P397" s="272" t="s">
        <v>1459</v>
      </c>
      <c r="Q397" s="348">
        <v>28.14</v>
      </c>
      <c r="R397" s="226">
        <v>0.2</v>
      </c>
      <c r="S397" s="67">
        <v>22.512</v>
      </c>
      <c r="T397" s="93"/>
      <c r="U397" s="224"/>
      <c r="V397" s="288" t="s">
        <v>1099</v>
      </c>
      <c r="W397" s="89" t="s">
        <v>433</v>
      </c>
      <c r="X397" s="114" t="s">
        <v>1047</v>
      </c>
    </row>
    <row r="398" spans="1:24" s="1" customFormat="1">
      <c r="A398" s="263" t="s">
        <v>1903</v>
      </c>
      <c r="B398" s="248" t="s">
        <v>1904</v>
      </c>
      <c r="C398" s="249">
        <v>1</v>
      </c>
      <c r="D398" s="272" t="s">
        <v>1459</v>
      </c>
      <c r="E398" s="348">
        <v>28.88</v>
      </c>
      <c r="F398" s="226">
        <f t="shared" si="19"/>
        <v>0.2</v>
      </c>
      <c r="G398" s="67">
        <f t="shared" si="47"/>
        <v>23.103999999999999</v>
      </c>
      <c r="H398" s="93"/>
      <c r="I398" s="224"/>
      <c r="J398" s="288" t="s">
        <v>1099</v>
      </c>
      <c r="K398" s="89" t="s">
        <v>433</v>
      </c>
      <c r="L398" s="114" t="s">
        <v>1047</v>
      </c>
      <c r="M398" s="241" t="s">
        <v>1903</v>
      </c>
      <c r="N398" s="248" t="s">
        <v>1904</v>
      </c>
      <c r="O398" s="249">
        <v>1</v>
      </c>
      <c r="P398" s="272" t="s">
        <v>1459</v>
      </c>
      <c r="Q398" s="348">
        <v>28.88</v>
      </c>
      <c r="R398" s="226">
        <v>0.2</v>
      </c>
      <c r="S398" s="67">
        <v>23.103999999999999</v>
      </c>
      <c r="T398" s="93"/>
      <c r="U398" s="224"/>
      <c r="V398" s="288" t="s">
        <v>1099</v>
      </c>
      <c r="W398" s="89" t="s">
        <v>433</v>
      </c>
      <c r="X398" s="114" t="s">
        <v>1047</v>
      </c>
    </row>
    <row r="399" spans="1:24" s="1" customFormat="1">
      <c r="A399" s="263" t="s">
        <v>1905</v>
      </c>
      <c r="B399" s="248" t="s">
        <v>1906</v>
      </c>
      <c r="C399" s="249">
        <v>1</v>
      </c>
      <c r="D399" s="272" t="s">
        <v>1459</v>
      </c>
      <c r="E399" s="348">
        <v>34.700000000000003</v>
      </c>
      <c r="F399" s="226">
        <f t="shared" si="19"/>
        <v>0.2</v>
      </c>
      <c r="G399" s="67">
        <f t="shared" si="47"/>
        <v>27.76</v>
      </c>
      <c r="H399" s="93"/>
      <c r="I399" s="224"/>
      <c r="J399" s="288" t="s">
        <v>1099</v>
      </c>
      <c r="K399" s="89" t="s">
        <v>433</v>
      </c>
      <c r="L399" s="114" t="s">
        <v>1047</v>
      </c>
      <c r="M399" s="241" t="s">
        <v>1905</v>
      </c>
      <c r="N399" s="248" t="s">
        <v>1906</v>
      </c>
      <c r="O399" s="249">
        <v>1</v>
      </c>
      <c r="P399" s="272" t="s">
        <v>1459</v>
      </c>
      <c r="Q399" s="348">
        <v>34.700000000000003</v>
      </c>
      <c r="R399" s="226">
        <v>0.2</v>
      </c>
      <c r="S399" s="67">
        <v>27.76</v>
      </c>
      <c r="T399" s="93"/>
      <c r="U399" s="224"/>
      <c r="V399" s="288" t="s">
        <v>1099</v>
      </c>
      <c r="W399" s="89" t="s">
        <v>433</v>
      </c>
      <c r="X399" s="114" t="s">
        <v>1047</v>
      </c>
    </row>
    <row r="400" spans="1:24" s="1" customFormat="1">
      <c r="A400" s="263" t="s">
        <v>1907</v>
      </c>
      <c r="B400" s="248" t="s">
        <v>1908</v>
      </c>
      <c r="C400" s="249">
        <v>1</v>
      </c>
      <c r="D400" s="272" t="s">
        <v>1459</v>
      </c>
      <c r="E400" s="348">
        <v>42.16</v>
      </c>
      <c r="F400" s="226">
        <f t="shared" si="19"/>
        <v>0.2</v>
      </c>
      <c r="G400" s="67">
        <f t="shared" si="47"/>
        <v>33.727999999999994</v>
      </c>
      <c r="H400" s="93"/>
      <c r="I400" s="224"/>
      <c r="J400" s="288" t="s">
        <v>1099</v>
      </c>
      <c r="K400" s="89" t="s">
        <v>433</v>
      </c>
      <c r="L400" s="114" t="s">
        <v>1047</v>
      </c>
      <c r="M400" s="241" t="s">
        <v>1907</v>
      </c>
      <c r="N400" s="248" t="s">
        <v>1908</v>
      </c>
      <c r="O400" s="249">
        <v>1</v>
      </c>
      <c r="P400" s="272" t="s">
        <v>1459</v>
      </c>
      <c r="Q400" s="348">
        <v>42.16</v>
      </c>
      <c r="R400" s="226">
        <v>0.2</v>
      </c>
      <c r="S400" s="67">
        <v>33.727999999999994</v>
      </c>
      <c r="T400" s="93"/>
      <c r="U400" s="224"/>
      <c r="V400" s="288" t="s">
        <v>1099</v>
      </c>
      <c r="W400" s="89" t="s">
        <v>433</v>
      </c>
      <c r="X400" s="114" t="s">
        <v>1047</v>
      </c>
    </row>
    <row r="401" spans="1:24" s="1" customFormat="1">
      <c r="A401" s="263" t="s">
        <v>1909</v>
      </c>
      <c r="B401" s="248" t="s">
        <v>1910</v>
      </c>
      <c r="C401" s="249">
        <v>1</v>
      </c>
      <c r="D401" s="272" t="s">
        <v>1459</v>
      </c>
      <c r="E401" s="348">
        <v>24.91</v>
      </c>
      <c r="F401" s="226">
        <f t="shared" si="19"/>
        <v>0.2</v>
      </c>
      <c r="G401" s="67">
        <f t="shared" si="47"/>
        <v>19.928000000000001</v>
      </c>
      <c r="H401" s="93"/>
      <c r="I401" s="224"/>
      <c r="J401" s="288" t="s">
        <v>1099</v>
      </c>
      <c r="K401" s="89" t="s">
        <v>433</v>
      </c>
      <c r="L401" s="114" t="s">
        <v>1047</v>
      </c>
      <c r="M401" s="241" t="s">
        <v>1909</v>
      </c>
      <c r="N401" s="248" t="s">
        <v>1911</v>
      </c>
      <c r="O401" s="249">
        <v>1</v>
      </c>
      <c r="P401" s="272" t="s">
        <v>1459</v>
      </c>
      <c r="Q401" s="348">
        <v>24.91</v>
      </c>
      <c r="R401" s="226">
        <v>0.2</v>
      </c>
      <c r="S401" s="67">
        <v>19.928000000000001</v>
      </c>
      <c r="T401" s="93"/>
      <c r="U401" s="224"/>
      <c r="V401" s="288" t="s">
        <v>1099</v>
      </c>
      <c r="W401" s="89" t="s">
        <v>433</v>
      </c>
      <c r="X401" s="114" t="s">
        <v>1047</v>
      </c>
    </row>
    <row r="402" spans="1:24" s="1" customFormat="1">
      <c r="A402" s="263" t="s">
        <v>1912</v>
      </c>
      <c r="B402" s="248" t="s">
        <v>1913</v>
      </c>
      <c r="C402" s="249">
        <v>1</v>
      </c>
      <c r="D402" s="272" t="s">
        <v>1459</v>
      </c>
      <c r="E402" s="348">
        <v>56.57</v>
      </c>
      <c r="F402" s="226">
        <f t="shared" si="19"/>
        <v>0.2</v>
      </c>
      <c r="G402" s="67">
        <f t="shared" si="47"/>
        <v>45.256</v>
      </c>
      <c r="H402" s="93"/>
      <c r="I402" s="224"/>
      <c r="J402" s="288" t="s">
        <v>1099</v>
      </c>
      <c r="K402" s="89" t="s">
        <v>433</v>
      </c>
      <c r="L402" s="114" t="s">
        <v>1047</v>
      </c>
      <c r="M402" s="241" t="s">
        <v>1912</v>
      </c>
      <c r="N402" s="248" t="s">
        <v>1913</v>
      </c>
      <c r="O402" s="249">
        <v>1</v>
      </c>
      <c r="P402" s="272" t="s">
        <v>1459</v>
      </c>
      <c r="Q402" s="348">
        <v>56.57</v>
      </c>
      <c r="R402" s="226">
        <v>0.2</v>
      </c>
      <c r="S402" s="67">
        <v>45.256</v>
      </c>
      <c r="T402" s="93"/>
      <c r="U402" s="224"/>
      <c r="V402" s="288" t="s">
        <v>1099</v>
      </c>
      <c r="W402" s="89" t="s">
        <v>433</v>
      </c>
      <c r="X402" s="114" t="s">
        <v>1047</v>
      </c>
    </row>
    <row r="403" spans="1:24" s="1" customFormat="1">
      <c r="A403" s="263" t="s">
        <v>1914</v>
      </c>
      <c r="B403" s="248" t="s">
        <v>1915</v>
      </c>
      <c r="C403" s="249">
        <v>1</v>
      </c>
      <c r="D403" s="272" t="s">
        <v>1459</v>
      </c>
      <c r="E403" s="348">
        <v>33.33</v>
      </c>
      <c r="F403" s="226">
        <f t="shared" si="19"/>
        <v>0.2</v>
      </c>
      <c r="G403" s="67">
        <f t="shared" si="47"/>
        <v>26.663999999999998</v>
      </c>
      <c r="H403" s="93"/>
      <c r="I403" s="224"/>
      <c r="J403" s="288" t="s">
        <v>1099</v>
      </c>
      <c r="K403" s="89" t="s">
        <v>433</v>
      </c>
      <c r="L403" s="114" t="s">
        <v>1047</v>
      </c>
      <c r="M403" s="643" t="s">
        <v>1916</v>
      </c>
      <c r="N403" s="644" t="s">
        <v>1917</v>
      </c>
      <c r="O403" s="645">
        <v>1</v>
      </c>
      <c r="P403" s="646" t="s">
        <v>1459</v>
      </c>
      <c r="Q403" s="654">
        <v>33.33</v>
      </c>
      <c r="R403" s="648">
        <v>0.2</v>
      </c>
      <c r="S403" s="659">
        <v>26.663999999999998</v>
      </c>
      <c r="T403" s="650"/>
      <c r="U403" s="651"/>
      <c r="V403" s="288" t="s">
        <v>1099</v>
      </c>
      <c r="W403" s="89" t="s">
        <v>433</v>
      </c>
      <c r="X403" s="114" t="s">
        <v>1047</v>
      </c>
    </row>
    <row r="404" spans="1:24" s="1" customFormat="1">
      <c r="A404" s="263" t="s">
        <v>1918</v>
      </c>
      <c r="B404" s="248" t="s">
        <v>1919</v>
      </c>
      <c r="C404" s="249">
        <v>1</v>
      </c>
      <c r="D404" s="272" t="s">
        <v>1459</v>
      </c>
      <c r="E404" s="348">
        <v>33.33</v>
      </c>
      <c r="F404" s="226">
        <f t="shared" si="19"/>
        <v>0.2</v>
      </c>
      <c r="G404" s="67">
        <f t="shared" si="47"/>
        <v>26.663999999999998</v>
      </c>
      <c r="H404" s="93"/>
      <c r="I404" s="224"/>
      <c r="J404" s="288" t="s">
        <v>1099</v>
      </c>
      <c r="K404" s="89" t="s">
        <v>433</v>
      </c>
      <c r="L404" s="114" t="s">
        <v>1047</v>
      </c>
      <c r="M404" s="643" t="s">
        <v>1920</v>
      </c>
      <c r="N404" s="644" t="s">
        <v>1921</v>
      </c>
      <c r="O404" s="645">
        <v>1</v>
      </c>
      <c r="P404" s="646" t="s">
        <v>1459</v>
      </c>
      <c r="Q404" s="654">
        <v>33.33</v>
      </c>
      <c r="R404" s="648">
        <v>0.2</v>
      </c>
      <c r="S404" s="659">
        <v>26.663999999999998</v>
      </c>
      <c r="T404" s="650"/>
      <c r="U404" s="651"/>
      <c r="V404" s="288" t="s">
        <v>1099</v>
      </c>
      <c r="W404" s="89" t="s">
        <v>433</v>
      </c>
      <c r="X404" s="114" t="s">
        <v>1047</v>
      </c>
    </row>
    <row r="405" spans="1:24" s="1" customFormat="1">
      <c r="A405" s="263" t="s">
        <v>1922</v>
      </c>
      <c r="B405" s="248" t="s">
        <v>1923</v>
      </c>
      <c r="C405" s="249">
        <v>1</v>
      </c>
      <c r="D405" s="272" t="s">
        <v>1459</v>
      </c>
      <c r="E405" s="348">
        <v>33.33</v>
      </c>
      <c r="F405" s="226">
        <f t="shared" si="19"/>
        <v>0.2</v>
      </c>
      <c r="G405" s="67">
        <f t="shared" si="47"/>
        <v>26.663999999999998</v>
      </c>
      <c r="H405" s="93"/>
      <c r="I405" s="224"/>
      <c r="J405" s="288" t="s">
        <v>1099</v>
      </c>
      <c r="K405" s="89" t="s">
        <v>433</v>
      </c>
      <c r="L405" s="114" t="s">
        <v>1047</v>
      </c>
      <c r="M405" s="643" t="s">
        <v>1924</v>
      </c>
      <c r="N405" s="644" t="s">
        <v>1925</v>
      </c>
      <c r="O405" s="645">
        <v>1</v>
      </c>
      <c r="P405" s="646" t="s">
        <v>1459</v>
      </c>
      <c r="Q405" s="654">
        <v>33.33</v>
      </c>
      <c r="R405" s="648">
        <v>0.2</v>
      </c>
      <c r="S405" s="659">
        <v>26.663999999999998</v>
      </c>
      <c r="T405" s="650"/>
      <c r="U405" s="651"/>
      <c r="V405" s="288" t="s">
        <v>1099</v>
      </c>
      <c r="W405" s="89" t="s">
        <v>433</v>
      </c>
      <c r="X405" s="114" t="s">
        <v>1047</v>
      </c>
    </row>
    <row r="406" spans="1:24" s="1" customFormat="1">
      <c r="A406" s="263" t="s">
        <v>1926</v>
      </c>
      <c r="B406" s="248" t="s">
        <v>1927</v>
      </c>
      <c r="C406" s="249">
        <v>1</v>
      </c>
      <c r="D406" s="272" t="s">
        <v>1928</v>
      </c>
      <c r="E406" s="348">
        <v>59.95</v>
      </c>
      <c r="F406" s="226">
        <f t="shared" ref="F406:F413" si="48">rv_20</f>
        <v>0.2</v>
      </c>
      <c r="G406" s="67">
        <f t="shared" si="47"/>
        <v>47.96</v>
      </c>
      <c r="H406" s="93"/>
      <c r="I406" s="224"/>
      <c r="J406" s="288" t="s">
        <v>1099</v>
      </c>
      <c r="K406" s="89" t="s">
        <v>433</v>
      </c>
      <c r="L406" s="114" t="s">
        <v>1047</v>
      </c>
      <c r="M406" s="241" t="s">
        <v>1926</v>
      </c>
      <c r="N406" s="248" t="s">
        <v>1927</v>
      </c>
      <c r="O406" s="249">
        <v>1</v>
      </c>
      <c r="P406" s="272" t="s">
        <v>1928</v>
      </c>
      <c r="Q406" s="348">
        <v>59.95</v>
      </c>
      <c r="R406" s="226">
        <v>0.2</v>
      </c>
      <c r="S406" s="67">
        <v>47.96</v>
      </c>
      <c r="T406" s="93"/>
      <c r="U406" s="224"/>
      <c r="V406" s="288" t="s">
        <v>1099</v>
      </c>
      <c r="W406" s="89" t="s">
        <v>433</v>
      </c>
      <c r="X406" s="114" t="s">
        <v>1047</v>
      </c>
    </row>
    <row r="407" spans="1:24" s="1" customFormat="1">
      <c r="A407" s="263" t="s">
        <v>1929</v>
      </c>
      <c r="B407" s="248" t="s">
        <v>1930</v>
      </c>
      <c r="C407" s="249">
        <v>1</v>
      </c>
      <c r="D407" s="272" t="s">
        <v>1928</v>
      </c>
      <c r="E407" s="348">
        <v>59.95</v>
      </c>
      <c r="F407" s="226">
        <f t="shared" si="48"/>
        <v>0.2</v>
      </c>
      <c r="G407" s="67">
        <f t="shared" si="47"/>
        <v>47.96</v>
      </c>
      <c r="H407" s="93"/>
      <c r="I407" s="224"/>
      <c r="J407" s="288" t="s">
        <v>1099</v>
      </c>
      <c r="K407" s="89" t="s">
        <v>433</v>
      </c>
      <c r="L407" s="114" t="s">
        <v>1047</v>
      </c>
      <c r="M407" s="241" t="s">
        <v>1929</v>
      </c>
      <c r="N407" s="248" t="s">
        <v>1930</v>
      </c>
      <c r="O407" s="249">
        <v>1</v>
      </c>
      <c r="P407" s="272" t="s">
        <v>1928</v>
      </c>
      <c r="Q407" s="348">
        <v>59.95</v>
      </c>
      <c r="R407" s="226">
        <v>0.2</v>
      </c>
      <c r="S407" s="67">
        <v>47.96</v>
      </c>
      <c r="T407" s="93"/>
      <c r="U407" s="224"/>
      <c r="V407" s="288" t="s">
        <v>1099</v>
      </c>
      <c r="W407" s="89" t="s">
        <v>433</v>
      </c>
      <c r="X407" s="114" t="s">
        <v>1047</v>
      </c>
    </row>
    <row r="408" spans="1:24" s="1" customFormat="1">
      <c r="A408" s="263" t="s">
        <v>1931</v>
      </c>
      <c r="B408" s="248" t="s">
        <v>1932</v>
      </c>
      <c r="C408" s="249">
        <v>1</v>
      </c>
      <c r="D408" s="272" t="s">
        <v>1928</v>
      </c>
      <c r="E408" s="348">
        <v>59.95</v>
      </c>
      <c r="F408" s="226">
        <f t="shared" si="48"/>
        <v>0.2</v>
      </c>
      <c r="G408" s="67">
        <f t="shared" si="47"/>
        <v>47.96</v>
      </c>
      <c r="H408" s="93"/>
      <c r="I408" s="224"/>
      <c r="J408" s="288" t="s">
        <v>1099</v>
      </c>
      <c r="K408" s="89" t="s">
        <v>433</v>
      </c>
      <c r="L408" s="114" t="s">
        <v>1047</v>
      </c>
      <c r="M408" s="241"/>
      <c r="N408" s="248"/>
      <c r="O408" s="249"/>
      <c r="P408" s="272"/>
      <c r="Q408" s="348"/>
      <c r="R408" s="226"/>
      <c r="S408" s="67"/>
      <c r="T408" s="93"/>
      <c r="U408" s="224"/>
      <c r="V408" s="288"/>
      <c r="W408" s="89"/>
      <c r="X408" s="114"/>
    </row>
    <row r="409" spans="1:24" s="1" customFormat="1">
      <c r="A409" s="263" t="s">
        <v>1933</v>
      </c>
      <c r="B409" s="248" t="s">
        <v>1934</v>
      </c>
      <c r="C409" s="249">
        <v>1</v>
      </c>
      <c r="D409" s="272" t="s">
        <v>1928</v>
      </c>
      <c r="E409" s="348">
        <v>59.95</v>
      </c>
      <c r="F409" s="226">
        <f t="shared" si="48"/>
        <v>0.2</v>
      </c>
      <c r="G409" s="67">
        <f t="shared" si="47"/>
        <v>47.96</v>
      </c>
      <c r="H409" s="93"/>
      <c r="I409" s="224"/>
      <c r="J409" s="288" t="s">
        <v>1099</v>
      </c>
      <c r="K409" s="89" t="s">
        <v>433</v>
      </c>
      <c r="L409" s="114" t="s">
        <v>1047</v>
      </c>
      <c r="M409" s="241"/>
      <c r="N409" s="248"/>
      <c r="O409" s="249"/>
      <c r="P409" s="272"/>
      <c r="Q409" s="348"/>
      <c r="R409" s="226"/>
      <c r="S409" s="67"/>
      <c r="T409" s="93"/>
      <c r="U409" s="224"/>
      <c r="V409" s="288"/>
      <c r="W409" s="89"/>
      <c r="X409" s="114"/>
    </row>
    <row r="410" spans="1:24" s="1" customFormat="1">
      <c r="A410" s="263" t="s">
        <v>1935</v>
      </c>
      <c r="B410" s="248" t="s">
        <v>1936</v>
      </c>
      <c r="C410" s="249">
        <v>1</v>
      </c>
      <c r="D410" s="272" t="s">
        <v>1928</v>
      </c>
      <c r="E410" s="348">
        <v>59.95</v>
      </c>
      <c r="F410" s="226">
        <f t="shared" si="48"/>
        <v>0.2</v>
      </c>
      <c r="G410" s="67">
        <f t="shared" si="47"/>
        <v>47.96</v>
      </c>
      <c r="H410" s="93"/>
      <c r="I410" s="224"/>
      <c r="J410" s="288" t="s">
        <v>1099</v>
      </c>
      <c r="K410" s="89" t="s">
        <v>433</v>
      </c>
      <c r="L410" s="114" t="s">
        <v>1047</v>
      </c>
      <c r="M410" s="241" t="s">
        <v>1935</v>
      </c>
      <c r="N410" s="248" t="s">
        <v>1936</v>
      </c>
      <c r="O410" s="249">
        <v>1</v>
      </c>
      <c r="P410" s="272" t="s">
        <v>1928</v>
      </c>
      <c r="Q410" s="348">
        <v>59.95</v>
      </c>
      <c r="R410" s="226">
        <v>0.2</v>
      </c>
      <c r="S410" s="67">
        <v>47.96</v>
      </c>
      <c r="T410" s="93"/>
      <c r="U410" s="224"/>
      <c r="V410" s="288" t="s">
        <v>1099</v>
      </c>
      <c r="W410" s="89" t="s">
        <v>433</v>
      </c>
      <c r="X410" s="114" t="s">
        <v>1047</v>
      </c>
    </row>
    <row r="411" spans="1:24" s="1" customFormat="1">
      <c r="A411" s="263" t="s">
        <v>1937</v>
      </c>
      <c r="B411" s="248" t="s">
        <v>1938</v>
      </c>
      <c r="C411" s="249">
        <v>1</v>
      </c>
      <c r="D411" s="272" t="s">
        <v>1928</v>
      </c>
      <c r="E411" s="348">
        <v>59.95</v>
      </c>
      <c r="F411" s="226">
        <f t="shared" si="48"/>
        <v>0.2</v>
      </c>
      <c r="G411" s="67">
        <f t="shared" si="47"/>
        <v>47.96</v>
      </c>
      <c r="H411" s="93"/>
      <c r="I411" s="224"/>
      <c r="J411" s="288" t="s">
        <v>1099</v>
      </c>
      <c r="K411" s="89" t="s">
        <v>433</v>
      </c>
      <c r="L411" s="114" t="s">
        <v>1047</v>
      </c>
      <c r="M411" s="241" t="s">
        <v>1937</v>
      </c>
      <c r="N411" s="248" t="s">
        <v>1938</v>
      </c>
      <c r="O411" s="249">
        <v>1</v>
      </c>
      <c r="P411" s="272" t="s">
        <v>1928</v>
      </c>
      <c r="Q411" s="348">
        <v>59.95</v>
      </c>
      <c r="R411" s="226">
        <v>0.2</v>
      </c>
      <c r="S411" s="67">
        <v>47.96</v>
      </c>
      <c r="T411" s="93"/>
      <c r="U411" s="224"/>
      <c r="V411" s="288" t="s">
        <v>1099</v>
      </c>
      <c r="W411" s="89" t="s">
        <v>433</v>
      </c>
      <c r="X411" s="114" t="s">
        <v>1047</v>
      </c>
    </row>
    <row r="412" spans="1:24" s="1" customFormat="1">
      <c r="A412" s="263" t="s">
        <v>1939</v>
      </c>
      <c r="B412" s="248" t="s">
        <v>1940</v>
      </c>
      <c r="C412" s="249">
        <v>1</v>
      </c>
      <c r="D412" s="272" t="s">
        <v>1928</v>
      </c>
      <c r="E412" s="348">
        <v>74.95</v>
      </c>
      <c r="F412" s="226">
        <f t="shared" si="48"/>
        <v>0.2</v>
      </c>
      <c r="G412" s="67">
        <f t="shared" si="47"/>
        <v>59.96</v>
      </c>
      <c r="H412" s="93"/>
      <c r="I412" s="224"/>
      <c r="J412" s="288" t="s">
        <v>1099</v>
      </c>
      <c r="K412" s="89" t="s">
        <v>433</v>
      </c>
      <c r="L412" s="114" t="s">
        <v>1047</v>
      </c>
      <c r="M412" s="241" t="s">
        <v>1939</v>
      </c>
      <c r="N412" s="248" t="s">
        <v>1940</v>
      </c>
      <c r="O412" s="249">
        <v>1</v>
      </c>
      <c r="P412" s="272" t="s">
        <v>1928</v>
      </c>
      <c r="Q412" s="348">
        <v>74.95</v>
      </c>
      <c r="R412" s="226">
        <v>0.2</v>
      </c>
      <c r="S412" s="67">
        <v>59.96</v>
      </c>
      <c r="T412" s="93"/>
      <c r="U412" s="224"/>
      <c r="V412" s="288" t="s">
        <v>1099</v>
      </c>
      <c r="W412" s="89" t="s">
        <v>433</v>
      </c>
      <c r="X412" s="114" t="s">
        <v>1047</v>
      </c>
    </row>
    <row r="413" spans="1:24" s="1" customFormat="1">
      <c r="A413" s="263" t="s">
        <v>1941</v>
      </c>
      <c r="B413" s="248" t="s">
        <v>1942</v>
      </c>
      <c r="C413" s="249">
        <v>1</v>
      </c>
      <c r="D413" s="272" t="s">
        <v>1928</v>
      </c>
      <c r="E413" s="348">
        <v>74.95</v>
      </c>
      <c r="F413" s="226">
        <f t="shared" si="48"/>
        <v>0.2</v>
      </c>
      <c r="G413" s="67">
        <f t="shared" si="47"/>
        <v>59.96</v>
      </c>
      <c r="H413" s="93"/>
      <c r="I413" s="224"/>
      <c r="J413" s="288" t="s">
        <v>1099</v>
      </c>
      <c r="K413" s="89" t="s">
        <v>433</v>
      </c>
      <c r="L413" s="114" t="s">
        <v>1047</v>
      </c>
      <c r="M413" s="241" t="s">
        <v>1941</v>
      </c>
      <c r="N413" s="248" t="s">
        <v>1942</v>
      </c>
      <c r="O413" s="249">
        <v>1</v>
      </c>
      <c r="P413" s="272" t="s">
        <v>1928</v>
      </c>
      <c r="Q413" s="348">
        <v>74.95</v>
      </c>
      <c r="R413" s="226">
        <v>0.2</v>
      </c>
      <c r="S413" s="67">
        <v>59.96</v>
      </c>
      <c r="T413" s="93"/>
      <c r="U413" s="224"/>
      <c r="V413" s="288" t="s">
        <v>1099</v>
      </c>
      <c r="W413" s="89" t="s">
        <v>433</v>
      </c>
      <c r="X413" s="114" t="s">
        <v>1047</v>
      </c>
    </row>
    <row r="414" spans="1:24" s="1" customFormat="1">
      <c r="A414" s="263" t="s">
        <v>1931</v>
      </c>
      <c r="B414" s="248" t="s">
        <v>1943</v>
      </c>
      <c r="C414" s="249">
        <v>1</v>
      </c>
      <c r="D414" s="272" t="s">
        <v>1928</v>
      </c>
      <c r="E414" s="348">
        <v>59.95</v>
      </c>
      <c r="F414" s="226">
        <f t="shared" ref="F414:F427" si="49">rv_20</f>
        <v>0.2</v>
      </c>
      <c r="G414" s="67">
        <f t="shared" si="47"/>
        <v>47.96</v>
      </c>
      <c r="H414" s="93"/>
      <c r="I414" s="224"/>
      <c r="J414" s="288" t="s">
        <v>1099</v>
      </c>
      <c r="K414" s="89" t="s">
        <v>433</v>
      </c>
      <c r="L414" s="114" t="s">
        <v>1047</v>
      </c>
      <c r="M414" s="241" t="s">
        <v>1931</v>
      </c>
      <c r="N414" s="248" t="s">
        <v>1943</v>
      </c>
      <c r="O414" s="249">
        <v>1</v>
      </c>
      <c r="P414" s="272" t="s">
        <v>1928</v>
      </c>
      <c r="Q414" s="348">
        <v>59.95</v>
      </c>
      <c r="R414" s="226">
        <v>0.2</v>
      </c>
      <c r="S414" s="67">
        <v>47.96</v>
      </c>
      <c r="T414" s="93"/>
      <c r="U414" s="224"/>
      <c r="V414" s="288" t="s">
        <v>1099</v>
      </c>
      <c r="W414" s="89" t="s">
        <v>433</v>
      </c>
      <c r="X414" s="114" t="s">
        <v>1047</v>
      </c>
    </row>
    <row r="415" spans="1:24" s="1" customFormat="1">
      <c r="A415" s="263" t="s">
        <v>1944</v>
      </c>
      <c r="B415" s="248" t="s">
        <v>1945</v>
      </c>
      <c r="C415" s="249">
        <v>1</v>
      </c>
      <c r="D415" s="272" t="s">
        <v>1946</v>
      </c>
      <c r="E415" s="348">
        <v>39</v>
      </c>
      <c r="F415" s="226">
        <f t="shared" si="49"/>
        <v>0.2</v>
      </c>
      <c r="G415" s="67">
        <f t="shared" si="47"/>
        <v>31.2</v>
      </c>
      <c r="H415" s="93"/>
      <c r="I415" s="224"/>
      <c r="J415" s="288" t="s">
        <v>1099</v>
      </c>
      <c r="K415" s="89" t="s">
        <v>433</v>
      </c>
      <c r="L415" s="114" t="s">
        <v>1047</v>
      </c>
      <c r="M415" s="241" t="s">
        <v>1944</v>
      </c>
      <c r="N415" s="248" t="s">
        <v>1945</v>
      </c>
      <c r="O415" s="249">
        <v>1</v>
      </c>
      <c r="P415" s="272" t="s">
        <v>1946</v>
      </c>
      <c r="Q415" s="348">
        <v>39</v>
      </c>
      <c r="R415" s="226">
        <v>0.2</v>
      </c>
      <c r="S415" s="67">
        <v>31.2</v>
      </c>
      <c r="T415" s="93"/>
      <c r="U415" s="224"/>
      <c r="V415" s="288" t="s">
        <v>1099</v>
      </c>
      <c r="W415" s="89" t="s">
        <v>433</v>
      </c>
      <c r="X415" s="114" t="s">
        <v>1047</v>
      </c>
    </row>
    <row r="416" spans="1:24" s="1" customFormat="1">
      <c r="A416" s="263" t="s">
        <v>1947</v>
      </c>
      <c r="B416" s="248" t="s">
        <v>1948</v>
      </c>
      <c r="C416" s="249">
        <v>1</v>
      </c>
      <c r="D416" s="272" t="s">
        <v>1946</v>
      </c>
      <c r="E416" s="348">
        <v>40.909999999999997</v>
      </c>
      <c r="F416" s="226">
        <f t="shared" si="49"/>
        <v>0.2</v>
      </c>
      <c r="G416" s="67">
        <f t="shared" si="47"/>
        <v>32.727999999999994</v>
      </c>
      <c r="H416" s="93"/>
      <c r="I416" s="224"/>
      <c r="J416" s="288" t="s">
        <v>1099</v>
      </c>
      <c r="K416" s="89" t="s">
        <v>433</v>
      </c>
      <c r="L416" s="114" t="s">
        <v>1047</v>
      </c>
      <c r="M416" s="241" t="s">
        <v>1947</v>
      </c>
      <c r="N416" s="248" t="s">
        <v>1949</v>
      </c>
      <c r="O416" s="249">
        <v>1</v>
      </c>
      <c r="P416" s="272" t="s">
        <v>1946</v>
      </c>
      <c r="Q416" s="348">
        <v>40.909999999999997</v>
      </c>
      <c r="R416" s="226">
        <v>0.2</v>
      </c>
      <c r="S416" s="67">
        <v>32.727999999999994</v>
      </c>
      <c r="T416" s="93"/>
      <c r="U416" s="224"/>
      <c r="V416" s="288" t="s">
        <v>1099</v>
      </c>
      <c r="W416" s="89" t="s">
        <v>433</v>
      </c>
      <c r="X416" s="114" t="s">
        <v>1047</v>
      </c>
    </row>
    <row r="417" spans="1:24" s="1" customFormat="1">
      <c r="A417" s="263" t="s">
        <v>1950</v>
      </c>
      <c r="B417" s="248" t="s">
        <v>1951</v>
      </c>
      <c r="C417" s="249">
        <v>1</v>
      </c>
      <c r="D417" s="272" t="s">
        <v>1946</v>
      </c>
      <c r="E417" s="348">
        <v>45.99</v>
      </c>
      <c r="F417" s="226">
        <f t="shared" si="49"/>
        <v>0.2</v>
      </c>
      <c r="G417" s="67">
        <f t="shared" si="47"/>
        <v>36.792000000000002</v>
      </c>
      <c r="H417" s="93"/>
      <c r="I417" s="224"/>
      <c r="J417" s="288" t="s">
        <v>1099</v>
      </c>
      <c r="K417" s="89" t="s">
        <v>433</v>
      </c>
      <c r="L417" s="114" t="s">
        <v>1047</v>
      </c>
      <c r="M417" s="241" t="s">
        <v>1950</v>
      </c>
      <c r="N417" s="248" t="s">
        <v>1952</v>
      </c>
      <c r="O417" s="249">
        <v>1</v>
      </c>
      <c r="P417" s="272" t="s">
        <v>1946</v>
      </c>
      <c r="Q417" s="348">
        <v>45.99</v>
      </c>
      <c r="R417" s="226">
        <v>0.2</v>
      </c>
      <c r="S417" s="67">
        <v>36.792000000000002</v>
      </c>
      <c r="T417" s="93"/>
      <c r="U417" s="224"/>
      <c r="V417" s="288" t="s">
        <v>1099</v>
      </c>
      <c r="W417" s="89" t="s">
        <v>433</v>
      </c>
      <c r="X417" s="114" t="s">
        <v>1047</v>
      </c>
    </row>
    <row r="418" spans="1:24" s="1" customFormat="1">
      <c r="A418" s="263" t="s">
        <v>1953</v>
      </c>
      <c r="B418" s="248" t="s">
        <v>1954</v>
      </c>
      <c r="C418" s="249">
        <v>1</v>
      </c>
      <c r="D418" s="272" t="s">
        <v>1946</v>
      </c>
      <c r="E418" s="348">
        <v>45.99</v>
      </c>
      <c r="F418" s="226">
        <f t="shared" si="49"/>
        <v>0.2</v>
      </c>
      <c r="G418" s="67">
        <f t="shared" si="47"/>
        <v>36.792000000000002</v>
      </c>
      <c r="H418" s="93"/>
      <c r="I418" s="224"/>
      <c r="J418" s="288" t="s">
        <v>1099</v>
      </c>
      <c r="K418" s="89" t="s">
        <v>433</v>
      </c>
      <c r="L418" s="114" t="s">
        <v>1047</v>
      </c>
      <c r="M418" s="241" t="s">
        <v>1953</v>
      </c>
      <c r="N418" s="248" t="s">
        <v>1955</v>
      </c>
      <c r="O418" s="249">
        <v>1</v>
      </c>
      <c r="P418" s="272" t="s">
        <v>1946</v>
      </c>
      <c r="Q418" s="348">
        <v>45.99</v>
      </c>
      <c r="R418" s="226">
        <v>0.2</v>
      </c>
      <c r="S418" s="67">
        <v>36.792000000000002</v>
      </c>
      <c r="T418" s="93"/>
      <c r="U418" s="224"/>
      <c r="V418" s="288" t="s">
        <v>1099</v>
      </c>
      <c r="W418" s="89" t="s">
        <v>433</v>
      </c>
      <c r="X418" s="114" t="s">
        <v>1047</v>
      </c>
    </row>
    <row r="419" spans="1:24" s="1" customFormat="1">
      <c r="A419" s="263" t="s">
        <v>1956</v>
      </c>
      <c r="B419" s="248" t="s">
        <v>1957</v>
      </c>
      <c r="C419" s="249">
        <v>1</v>
      </c>
      <c r="D419" s="272" t="s">
        <v>1946</v>
      </c>
      <c r="E419" s="348">
        <v>49.04</v>
      </c>
      <c r="F419" s="226">
        <f t="shared" si="49"/>
        <v>0.2</v>
      </c>
      <c r="G419" s="67">
        <f t="shared" si="47"/>
        <v>39.231999999999999</v>
      </c>
      <c r="H419" s="93"/>
      <c r="I419" s="224"/>
      <c r="J419" s="288" t="s">
        <v>1099</v>
      </c>
      <c r="K419" s="89" t="s">
        <v>433</v>
      </c>
      <c r="L419" s="114" t="s">
        <v>1047</v>
      </c>
      <c r="M419" s="241"/>
      <c r="N419" s="248"/>
      <c r="O419" s="249"/>
      <c r="P419" s="272"/>
      <c r="Q419" s="348"/>
      <c r="R419" s="226"/>
      <c r="S419" s="67"/>
      <c r="T419" s="93"/>
      <c r="U419" s="224"/>
      <c r="V419" s="288"/>
      <c r="W419" s="89"/>
      <c r="X419" s="114"/>
    </row>
    <row r="420" spans="1:24" s="1" customFormat="1">
      <c r="A420" s="263" t="s">
        <v>1958</v>
      </c>
      <c r="B420" s="248" t="s">
        <v>1959</v>
      </c>
      <c r="C420" s="249">
        <v>1</v>
      </c>
      <c r="D420" s="272" t="s">
        <v>1946</v>
      </c>
      <c r="E420" s="348">
        <v>59.04</v>
      </c>
      <c r="F420" s="226">
        <f t="shared" si="49"/>
        <v>0.2</v>
      </c>
      <c r="G420" s="67">
        <f t="shared" si="47"/>
        <v>47.231999999999999</v>
      </c>
      <c r="H420" s="93"/>
      <c r="I420" s="224"/>
      <c r="J420" s="288" t="s">
        <v>1099</v>
      </c>
      <c r="K420" s="89" t="s">
        <v>433</v>
      </c>
      <c r="L420" s="114" t="s">
        <v>1047</v>
      </c>
      <c r="M420" s="643" t="s">
        <v>1960</v>
      </c>
      <c r="N420" s="644" t="s">
        <v>1961</v>
      </c>
      <c r="O420" s="645">
        <v>1</v>
      </c>
      <c r="P420" s="646" t="s">
        <v>1946</v>
      </c>
      <c r="Q420" s="654">
        <v>40.909999999999997</v>
      </c>
      <c r="R420" s="648">
        <v>0.2</v>
      </c>
      <c r="S420" s="659">
        <v>32.727999999999994</v>
      </c>
      <c r="T420" s="650"/>
      <c r="U420" s="651"/>
      <c r="V420" s="288" t="s">
        <v>1099</v>
      </c>
      <c r="W420" s="89" t="s">
        <v>433</v>
      </c>
      <c r="X420" s="114" t="s">
        <v>1047</v>
      </c>
    </row>
    <row r="421" spans="1:24" s="1" customFormat="1">
      <c r="A421" s="263" t="s">
        <v>1962</v>
      </c>
      <c r="B421" s="248" t="s">
        <v>1963</v>
      </c>
      <c r="C421" s="249">
        <v>1</v>
      </c>
      <c r="D421" s="272" t="s">
        <v>1946</v>
      </c>
      <c r="E421" s="348">
        <v>69.040000000000006</v>
      </c>
      <c r="F421" s="226">
        <f t="shared" si="49"/>
        <v>0.2</v>
      </c>
      <c r="G421" s="67">
        <f t="shared" si="47"/>
        <v>55.232000000000006</v>
      </c>
      <c r="H421" s="93"/>
      <c r="I421" s="224"/>
      <c r="J421" s="288" t="s">
        <v>1099</v>
      </c>
      <c r="K421" s="89" t="s">
        <v>433</v>
      </c>
      <c r="L421" s="114" t="s">
        <v>1047</v>
      </c>
      <c r="M421" s="241" t="s">
        <v>1962</v>
      </c>
      <c r="N421" s="248" t="s">
        <v>1964</v>
      </c>
      <c r="O421" s="249">
        <v>1</v>
      </c>
      <c r="P421" s="272" t="s">
        <v>1946</v>
      </c>
      <c r="Q421" s="348">
        <v>69.040000000000006</v>
      </c>
      <c r="R421" s="226">
        <v>0.2</v>
      </c>
      <c r="S421" s="67">
        <v>55.232000000000006</v>
      </c>
      <c r="T421" s="93"/>
      <c r="U421" s="224"/>
      <c r="V421" s="288" t="s">
        <v>1099</v>
      </c>
      <c r="W421" s="89" t="s">
        <v>433</v>
      </c>
      <c r="X421" s="114" t="s">
        <v>1047</v>
      </c>
    </row>
    <row r="422" spans="1:24" s="1" customFormat="1">
      <c r="A422" s="263"/>
      <c r="B422" s="248"/>
      <c r="C422" s="249"/>
      <c r="D422" s="272"/>
      <c r="E422" s="348"/>
      <c r="F422" s="226"/>
      <c r="G422" s="67"/>
      <c r="H422" s="93"/>
      <c r="I422" s="224"/>
      <c r="J422" s="288"/>
      <c r="K422" s="89"/>
      <c r="L422" s="114"/>
      <c r="M422" s="643" t="s">
        <v>1965</v>
      </c>
      <c r="N422" s="644" t="s">
        <v>1966</v>
      </c>
      <c r="O422" s="645">
        <v>1</v>
      </c>
      <c r="P422" s="646" t="s">
        <v>1946</v>
      </c>
      <c r="Q422" s="654">
        <v>69.040000000000006</v>
      </c>
      <c r="R422" s="648">
        <v>0.2</v>
      </c>
      <c r="S422" s="659">
        <v>55.232000000000006</v>
      </c>
      <c r="T422" s="650"/>
      <c r="U422" s="651"/>
      <c r="V422" s="288" t="s">
        <v>1099</v>
      </c>
      <c r="W422" s="89" t="s">
        <v>433</v>
      </c>
      <c r="X422" s="114" t="s">
        <v>1047</v>
      </c>
    </row>
    <row r="423" spans="1:24" s="1" customFormat="1">
      <c r="A423" s="263" t="s">
        <v>1967</v>
      </c>
      <c r="B423" s="248" t="s">
        <v>1968</v>
      </c>
      <c r="C423" s="249">
        <v>1</v>
      </c>
      <c r="D423" s="272" t="s">
        <v>1946</v>
      </c>
      <c r="E423" s="348">
        <v>41.66</v>
      </c>
      <c r="F423" s="226">
        <f t="shared" si="49"/>
        <v>0.2</v>
      </c>
      <c r="G423" s="67">
        <f t="shared" ref="G423:G429" si="50">E423-(E423*F423)</f>
        <v>33.327999999999996</v>
      </c>
      <c r="H423" s="93"/>
      <c r="I423" s="224"/>
      <c r="J423" s="288" t="s">
        <v>1099</v>
      </c>
      <c r="K423" s="89" t="s">
        <v>433</v>
      </c>
      <c r="L423" s="114" t="s">
        <v>1047</v>
      </c>
      <c r="M423" s="241" t="s">
        <v>1967</v>
      </c>
      <c r="N423" s="248" t="s">
        <v>1968</v>
      </c>
      <c r="O423" s="249">
        <v>1</v>
      </c>
      <c r="P423" s="272" t="s">
        <v>1946</v>
      </c>
      <c r="Q423" s="348">
        <v>41.66</v>
      </c>
      <c r="R423" s="226">
        <v>0.2</v>
      </c>
      <c r="S423" s="67">
        <v>33.327999999999996</v>
      </c>
      <c r="T423" s="93"/>
      <c r="U423" s="224"/>
      <c r="V423" s="288" t="s">
        <v>1099</v>
      </c>
      <c r="W423" s="89" t="s">
        <v>433</v>
      </c>
      <c r="X423" s="114" t="s">
        <v>1047</v>
      </c>
    </row>
    <row r="424" spans="1:24" s="1" customFormat="1">
      <c r="A424" s="263" t="s">
        <v>1969</v>
      </c>
      <c r="B424" s="248" t="s">
        <v>1970</v>
      </c>
      <c r="C424" s="249">
        <v>1</v>
      </c>
      <c r="D424" s="272" t="s">
        <v>1410</v>
      </c>
      <c r="E424" s="348">
        <v>68.63</v>
      </c>
      <c r="F424" s="226">
        <f t="shared" si="49"/>
        <v>0.2</v>
      </c>
      <c r="G424" s="67">
        <f t="shared" si="50"/>
        <v>54.903999999999996</v>
      </c>
      <c r="H424" s="93"/>
      <c r="I424" s="224"/>
      <c r="J424" s="288" t="s">
        <v>1099</v>
      </c>
      <c r="K424" s="89" t="s">
        <v>433</v>
      </c>
      <c r="L424" s="114" t="s">
        <v>1047</v>
      </c>
      <c r="M424" s="241" t="s">
        <v>1969</v>
      </c>
      <c r="N424" s="248" t="s">
        <v>1970</v>
      </c>
      <c r="O424" s="249">
        <v>1</v>
      </c>
      <c r="P424" s="272" t="s">
        <v>1410</v>
      </c>
      <c r="Q424" s="348">
        <v>68.63</v>
      </c>
      <c r="R424" s="226">
        <v>0.2</v>
      </c>
      <c r="S424" s="67">
        <v>54.903999999999996</v>
      </c>
      <c r="T424" s="93"/>
      <c r="U424" s="224"/>
      <c r="V424" s="288" t="s">
        <v>1099</v>
      </c>
      <c r="W424" s="89" t="s">
        <v>433</v>
      </c>
      <c r="X424" s="114" t="s">
        <v>1047</v>
      </c>
    </row>
    <row r="425" spans="1:24" s="1" customFormat="1">
      <c r="A425" s="263" t="s">
        <v>1971</v>
      </c>
      <c r="B425" s="248" t="s">
        <v>1972</v>
      </c>
      <c r="C425" s="249">
        <v>1</v>
      </c>
      <c r="D425" s="272" t="s">
        <v>1410</v>
      </c>
      <c r="E425" s="348">
        <v>69.16</v>
      </c>
      <c r="F425" s="226">
        <f t="shared" si="49"/>
        <v>0.2</v>
      </c>
      <c r="G425" s="67">
        <f t="shared" si="50"/>
        <v>55.327999999999996</v>
      </c>
      <c r="H425" s="93"/>
      <c r="I425" s="224"/>
      <c r="J425" s="288" t="s">
        <v>1099</v>
      </c>
      <c r="K425" s="89" t="s">
        <v>433</v>
      </c>
      <c r="L425" s="114" t="s">
        <v>1047</v>
      </c>
      <c r="M425" s="241" t="s">
        <v>1971</v>
      </c>
      <c r="N425" s="248" t="s">
        <v>1972</v>
      </c>
      <c r="O425" s="249">
        <v>1</v>
      </c>
      <c r="P425" s="272" t="s">
        <v>1410</v>
      </c>
      <c r="Q425" s="348">
        <v>69.16</v>
      </c>
      <c r="R425" s="226">
        <v>0.2</v>
      </c>
      <c r="S425" s="67">
        <v>55.327999999999996</v>
      </c>
      <c r="T425" s="93"/>
      <c r="U425" s="224"/>
      <c r="V425" s="288" t="s">
        <v>1099</v>
      </c>
      <c r="W425" s="89" t="s">
        <v>433</v>
      </c>
      <c r="X425" s="114" t="s">
        <v>1047</v>
      </c>
    </row>
    <row r="426" spans="1:24" s="1" customFormat="1">
      <c r="A426" s="263" t="s">
        <v>1973</v>
      </c>
      <c r="B426" s="248" t="s">
        <v>1974</v>
      </c>
      <c r="C426" s="249">
        <v>1</v>
      </c>
      <c r="D426" s="272" t="s">
        <v>1410</v>
      </c>
      <c r="E426" s="348">
        <v>80.83</v>
      </c>
      <c r="F426" s="226">
        <f t="shared" si="49"/>
        <v>0.2</v>
      </c>
      <c r="G426" s="67">
        <f t="shared" si="50"/>
        <v>64.664000000000001</v>
      </c>
      <c r="H426" s="93"/>
      <c r="I426" s="224"/>
      <c r="J426" s="288" t="s">
        <v>1099</v>
      </c>
      <c r="K426" s="89" t="s">
        <v>433</v>
      </c>
      <c r="L426" s="114" t="s">
        <v>1047</v>
      </c>
      <c r="M426" s="241" t="s">
        <v>1973</v>
      </c>
      <c r="N426" s="248" t="s">
        <v>1974</v>
      </c>
      <c r="O426" s="249">
        <v>1</v>
      </c>
      <c r="P426" s="272" t="s">
        <v>1410</v>
      </c>
      <c r="Q426" s="348">
        <v>80.83</v>
      </c>
      <c r="R426" s="226">
        <v>0.2</v>
      </c>
      <c r="S426" s="67">
        <v>64.664000000000001</v>
      </c>
      <c r="T426" s="93"/>
      <c r="U426" s="224"/>
      <c r="V426" s="288" t="s">
        <v>1099</v>
      </c>
      <c r="W426" s="89" t="s">
        <v>433</v>
      </c>
      <c r="X426" s="114" t="s">
        <v>1047</v>
      </c>
    </row>
    <row r="427" spans="1:24" s="1" customFormat="1">
      <c r="A427" s="263" t="s">
        <v>1975</v>
      </c>
      <c r="B427" s="248" t="s">
        <v>1976</v>
      </c>
      <c r="C427" s="249">
        <v>1</v>
      </c>
      <c r="D427" s="272" t="s">
        <v>1410</v>
      </c>
      <c r="E427" s="348">
        <v>91.66</v>
      </c>
      <c r="F427" s="226">
        <f t="shared" si="49"/>
        <v>0.2</v>
      </c>
      <c r="G427" s="67">
        <f t="shared" si="50"/>
        <v>73.328000000000003</v>
      </c>
      <c r="H427" s="93"/>
      <c r="I427" s="224"/>
      <c r="J427" s="288" t="s">
        <v>1099</v>
      </c>
      <c r="K427" s="89" t="s">
        <v>433</v>
      </c>
      <c r="L427" s="114" t="s">
        <v>1047</v>
      </c>
      <c r="M427" s="241" t="s">
        <v>1975</v>
      </c>
      <c r="N427" s="248" t="s">
        <v>1976</v>
      </c>
      <c r="O427" s="249">
        <v>1</v>
      </c>
      <c r="P427" s="272" t="s">
        <v>1410</v>
      </c>
      <c r="Q427" s="348">
        <v>91.66</v>
      </c>
      <c r="R427" s="226">
        <v>0.2</v>
      </c>
      <c r="S427" s="67">
        <v>73.328000000000003</v>
      </c>
      <c r="T427" s="93"/>
      <c r="U427" s="224"/>
      <c r="V427" s="288" t="s">
        <v>1099</v>
      </c>
      <c r="W427" s="89" t="s">
        <v>433</v>
      </c>
      <c r="X427" s="114" t="s">
        <v>1047</v>
      </c>
    </row>
    <row r="428" spans="1:24" s="1" customFormat="1">
      <c r="A428" s="263">
        <v>400704</v>
      </c>
      <c r="B428" s="271" t="s">
        <v>1977</v>
      </c>
      <c r="C428" s="249">
        <v>1</v>
      </c>
      <c r="D428" s="272" t="s">
        <v>1978</v>
      </c>
      <c r="E428" s="348">
        <v>20.83</v>
      </c>
      <c r="F428" s="226">
        <f>rv_20</f>
        <v>0.2</v>
      </c>
      <c r="G428" s="67">
        <f t="shared" si="50"/>
        <v>16.663999999999998</v>
      </c>
      <c r="H428" s="93"/>
      <c r="I428" s="224"/>
      <c r="J428" s="288" t="s">
        <v>1099</v>
      </c>
      <c r="K428" s="89" t="s">
        <v>433</v>
      </c>
      <c r="L428" s="114" t="s">
        <v>1047</v>
      </c>
      <c r="M428" s="241">
        <v>400704</v>
      </c>
      <c r="N428" s="271" t="s">
        <v>1979</v>
      </c>
      <c r="O428" s="249">
        <v>1</v>
      </c>
      <c r="P428" s="272" t="s">
        <v>1978</v>
      </c>
      <c r="Q428" s="348">
        <v>20.83</v>
      </c>
      <c r="R428" s="226">
        <v>0.2</v>
      </c>
      <c r="S428" s="67">
        <v>16.663999999999998</v>
      </c>
      <c r="T428" s="93"/>
      <c r="U428" s="224"/>
      <c r="V428" s="288" t="s">
        <v>1099</v>
      </c>
      <c r="W428" s="89" t="s">
        <v>433</v>
      </c>
      <c r="X428" s="114" t="s">
        <v>1047</v>
      </c>
    </row>
    <row r="429" spans="1:24" s="1" customFormat="1" ht="13.5" thickBot="1">
      <c r="A429" s="263">
        <v>400705</v>
      </c>
      <c r="B429" s="271" t="s">
        <v>1980</v>
      </c>
      <c r="C429" s="249">
        <v>1</v>
      </c>
      <c r="D429" s="272" t="s">
        <v>1978</v>
      </c>
      <c r="E429" s="348">
        <v>22.49</v>
      </c>
      <c r="F429" s="226">
        <f>rv_20</f>
        <v>0.2</v>
      </c>
      <c r="G429" s="67">
        <f t="shared" si="50"/>
        <v>17.991999999999997</v>
      </c>
      <c r="H429" s="93"/>
      <c r="I429" s="224"/>
      <c r="J429" s="288" t="s">
        <v>1099</v>
      </c>
      <c r="K429" s="89" t="s">
        <v>433</v>
      </c>
      <c r="L429" s="114" t="s">
        <v>1047</v>
      </c>
      <c r="M429" s="241">
        <v>400705</v>
      </c>
      <c r="N429" s="271" t="s">
        <v>1981</v>
      </c>
      <c r="O429" s="249">
        <v>1</v>
      </c>
      <c r="P429" s="272" t="s">
        <v>1978</v>
      </c>
      <c r="Q429" s="348">
        <v>22.49</v>
      </c>
      <c r="R429" s="226">
        <v>0.2</v>
      </c>
      <c r="S429" s="67">
        <v>17.991999999999997</v>
      </c>
      <c r="T429" s="93"/>
      <c r="U429" s="224"/>
      <c r="V429" s="288" t="s">
        <v>1099</v>
      </c>
      <c r="W429" s="89" t="s">
        <v>433</v>
      </c>
      <c r="X429" s="114" t="s">
        <v>1047</v>
      </c>
    </row>
    <row r="430" spans="1:24" s="75" customFormat="1" ht="24" customHeight="1" thickBot="1">
      <c r="A430" s="680" t="s">
        <v>1982</v>
      </c>
      <c r="B430" s="458" t="s">
        <v>1983</v>
      </c>
      <c r="C430" s="459"/>
      <c r="D430" s="459"/>
      <c r="E430" s="460"/>
      <c r="F430" s="461"/>
      <c r="G430" s="460"/>
      <c r="H430" s="460"/>
      <c r="I430" s="460"/>
      <c r="J430" s="635"/>
      <c r="K430" s="462"/>
      <c r="L430" s="463"/>
      <c r="M430" s="474" t="s">
        <v>1982</v>
      </c>
      <c r="N430" s="458" t="s">
        <v>1983</v>
      </c>
      <c r="O430" s="459"/>
      <c r="P430" s="459"/>
      <c r="Q430" s="460"/>
      <c r="R430" s="461"/>
      <c r="S430" s="460"/>
      <c r="T430" s="460"/>
      <c r="U430" s="460"/>
      <c r="V430" s="635"/>
      <c r="W430" s="462"/>
      <c r="X430" s="463"/>
    </row>
    <row r="431" spans="1:24" s="1" customFormat="1">
      <c r="A431" s="263" t="s">
        <v>1984</v>
      </c>
      <c r="B431" s="248" t="s">
        <v>1985</v>
      </c>
      <c r="C431" s="249">
        <v>1</v>
      </c>
      <c r="D431" s="272" t="s">
        <v>118</v>
      </c>
      <c r="E431" s="349">
        <v>349.99</v>
      </c>
      <c r="F431" s="226"/>
      <c r="G431" s="99">
        <f t="shared" ref="G431:G467" si="51">E431-(E431*F431)</f>
        <v>349.99</v>
      </c>
      <c r="H431" s="93"/>
      <c r="I431" s="224"/>
      <c r="J431" s="288" t="s">
        <v>1986</v>
      </c>
      <c r="K431" s="89" t="s">
        <v>1987</v>
      </c>
      <c r="L431" s="114" t="s">
        <v>1988</v>
      </c>
      <c r="M431" s="241" t="s">
        <v>1984</v>
      </c>
      <c r="N431" s="248" t="s">
        <v>1985</v>
      </c>
      <c r="O431" s="249">
        <v>1</v>
      </c>
      <c r="P431" s="272" t="s">
        <v>118</v>
      </c>
      <c r="Q431" s="349">
        <v>349.99</v>
      </c>
      <c r="R431" s="226"/>
      <c r="S431" s="99">
        <v>349.99</v>
      </c>
      <c r="T431" s="93"/>
      <c r="U431" s="224">
        <v>0</v>
      </c>
      <c r="V431" s="288" t="s">
        <v>1986</v>
      </c>
      <c r="W431" s="89" t="s">
        <v>1987</v>
      </c>
      <c r="X431" s="114" t="s">
        <v>1988</v>
      </c>
    </row>
    <row r="432" spans="1:24" s="1" customFormat="1">
      <c r="A432" s="263" t="s">
        <v>1989</v>
      </c>
      <c r="B432" s="248" t="s">
        <v>1990</v>
      </c>
      <c r="C432" s="249">
        <v>1</v>
      </c>
      <c r="D432" s="272" t="s">
        <v>118</v>
      </c>
      <c r="E432" s="349">
        <v>59.99</v>
      </c>
      <c r="F432" s="226"/>
      <c r="G432" s="99">
        <f t="shared" si="51"/>
        <v>59.99</v>
      </c>
      <c r="H432" s="93"/>
      <c r="I432" s="224"/>
      <c r="J432" s="288" t="s">
        <v>1986</v>
      </c>
      <c r="K432" s="89" t="s">
        <v>1987</v>
      </c>
      <c r="L432" s="114" t="s">
        <v>1988</v>
      </c>
      <c r="M432" s="241" t="s">
        <v>1989</v>
      </c>
      <c r="N432" s="248" t="s">
        <v>1990</v>
      </c>
      <c r="O432" s="249">
        <v>1</v>
      </c>
      <c r="P432" s="272" t="s">
        <v>118</v>
      </c>
      <c r="Q432" s="349">
        <v>59.99</v>
      </c>
      <c r="R432" s="226"/>
      <c r="S432" s="99">
        <v>59.99</v>
      </c>
      <c r="T432" s="93"/>
      <c r="U432" s="224">
        <v>0</v>
      </c>
      <c r="V432" s="288" t="s">
        <v>1986</v>
      </c>
      <c r="W432" s="89" t="s">
        <v>1987</v>
      </c>
      <c r="X432" s="114" t="s">
        <v>1988</v>
      </c>
    </row>
    <row r="433" spans="1:24" s="1" customFormat="1">
      <c r="A433" s="263" t="s">
        <v>1991</v>
      </c>
      <c r="B433" s="248" t="s">
        <v>1992</v>
      </c>
      <c r="C433" s="249">
        <v>1</v>
      </c>
      <c r="D433" s="272" t="s">
        <v>118</v>
      </c>
      <c r="E433" s="349">
        <v>59.99</v>
      </c>
      <c r="F433" s="226"/>
      <c r="G433" s="99">
        <f t="shared" si="51"/>
        <v>59.99</v>
      </c>
      <c r="H433" s="93"/>
      <c r="I433" s="224"/>
      <c r="J433" s="288" t="s">
        <v>1986</v>
      </c>
      <c r="K433" s="89" t="s">
        <v>1987</v>
      </c>
      <c r="L433" s="114" t="s">
        <v>1988</v>
      </c>
      <c r="M433" s="241" t="s">
        <v>1991</v>
      </c>
      <c r="N433" s="248" t="s">
        <v>1992</v>
      </c>
      <c r="O433" s="249">
        <v>1</v>
      </c>
      <c r="P433" s="272" t="s">
        <v>118</v>
      </c>
      <c r="Q433" s="349">
        <v>59.99</v>
      </c>
      <c r="R433" s="226"/>
      <c r="S433" s="99">
        <v>59.99</v>
      </c>
      <c r="T433" s="93"/>
      <c r="U433" s="224">
        <v>0</v>
      </c>
      <c r="V433" s="288" t="s">
        <v>1986</v>
      </c>
      <c r="W433" s="89" t="s">
        <v>1987</v>
      </c>
      <c r="X433" s="114" t="s">
        <v>1988</v>
      </c>
    </row>
    <row r="434" spans="1:24" s="1" customFormat="1">
      <c r="A434" s="263" t="s">
        <v>1993</v>
      </c>
      <c r="B434" s="248" t="s">
        <v>1994</v>
      </c>
      <c r="C434" s="249">
        <v>1</v>
      </c>
      <c r="D434" s="272" t="s">
        <v>118</v>
      </c>
      <c r="E434" s="349">
        <v>94.99</v>
      </c>
      <c r="F434" s="226"/>
      <c r="G434" s="99">
        <f t="shared" si="51"/>
        <v>94.99</v>
      </c>
      <c r="H434" s="93"/>
      <c r="I434" s="224"/>
      <c r="J434" s="288" t="s">
        <v>1986</v>
      </c>
      <c r="K434" s="89" t="s">
        <v>1987</v>
      </c>
      <c r="L434" s="114" t="s">
        <v>1988</v>
      </c>
      <c r="M434" s="241" t="s">
        <v>1993</v>
      </c>
      <c r="N434" s="248" t="s">
        <v>1994</v>
      </c>
      <c r="O434" s="249">
        <v>1</v>
      </c>
      <c r="P434" s="272" t="s">
        <v>118</v>
      </c>
      <c r="Q434" s="349">
        <v>94.99</v>
      </c>
      <c r="R434" s="226"/>
      <c r="S434" s="99">
        <v>94.99</v>
      </c>
      <c r="T434" s="93"/>
      <c r="U434" s="224">
        <v>0</v>
      </c>
      <c r="V434" s="288" t="s">
        <v>1986</v>
      </c>
      <c r="W434" s="89" t="s">
        <v>1987</v>
      </c>
      <c r="X434" s="114" t="s">
        <v>1988</v>
      </c>
    </row>
    <row r="435" spans="1:24" s="1" customFormat="1">
      <c r="A435" s="263" t="s">
        <v>1995</v>
      </c>
      <c r="B435" s="248" t="s">
        <v>1996</v>
      </c>
      <c r="C435" s="249">
        <v>1</v>
      </c>
      <c r="D435" s="272" t="s">
        <v>118</v>
      </c>
      <c r="E435" s="349">
        <v>239.99</v>
      </c>
      <c r="F435" s="226"/>
      <c r="G435" s="99">
        <f t="shared" si="51"/>
        <v>239.99</v>
      </c>
      <c r="H435" s="93"/>
      <c r="I435" s="224"/>
      <c r="J435" s="288" t="s">
        <v>1986</v>
      </c>
      <c r="K435" s="89" t="s">
        <v>1987</v>
      </c>
      <c r="L435" s="114" t="s">
        <v>1988</v>
      </c>
      <c r="M435" s="241" t="s">
        <v>1995</v>
      </c>
      <c r="N435" s="248" t="s">
        <v>1996</v>
      </c>
      <c r="O435" s="249">
        <v>1</v>
      </c>
      <c r="P435" s="272" t="s">
        <v>118</v>
      </c>
      <c r="Q435" s="349">
        <v>239.99</v>
      </c>
      <c r="R435" s="226"/>
      <c r="S435" s="99">
        <v>239.99</v>
      </c>
      <c r="T435" s="93"/>
      <c r="U435" s="224">
        <v>0</v>
      </c>
      <c r="V435" s="288" t="s">
        <v>1986</v>
      </c>
      <c r="W435" s="89" t="s">
        <v>1987</v>
      </c>
      <c r="X435" s="114" t="s">
        <v>1988</v>
      </c>
    </row>
    <row r="436" spans="1:24" s="1" customFormat="1">
      <c r="A436" s="263" t="s">
        <v>1997</v>
      </c>
      <c r="B436" s="248" t="s">
        <v>1998</v>
      </c>
      <c r="C436" s="249">
        <v>1</v>
      </c>
      <c r="D436" s="272" t="s">
        <v>118</v>
      </c>
      <c r="E436" s="349">
        <v>35.99</v>
      </c>
      <c r="F436" s="226"/>
      <c r="G436" s="99">
        <f t="shared" si="51"/>
        <v>35.99</v>
      </c>
      <c r="H436" s="93"/>
      <c r="I436" s="224"/>
      <c r="J436" s="288" t="s">
        <v>1986</v>
      </c>
      <c r="K436" s="89" t="s">
        <v>1987</v>
      </c>
      <c r="L436" s="114" t="s">
        <v>1988</v>
      </c>
      <c r="M436" s="241" t="s">
        <v>1997</v>
      </c>
      <c r="N436" s="248" t="s">
        <v>1998</v>
      </c>
      <c r="O436" s="249">
        <v>1</v>
      </c>
      <c r="P436" s="272" t="s">
        <v>118</v>
      </c>
      <c r="Q436" s="349">
        <v>35.99</v>
      </c>
      <c r="R436" s="226"/>
      <c r="S436" s="99">
        <v>35.99</v>
      </c>
      <c r="T436" s="93"/>
      <c r="U436" s="224">
        <v>0</v>
      </c>
      <c r="V436" s="288" t="s">
        <v>1986</v>
      </c>
      <c r="W436" s="89" t="s">
        <v>1987</v>
      </c>
      <c r="X436" s="114" t="s">
        <v>1988</v>
      </c>
    </row>
    <row r="437" spans="1:24" s="1" customFormat="1">
      <c r="A437" s="263" t="s">
        <v>1999</v>
      </c>
      <c r="B437" s="248" t="s">
        <v>2000</v>
      </c>
      <c r="C437" s="249">
        <v>1</v>
      </c>
      <c r="D437" s="272" t="s">
        <v>2001</v>
      </c>
      <c r="E437" s="348">
        <v>59.99</v>
      </c>
      <c r="F437" s="244"/>
      <c r="G437" s="67">
        <f t="shared" si="51"/>
        <v>59.99</v>
      </c>
      <c r="H437" s="93"/>
      <c r="I437" s="224"/>
      <c r="J437" s="288" t="s">
        <v>1986</v>
      </c>
      <c r="K437" s="89" t="s">
        <v>2002</v>
      </c>
      <c r="L437" s="114" t="s">
        <v>2003</v>
      </c>
      <c r="M437" s="241"/>
      <c r="N437" s="248"/>
      <c r="O437" s="249"/>
      <c r="P437" s="272"/>
      <c r="Q437" s="349"/>
      <c r="R437" s="226"/>
      <c r="S437" s="99"/>
      <c r="T437" s="93"/>
      <c r="U437" s="224"/>
      <c r="V437" s="288"/>
      <c r="W437" s="89"/>
      <c r="X437" s="114"/>
    </row>
    <row r="438" spans="1:24" s="1" customFormat="1">
      <c r="A438" s="263" t="s">
        <v>2004</v>
      </c>
      <c r="B438" s="248" t="s">
        <v>2005</v>
      </c>
      <c r="C438" s="249">
        <v>1</v>
      </c>
      <c r="D438" s="272" t="s">
        <v>2001</v>
      </c>
      <c r="E438" s="348">
        <v>69.989999999999995</v>
      </c>
      <c r="F438" s="244"/>
      <c r="G438" s="67">
        <f t="shared" si="51"/>
        <v>69.989999999999995</v>
      </c>
      <c r="H438" s="93"/>
      <c r="I438" s="224"/>
      <c r="J438" s="288" t="s">
        <v>1986</v>
      </c>
      <c r="K438" s="89" t="s">
        <v>2002</v>
      </c>
      <c r="L438" s="114" t="s">
        <v>2003</v>
      </c>
      <c r="M438" s="241" t="s">
        <v>2004</v>
      </c>
      <c r="N438" s="248" t="s">
        <v>2006</v>
      </c>
      <c r="O438" s="249">
        <v>1</v>
      </c>
      <c r="P438" s="272" t="s">
        <v>2001</v>
      </c>
      <c r="Q438" s="348">
        <v>62.49</v>
      </c>
      <c r="R438" s="244"/>
      <c r="S438" s="67">
        <v>62.49</v>
      </c>
      <c r="T438" s="93"/>
      <c r="U438" s="224">
        <v>0</v>
      </c>
      <c r="V438" s="288" t="s">
        <v>1986</v>
      </c>
      <c r="W438" s="89" t="s">
        <v>2002</v>
      </c>
      <c r="X438" s="114" t="s">
        <v>2003</v>
      </c>
    </row>
    <row r="439" spans="1:24" s="1" customFormat="1">
      <c r="A439" s="263" t="s">
        <v>2007</v>
      </c>
      <c r="B439" s="248" t="s">
        <v>2008</v>
      </c>
      <c r="C439" s="249">
        <v>1</v>
      </c>
      <c r="D439" s="272" t="s">
        <v>2001</v>
      </c>
      <c r="E439" s="348">
        <v>205.77</v>
      </c>
      <c r="F439" s="244"/>
      <c r="G439" s="67">
        <f t="shared" si="51"/>
        <v>205.77</v>
      </c>
      <c r="H439" s="93"/>
      <c r="I439" s="224"/>
      <c r="J439" s="288" t="s">
        <v>1986</v>
      </c>
      <c r="K439" s="89" t="s">
        <v>2002</v>
      </c>
      <c r="L439" s="114" t="s">
        <v>2003</v>
      </c>
      <c r="M439" s="241"/>
      <c r="N439" s="248"/>
      <c r="O439" s="249"/>
      <c r="P439" s="272"/>
      <c r="Q439" s="348"/>
      <c r="R439" s="244"/>
      <c r="S439" s="67"/>
      <c r="T439" s="94"/>
      <c r="U439" s="224"/>
      <c r="V439" s="288"/>
      <c r="W439" s="89"/>
      <c r="X439" s="114"/>
    </row>
    <row r="440" spans="1:24" s="1" customFormat="1">
      <c r="A440" s="263" t="s">
        <v>2009</v>
      </c>
      <c r="B440" s="248" t="s">
        <v>2010</v>
      </c>
      <c r="C440" s="249">
        <v>1</v>
      </c>
      <c r="D440" s="272" t="s">
        <v>2001</v>
      </c>
      <c r="E440" s="348">
        <v>69.989999999999995</v>
      </c>
      <c r="F440" s="244"/>
      <c r="G440" s="67">
        <f t="shared" si="51"/>
        <v>69.989999999999995</v>
      </c>
      <c r="H440" s="94"/>
      <c r="I440" s="224"/>
      <c r="J440" s="288" t="s">
        <v>1986</v>
      </c>
      <c r="K440" s="89" t="s">
        <v>2002</v>
      </c>
      <c r="L440" s="114" t="s">
        <v>2003</v>
      </c>
      <c r="M440" s="241" t="s">
        <v>2009</v>
      </c>
      <c r="N440" s="248" t="s">
        <v>2011</v>
      </c>
      <c r="O440" s="249">
        <v>1</v>
      </c>
      <c r="P440" s="272" t="s">
        <v>2001</v>
      </c>
      <c r="Q440" s="348">
        <v>55.99</v>
      </c>
      <c r="R440" s="244"/>
      <c r="S440" s="67">
        <v>55.99</v>
      </c>
      <c r="T440" s="94"/>
      <c r="U440" s="224">
        <v>0</v>
      </c>
      <c r="V440" s="288" t="s">
        <v>1986</v>
      </c>
      <c r="W440" s="89" t="s">
        <v>2002</v>
      </c>
      <c r="X440" s="114" t="s">
        <v>2003</v>
      </c>
    </row>
    <row r="441" spans="1:24" s="1" customFormat="1">
      <c r="A441" s="263" t="s">
        <v>2012</v>
      </c>
      <c r="B441" s="248" t="s">
        <v>2013</v>
      </c>
      <c r="C441" s="249">
        <v>1</v>
      </c>
      <c r="D441" s="272" t="s">
        <v>2001</v>
      </c>
      <c r="E441" s="348">
        <v>205.77</v>
      </c>
      <c r="F441" s="244"/>
      <c r="G441" s="67">
        <f t="shared" si="51"/>
        <v>205.77</v>
      </c>
      <c r="H441" s="93"/>
      <c r="I441" s="224"/>
      <c r="J441" s="288" t="s">
        <v>1986</v>
      </c>
      <c r="K441" s="89" t="s">
        <v>2002</v>
      </c>
      <c r="L441" s="114" t="s">
        <v>2003</v>
      </c>
      <c r="M441" s="241"/>
      <c r="N441" s="248"/>
      <c r="O441" s="249"/>
      <c r="P441" s="272"/>
      <c r="Q441" s="348"/>
      <c r="R441" s="244"/>
      <c r="S441" s="67"/>
      <c r="T441" s="94"/>
      <c r="U441" s="224"/>
      <c r="V441" s="288"/>
      <c r="W441" s="89"/>
      <c r="X441" s="114"/>
    </row>
    <row r="442" spans="1:24" s="1" customFormat="1">
      <c r="A442" s="263">
        <v>1912001502</v>
      </c>
      <c r="B442" s="248" t="s">
        <v>2014</v>
      </c>
      <c r="C442" s="249">
        <v>1</v>
      </c>
      <c r="D442" s="272" t="s">
        <v>2015</v>
      </c>
      <c r="E442" s="348">
        <v>2057</v>
      </c>
      <c r="F442" s="244"/>
      <c r="G442" s="67">
        <f t="shared" si="51"/>
        <v>2057</v>
      </c>
      <c r="H442" s="93"/>
      <c r="I442" s="224"/>
      <c r="J442" s="288" t="s">
        <v>1986</v>
      </c>
      <c r="K442" s="89" t="s">
        <v>2016</v>
      </c>
      <c r="L442" s="114" t="s">
        <v>2003</v>
      </c>
      <c r="M442" s="241">
        <v>1912001502</v>
      </c>
      <c r="N442" s="248" t="s">
        <v>2014</v>
      </c>
      <c r="O442" s="249">
        <v>1</v>
      </c>
      <c r="P442" s="272" t="s">
        <v>2015</v>
      </c>
      <c r="Q442" s="348">
        <v>2057</v>
      </c>
      <c r="R442" s="244"/>
      <c r="S442" s="67">
        <v>2057</v>
      </c>
      <c r="T442" s="93"/>
      <c r="U442" s="224"/>
      <c r="V442" s="288" t="s">
        <v>1986</v>
      </c>
      <c r="W442" s="89" t="s">
        <v>2016</v>
      </c>
      <c r="X442" s="114" t="s">
        <v>2003</v>
      </c>
    </row>
    <row r="443" spans="1:24" s="1" customFormat="1">
      <c r="A443" s="263">
        <v>1912001200</v>
      </c>
      <c r="B443" s="248" t="s">
        <v>2017</v>
      </c>
      <c r="C443" s="249">
        <v>1</v>
      </c>
      <c r="D443" s="272" t="s">
        <v>2015</v>
      </c>
      <c r="E443" s="348">
        <v>1234.2</v>
      </c>
      <c r="F443" s="244"/>
      <c r="G443" s="67">
        <f t="shared" si="51"/>
        <v>1234.2</v>
      </c>
      <c r="H443" s="93"/>
      <c r="I443" s="224"/>
      <c r="J443" s="288" t="s">
        <v>1986</v>
      </c>
      <c r="K443" s="89" t="s">
        <v>2016</v>
      </c>
      <c r="L443" s="114" t="s">
        <v>2003</v>
      </c>
      <c r="M443" s="241">
        <v>1912001200</v>
      </c>
      <c r="N443" s="248" t="s">
        <v>2017</v>
      </c>
      <c r="O443" s="249">
        <v>1</v>
      </c>
      <c r="P443" s="272" t="s">
        <v>2015</v>
      </c>
      <c r="Q443" s="348">
        <v>1234.2</v>
      </c>
      <c r="R443" s="244"/>
      <c r="S443" s="67">
        <v>1234.2</v>
      </c>
      <c r="T443" s="93"/>
      <c r="U443" s="224"/>
      <c r="V443" s="288" t="s">
        <v>1986</v>
      </c>
      <c r="W443" s="89" t="s">
        <v>2016</v>
      </c>
      <c r="X443" s="114" t="s">
        <v>2003</v>
      </c>
    </row>
    <row r="444" spans="1:24" s="1" customFormat="1">
      <c r="A444" s="263">
        <v>1912031200</v>
      </c>
      <c r="B444" s="248" t="s">
        <v>2018</v>
      </c>
      <c r="C444" s="249">
        <v>1</v>
      </c>
      <c r="D444" s="272" t="s">
        <v>2015</v>
      </c>
      <c r="E444" s="348">
        <v>4936.8</v>
      </c>
      <c r="F444" s="244"/>
      <c r="G444" s="67">
        <f t="shared" si="51"/>
        <v>4936.8</v>
      </c>
      <c r="H444" s="93"/>
      <c r="I444" s="224"/>
      <c r="J444" s="288" t="s">
        <v>1986</v>
      </c>
      <c r="K444" s="89" t="s">
        <v>2016</v>
      </c>
      <c r="L444" s="114" t="s">
        <v>2003</v>
      </c>
      <c r="M444" s="241">
        <v>1912031200</v>
      </c>
      <c r="N444" s="248" t="s">
        <v>2018</v>
      </c>
      <c r="O444" s="249">
        <v>1</v>
      </c>
      <c r="P444" s="272" t="s">
        <v>2015</v>
      </c>
      <c r="Q444" s="348">
        <v>4936.8</v>
      </c>
      <c r="R444" s="244"/>
      <c r="S444" s="67">
        <v>4936.8</v>
      </c>
      <c r="T444" s="93"/>
      <c r="U444" s="224"/>
      <c r="V444" s="288" t="s">
        <v>1986</v>
      </c>
      <c r="W444" s="89" t="s">
        <v>2016</v>
      </c>
      <c r="X444" s="114" t="s">
        <v>2003</v>
      </c>
    </row>
    <row r="445" spans="1:24" s="1" customFormat="1">
      <c r="A445" s="263">
        <v>1912051200</v>
      </c>
      <c r="B445" s="248" t="s">
        <v>2019</v>
      </c>
      <c r="C445" s="249">
        <v>1</v>
      </c>
      <c r="D445" s="272" t="s">
        <v>2015</v>
      </c>
      <c r="E445" s="348">
        <v>6171</v>
      </c>
      <c r="F445" s="244"/>
      <c r="G445" s="67">
        <f t="shared" si="51"/>
        <v>6171</v>
      </c>
      <c r="H445" s="93"/>
      <c r="I445" s="224"/>
      <c r="J445" s="288" t="s">
        <v>1986</v>
      </c>
      <c r="K445" s="89" t="s">
        <v>2016</v>
      </c>
      <c r="L445" s="114" t="s">
        <v>2003</v>
      </c>
      <c r="M445" s="241">
        <v>1912051200</v>
      </c>
      <c r="N445" s="248" t="s">
        <v>2019</v>
      </c>
      <c r="O445" s="249">
        <v>1</v>
      </c>
      <c r="P445" s="272" t="s">
        <v>2015</v>
      </c>
      <c r="Q445" s="348">
        <v>6171</v>
      </c>
      <c r="R445" s="244"/>
      <c r="S445" s="67">
        <v>6171</v>
      </c>
      <c r="T445" s="93"/>
      <c r="U445" s="224"/>
      <c r="V445" s="288" t="s">
        <v>1986</v>
      </c>
      <c r="W445" s="89" t="s">
        <v>2016</v>
      </c>
      <c r="X445" s="114" t="s">
        <v>2003</v>
      </c>
    </row>
    <row r="446" spans="1:24" s="1" customFormat="1">
      <c r="A446" s="263">
        <v>1912031201</v>
      </c>
      <c r="B446" s="248" t="s">
        <v>2020</v>
      </c>
      <c r="C446" s="249">
        <v>1</v>
      </c>
      <c r="D446" s="272" t="s">
        <v>2015</v>
      </c>
      <c r="E446" s="348">
        <v>2879.8</v>
      </c>
      <c r="F446" s="244"/>
      <c r="G446" s="67">
        <f t="shared" si="51"/>
        <v>2879.8</v>
      </c>
      <c r="H446" s="93"/>
      <c r="I446" s="224"/>
      <c r="J446" s="288" t="s">
        <v>1986</v>
      </c>
      <c r="K446" s="89" t="s">
        <v>2016</v>
      </c>
      <c r="L446" s="114" t="s">
        <v>2003</v>
      </c>
      <c r="M446" s="241">
        <v>1912031201</v>
      </c>
      <c r="N446" s="248" t="s">
        <v>2020</v>
      </c>
      <c r="O446" s="249">
        <v>1</v>
      </c>
      <c r="P446" s="272" t="s">
        <v>2015</v>
      </c>
      <c r="Q446" s="348">
        <v>2879.8</v>
      </c>
      <c r="R446" s="244"/>
      <c r="S446" s="67">
        <v>2879.8</v>
      </c>
      <c r="T446" s="93"/>
      <c r="U446" s="224"/>
      <c r="V446" s="288" t="s">
        <v>1986</v>
      </c>
      <c r="W446" s="89" t="s">
        <v>2016</v>
      </c>
      <c r="X446" s="114" t="s">
        <v>2003</v>
      </c>
    </row>
    <row r="447" spans="1:24" s="1" customFormat="1">
      <c r="A447" s="263">
        <v>2001010100</v>
      </c>
      <c r="B447" s="248" t="s">
        <v>2021</v>
      </c>
      <c r="C447" s="249">
        <v>1</v>
      </c>
      <c r="D447" s="272" t="s">
        <v>2015</v>
      </c>
      <c r="E447" s="348">
        <v>23.01</v>
      </c>
      <c r="F447" s="226">
        <f t="shared" ref="F447:F458" si="52">rv_20</f>
        <v>0.2</v>
      </c>
      <c r="G447" s="67">
        <f t="shared" si="51"/>
        <v>18.408000000000001</v>
      </c>
      <c r="H447" s="93"/>
      <c r="I447" s="224"/>
      <c r="J447" s="288" t="s">
        <v>1986</v>
      </c>
      <c r="K447" s="89" t="s">
        <v>2016</v>
      </c>
      <c r="L447" s="114" t="s">
        <v>2003</v>
      </c>
      <c r="M447" s="241">
        <v>2001010100</v>
      </c>
      <c r="N447" s="248" t="s">
        <v>2021</v>
      </c>
      <c r="O447" s="249">
        <v>1</v>
      </c>
      <c r="P447" s="272" t="s">
        <v>2015</v>
      </c>
      <c r="Q447" s="348">
        <v>23.01</v>
      </c>
      <c r="R447" s="226">
        <v>0.2</v>
      </c>
      <c r="S447" s="67">
        <v>18.408000000000001</v>
      </c>
      <c r="T447" s="93"/>
      <c r="U447" s="224"/>
      <c r="V447" s="288" t="s">
        <v>1986</v>
      </c>
      <c r="W447" s="89" t="s">
        <v>2016</v>
      </c>
      <c r="X447" s="114" t="s">
        <v>2003</v>
      </c>
    </row>
    <row r="448" spans="1:24" s="1" customFormat="1">
      <c r="A448" s="263">
        <v>2001010200</v>
      </c>
      <c r="B448" s="248" t="s">
        <v>2022</v>
      </c>
      <c r="C448" s="249">
        <v>1</v>
      </c>
      <c r="D448" s="272" t="s">
        <v>2015</v>
      </c>
      <c r="E448" s="348">
        <v>11.505000000000001</v>
      </c>
      <c r="F448" s="226">
        <f t="shared" si="52"/>
        <v>0.2</v>
      </c>
      <c r="G448" s="67">
        <f t="shared" si="51"/>
        <v>9.2040000000000006</v>
      </c>
      <c r="H448" s="93"/>
      <c r="I448" s="224"/>
      <c r="J448" s="288" t="s">
        <v>1986</v>
      </c>
      <c r="K448" s="89" t="s">
        <v>2016</v>
      </c>
      <c r="L448" s="114" t="s">
        <v>2003</v>
      </c>
      <c r="M448" s="241">
        <v>2001010200</v>
      </c>
      <c r="N448" s="248" t="s">
        <v>2022</v>
      </c>
      <c r="O448" s="249">
        <v>1</v>
      </c>
      <c r="P448" s="272" t="s">
        <v>2015</v>
      </c>
      <c r="Q448" s="348">
        <v>11.505000000000001</v>
      </c>
      <c r="R448" s="226">
        <v>0.2</v>
      </c>
      <c r="S448" s="67">
        <v>9.2040000000000006</v>
      </c>
      <c r="T448" s="93"/>
      <c r="U448" s="224"/>
      <c r="V448" s="288" t="s">
        <v>1986</v>
      </c>
      <c r="W448" s="89" t="s">
        <v>2016</v>
      </c>
      <c r="X448" s="114" t="s">
        <v>2003</v>
      </c>
    </row>
    <row r="449" spans="1:24" s="1" customFormat="1">
      <c r="A449" s="263">
        <v>2001010300</v>
      </c>
      <c r="B449" s="248" t="s">
        <v>2023</v>
      </c>
      <c r="C449" s="249">
        <v>1</v>
      </c>
      <c r="D449" s="272" t="s">
        <v>2015</v>
      </c>
      <c r="E449" s="348">
        <v>11.505000000000001</v>
      </c>
      <c r="F449" s="226">
        <f t="shared" si="52"/>
        <v>0.2</v>
      </c>
      <c r="G449" s="67">
        <f t="shared" si="51"/>
        <v>9.2040000000000006</v>
      </c>
      <c r="H449" s="93"/>
      <c r="I449" s="224"/>
      <c r="J449" s="288" t="s">
        <v>1986</v>
      </c>
      <c r="K449" s="89" t="s">
        <v>2016</v>
      </c>
      <c r="L449" s="114" t="s">
        <v>2003</v>
      </c>
      <c r="M449" s="241">
        <v>2001010300</v>
      </c>
      <c r="N449" s="248" t="s">
        <v>2023</v>
      </c>
      <c r="O449" s="249">
        <v>1</v>
      </c>
      <c r="P449" s="272" t="s">
        <v>2015</v>
      </c>
      <c r="Q449" s="348">
        <v>11.505000000000001</v>
      </c>
      <c r="R449" s="226">
        <v>0.2</v>
      </c>
      <c r="S449" s="67">
        <v>9.2040000000000006</v>
      </c>
      <c r="T449" s="93"/>
      <c r="U449" s="224"/>
      <c r="V449" s="288" t="s">
        <v>1986</v>
      </c>
      <c r="W449" s="89" t="s">
        <v>2016</v>
      </c>
      <c r="X449" s="114" t="s">
        <v>2003</v>
      </c>
    </row>
    <row r="450" spans="1:24" s="1" customFormat="1">
      <c r="A450" s="263">
        <v>2001020100</v>
      </c>
      <c r="B450" s="248" t="s">
        <v>2024</v>
      </c>
      <c r="C450" s="249">
        <v>1</v>
      </c>
      <c r="D450" s="272" t="s">
        <v>2015</v>
      </c>
      <c r="E450" s="348">
        <v>23.01</v>
      </c>
      <c r="F450" s="226">
        <f t="shared" si="52"/>
        <v>0.2</v>
      </c>
      <c r="G450" s="67">
        <f t="shared" si="51"/>
        <v>18.408000000000001</v>
      </c>
      <c r="H450" s="93"/>
      <c r="I450" s="224"/>
      <c r="J450" s="288" t="s">
        <v>1986</v>
      </c>
      <c r="K450" s="89" t="s">
        <v>2016</v>
      </c>
      <c r="L450" s="114" t="s">
        <v>2003</v>
      </c>
      <c r="M450" s="241">
        <v>2001020100</v>
      </c>
      <c r="N450" s="248" t="s">
        <v>2024</v>
      </c>
      <c r="O450" s="249">
        <v>1</v>
      </c>
      <c r="P450" s="272" t="s">
        <v>2015</v>
      </c>
      <c r="Q450" s="348">
        <v>23.01</v>
      </c>
      <c r="R450" s="226">
        <v>0.2</v>
      </c>
      <c r="S450" s="67">
        <v>18.408000000000001</v>
      </c>
      <c r="T450" s="93"/>
      <c r="U450" s="224"/>
      <c r="V450" s="288" t="s">
        <v>1986</v>
      </c>
      <c r="W450" s="89" t="s">
        <v>2016</v>
      </c>
      <c r="X450" s="114" t="s">
        <v>2003</v>
      </c>
    </row>
    <row r="451" spans="1:24" s="1" customFormat="1">
      <c r="A451" s="263">
        <v>2001020200</v>
      </c>
      <c r="B451" s="248" t="s">
        <v>2025</v>
      </c>
      <c r="C451" s="249">
        <v>1</v>
      </c>
      <c r="D451" s="272" t="s">
        <v>2015</v>
      </c>
      <c r="E451" s="348">
        <v>11.505000000000001</v>
      </c>
      <c r="F451" s="226">
        <f t="shared" si="52"/>
        <v>0.2</v>
      </c>
      <c r="G451" s="67">
        <f t="shared" si="51"/>
        <v>9.2040000000000006</v>
      </c>
      <c r="H451" s="93"/>
      <c r="I451" s="224"/>
      <c r="J451" s="288" t="s">
        <v>1986</v>
      </c>
      <c r="K451" s="89" t="s">
        <v>2016</v>
      </c>
      <c r="L451" s="114" t="s">
        <v>2003</v>
      </c>
      <c r="M451" s="241">
        <v>2001020200</v>
      </c>
      <c r="N451" s="248" t="s">
        <v>2025</v>
      </c>
      <c r="O451" s="249">
        <v>1</v>
      </c>
      <c r="P451" s="272" t="s">
        <v>2015</v>
      </c>
      <c r="Q451" s="348">
        <v>11.505000000000001</v>
      </c>
      <c r="R451" s="226">
        <v>0.2</v>
      </c>
      <c r="S451" s="67">
        <v>9.2040000000000006</v>
      </c>
      <c r="T451" s="93"/>
      <c r="U451" s="224"/>
      <c r="V451" s="288" t="s">
        <v>1986</v>
      </c>
      <c r="W451" s="89" t="s">
        <v>2016</v>
      </c>
      <c r="X451" s="114" t="s">
        <v>2003</v>
      </c>
    </row>
    <row r="452" spans="1:24" s="1" customFormat="1">
      <c r="A452" s="263">
        <v>2001020300</v>
      </c>
      <c r="B452" s="248" t="s">
        <v>2026</v>
      </c>
      <c r="C452" s="249">
        <v>1</v>
      </c>
      <c r="D452" s="272" t="s">
        <v>2015</v>
      </c>
      <c r="E452" s="348">
        <v>11.505000000000001</v>
      </c>
      <c r="F452" s="226">
        <f t="shared" si="52"/>
        <v>0.2</v>
      </c>
      <c r="G452" s="67">
        <f t="shared" si="51"/>
        <v>9.2040000000000006</v>
      </c>
      <c r="H452" s="93"/>
      <c r="I452" s="224"/>
      <c r="J452" s="288" t="s">
        <v>1986</v>
      </c>
      <c r="K452" s="89" t="s">
        <v>2016</v>
      </c>
      <c r="L452" s="114" t="s">
        <v>2003</v>
      </c>
      <c r="M452" s="241">
        <v>2001020300</v>
      </c>
      <c r="N452" s="248" t="s">
        <v>2026</v>
      </c>
      <c r="O452" s="249">
        <v>1</v>
      </c>
      <c r="P452" s="272" t="s">
        <v>2015</v>
      </c>
      <c r="Q452" s="348">
        <v>11.505000000000001</v>
      </c>
      <c r="R452" s="226">
        <v>0.2</v>
      </c>
      <c r="S452" s="67">
        <v>9.2040000000000006</v>
      </c>
      <c r="T452" s="93"/>
      <c r="U452" s="224"/>
      <c r="V452" s="288" t="s">
        <v>1986</v>
      </c>
      <c r="W452" s="89" t="s">
        <v>2016</v>
      </c>
      <c r="X452" s="114" t="s">
        <v>2003</v>
      </c>
    </row>
    <row r="453" spans="1:24" s="1" customFormat="1">
      <c r="A453" s="263">
        <v>2002010100</v>
      </c>
      <c r="B453" s="248" t="s">
        <v>2027</v>
      </c>
      <c r="C453" s="249">
        <v>1</v>
      </c>
      <c r="D453" s="272" t="s">
        <v>2015</v>
      </c>
      <c r="E453" s="348">
        <v>20.32</v>
      </c>
      <c r="F453" s="226">
        <f t="shared" si="52"/>
        <v>0.2</v>
      </c>
      <c r="G453" s="67">
        <f t="shared" si="51"/>
        <v>16.256</v>
      </c>
      <c r="H453" s="93"/>
      <c r="I453" s="224"/>
      <c r="J453" s="288" t="s">
        <v>1986</v>
      </c>
      <c r="K453" s="89" t="s">
        <v>2016</v>
      </c>
      <c r="L453" s="114" t="s">
        <v>2003</v>
      </c>
      <c r="M453" s="241">
        <v>2002010100</v>
      </c>
      <c r="N453" s="248" t="s">
        <v>2027</v>
      </c>
      <c r="O453" s="249">
        <v>1</v>
      </c>
      <c r="P453" s="272" t="s">
        <v>2015</v>
      </c>
      <c r="Q453" s="348">
        <v>20.32</v>
      </c>
      <c r="R453" s="226">
        <v>0.2</v>
      </c>
      <c r="S453" s="67">
        <v>16.256</v>
      </c>
      <c r="T453" s="93"/>
      <c r="U453" s="224"/>
      <c r="V453" s="288" t="s">
        <v>1986</v>
      </c>
      <c r="W453" s="89" t="s">
        <v>2016</v>
      </c>
      <c r="X453" s="114" t="s">
        <v>2003</v>
      </c>
    </row>
    <row r="454" spans="1:24" s="1" customFormat="1">
      <c r="A454" s="263">
        <v>2002010200</v>
      </c>
      <c r="B454" s="248" t="s">
        <v>2028</v>
      </c>
      <c r="C454" s="249">
        <v>1</v>
      </c>
      <c r="D454" s="272" t="s">
        <v>2015</v>
      </c>
      <c r="E454" s="348">
        <v>10.16</v>
      </c>
      <c r="F454" s="226">
        <f t="shared" si="52"/>
        <v>0.2</v>
      </c>
      <c r="G454" s="67">
        <f t="shared" si="51"/>
        <v>8.1280000000000001</v>
      </c>
      <c r="H454" s="93"/>
      <c r="I454" s="224"/>
      <c r="J454" s="288" t="s">
        <v>1986</v>
      </c>
      <c r="K454" s="89" t="s">
        <v>2016</v>
      </c>
      <c r="L454" s="114" t="s">
        <v>2003</v>
      </c>
      <c r="M454" s="241">
        <v>2002010200</v>
      </c>
      <c r="N454" s="248" t="s">
        <v>2028</v>
      </c>
      <c r="O454" s="249">
        <v>1</v>
      </c>
      <c r="P454" s="272" t="s">
        <v>2015</v>
      </c>
      <c r="Q454" s="348">
        <v>10.16</v>
      </c>
      <c r="R454" s="226">
        <v>0.2</v>
      </c>
      <c r="S454" s="67">
        <v>8.1280000000000001</v>
      </c>
      <c r="T454" s="93"/>
      <c r="U454" s="224"/>
      <c r="V454" s="288" t="s">
        <v>1986</v>
      </c>
      <c r="W454" s="89" t="s">
        <v>2016</v>
      </c>
      <c r="X454" s="114" t="s">
        <v>2003</v>
      </c>
    </row>
    <row r="455" spans="1:24" s="1" customFormat="1">
      <c r="A455" s="263">
        <v>2002010300</v>
      </c>
      <c r="B455" s="248" t="s">
        <v>2029</v>
      </c>
      <c r="C455" s="249">
        <v>1</v>
      </c>
      <c r="D455" s="272" t="s">
        <v>2015</v>
      </c>
      <c r="E455" s="348">
        <v>10.16</v>
      </c>
      <c r="F455" s="226">
        <f t="shared" si="52"/>
        <v>0.2</v>
      </c>
      <c r="G455" s="67">
        <f t="shared" si="51"/>
        <v>8.1280000000000001</v>
      </c>
      <c r="H455" s="93"/>
      <c r="I455" s="224"/>
      <c r="J455" s="288" t="s">
        <v>1986</v>
      </c>
      <c r="K455" s="89" t="s">
        <v>2016</v>
      </c>
      <c r="L455" s="114" t="s">
        <v>2003</v>
      </c>
      <c r="M455" s="241">
        <v>2002010300</v>
      </c>
      <c r="N455" s="248" t="s">
        <v>2029</v>
      </c>
      <c r="O455" s="249">
        <v>1</v>
      </c>
      <c r="P455" s="272" t="s">
        <v>2015</v>
      </c>
      <c r="Q455" s="348">
        <v>10.16</v>
      </c>
      <c r="R455" s="226">
        <v>0.2</v>
      </c>
      <c r="S455" s="67">
        <v>8.1280000000000001</v>
      </c>
      <c r="T455" s="93"/>
      <c r="U455" s="224"/>
      <c r="V455" s="288" t="s">
        <v>1986</v>
      </c>
      <c r="W455" s="89" t="s">
        <v>2016</v>
      </c>
      <c r="X455" s="114" t="s">
        <v>2003</v>
      </c>
    </row>
    <row r="456" spans="1:24" s="1" customFormat="1">
      <c r="A456" s="263">
        <v>2002020100</v>
      </c>
      <c r="B456" s="248" t="s">
        <v>2030</v>
      </c>
      <c r="C456" s="249">
        <v>1</v>
      </c>
      <c r="D456" s="272" t="s">
        <v>2015</v>
      </c>
      <c r="E456" s="348">
        <v>20.32</v>
      </c>
      <c r="F456" s="226">
        <f t="shared" si="52"/>
        <v>0.2</v>
      </c>
      <c r="G456" s="67">
        <f t="shared" si="51"/>
        <v>16.256</v>
      </c>
      <c r="H456" s="93"/>
      <c r="I456" s="224"/>
      <c r="J456" s="288" t="s">
        <v>1986</v>
      </c>
      <c r="K456" s="89" t="s">
        <v>2016</v>
      </c>
      <c r="L456" s="114" t="s">
        <v>2003</v>
      </c>
      <c r="M456" s="241">
        <v>2002020100</v>
      </c>
      <c r="N456" s="248" t="s">
        <v>2030</v>
      </c>
      <c r="O456" s="249">
        <v>1</v>
      </c>
      <c r="P456" s="272" t="s">
        <v>2015</v>
      </c>
      <c r="Q456" s="348">
        <v>20.32</v>
      </c>
      <c r="R456" s="226">
        <v>0.2</v>
      </c>
      <c r="S456" s="67">
        <v>16.256</v>
      </c>
      <c r="T456" s="93"/>
      <c r="U456" s="224"/>
      <c r="V456" s="288" t="s">
        <v>1986</v>
      </c>
      <c r="W456" s="89" t="s">
        <v>2016</v>
      </c>
      <c r="X456" s="114" t="s">
        <v>2003</v>
      </c>
    </row>
    <row r="457" spans="1:24" s="1" customFormat="1">
      <c r="A457" s="263">
        <v>2002020200</v>
      </c>
      <c r="B457" s="248" t="s">
        <v>2031</v>
      </c>
      <c r="C457" s="249">
        <v>1</v>
      </c>
      <c r="D457" s="272" t="s">
        <v>2015</v>
      </c>
      <c r="E457" s="348">
        <v>10.16</v>
      </c>
      <c r="F457" s="226">
        <f t="shared" si="52"/>
        <v>0.2</v>
      </c>
      <c r="G457" s="67">
        <f t="shared" si="51"/>
        <v>8.1280000000000001</v>
      </c>
      <c r="H457" s="93"/>
      <c r="I457" s="224"/>
      <c r="J457" s="288" t="s">
        <v>1986</v>
      </c>
      <c r="K457" s="89" t="s">
        <v>2016</v>
      </c>
      <c r="L457" s="114" t="s">
        <v>2003</v>
      </c>
      <c r="M457" s="241">
        <v>2002020200</v>
      </c>
      <c r="N457" s="248" t="s">
        <v>2031</v>
      </c>
      <c r="O457" s="249">
        <v>1</v>
      </c>
      <c r="P457" s="272" t="s">
        <v>2015</v>
      </c>
      <c r="Q457" s="348">
        <v>10.16</v>
      </c>
      <c r="R457" s="226">
        <v>0.2</v>
      </c>
      <c r="S457" s="67">
        <v>8.1280000000000001</v>
      </c>
      <c r="T457" s="93"/>
      <c r="U457" s="224"/>
      <c r="V457" s="288" t="s">
        <v>1986</v>
      </c>
      <c r="W457" s="89" t="s">
        <v>2016</v>
      </c>
      <c r="X457" s="114" t="s">
        <v>2003</v>
      </c>
    </row>
    <row r="458" spans="1:24" s="1" customFormat="1">
      <c r="A458" s="263">
        <v>2002020300</v>
      </c>
      <c r="B458" s="248" t="s">
        <v>2032</v>
      </c>
      <c r="C458" s="249">
        <v>1</v>
      </c>
      <c r="D458" s="272" t="s">
        <v>2015</v>
      </c>
      <c r="E458" s="348">
        <v>10.16</v>
      </c>
      <c r="F458" s="226">
        <f t="shared" si="52"/>
        <v>0.2</v>
      </c>
      <c r="G458" s="67">
        <f t="shared" si="51"/>
        <v>8.1280000000000001</v>
      </c>
      <c r="H458" s="93"/>
      <c r="I458" s="224"/>
      <c r="J458" s="288" t="s">
        <v>1986</v>
      </c>
      <c r="K458" s="89" t="s">
        <v>2016</v>
      </c>
      <c r="L458" s="114" t="s">
        <v>2003</v>
      </c>
      <c r="M458" s="241">
        <v>2002020300</v>
      </c>
      <c r="N458" s="248" t="s">
        <v>2032</v>
      </c>
      <c r="O458" s="249">
        <v>1</v>
      </c>
      <c r="P458" s="272" t="s">
        <v>2015</v>
      </c>
      <c r="Q458" s="348">
        <v>10.16</v>
      </c>
      <c r="R458" s="226">
        <v>0.2</v>
      </c>
      <c r="S458" s="67">
        <v>8.1280000000000001</v>
      </c>
      <c r="T458" s="93"/>
      <c r="U458" s="224"/>
      <c r="V458" s="288" t="s">
        <v>1986</v>
      </c>
      <c r="W458" s="89" t="s">
        <v>2016</v>
      </c>
      <c r="X458" s="114" t="s">
        <v>2003</v>
      </c>
    </row>
    <row r="459" spans="1:24" s="1" customFormat="1">
      <c r="A459" s="263" t="s">
        <v>2033</v>
      </c>
      <c r="B459" s="248" t="s">
        <v>2034</v>
      </c>
      <c r="C459" s="249">
        <v>1</v>
      </c>
      <c r="D459" s="272" t="s">
        <v>2015</v>
      </c>
      <c r="E459" s="348">
        <v>5</v>
      </c>
      <c r="F459" s="226"/>
      <c r="G459" s="67">
        <f t="shared" si="51"/>
        <v>5</v>
      </c>
      <c r="H459" s="93"/>
      <c r="I459" s="224"/>
      <c r="J459" s="288" t="s">
        <v>1986</v>
      </c>
      <c r="K459" s="89" t="s">
        <v>2016</v>
      </c>
      <c r="L459" s="114" t="s">
        <v>2003</v>
      </c>
      <c r="M459" s="241" t="s">
        <v>2033</v>
      </c>
      <c r="N459" s="248" t="s">
        <v>2034</v>
      </c>
      <c r="O459" s="249">
        <v>1</v>
      </c>
      <c r="P459" s="272" t="s">
        <v>2015</v>
      </c>
      <c r="Q459" s="348">
        <v>5</v>
      </c>
      <c r="R459" s="226"/>
      <c r="S459" s="67">
        <v>5</v>
      </c>
      <c r="T459" s="93"/>
      <c r="U459" s="224"/>
      <c r="V459" s="288" t="s">
        <v>1986</v>
      </c>
      <c r="W459" s="89" t="s">
        <v>2016</v>
      </c>
      <c r="X459" s="114" t="s">
        <v>2003</v>
      </c>
    </row>
    <row r="460" spans="1:24" s="1" customFormat="1">
      <c r="A460" s="263" t="s">
        <v>2035</v>
      </c>
      <c r="B460" s="248" t="s">
        <v>2036</v>
      </c>
      <c r="C460" s="249">
        <v>1</v>
      </c>
      <c r="D460" s="272" t="s">
        <v>2015</v>
      </c>
      <c r="E460" s="348">
        <v>5</v>
      </c>
      <c r="F460" s="226"/>
      <c r="G460" s="67">
        <f t="shared" si="51"/>
        <v>5</v>
      </c>
      <c r="H460" s="93"/>
      <c r="I460" s="224"/>
      <c r="J460" s="288" t="s">
        <v>1986</v>
      </c>
      <c r="K460" s="89" t="s">
        <v>2016</v>
      </c>
      <c r="L460" s="114" t="s">
        <v>2003</v>
      </c>
      <c r="M460" s="241" t="s">
        <v>2035</v>
      </c>
      <c r="N460" s="248" t="s">
        <v>2036</v>
      </c>
      <c r="O460" s="249">
        <v>1</v>
      </c>
      <c r="P460" s="272" t="s">
        <v>2015</v>
      </c>
      <c r="Q460" s="348">
        <v>5</v>
      </c>
      <c r="R460" s="226"/>
      <c r="S460" s="67">
        <v>5</v>
      </c>
      <c r="T460" s="93"/>
      <c r="U460" s="224"/>
      <c r="V460" s="288" t="s">
        <v>1986</v>
      </c>
      <c r="W460" s="89" t="s">
        <v>2016</v>
      </c>
      <c r="X460" s="114" t="s">
        <v>2003</v>
      </c>
    </row>
    <row r="461" spans="1:24" s="1" customFormat="1">
      <c r="A461" s="263" t="s">
        <v>2037</v>
      </c>
      <c r="B461" s="248" t="s">
        <v>2038</v>
      </c>
      <c r="C461" s="249">
        <v>1</v>
      </c>
      <c r="D461" s="272" t="s">
        <v>2015</v>
      </c>
      <c r="E461" s="348">
        <v>5</v>
      </c>
      <c r="F461" s="226"/>
      <c r="G461" s="67">
        <f t="shared" si="51"/>
        <v>5</v>
      </c>
      <c r="H461" s="93"/>
      <c r="I461" s="224"/>
      <c r="J461" s="288" t="s">
        <v>1986</v>
      </c>
      <c r="K461" s="89" t="s">
        <v>2016</v>
      </c>
      <c r="L461" s="114" t="s">
        <v>2003</v>
      </c>
      <c r="M461" s="241" t="s">
        <v>2037</v>
      </c>
      <c r="N461" s="248" t="s">
        <v>2038</v>
      </c>
      <c r="O461" s="249">
        <v>1</v>
      </c>
      <c r="P461" s="272" t="s">
        <v>2015</v>
      </c>
      <c r="Q461" s="348">
        <v>5</v>
      </c>
      <c r="R461" s="226"/>
      <c r="S461" s="67">
        <v>5</v>
      </c>
      <c r="T461" s="93"/>
      <c r="U461" s="224"/>
      <c r="V461" s="288" t="s">
        <v>1986</v>
      </c>
      <c r="W461" s="89" t="s">
        <v>2016</v>
      </c>
      <c r="X461" s="114" t="s">
        <v>2003</v>
      </c>
    </row>
    <row r="462" spans="1:24" s="1" customFormat="1">
      <c r="A462" s="263" t="s">
        <v>2039</v>
      </c>
      <c r="B462" s="248" t="s">
        <v>2040</v>
      </c>
      <c r="C462" s="249">
        <v>1</v>
      </c>
      <c r="D462" s="272" t="s">
        <v>2015</v>
      </c>
      <c r="E462" s="348">
        <v>20</v>
      </c>
      <c r="F462" s="226"/>
      <c r="G462" s="67">
        <f t="shared" si="51"/>
        <v>20</v>
      </c>
      <c r="H462" s="93"/>
      <c r="I462" s="224"/>
      <c r="J462" s="288" t="s">
        <v>1986</v>
      </c>
      <c r="K462" s="89" t="s">
        <v>2016</v>
      </c>
      <c r="L462" s="114" t="s">
        <v>2003</v>
      </c>
      <c r="M462" s="241" t="s">
        <v>2039</v>
      </c>
      <c r="N462" s="248" t="s">
        <v>2040</v>
      </c>
      <c r="O462" s="249">
        <v>1</v>
      </c>
      <c r="P462" s="272" t="s">
        <v>2015</v>
      </c>
      <c r="Q462" s="348">
        <v>20</v>
      </c>
      <c r="R462" s="226"/>
      <c r="S462" s="67">
        <v>20</v>
      </c>
      <c r="T462" s="93"/>
      <c r="U462" s="224"/>
      <c r="V462" s="288" t="s">
        <v>1986</v>
      </c>
      <c r="W462" s="89" t="s">
        <v>2016</v>
      </c>
      <c r="X462" s="114" t="s">
        <v>2003</v>
      </c>
    </row>
    <row r="463" spans="1:24" s="1" customFormat="1">
      <c r="A463" s="263">
        <v>9101000007</v>
      </c>
      <c r="B463" s="248" t="s">
        <v>2041</v>
      </c>
      <c r="C463" s="249">
        <v>1</v>
      </c>
      <c r="D463" s="272" t="s">
        <v>2015</v>
      </c>
      <c r="E463" s="348">
        <v>4.5</v>
      </c>
      <c r="F463" s="226">
        <f t="shared" ref="F463:F467" si="53">rv_20</f>
        <v>0.2</v>
      </c>
      <c r="G463" s="67">
        <f t="shared" si="51"/>
        <v>3.6</v>
      </c>
      <c r="H463" s="93"/>
      <c r="I463" s="224"/>
      <c r="J463" s="288" t="s">
        <v>1986</v>
      </c>
      <c r="K463" s="89" t="s">
        <v>2016</v>
      </c>
      <c r="L463" s="114" t="s">
        <v>2003</v>
      </c>
      <c r="M463" s="241">
        <v>9101000007</v>
      </c>
      <c r="N463" s="248" t="s">
        <v>2041</v>
      </c>
      <c r="O463" s="249">
        <v>1</v>
      </c>
      <c r="P463" s="272" t="s">
        <v>2015</v>
      </c>
      <c r="Q463" s="348">
        <v>4.5</v>
      </c>
      <c r="R463" s="226">
        <v>0.2</v>
      </c>
      <c r="S463" s="67">
        <v>3.6</v>
      </c>
      <c r="T463" s="93"/>
      <c r="U463" s="224"/>
      <c r="V463" s="288" t="s">
        <v>1986</v>
      </c>
      <c r="W463" s="89" t="s">
        <v>2016</v>
      </c>
      <c r="X463" s="114" t="s">
        <v>2003</v>
      </c>
    </row>
    <row r="464" spans="1:24" s="1" customFormat="1">
      <c r="A464" s="263">
        <v>9102000007</v>
      </c>
      <c r="B464" s="248" t="s">
        <v>2042</v>
      </c>
      <c r="C464" s="249">
        <v>1</v>
      </c>
      <c r="D464" s="272" t="s">
        <v>2015</v>
      </c>
      <c r="E464" s="348">
        <v>4.5</v>
      </c>
      <c r="F464" s="226">
        <f t="shared" si="53"/>
        <v>0.2</v>
      </c>
      <c r="G464" s="67">
        <f t="shared" si="51"/>
        <v>3.6</v>
      </c>
      <c r="H464" s="93"/>
      <c r="I464" s="224"/>
      <c r="J464" s="288" t="s">
        <v>1986</v>
      </c>
      <c r="K464" s="89" t="s">
        <v>2016</v>
      </c>
      <c r="L464" s="114" t="s">
        <v>2003</v>
      </c>
      <c r="M464" s="241">
        <v>9102000007</v>
      </c>
      <c r="N464" s="248" t="s">
        <v>2042</v>
      </c>
      <c r="O464" s="249">
        <v>1</v>
      </c>
      <c r="P464" s="272" t="s">
        <v>2015</v>
      </c>
      <c r="Q464" s="348">
        <v>4.5</v>
      </c>
      <c r="R464" s="226">
        <v>0.2</v>
      </c>
      <c r="S464" s="67">
        <v>3.6</v>
      </c>
      <c r="T464" s="93"/>
      <c r="U464" s="224"/>
      <c r="V464" s="288" t="s">
        <v>1986</v>
      </c>
      <c r="W464" s="89" t="s">
        <v>2016</v>
      </c>
      <c r="X464" s="114" t="s">
        <v>2003</v>
      </c>
    </row>
    <row r="465" spans="1:24" s="1" customFormat="1">
      <c r="A465" s="263">
        <v>1912101220</v>
      </c>
      <c r="B465" s="248" t="s">
        <v>2043</v>
      </c>
      <c r="C465" s="249">
        <v>1</v>
      </c>
      <c r="D465" s="272" t="s">
        <v>2015</v>
      </c>
      <c r="E465" s="348">
        <v>1600</v>
      </c>
      <c r="F465" s="226">
        <f t="shared" si="53"/>
        <v>0.2</v>
      </c>
      <c r="G465" s="67">
        <f t="shared" si="51"/>
        <v>1280</v>
      </c>
      <c r="H465" s="93"/>
      <c r="I465" s="224"/>
      <c r="J465" s="288" t="s">
        <v>1986</v>
      </c>
      <c r="K465" s="89" t="s">
        <v>2016</v>
      </c>
      <c r="L465" s="114" t="s">
        <v>2003</v>
      </c>
      <c r="M465" s="241">
        <v>1912101220</v>
      </c>
      <c r="N465" s="248" t="s">
        <v>2043</v>
      </c>
      <c r="O465" s="249">
        <v>1</v>
      </c>
      <c r="P465" s="272" t="s">
        <v>2015</v>
      </c>
      <c r="Q465" s="348">
        <v>1600</v>
      </c>
      <c r="R465" s="226">
        <v>0.2</v>
      </c>
      <c r="S465" s="67">
        <v>1280</v>
      </c>
      <c r="T465" s="93"/>
      <c r="U465" s="224"/>
      <c r="V465" s="288" t="s">
        <v>1986</v>
      </c>
      <c r="W465" s="89" t="s">
        <v>2016</v>
      </c>
      <c r="X465" s="114" t="s">
        <v>2003</v>
      </c>
    </row>
    <row r="466" spans="1:24" s="1" customFormat="1">
      <c r="A466" s="263" t="s">
        <v>2044</v>
      </c>
      <c r="B466" s="248" t="s">
        <v>2045</v>
      </c>
      <c r="C466" s="249">
        <v>1</v>
      </c>
      <c r="D466" s="272" t="s">
        <v>2015</v>
      </c>
      <c r="E466" s="348">
        <v>15</v>
      </c>
      <c r="F466" s="226">
        <f t="shared" si="53"/>
        <v>0.2</v>
      </c>
      <c r="G466" s="67">
        <f t="shared" si="51"/>
        <v>12</v>
      </c>
      <c r="H466" s="93"/>
      <c r="I466" s="224"/>
      <c r="J466" s="288" t="s">
        <v>1986</v>
      </c>
      <c r="K466" s="89" t="s">
        <v>2016</v>
      </c>
      <c r="L466" s="114" t="s">
        <v>2003</v>
      </c>
      <c r="M466" s="241" t="s">
        <v>2044</v>
      </c>
      <c r="N466" s="248" t="s">
        <v>2045</v>
      </c>
      <c r="O466" s="249">
        <v>1</v>
      </c>
      <c r="P466" s="272" t="s">
        <v>2015</v>
      </c>
      <c r="Q466" s="348">
        <v>15</v>
      </c>
      <c r="R466" s="226">
        <v>0.2</v>
      </c>
      <c r="S466" s="67">
        <v>12</v>
      </c>
      <c r="T466" s="93"/>
      <c r="U466" s="224"/>
      <c r="V466" s="288" t="s">
        <v>1986</v>
      </c>
      <c r="W466" s="89" t="s">
        <v>2016</v>
      </c>
      <c r="X466" s="114" t="s">
        <v>2003</v>
      </c>
    </row>
    <row r="467" spans="1:24" s="1" customFormat="1" ht="13.5" thickBot="1">
      <c r="A467" s="263" t="s">
        <v>2046</v>
      </c>
      <c r="B467" s="248" t="s">
        <v>2047</v>
      </c>
      <c r="C467" s="249">
        <v>1</v>
      </c>
      <c r="D467" s="272" t="s">
        <v>2015</v>
      </c>
      <c r="E467" s="348">
        <v>15</v>
      </c>
      <c r="F467" s="226">
        <f t="shared" si="53"/>
        <v>0.2</v>
      </c>
      <c r="G467" s="67">
        <f t="shared" si="51"/>
        <v>12</v>
      </c>
      <c r="H467" s="93"/>
      <c r="I467" s="224"/>
      <c r="J467" s="288" t="s">
        <v>1986</v>
      </c>
      <c r="K467" s="89" t="s">
        <v>2016</v>
      </c>
      <c r="L467" s="114" t="s">
        <v>2003</v>
      </c>
      <c r="M467" s="241" t="s">
        <v>2046</v>
      </c>
      <c r="N467" s="248" t="s">
        <v>2047</v>
      </c>
      <c r="O467" s="249">
        <v>1</v>
      </c>
      <c r="P467" s="272" t="s">
        <v>2015</v>
      </c>
      <c r="Q467" s="348">
        <v>15</v>
      </c>
      <c r="R467" s="226">
        <v>0.2</v>
      </c>
      <c r="S467" s="67">
        <v>12</v>
      </c>
      <c r="T467" s="93"/>
      <c r="U467" s="224"/>
      <c r="V467" s="288" t="s">
        <v>1986</v>
      </c>
      <c r="W467" s="89" t="s">
        <v>2016</v>
      </c>
      <c r="X467" s="114" t="s">
        <v>2003</v>
      </c>
    </row>
    <row r="468" spans="1:24" s="1" customFormat="1" ht="27.95" customHeight="1" thickBot="1">
      <c r="A468" s="680" t="s">
        <v>2048</v>
      </c>
      <c r="B468" s="458" t="s">
        <v>2049</v>
      </c>
      <c r="C468" s="459"/>
      <c r="D468" s="459"/>
      <c r="E468" s="460"/>
      <c r="F468" s="461"/>
      <c r="G468" s="460"/>
      <c r="H468" s="460"/>
      <c r="I468" s="460"/>
      <c r="J468" s="635"/>
      <c r="K468" s="462"/>
      <c r="L468" s="463"/>
      <c r="M468" s="474" t="s">
        <v>2048</v>
      </c>
      <c r="N468" s="458" t="s">
        <v>2049</v>
      </c>
      <c r="O468" s="459"/>
      <c r="P468" s="459"/>
      <c r="Q468" s="460"/>
      <c r="R468" s="461"/>
      <c r="S468" s="460"/>
      <c r="T468" s="460"/>
      <c r="U468" s="460"/>
      <c r="V468" s="635"/>
      <c r="W468" s="462"/>
      <c r="X468" s="463"/>
    </row>
    <row r="469" spans="1:24" s="1" customFormat="1">
      <c r="A469" s="263" t="s">
        <v>2050</v>
      </c>
      <c r="B469" s="248" t="s">
        <v>2051</v>
      </c>
      <c r="C469" s="249">
        <v>1</v>
      </c>
      <c r="D469" s="272" t="s">
        <v>2052</v>
      </c>
      <c r="E469" s="348">
        <v>39.99</v>
      </c>
      <c r="F469" s="226">
        <f t="shared" ref="F469:F478" si="54">rv_20</f>
        <v>0.2</v>
      </c>
      <c r="G469" s="67">
        <f t="shared" ref="G469:G480" si="55">E469-(E469*F469)</f>
        <v>31.992000000000001</v>
      </c>
      <c r="H469" s="93"/>
      <c r="I469" s="224">
        <v>0.02</v>
      </c>
      <c r="J469" s="288" t="s">
        <v>1099</v>
      </c>
      <c r="K469" s="89" t="s">
        <v>433</v>
      </c>
      <c r="L469" s="114" t="s">
        <v>1047</v>
      </c>
      <c r="M469" s="241" t="s">
        <v>2050</v>
      </c>
      <c r="N469" s="248" t="s">
        <v>2051</v>
      </c>
      <c r="O469" s="249">
        <v>1</v>
      </c>
      <c r="P469" s="272" t="s">
        <v>2052</v>
      </c>
      <c r="Q469" s="348">
        <v>39.99</v>
      </c>
      <c r="R469" s="226">
        <v>0.2</v>
      </c>
      <c r="S469" s="67">
        <v>31.992000000000001</v>
      </c>
      <c r="T469" s="93"/>
      <c r="U469" s="224">
        <v>0.02</v>
      </c>
      <c r="V469" s="288" t="s">
        <v>1099</v>
      </c>
      <c r="W469" s="89" t="s">
        <v>433</v>
      </c>
      <c r="X469" s="114" t="s">
        <v>1047</v>
      </c>
    </row>
    <row r="470" spans="1:24" s="1" customFormat="1">
      <c r="A470" s="263" t="s">
        <v>2053</v>
      </c>
      <c r="B470" s="248" t="s">
        <v>2054</v>
      </c>
      <c r="C470" s="249">
        <v>1</v>
      </c>
      <c r="D470" s="272" t="s">
        <v>2052</v>
      </c>
      <c r="E470" s="348">
        <v>29.99</v>
      </c>
      <c r="F470" s="226">
        <f t="shared" si="54"/>
        <v>0.2</v>
      </c>
      <c r="G470" s="67">
        <f t="shared" si="55"/>
        <v>23.991999999999997</v>
      </c>
      <c r="H470" s="93"/>
      <c r="I470" s="224">
        <v>0.02</v>
      </c>
      <c r="J470" s="288" t="s">
        <v>1099</v>
      </c>
      <c r="K470" s="89" t="s">
        <v>433</v>
      </c>
      <c r="L470" s="114" t="s">
        <v>1047</v>
      </c>
      <c r="M470" s="241" t="s">
        <v>2053</v>
      </c>
      <c r="N470" s="248" t="s">
        <v>2054</v>
      </c>
      <c r="O470" s="249">
        <v>1</v>
      </c>
      <c r="P470" s="272" t="s">
        <v>2052</v>
      </c>
      <c r="Q470" s="348">
        <v>29.99</v>
      </c>
      <c r="R470" s="226">
        <v>0.2</v>
      </c>
      <c r="S470" s="67">
        <v>23.991999999999997</v>
      </c>
      <c r="T470" s="93"/>
      <c r="U470" s="224">
        <v>0.02</v>
      </c>
      <c r="V470" s="288" t="s">
        <v>1099</v>
      </c>
      <c r="W470" s="89" t="s">
        <v>433</v>
      </c>
      <c r="X470" s="114" t="s">
        <v>1047</v>
      </c>
    </row>
    <row r="471" spans="1:24" s="1" customFormat="1">
      <c r="A471" s="263" t="s">
        <v>2055</v>
      </c>
      <c r="B471" s="248" t="s">
        <v>2056</v>
      </c>
      <c r="C471" s="249">
        <v>1</v>
      </c>
      <c r="D471" s="272" t="s">
        <v>2052</v>
      </c>
      <c r="E471" s="348">
        <v>29.99</v>
      </c>
      <c r="F471" s="226">
        <f t="shared" si="54"/>
        <v>0.2</v>
      </c>
      <c r="G471" s="67">
        <f t="shared" si="55"/>
        <v>23.991999999999997</v>
      </c>
      <c r="H471" s="93"/>
      <c r="I471" s="224">
        <v>0.02</v>
      </c>
      <c r="J471" s="288" t="s">
        <v>1099</v>
      </c>
      <c r="K471" s="89" t="s">
        <v>433</v>
      </c>
      <c r="L471" s="114" t="s">
        <v>1047</v>
      </c>
      <c r="M471" s="241" t="s">
        <v>2055</v>
      </c>
      <c r="N471" s="248" t="s">
        <v>2056</v>
      </c>
      <c r="O471" s="249">
        <v>1</v>
      </c>
      <c r="P471" s="272" t="s">
        <v>2052</v>
      </c>
      <c r="Q471" s="348">
        <v>29.99</v>
      </c>
      <c r="R471" s="226">
        <v>0.2</v>
      </c>
      <c r="S471" s="67">
        <v>23.991999999999997</v>
      </c>
      <c r="T471" s="93"/>
      <c r="U471" s="224">
        <v>0.02</v>
      </c>
      <c r="V471" s="288" t="s">
        <v>1099</v>
      </c>
      <c r="W471" s="89" t="s">
        <v>433</v>
      </c>
      <c r="X471" s="114" t="s">
        <v>1047</v>
      </c>
    </row>
    <row r="472" spans="1:24" s="1" customFormat="1">
      <c r="A472" s="263" t="s">
        <v>2057</v>
      </c>
      <c r="B472" s="248" t="s">
        <v>2058</v>
      </c>
      <c r="C472" s="249">
        <v>1</v>
      </c>
      <c r="D472" s="272" t="s">
        <v>2052</v>
      </c>
      <c r="E472" s="348">
        <v>49.99</v>
      </c>
      <c r="F472" s="226">
        <f t="shared" si="54"/>
        <v>0.2</v>
      </c>
      <c r="G472" s="67">
        <f t="shared" si="55"/>
        <v>39.992000000000004</v>
      </c>
      <c r="H472" s="93"/>
      <c r="I472" s="224">
        <v>0.05</v>
      </c>
      <c r="J472" s="288" t="s">
        <v>1099</v>
      </c>
      <c r="K472" s="89" t="s">
        <v>433</v>
      </c>
      <c r="L472" s="114" t="s">
        <v>1047</v>
      </c>
      <c r="M472" s="643" t="s">
        <v>2059</v>
      </c>
      <c r="N472" s="644" t="s">
        <v>2060</v>
      </c>
      <c r="O472" s="645">
        <v>1</v>
      </c>
      <c r="P472" s="646" t="s">
        <v>2052</v>
      </c>
      <c r="Q472" s="654">
        <v>49.99</v>
      </c>
      <c r="R472" s="648">
        <v>0.2</v>
      </c>
      <c r="S472" s="659">
        <v>39.992000000000004</v>
      </c>
      <c r="T472" s="650"/>
      <c r="U472" s="651">
        <v>0.05</v>
      </c>
      <c r="V472" s="288" t="s">
        <v>1099</v>
      </c>
      <c r="W472" s="89" t="s">
        <v>433</v>
      </c>
      <c r="X472" s="114" t="s">
        <v>1047</v>
      </c>
    </row>
    <row r="473" spans="1:24" s="1" customFormat="1">
      <c r="A473" s="263" t="s">
        <v>2061</v>
      </c>
      <c r="B473" s="248" t="s">
        <v>2062</v>
      </c>
      <c r="C473" s="249">
        <v>1</v>
      </c>
      <c r="D473" s="272" t="s">
        <v>2052</v>
      </c>
      <c r="E473" s="348">
        <v>115</v>
      </c>
      <c r="F473" s="226">
        <f t="shared" si="54"/>
        <v>0.2</v>
      </c>
      <c r="G473" s="67">
        <f t="shared" si="55"/>
        <v>92</v>
      </c>
      <c r="H473" s="93"/>
      <c r="I473" s="224">
        <v>0.05</v>
      </c>
      <c r="J473" s="288" t="s">
        <v>1099</v>
      </c>
      <c r="K473" s="89" t="s">
        <v>433</v>
      </c>
      <c r="L473" s="114" t="s">
        <v>1047</v>
      </c>
      <c r="M473" s="241" t="s">
        <v>2061</v>
      </c>
      <c r="N473" s="248" t="s">
        <v>2062</v>
      </c>
      <c r="O473" s="249">
        <v>1</v>
      </c>
      <c r="P473" s="272" t="s">
        <v>2052</v>
      </c>
      <c r="Q473" s="348">
        <v>115</v>
      </c>
      <c r="R473" s="226">
        <v>0.2</v>
      </c>
      <c r="S473" s="67">
        <v>92</v>
      </c>
      <c r="T473" s="93"/>
      <c r="U473" s="224">
        <v>0.05</v>
      </c>
      <c r="V473" s="288" t="s">
        <v>1099</v>
      </c>
      <c r="W473" s="89" t="s">
        <v>433</v>
      </c>
      <c r="X473" s="114" t="s">
        <v>1047</v>
      </c>
    </row>
    <row r="474" spans="1:24" s="1" customFormat="1">
      <c r="A474" s="263" t="s">
        <v>2063</v>
      </c>
      <c r="B474" s="248" t="s">
        <v>2064</v>
      </c>
      <c r="C474" s="249">
        <v>1</v>
      </c>
      <c r="D474" s="272" t="s">
        <v>2052</v>
      </c>
      <c r="E474" s="348">
        <v>116.66</v>
      </c>
      <c r="F474" s="226">
        <f t="shared" si="54"/>
        <v>0.2</v>
      </c>
      <c r="G474" s="67">
        <f t="shared" si="55"/>
        <v>93.328000000000003</v>
      </c>
      <c r="H474" s="93"/>
      <c r="I474" s="224">
        <v>0.08</v>
      </c>
      <c r="J474" s="288" t="s">
        <v>1099</v>
      </c>
      <c r="K474" s="89" t="s">
        <v>433</v>
      </c>
      <c r="L474" s="114" t="s">
        <v>1047</v>
      </c>
      <c r="M474" s="241" t="s">
        <v>2063</v>
      </c>
      <c r="N474" s="248" t="s">
        <v>2064</v>
      </c>
      <c r="O474" s="249">
        <v>1</v>
      </c>
      <c r="P474" s="272" t="s">
        <v>2052</v>
      </c>
      <c r="Q474" s="348">
        <v>116.66</v>
      </c>
      <c r="R474" s="226">
        <v>0.2</v>
      </c>
      <c r="S474" s="67">
        <v>93.328000000000003</v>
      </c>
      <c r="T474" s="93"/>
      <c r="U474" s="224">
        <v>0.08</v>
      </c>
      <c r="V474" s="288" t="s">
        <v>1099</v>
      </c>
      <c r="W474" s="89" t="s">
        <v>433</v>
      </c>
      <c r="X474" s="114" t="s">
        <v>1047</v>
      </c>
    </row>
    <row r="475" spans="1:24" s="1" customFormat="1">
      <c r="A475" s="263">
        <v>1000645</v>
      </c>
      <c r="B475" s="248" t="s">
        <v>2065</v>
      </c>
      <c r="C475" s="249">
        <v>1</v>
      </c>
      <c r="D475" s="272" t="s">
        <v>2066</v>
      </c>
      <c r="E475" s="348">
        <v>212.54</v>
      </c>
      <c r="F475" s="226">
        <f t="shared" si="54"/>
        <v>0.2</v>
      </c>
      <c r="G475" s="67">
        <f t="shared" si="55"/>
        <v>170.03199999999998</v>
      </c>
      <c r="H475" s="93"/>
      <c r="I475" s="224">
        <v>0</v>
      </c>
      <c r="J475" s="288" t="s">
        <v>1099</v>
      </c>
      <c r="K475" s="89" t="s">
        <v>433</v>
      </c>
      <c r="L475" s="114" t="s">
        <v>1047</v>
      </c>
      <c r="M475" s="241">
        <v>1000645</v>
      </c>
      <c r="N475" s="248" t="s">
        <v>2065</v>
      </c>
      <c r="O475" s="249">
        <v>1</v>
      </c>
      <c r="P475" s="272" t="s">
        <v>2066</v>
      </c>
      <c r="Q475" s="348">
        <v>212.54</v>
      </c>
      <c r="R475" s="226">
        <v>0.2</v>
      </c>
      <c r="S475" s="67">
        <v>170.03199999999998</v>
      </c>
      <c r="T475" s="93"/>
      <c r="U475" s="224">
        <v>0</v>
      </c>
      <c r="V475" s="288" t="s">
        <v>1099</v>
      </c>
      <c r="W475" s="89" t="s">
        <v>433</v>
      </c>
      <c r="X475" s="114" t="s">
        <v>1047</v>
      </c>
    </row>
    <row r="476" spans="1:24" s="1" customFormat="1">
      <c r="A476" s="263">
        <v>1000567</v>
      </c>
      <c r="B476" s="248" t="s">
        <v>2067</v>
      </c>
      <c r="C476" s="249">
        <v>1</v>
      </c>
      <c r="D476" s="272" t="s">
        <v>2066</v>
      </c>
      <c r="E476" s="348">
        <v>213.39</v>
      </c>
      <c r="F476" s="226">
        <f t="shared" si="54"/>
        <v>0.2</v>
      </c>
      <c r="G476" s="67">
        <f t="shared" si="55"/>
        <v>170.71199999999999</v>
      </c>
      <c r="H476" s="93"/>
      <c r="I476" s="224">
        <v>0</v>
      </c>
      <c r="J476" s="288" t="s">
        <v>1099</v>
      </c>
      <c r="K476" s="89" t="s">
        <v>433</v>
      </c>
      <c r="L476" s="114" t="s">
        <v>1047</v>
      </c>
      <c r="M476" s="241">
        <v>1000567</v>
      </c>
      <c r="N476" s="248" t="s">
        <v>2067</v>
      </c>
      <c r="O476" s="249">
        <v>1</v>
      </c>
      <c r="P476" s="272" t="s">
        <v>2066</v>
      </c>
      <c r="Q476" s="348">
        <v>213.39</v>
      </c>
      <c r="R476" s="226">
        <v>0.2</v>
      </c>
      <c r="S476" s="67">
        <v>170.71199999999999</v>
      </c>
      <c r="T476" s="93"/>
      <c r="U476" s="224">
        <v>0</v>
      </c>
      <c r="V476" s="288" t="s">
        <v>1099</v>
      </c>
      <c r="W476" s="89" t="s">
        <v>433</v>
      </c>
      <c r="X476" s="114" t="s">
        <v>1047</v>
      </c>
    </row>
    <row r="477" spans="1:24" s="1" customFormat="1">
      <c r="A477" s="263" t="s">
        <v>2068</v>
      </c>
      <c r="B477" s="248" t="s">
        <v>2069</v>
      </c>
      <c r="C477" s="249">
        <v>1</v>
      </c>
      <c r="D477" s="272" t="s">
        <v>1294</v>
      </c>
      <c r="E477" s="348">
        <v>109.99</v>
      </c>
      <c r="F477" s="226">
        <f t="shared" si="54"/>
        <v>0.2</v>
      </c>
      <c r="G477" s="67">
        <f t="shared" si="55"/>
        <v>87.99199999999999</v>
      </c>
      <c r="H477" s="93"/>
      <c r="I477" s="224">
        <v>0.2</v>
      </c>
      <c r="J477" s="288" t="s">
        <v>1099</v>
      </c>
      <c r="K477" s="89" t="s">
        <v>433</v>
      </c>
      <c r="L477" s="114" t="s">
        <v>1047</v>
      </c>
      <c r="M477" s="241" t="s">
        <v>2068</v>
      </c>
      <c r="N477" s="248" t="s">
        <v>2069</v>
      </c>
      <c r="O477" s="249">
        <v>1</v>
      </c>
      <c r="P477" s="272" t="s">
        <v>1294</v>
      </c>
      <c r="Q477" s="348">
        <v>109.99</v>
      </c>
      <c r="R477" s="226">
        <v>0.2</v>
      </c>
      <c r="S477" s="67">
        <v>87.99199999999999</v>
      </c>
      <c r="T477" s="93"/>
      <c r="U477" s="224">
        <v>0.2</v>
      </c>
      <c r="V477" s="288" t="s">
        <v>1099</v>
      </c>
      <c r="W477" s="89" t="s">
        <v>433</v>
      </c>
      <c r="X477" s="114" t="s">
        <v>1047</v>
      </c>
    </row>
    <row r="478" spans="1:24" s="1" customFormat="1">
      <c r="A478" s="263" t="s">
        <v>2070</v>
      </c>
      <c r="B478" s="248" t="s">
        <v>2071</v>
      </c>
      <c r="C478" s="249">
        <v>1</v>
      </c>
      <c r="D478" s="272" t="s">
        <v>1294</v>
      </c>
      <c r="E478" s="348">
        <v>201.66</v>
      </c>
      <c r="F478" s="226">
        <f t="shared" si="54"/>
        <v>0.2</v>
      </c>
      <c r="G478" s="67">
        <f t="shared" si="55"/>
        <v>161.328</v>
      </c>
      <c r="H478" s="93"/>
      <c r="I478" s="224">
        <v>0.2</v>
      </c>
      <c r="J478" s="288" t="s">
        <v>1099</v>
      </c>
      <c r="K478" s="89" t="s">
        <v>433</v>
      </c>
      <c r="L478" s="114" t="s">
        <v>1047</v>
      </c>
      <c r="M478" s="241" t="s">
        <v>2070</v>
      </c>
      <c r="N478" s="248" t="s">
        <v>2071</v>
      </c>
      <c r="O478" s="249">
        <v>1</v>
      </c>
      <c r="P478" s="272" t="s">
        <v>1294</v>
      </c>
      <c r="Q478" s="348">
        <v>201.66</v>
      </c>
      <c r="R478" s="226">
        <v>0.2</v>
      </c>
      <c r="S478" s="67">
        <v>161.328</v>
      </c>
      <c r="T478" s="93"/>
      <c r="U478" s="224">
        <v>0.2</v>
      </c>
      <c r="V478" s="288" t="s">
        <v>1099</v>
      </c>
      <c r="W478" s="89" t="s">
        <v>433</v>
      </c>
      <c r="X478" s="114" t="s">
        <v>1047</v>
      </c>
    </row>
    <row r="479" spans="1:24" s="1" customFormat="1">
      <c r="A479" s="263" t="s">
        <v>2072</v>
      </c>
      <c r="B479" s="248" t="s">
        <v>2073</v>
      </c>
      <c r="C479" s="249">
        <v>1</v>
      </c>
      <c r="D479" s="272" t="s">
        <v>1294</v>
      </c>
      <c r="E479" s="348">
        <v>43.75</v>
      </c>
      <c r="F479" s="226">
        <f>rv_20</f>
        <v>0.2</v>
      </c>
      <c r="G479" s="67">
        <f t="shared" si="55"/>
        <v>35</v>
      </c>
      <c r="H479" s="93"/>
      <c r="I479" s="224">
        <v>0.1</v>
      </c>
      <c r="J479" s="288" t="s">
        <v>1099</v>
      </c>
      <c r="K479" s="89" t="s">
        <v>433</v>
      </c>
      <c r="L479" s="114" t="s">
        <v>1047</v>
      </c>
      <c r="M479" s="241" t="s">
        <v>2072</v>
      </c>
      <c r="N479" s="248" t="s">
        <v>2073</v>
      </c>
      <c r="O479" s="249">
        <v>1</v>
      </c>
      <c r="P479" s="272" t="s">
        <v>1294</v>
      </c>
      <c r="Q479" s="348">
        <v>43.75</v>
      </c>
      <c r="R479" s="226">
        <v>0.2</v>
      </c>
      <c r="S479" s="67">
        <v>35</v>
      </c>
      <c r="T479" s="93"/>
      <c r="U479" s="224">
        <v>0.1</v>
      </c>
      <c r="V479" s="288" t="s">
        <v>1099</v>
      </c>
      <c r="W479" s="89" t="s">
        <v>433</v>
      </c>
      <c r="X479" s="114" t="s">
        <v>1047</v>
      </c>
    </row>
    <row r="480" spans="1:24" s="1" customFormat="1">
      <c r="A480" s="263" t="s">
        <v>2074</v>
      </c>
      <c r="B480" s="248" t="s">
        <v>2075</v>
      </c>
      <c r="C480" s="249">
        <v>1</v>
      </c>
      <c r="D480" s="272" t="s">
        <v>1294</v>
      </c>
      <c r="E480" s="348">
        <v>28.29</v>
      </c>
      <c r="F480" s="226">
        <f>rv_20</f>
        <v>0.2</v>
      </c>
      <c r="G480" s="67">
        <f t="shared" si="55"/>
        <v>22.631999999999998</v>
      </c>
      <c r="H480" s="93"/>
      <c r="I480" s="224">
        <v>0.1</v>
      </c>
      <c r="J480" s="288" t="s">
        <v>1099</v>
      </c>
      <c r="K480" s="89" t="s">
        <v>433</v>
      </c>
      <c r="L480" s="114" t="s">
        <v>1047</v>
      </c>
      <c r="M480" s="241" t="s">
        <v>2074</v>
      </c>
      <c r="N480" s="248" t="s">
        <v>2075</v>
      </c>
      <c r="O480" s="249">
        <v>1</v>
      </c>
      <c r="P480" s="272" t="s">
        <v>1294</v>
      </c>
      <c r="Q480" s="348">
        <v>28.29</v>
      </c>
      <c r="R480" s="226">
        <v>0.2</v>
      </c>
      <c r="S480" s="67">
        <v>22.631999999999998</v>
      </c>
      <c r="T480" s="93"/>
      <c r="U480" s="224">
        <v>0.1</v>
      </c>
      <c r="V480" s="288" t="s">
        <v>1099</v>
      </c>
      <c r="W480" s="89" t="s">
        <v>433</v>
      </c>
      <c r="X480" s="114" t="s">
        <v>1047</v>
      </c>
    </row>
    <row r="481" spans="1:24" s="1" customFormat="1">
      <c r="A481" s="263"/>
      <c r="B481" s="248"/>
      <c r="C481" s="249"/>
      <c r="D481" s="272"/>
      <c r="E481" s="348"/>
      <c r="F481" s="226"/>
      <c r="G481" s="67"/>
      <c r="H481" s="93"/>
      <c r="I481" s="224"/>
      <c r="J481" s="288"/>
      <c r="K481" s="89"/>
      <c r="L481" s="114"/>
      <c r="M481" s="241" t="s">
        <v>2076</v>
      </c>
      <c r="N481" s="248" t="s">
        <v>2077</v>
      </c>
      <c r="O481" s="249">
        <v>1</v>
      </c>
      <c r="P481" s="272" t="s">
        <v>1294</v>
      </c>
      <c r="Q481" s="348">
        <v>97.32</v>
      </c>
      <c r="R481" s="226">
        <v>0.2</v>
      </c>
      <c r="S481" s="67">
        <v>77.855999999999995</v>
      </c>
      <c r="T481" s="93"/>
      <c r="U481" s="224">
        <v>0.38</v>
      </c>
      <c r="V481" s="288" t="s">
        <v>1099</v>
      </c>
      <c r="W481" s="89" t="s">
        <v>433</v>
      </c>
      <c r="X481" s="114" t="s">
        <v>1047</v>
      </c>
    </row>
    <row r="482" spans="1:24" s="1" customFormat="1">
      <c r="A482" s="263" t="s">
        <v>2078</v>
      </c>
      <c r="B482" s="248" t="s">
        <v>2079</v>
      </c>
      <c r="C482" s="249">
        <v>1</v>
      </c>
      <c r="D482" s="272" t="s">
        <v>1294</v>
      </c>
      <c r="E482" s="348">
        <v>124.07</v>
      </c>
      <c r="F482" s="226">
        <f>rv_20</f>
        <v>0.2</v>
      </c>
      <c r="G482" s="67">
        <f>E482-(E482*F482)</f>
        <v>99.256</v>
      </c>
      <c r="H482" s="93"/>
      <c r="I482" s="224">
        <v>0.63</v>
      </c>
      <c r="J482" s="288" t="s">
        <v>1099</v>
      </c>
      <c r="K482" s="89" t="s">
        <v>433</v>
      </c>
      <c r="L482" s="114" t="s">
        <v>1047</v>
      </c>
      <c r="M482" s="241" t="s">
        <v>2078</v>
      </c>
      <c r="N482" s="248" t="s">
        <v>2079</v>
      </c>
      <c r="O482" s="249">
        <v>1</v>
      </c>
      <c r="P482" s="272" t="s">
        <v>1294</v>
      </c>
      <c r="Q482" s="348">
        <v>124.07</v>
      </c>
      <c r="R482" s="226">
        <v>0.2</v>
      </c>
      <c r="S482" s="67">
        <v>99.256</v>
      </c>
      <c r="T482" s="93"/>
      <c r="U482" s="224">
        <v>0.63</v>
      </c>
      <c r="V482" s="288" t="s">
        <v>1099</v>
      </c>
      <c r="W482" s="89" t="s">
        <v>433</v>
      </c>
      <c r="X482" s="114" t="s">
        <v>1047</v>
      </c>
    </row>
    <row r="483" spans="1:24" s="1" customFormat="1" ht="13.5" thickBot="1">
      <c r="A483" s="263" t="s">
        <v>2080</v>
      </c>
      <c r="B483" s="248" t="s">
        <v>2081</v>
      </c>
      <c r="C483" s="249">
        <v>1</v>
      </c>
      <c r="D483" s="272" t="s">
        <v>1294</v>
      </c>
      <c r="E483" s="348">
        <v>74.11</v>
      </c>
      <c r="F483" s="226">
        <f>rv_20</f>
        <v>0.2</v>
      </c>
      <c r="G483" s="67">
        <f>E483-(E483*F483)</f>
        <v>59.287999999999997</v>
      </c>
      <c r="H483" s="93"/>
      <c r="I483" s="224">
        <v>0.05</v>
      </c>
      <c r="J483" s="288" t="s">
        <v>1099</v>
      </c>
      <c r="K483" s="89" t="s">
        <v>433</v>
      </c>
      <c r="L483" s="114" t="s">
        <v>1047</v>
      </c>
      <c r="M483" s="241" t="s">
        <v>2080</v>
      </c>
      <c r="N483" s="248" t="s">
        <v>2081</v>
      </c>
      <c r="O483" s="249">
        <v>1</v>
      </c>
      <c r="P483" s="272" t="s">
        <v>1294</v>
      </c>
      <c r="Q483" s="348">
        <v>74.11</v>
      </c>
      <c r="R483" s="226">
        <v>0.2</v>
      </c>
      <c r="S483" s="67">
        <v>59.287999999999997</v>
      </c>
      <c r="T483" s="93"/>
      <c r="U483" s="224">
        <v>0.05</v>
      </c>
      <c r="V483" s="288" t="s">
        <v>1099</v>
      </c>
      <c r="W483" s="89" t="s">
        <v>433</v>
      </c>
      <c r="X483" s="114" t="s">
        <v>1047</v>
      </c>
    </row>
    <row r="484" spans="1:24" s="1" customFormat="1" ht="21.75" thickBot="1">
      <c r="A484" s="680" t="s">
        <v>2082</v>
      </c>
      <c r="B484" s="458" t="s">
        <v>2083</v>
      </c>
      <c r="C484" s="459"/>
      <c r="D484" s="459"/>
      <c r="E484" s="460"/>
      <c r="F484" s="461"/>
      <c r="G484" s="460"/>
      <c r="H484" s="460"/>
      <c r="I484" s="460"/>
      <c r="J484" s="635"/>
      <c r="K484" s="462"/>
      <c r="L484" s="463"/>
      <c r="M484" s="474" t="s">
        <v>2082</v>
      </c>
      <c r="N484" s="458" t="s">
        <v>2083</v>
      </c>
      <c r="O484" s="459"/>
      <c r="P484" s="459"/>
      <c r="Q484" s="460"/>
      <c r="R484" s="461"/>
      <c r="S484" s="460"/>
      <c r="T484" s="460"/>
      <c r="U484" s="460"/>
      <c r="V484" s="635"/>
      <c r="W484" s="462"/>
      <c r="X484" s="463"/>
    </row>
    <row r="485" spans="1:24" s="1" customFormat="1">
      <c r="A485" s="263" t="s">
        <v>2084</v>
      </c>
      <c r="B485" s="248" t="s">
        <v>2085</v>
      </c>
      <c r="C485" s="249">
        <v>1</v>
      </c>
      <c r="D485" s="272" t="s">
        <v>2086</v>
      </c>
      <c r="E485" s="348">
        <v>36.979999999999997</v>
      </c>
      <c r="F485" s="226">
        <f t="shared" si="23"/>
        <v>0.2</v>
      </c>
      <c r="G485" s="99">
        <f t="shared" ref="G485:G490" si="56">E485-(E485*F485)</f>
        <v>29.583999999999996</v>
      </c>
      <c r="H485" s="93"/>
      <c r="I485" s="224">
        <v>0.1</v>
      </c>
      <c r="J485" s="288" t="s">
        <v>1099</v>
      </c>
      <c r="K485" s="89" t="s">
        <v>433</v>
      </c>
      <c r="L485" s="114" t="s">
        <v>1047</v>
      </c>
      <c r="M485" s="241" t="s">
        <v>2084</v>
      </c>
      <c r="N485" s="248" t="s">
        <v>2085</v>
      </c>
      <c r="O485" s="249">
        <v>1</v>
      </c>
      <c r="P485" s="272" t="s">
        <v>2086</v>
      </c>
      <c r="Q485" s="348">
        <v>36.979999999999997</v>
      </c>
      <c r="R485" s="226">
        <v>0.2</v>
      </c>
      <c r="S485" s="99">
        <v>29.583999999999996</v>
      </c>
      <c r="T485" s="93"/>
      <c r="U485" s="224">
        <v>0.1</v>
      </c>
      <c r="V485" s="288" t="s">
        <v>1099</v>
      </c>
      <c r="W485" s="89" t="s">
        <v>433</v>
      </c>
      <c r="X485" s="114" t="s">
        <v>1047</v>
      </c>
    </row>
    <row r="486" spans="1:24" s="1" customFormat="1">
      <c r="A486" s="263" t="s">
        <v>2087</v>
      </c>
      <c r="B486" s="248" t="s">
        <v>2088</v>
      </c>
      <c r="C486" s="249">
        <v>1</v>
      </c>
      <c r="D486" s="272" t="s">
        <v>2086</v>
      </c>
      <c r="E486" s="348">
        <v>143.07</v>
      </c>
      <c r="F486" s="226">
        <f t="shared" si="23"/>
        <v>0.2</v>
      </c>
      <c r="G486" s="99">
        <f t="shared" si="56"/>
        <v>114.45599999999999</v>
      </c>
      <c r="H486" s="93"/>
      <c r="I486" s="224">
        <v>0.63</v>
      </c>
      <c r="J486" s="288" t="s">
        <v>1099</v>
      </c>
      <c r="K486" s="89" t="s">
        <v>433</v>
      </c>
      <c r="L486" s="114" t="s">
        <v>1047</v>
      </c>
      <c r="M486" s="241" t="s">
        <v>2087</v>
      </c>
      <c r="N486" s="248" t="s">
        <v>2088</v>
      </c>
      <c r="O486" s="249">
        <v>1</v>
      </c>
      <c r="P486" s="272" t="s">
        <v>2086</v>
      </c>
      <c r="Q486" s="348">
        <v>143.07</v>
      </c>
      <c r="R486" s="226">
        <v>0.2</v>
      </c>
      <c r="S486" s="99">
        <v>114.45599999999999</v>
      </c>
      <c r="T486" s="93"/>
      <c r="U486" s="224">
        <v>0.63</v>
      </c>
      <c r="V486" s="288" t="s">
        <v>1099</v>
      </c>
      <c r="W486" s="89" t="s">
        <v>433</v>
      </c>
      <c r="X486" s="114" t="s">
        <v>1047</v>
      </c>
    </row>
    <row r="487" spans="1:24" s="1" customFormat="1">
      <c r="A487" s="263" t="s">
        <v>2089</v>
      </c>
      <c r="B487" s="248" t="s">
        <v>2090</v>
      </c>
      <c r="C487" s="249">
        <v>1</v>
      </c>
      <c r="D487" s="272" t="s">
        <v>2086</v>
      </c>
      <c r="E487" s="348">
        <v>152.11000000000001</v>
      </c>
      <c r="F487" s="226">
        <f t="shared" si="23"/>
        <v>0.2</v>
      </c>
      <c r="G487" s="99">
        <f t="shared" si="56"/>
        <v>121.68800000000002</v>
      </c>
      <c r="H487" s="93"/>
      <c r="I487" s="224">
        <v>0.92</v>
      </c>
      <c r="J487" s="288" t="s">
        <v>1099</v>
      </c>
      <c r="K487" s="89" t="s">
        <v>433</v>
      </c>
      <c r="L487" s="114" t="s">
        <v>1047</v>
      </c>
      <c r="M487" s="241" t="s">
        <v>2089</v>
      </c>
      <c r="N487" s="248" t="s">
        <v>2090</v>
      </c>
      <c r="O487" s="249">
        <v>1</v>
      </c>
      <c r="P487" s="272" t="s">
        <v>2086</v>
      </c>
      <c r="Q487" s="348">
        <v>152.11000000000001</v>
      </c>
      <c r="R487" s="226">
        <v>0.2</v>
      </c>
      <c r="S487" s="99">
        <v>121.68800000000002</v>
      </c>
      <c r="T487" s="93"/>
      <c r="U487" s="224">
        <v>0.92</v>
      </c>
      <c r="V487" s="288" t="s">
        <v>1099</v>
      </c>
      <c r="W487" s="89" t="s">
        <v>433</v>
      </c>
      <c r="X487" s="114" t="s">
        <v>1047</v>
      </c>
    </row>
    <row r="488" spans="1:24" s="1" customFormat="1">
      <c r="A488" s="263" t="s">
        <v>2091</v>
      </c>
      <c r="B488" s="248" t="s">
        <v>2092</v>
      </c>
      <c r="C488" s="249">
        <v>1</v>
      </c>
      <c r="D488" s="272" t="s">
        <v>2086</v>
      </c>
      <c r="E488" s="348">
        <v>33.93</v>
      </c>
      <c r="F488" s="226">
        <f t="shared" si="23"/>
        <v>0.2</v>
      </c>
      <c r="G488" s="99">
        <f t="shared" si="56"/>
        <v>27.143999999999998</v>
      </c>
      <c r="H488" s="93"/>
      <c r="I488" s="224">
        <v>0.02</v>
      </c>
      <c r="J488" s="288" t="s">
        <v>1099</v>
      </c>
      <c r="K488" s="89" t="s">
        <v>433</v>
      </c>
      <c r="L488" s="114" t="s">
        <v>1047</v>
      </c>
      <c r="M488" s="241" t="s">
        <v>2091</v>
      </c>
      <c r="N488" s="248" t="s">
        <v>2092</v>
      </c>
      <c r="O488" s="249">
        <v>1</v>
      </c>
      <c r="P488" s="272" t="s">
        <v>2086</v>
      </c>
      <c r="Q488" s="348">
        <v>33.93</v>
      </c>
      <c r="R488" s="226">
        <v>0.2</v>
      </c>
      <c r="S488" s="99">
        <v>27.143999999999998</v>
      </c>
      <c r="T488" s="93"/>
      <c r="U488" s="224">
        <v>0.02</v>
      </c>
      <c r="V488" s="288" t="s">
        <v>1099</v>
      </c>
      <c r="W488" s="89" t="s">
        <v>433</v>
      </c>
      <c r="X488" s="114" t="s">
        <v>1047</v>
      </c>
    </row>
    <row r="489" spans="1:24" s="1" customFormat="1">
      <c r="A489" s="263" t="s">
        <v>2093</v>
      </c>
      <c r="B489" s="248" t="s">
        <v>2094</v>
      </c>
      <c r="C489" s="249">
        <v>1</v>
      </c>
      <c r="D489" s="272" t="s">
        <v>2086</v>
      </c>
      <c r="E489" s="348">
        <v>147.13999999999999</v>
      </c>
      <c r="F489" s="226">
        <f t="shared" si="19"/>
        <v>0.2</v>
      </c>
      <c r="G489" s="67">
        <f t="shared" si="56"/>
        <v>117.71199999999999</v>
      </c>
      <c r="H489" s="93"/>
      <c r="I489" s="224">
        <v>0.92</v>
      </c>
      <c r="J489" s="288" t="s">
        <v>1099</v>
      </c>
      <c r="K489" s="89" t="s">
        <v>433</v>
      </c>
      <c r="L489" s="114" t="s">
        <v>1047</v>
      </c>
      <c r="M489" s="241" t="s">
        <v>2093</v>
      </c>
      <c r="N489" s="248" t="s">
        <v>2094</v>
      </c>
      <c r="O489" s="249">
        <v>1</v>
      </c>
      <c r="P489" s="272" t="s">
        <v>2086</v>
      </c>
      <c r="Q489" s="348">
        <v>147.13999999999999</v>
      </c>
      <c r="R489" s="226">
        <v>0.2</v>
      </c>
      <c r="S489" s="67">
        <v>117.71199999999999</v>
      </c>
      <c r="T489" s="93"/>
      <c r="U489" s="224">
        <v>0.92</v>
      </c>
      <c r="V489" s="288" t="s">
        <v>1099</v>
      </c>
      <c r="W489" s="89" t="s">
        <v>433</v>
      </c>
      <c r="X489" s="114" t="s">
        <v>1047</v>
      </c>
    </row>
    <row r="490" spans="1:24" s="1" customFormat="1">
      <c r="A490" s="263" t="s">
        <v>2095</v>
      </c>
      <c r="B490" s="248" t="s">
        <v>2096</v>
      </c>
      <c r="C490" s="249">
        <v>1</v>
      </c>
      <c r="D490" s="272" t="s">
        <v>2086</v>
      </c>
      <c r="E490" s="348">
        <v>175.8</v>
      </c>
      <c r="F490" s="226">
        <f t="shared" si="19"/>
        <v>0.2</v>
      </c>
      <c r="G490" s="67">
        <f t="shared" si="56"/>
        <v>140.64000000000001</v>
      </c>
      <c r="H490" s="93"/>
      <c r="I490" s="224">
        <v>0.92</v>
      </c>
      <c r="J490" s="288" t="s">
        <v>1099</v>
      </c>
      <c r="K490" s="89" t="s">
        <v>433</v>
      </c>
      <c r="L490" s="114" t="s">
        <v>1047</v>
      </c>
      <c r="M490" s="241" t="s">
        <v>2095</v>
      </c>
      <c r="N490" s="248" t="s">
        <v>2096</v>
      </c>
      <c r="O490" s="249">
        <v>1</v>
      </c>
      <c r="P490" s="272" t="s">
        <v>2086</v>
      </c>
      <c r="Q490" s="348">
        <v>175.8</v>
      </c>
      <c r="R490" s="226">
        <v>0.2</v>
      </c>
      <c r="S490" s="67">
        <v>140.64000000000001</v>
      </c>
      <c r="T490" s="93"/>
      <c r="U490" s="224">
        <v>0.92</v>
      </c>
      <c r="V490" s="288" t="s">
        <v>1099</v>
      </c>
      <c r="W490" s="89" t="s">
        <v>433</v>
      </c>
      <c r="X490" s="114" t="s">
        <v>1047</v>
      </c>
    </row>
    <row r="491" spans="1:24" s="1" customFormat="1">
      <c r="A491" s="263"/>
      <c r="B491" s="248"/>
      <c r="C491" s="249"/>
      <c r="D491" s="272"/>
      <c r="E491" s="348"/>
      <c r="F491" s="226"/>
      <c r="G491" s="67"/>
      <c r="H491" s="93"/>
      <c r="I491" s="224"/>
      <c r="J491" s="288"/>
      <c r="K491" s="89"/>
      <c r="L491" s="114"/>
      <c r="M491" s="241" t="s">
        <v>2097</v>
      </c>
      <c r="N491" s="248" t="s">
        <v>2098</v>
      </c>
      <c r="O491" s="249">
        <v>1</v>
      </c>
      <c r="P491" s="272" t="s">
        <v>2086</v>
      </c>
      <c r="Q491" s="348">
        <v>262.25</v>
      </c>
      <c r="R491" s="226">
        <v>0.2</v>
      </c>
      <c r="S491" s="67">
        <v>209.8</v>
      </c>
      <c r="T491" s="93"/>
      <c r="U491" s="224">
        <v>0</v>
      </c>
      <c r="V491" s="288" t="s">
        <v>1099</v>
      </c>
      <c r="W491" s="89" t="s">
        <v>433</v>
      </c>
      <c r="X491" s="114" t="s">
        <v>1047</v>
      </c>
    </row>
    <row r="492" spans="1:24" s="1" customFormat="1">
      <c r="A492" s="263" t="s">
        <v>2099</v>
      </c>
      <c r="B492" s="248" t="s">
        <v>2100</v>
      </c>
      <c r="C492" s="249">
        <v>1</v>
      </c>
      <c r="D492" s="272" t="s">
        <v>1442</v>
      </c>
      <c r="E492" s="349">
        <v>12.99</v>
      </c>
      <c r="F492" s="226">
        <f>rv_20</f>
        <v>0.2</v>
      </c>
      <c r="G492" s="99">
        <f t="shared" ref="G492:G497" si="57">E492-(E492*F492)</f>
        <v>10.391999999999999</v>
      </c>
      <c r="H492" s="93"/>
      <c r="I492" s="224">
        <v>0.02</v>
      </c>
      <c r="J492" s="288" t="s">
        <v>1099</v>
      </c>
      <c r="K492" s="89" t="s">
        <v>433</v>
      </c>
      <c r="L492" s="114" t="s">
        <v>1047</v>
      </c>
      <c r="M492" s="241" t="s">
        <v>2099</v>
      </c>
      <c r="N492" s="248" t="s">
        <v>2100</v>
      </c>
      <c r="O492" s="249">
        <v>1</v>
      </c>
      <c r="P492" s="272" t="s">
        <v>1442</v>
      </c>
      <c r="Q492" s="349">
        <v>12.99</v>
      </c>
      <c r="R492" s="226">
        <v>0.2</v>
      </c>
      <c r="S492" s="99">
        <v>10.391999999999999</v>
      </c>
      <c r="T492" s="93"/>
      <c r="U492" s="224">
        <v>0.02</v>
      </c>
      <c r="V492" s="288" t="s">
        <v>1099</v>
      </c>
      <c r="W492" s="89" t="s">
        <v>433</v>
      </c>
      <c r="X492" s="114" t="s">
        <v>1047</v>
      </c>
    </row>
    <row r="493" spans="1:24" s="1" customFormat="1">
      <c r="A493" s="263" t="s">
        <v>2101</v>
      </c>
      <c r="B493" s="248" t="s">
        <v>2102</v>
      </c>
      <c r="C493" s="249">
        <v>1</v>
      </c>
      <c r="D493" s="272" t="s">
        <v>1442</v>
      </c>
      <c r="E493" s="349">
        <v>19.989999999999998</v>
      </c>
      <c r="F493" s="226">
        <f t="shared" si="18"/>
        <v>0.2</v>
      </c>
      <c r="G493" s="99">
        <f t="shared" si="57"/>
        <v>15.991999999999999</v>
      </c>
      <c r="H493" s="93"/>
      <c r="I493" s="224">
        <v>0.1</v>
      </c>
      <c r="J493" s="288" t="s">
        <v>1099</v>
      </c>
      <c r="K493" s="89" t="s">
        <v>433</v>
      </c>
      <c r="L493" s="114" t="s">
        <v>1047</v>
      </c>
      <c r="M493" s="241" t="s">
        <v>2101</v>
      </c>
      <c r="N493" s="248" t="s">
        <v>2102</v>
      </c>
      <c r="O493" s="249">
        <v>1</v>
      </c>
      <c r="P493" s="272" t="s">
        <v>1442</v>
      </c>
      <c r="Q493" s="349">
        <v>19.989999999999998</v>
      </c>
      <c r="R493" s="226">
        <v>0.2</v>
      </c>
      <c r="S493" s="99">
        <v>15.991999999999999</v>
      </c>
      <c r="T493" s="93"/>
      <c r="U493" s="224">
        <v>0.1</v>
      </c>
      <c r="V493" s="288" t="s">
        <v>1099</v>
      </c>
      <c r="W493" s="89" t="s">
        <v>433</v>
      </c>
      <c r="X493" s="114" t="s">
        <v>1047</v>
      </c>
    </row>
    <row r="494" spans="1:24" s="1" customFormat="1">
      <c r="A494" s="263" t="s">
        <v>2103</v>
      </c>
      <c r="B494" s="248" t="s">
        <v>2104</v>
      </c>
      <c r="C494" s="249">
        <v>1</v>
      </c>
      <c r="D494" s="272" t="s">
        <v>1442</v>
      </c>
      <c r="E494" s="349">
        <v>24.99</v>
      </c>
      <c r="F494" s="226">
        <f t="shared" si="18"/>
        <v>0.2</v>
      </c>
      <c r="G494" s="99">
        <f t="shared" si="57"/>
        <v>19.991999999999997</v>
      </c>
      <c r="H494" s="93"/>
      <c r="I494" s="224">
        <v>0.1</v>
      </c>
      <c r="J494" s="288" t="s">
        <v>1099</v>
      </c>
      <c r="K494" s="89" t="s">
        <v>433</v>
      </c>
      <c r="L494" s="114" t="s">
        <v>1047</v>
      </c>
      <c r="M494" s="241" t="s">
        <v>2103</v>
      </c>
      <c r="N494" s="248" t="s">
        <v>2104</v>
      </c>
      <c r="O494" s="249">
        <v>1</v>
      </c>
      <c r="P494" s="272" t="s">
        <v>1442</v>
      </c>
      <c r="Q494" s="349">
        <v>24.99</v>
      </c>
      <c r="R494" s="226">
        <v>0.2</v>
      </c>
      <c r="S494" s="99">
        <v>19.991999999999997</v>
      </c>
      <c r="T494" s="93"/>
      <c r="U494" s="224">
        <v>0.1</v>
      </c>
      <c r="V494" s="288" t="s">
        <v>1099</v>
      </c>
      <c r="W494" s="89" t="s">
        <v>433</v>
      </c>
      <c r="X494" s="114" t="s">
        <v>1047</v>
      </c>
    </row>
    <row r="495" spans="1:24" s="1" customFormat="1">
      <c r="A495" s="263" t="s">
        <v>2105</v>
      </c>
      <c r="B495" s="248" t="s">
        <v>2106</v>
      </c>
      <c r="C495" s="249">
        <v>1</v>
      </c>
      <c r="D495" s="272" t="s">
        <v>1442</v>
      </c>
      <c r="E495" s="349">
        <v>24.99</v>
      </c>
      <c r="F495" s="226">
        <f>rv_20</f>
        <v>0.2</v>
      </c>
      <c r="G495" s="99">
        <f t="shared" si="57"/>
        <v>19.991999999999997</v>
      </c>
      <c r="H495" s="93"/>
      <c r="I495" s="224">
        <v>0.02</v>
      </c>
      <c r="J495" s="288" t="s">
        <v>1099</v>
      </c>
      <c r="K495" s="89" t="s">
        <v>433</v>
      </c>
      <c r="L495" s="114" t="s">
        <v>1047</v>
      </c>
      <c r="M495" s="241" t="s">
        <v>2105</v>
      </c>
      <c r="N495" s="248" t="s">
        <v>2106</v>
      </c>
      <c r="O495" s="249">
        <v>1</v>
      </c>
      <c r="P495" s="272" t="s">
        <v>1442</v>
      </c>
      <c r="Q495" s="349">
        <v>24.99</v>
      </c>
      <c r="R495" s="226">
        <v>0.2</v>
      </c>
      <c r="S495" s="99">
        <v>19.991999999999997</v>
      </c>
      <c r="T495" s="93"/>
      <c r="U495" s="224">
        <v>0.02</v>
      </c>
      <c r="V495" s="288" t="s">
        <v>1099</v>
      </c>
      <c r="W495" s="89" t="s">
        <v>433</v>
      </c>
      <c r="X495" s="114" t="s">
        <v>1047</v>
      </c>
    </row>
    <row r="496" spans="1:24" s="1" customFormat="1">
      <c r="A496" s="263" t="s">
        <v>2107</v>
      </c>
      <c r="B496" s="248" t="s">
        <v>2108</v>
      </c>
      <c r="C496" s="249">
        <v>1</v>
      </c>
      <c r="D496" s="272" t="s">
        <v>1442</v>
      </c>
      <c r="E496" s="349">
        <v>29.99</v>
      </c>
      <c r="F496" s="226">
        <f t="shared" si="18"/>
        <v>0.2</v>
      </c>
      <c r="G496" s="99">
        <f t="shared" si="57"/>
        <v>23.991999999999997</v>
      </c>
      <c r="H496" s="93"/>
      <c r="I496" s="224">
        <v>0.1</v>
      </c>
      <c r="J496" s="288" t="s">
        <v>1099</v>
      </c>
      <c r="K496" s="89" t="s">
        <v>433</v>
      </c>
      <c r="L496" s="114" t="s">
        <v>1047</v>
      </c>
      <c r="M496" s="241" t="s">
        <v>2107</v>
      </c>
      <c r="N496" s="248" t="s">
        <v>2108</v>
      </c>
      <c r="O496" s="249">
        <v>1</v>
      </c>
      <c r="P496" s="272" t="s">
        <v>1442</v>
      </c>
      <c r="Q496" s="349">
        <v>29.99</v>
      </c>
      <c r="R496" s="226">
        <v>0.2</v>
      </c>
      <c r="S496" s="99">
        <v>23.991999999999997</v>
      </c>
      <c r="T496" s="93"/>
      <c r="U496" s="224">
        <v>0.1</v>
      </c>
      <c r="V496" s="288" t="s">
        <v>1099</v>
      </c>
      <c r="W496" s="89" t="s">
        <v>433</v>
      </c>
      <c r="X496" s="114" t="s">
        <v>1047</v>
      </c>
    </row>
    <row r="497" spans="1:24" s="1" customFormat="1" ht="13.5" thickBot="1">
      <c r="A497" s="263" t="s">
        <v>2109</v>
      </c>
      <c r="B497" s="248" t="s">
        <v>2110</v>
      </c>
      <c r="C497" s="249">
        <v>1</v>
      </c>
      <c r="D497" s="272" t="s">
        <v>1442</v>
      </c>
      <c r="E497" s="349">
        <v>39.99</v>
      </c>
      <c r="F497" s="226">
        <f t="shared" si="18"/>
        <v>0.2</v>
      </c>
      <c r="G497" s="99">
        <f t="shared" si="57"/>
        <v>31.992000000000001</v>
      </c>
      <c r="H497" s="93"/>
      <c r="I497" s="224">
        <v>0.1</v>
      </c>
      <c r="J497" s="288" t="s">
        <v>1099</v>
      </c>
      <c r="K497" s="89" t="s">
        <v>433</v>
      </c>
      <c r="L497" s="114" t="s">
        <v>1047</v>
      </c>
      <c r="M497" s="241" t="s">
        <v>2109</v>
      </c>
      <c r="N497" s="248" t="s">
        <v>2110</v>
      </c>
      <c r="O497" s="249">
        <v>1</v>
      </c>
      <c r="P497" s="272" t="s">
        <v>1442</v>
      </c>
      <c r="Q497" s="349">
        <v>39.99</v>
      </c>
      <c r="R497" s="226">
        <v>0.2</v>
      </c>
      <c r="S497" s="99">
        <v>31.992000000000001</v>
      </c>
      <c r="T497" s="93"/>
      <c r="U497" s="224">
        <v>0.1</v>
      </c>
      <c r="V497" s="288" t="s">
        <v>1099</v>
      </c>
      <c r="W497" s="89" t="s">
        <v>433</v>
      </c>
      <c r="X497" s="114" t="s">
        <v>1047</v>
      </c>
    </row>
    <row r="498" spans="1:24" s="1" customFormat="1" ht="21.75" thickBot="1">
      <c r="A498" s="680" t="s">
        <v>2111</v>
      </c>
      <c r="B498" s="458" t="s">
        <v>2112</v>
      </c>
      <c r="C498" s="459"/>
      <c r="D498" s="459"/>
      <c r="E498" s="460"/>
      <c r="F498" s="461"/>
      <c r="G498" s="460"/>
      <c r="H498" s="460"/>
      <c r="I498" s="460"/>
      <c r="J498" s="635"/>
      <c r="K498" s="462"/>
      <c r="L498" s="463"/>
      <c r="M498" s="474" t="s">
        <v>2111</v>
      </c>
      <c r="N498" s="458" t="s">
        <v>2112</v>
      </c>
      <c r="O498" s="459"/>
      <c r="P498" s="459"/>
      <c r="Q498" s="460"/>
      <c r="R498" s="461"/>
      <c r="S498" s="460"/>
      <c r="T498" s="460"/>
      <c r="U498" s="460"/>
      <c r="V498" s="635"/>
      <c r="W498" s="462"/>
      <c r="X498" s="463"/>
    </row>
    <row r="499" spans="1:24" s="1" customFormat="1">
      <c r="A499" s="263" t="s">
        <v>2113</v>
      </c>
      <c r="B499" s="248" t="s">
        <v>2114</v>
      </c>
      <c r="C499" s="249">
        <v>1</v>
      </c>
      <c r="D499" s="272" t="s">
        <v>2115</v>
      </c>
      <c r="E499" s="348">
        <v>173.92</v>
      </c>
      <c r="F499" s="226">
        <f>rv_10</f>
        <v>0.1</v>
      </c>
      <c r="G499" s="67">
        <f t="shared" ref="G499:G530" si="58">E499-(E499*F499)</f>
        <v>156.52799999999999</v>
      </c>
      <c r="H499" s="93"/>
      <c r="I499" s="224">
        <v>0</v>
      </c>
      <c r="J499" s="288" t="s">
        <v>1099</v>
      </c>
      <c r="K499" s="89" t="s">
        <v>433</v>
      </c>
      <c r="L499" s="114" t="s">
        <v>1047</v>
      </c>
      <c r="M499" s="241" t="s">
        <v>2113</v>
      </c>
      <c r="N499" s="248" t="s">
        <v>2114</v>
      </c>
      <c r="O499" s="249">
        <v>1</v>
      </c>
      <c r="P499" s="272" t="s">
        <v>2115</v>
      </c>
      <c r="Q499" s="348">
        <v>173.92</v>
      </c>
      <c r="R499" s="226">
        <v>0.1</v>
      </c>
      <c r="S499" s="67">
        <v>156.52799999999999</v>
      </c>
      <c r="T499" s="93"/>
      <c r="U499" s="224">
        <v>0</v>
      </c>
      <c r="V499" s="288" t="s">
        <v>1099</v>
      </c>
      <c r="W499" s="89" t="s">
        <v>433</v>
      </c>
      <c r="X499" s="114" t="s">
        <v>1047</v>
      </c>
    </row>
    <row r="500" spans="1:24" s="1" customFormat="1">
      <c r="A500" s="263" t="s">
        <v>2116</v>
      </c>
      <c r="B500" s="248" t="s">
        <v>2117</v>
      </c>
      <c r="C500" s="249">
        <v>1</v>
      </c>
      <c r="D500" s="272" t="s">
        <v>2115</v>
      </c>
      <c r="E500" s="348">
        <v>356.11</v>
      </c>
      <c r="F500" s="226">
        <f>rv_10</f>
        <v>0.1</v>
      </c>
      <c r="G500" s="67">
        <f t="shared" si="58"/>
        <v>320.49900000000002</v>
      </c>
      <c r="H500" s="93"/>
      <c r="I500" s="224">
        <v>0</v>
      </c>
      <c r="J500" s="288" t="s">
        <v>1099</v>
      </c>
      <c r="K500" s="89" t="s">
        <v>433</v>
      </c>
      <c r="L500" s="114" t="s">
        <v>1047</v>
      </c>
      <c r="M500" s="241" t="s">
        <v>2116</v>
      </c>
      <c r="N500" s="248" t="s">
        <v>2117</v>
      </c>
      <c r="O500" s="249">
        <v>1</v>
      </c>
      <c r="P500" s="272" t="s">
        <v>2115</v>
      </c>
      <c r="Q500" s="348">
        <v>356.11</v>
      </c>
      <c r="R500" s="226">
        <v>0.1</v>
      </c>
      <c r="S500" s="67">
        <v>320.49900000000002</v>
      </c>
      <c r="T500" s="93"/>
      <c r="U500" s="224">
        <v>0</v>
      </c>
      <c r="V500" s="288" t="s">
        <v>1099</v>
      </c>
      <c r="W500" s="89" t="s">
        <v>433</v>
      </c>
      <c r="X500" s="114" t="s">
        <v>1047</v>
      </c>
    </row>
    <row r="501" spans="1:24" s="1" customFormat="1">
      <c r="A501" s="263" t="s">
        <v>2118</v>
      </c>
      <c r="B501" s="248" t="s">
        <v>2119</v>
      </c>
      <c r="C501" s="249">
        <v>1</v>
      </c>
      <c r="D501" s="272" t="s">
        <v>2115</v>
      </c>
      <c r="E501" s="348">
        <v>368.52</v>
      </c>
      <c r="F501" s="226">
        <f>rv_10</f>
        <v>0.1</v>
      </c>
      <c r="G501" s="67">
        <f t="shared" si="58"/>
        <v>331.66800000000001</v>
      </c>
      <c r="H501" s="93"/>
      <c r="I501" s="224">
        <v>0</v>
      </c>
      <c r="J501" s="288" t="s">
        <v>1099</v>
      </c>
      <c r="K501" s="89" t="s">
        <v>433</v>
      </c>
      <c r="L501" s="114" t="s">
        <v>1047</v>
      </c>
      <c r="M501" s="241" t="s">
        <v>2118</v>
      </c>
      <c r="N501" s="248" t="s">
        <v>2119</v>
      </c>
      <c r="O501" s="249">
        <v>1</v>
      </c>
      <c r="P501" s="272" t="s">
        <v>2115</v>
      </c>
      <c r="Q501" s="348">
        <v>368.52</v>
      </c>
      <c r="R501" s="226">
        <v>0.1</v>
      </c>
      <c r="S501" s="67">
        <v>331.66800000000001</v>
      </c>
      <c r="T501" s="93"/>
      <c r="U501" s="224">
        <v>0</v>
      </c>
      <c r="V501" s="288" t="s">
        <v>1099</v>
      </c>
      <c r="W501" s="89" t="s">
        <v>433</v>
      </c>
      <c r="X501" s="114" t="s">
        <v>1047</v>
      </c>
    </row>
    <row r="502" spans="1:24" s="1" customFormat="1">
      <c r="A502" s="263" t="s">
        <v>2120</v>
      </c>
      <c r="B502" s="248" t="s">
        <v>2121</v>
      </c>
      <c r="C502" s="249">
        <v>1</v>
      </c>
      <c r="D502" s="272" t="s">
        <v>2115</v>
      </c>
      <c r="E502" s="348">
        <v>612.84</v>
      </c>
      <c r="F502" s="226">
        <f>rv_10</f>
        <v>0.1</v>
      </c>
      <c r="G502" s="67">
        <f t="shared" si="58"/>
        <v>551.55600000000004</v>
      </c>
      <c r="H502" s="93"/>
      <c r="I502" s="224">
        <v>0</v>
      </c>
      <c r="J502" s="288" t="s">
        <v>1099</v>
      </c>
      <c r="K502" s="89" t="s">
        <v>433</v>
      </c>
      <c r="L502" s="114" t="s">
        <v>1047</v>
      </c>
      <c r="M502" s="241" t="s">
        <v>2120</v>
      </c>
      <c r="N502" s="248" t="s">
        <v>2121</v>
      </c>
      <c r="O502" s="249">
        <v>1</v>
      </c>
      <c r="P502" s="272" t="s">
        <v>2115</v>
      </c>
      <c r="Q502" s="348">
        <v>612.84</v>
      </c>
      <c r="R502" s="226">
        <v>0.1</v>
      </c>
      <c r="S502" s="67">
        <v>551.55600000000004</v>
      </c>
      <c r="T502" s="93"/>
      <c r="U502" s="224">
        <v>0</v>
      </c>
      <c r="V502" s="288" t="s">
        <v>1099</v>
      </c>
      <c r="W502" s="89" t="s">
        <v>433</v>
      </c>
      <c r="X502" s="114" t="s">
        <v>1047</v>
      </c>
    </row>
    <row r="503" spans="1:24" s="1" customFormat="1">
      <c r="A503" s="263" t="s">
        <v>2122</v>
      </c>
      <c r="B503" s="248" t="s">
        <v>2123</v>
      </c>
      <c r="C503" s="249">
        <v>1</v>
      </c>
      <c r="D503" s="272" t="s">
        <v>1389</v>
      </c>
      <c r="E503" s="348">
        <v>135.59</v>
      </c>
      <c r="F503" s="226">
        <f t="shared" ref="F503:F548" si="59">rv_20</f>
        <v>0.2</v>
      </c>
      <c r="G503" s="67">
        <f t="shared" si="58"/>
        <v>108.47200000000001</v>
      </c>
      <c r="H503" s="93"/>
      <c r="I503" s="224">
        <v>0</v>
      </c>
      <c r="J503" s="288" t="s">
        <v>1099</v>
      </c>
      <c r="K503" s="89" t="s">
        <v>433</v>
      </c>
      <c r="L503" s="114" t="s">
        <v>1047</v>
      </c>
      <c r="M503" s="241" t="s">
        <v>2122</v>
      </c>
      <c r="N503" s="248" t="s">
        <v>2123</v>
      </c>
      <c r="O503" s="249">
        <v>1</v>
      </c>
      <c r="P503" s="272" t="s">
        <v>1389</v>
      </c>
      <c r="Q503" s="348">
        <v>135.59</v>
      </c>
      <c r="R503" s="226">
        <v>0.2</v>
      </c>
      <c r="S503" s="67">
        <v>108.47200000000001</v>
      </c>
      <c r="T503" s="93"/>
      <c r="U503" s="224">
        <v>0</v>
      </c>
      <c r="V503" s="288" t="s">
        <v>1099</v>
      </c>
      <c r="W503" s="89" t="s">
        <v>433</v>
      </c>
      <c r="X503" s="114" t="s">
        <v>1047</v>
      </c>
    </row>
    <row r="504" spans="1:24" s="1" customFormat="1">
      <c r="A504" s="263" t="s">
        <v>2124</v>
      </c>
      <c r="B504" s="248" t="s">
        <v>2125</v>
      </c>
      <c r="C504" s="249">
        <v>1</v>
      </c>
      <c r="D504" s="272" t="s">
        <v>1389</v>
      </c>
      <c r="E504" s="348">
        <v>110.71</v>
      </c>
      <c r="F504" s="226">
        <f t="shared" si="59"/>
        <v>0.2</v>
      </c>
      <c r="G504" s="67">
        <f t="shared" si="58"/>
        <v>88.567999999999998</v>
      </c>
      <c r="H504" s="93"/>
      <c r="I504" s="224">
        <v>0</v>
      </c>
      <c r="J504" s="288" t="s">
        <v>1099</v>
      </c>
      <c r="K504" s="89" t="s">
        <v>433</v>
      </c>
      <c r="L504" s="114" t="s">
        <v>1047</v>
      </c>
      <c r="M504" s="241" t="s">
        <v>2124</v>
      </c>
      <c r="N504" s="248" t="s">
        <v>2125</v>
      </c>
      <c r="O504" s="249">
        <v>1</v>
      </c>
      <c r="P504" s="272" t="s">
        <v>1389</v>
      </c>
      <c r="Q504" s="348">
        <v>110.71</v>
      </c>
      <c r="R504" s="226">
        <v>0.2</v>
      </c>
      <c r="S504" s="67">
        <v>88.567999999999998</v>
      </c>
      <c r="T504" s="93"/>
      <c r="U504" s="224">
        <v>0</v>
      </c>
      <c r="V504" s="288" t="s">
        <v>1099</v>
      </c>
      <c r="W504" s="89" t="s">
        <v>433</v>
      </c>
      <c r="X504" s="114" t="s">
        <v>1047</v>
      </c>
    </row>
    <row r="505" spans="1:24" s="1" customFormat="1">
      <c r="A505" s="263" t="s">
        <v>2126</v>
      </c>
      <c r="B505" s="248" t="s">
        <v>2127</v>
      </c>
      <c r="C505" s="249">
        <v>1</v>
      </c>
      <c r="D505" s="581" t="s">
        <v>2128</v>
      </c>
      <c r="E505" s="348">
        <v>59.17</v>
      </c>
      <c r="F505" s="226">
        <f t="shared" si="59"/>
        <v>0.2</v>
      </c>
      <c r="G505" s="67">
        <f t="shared" si="58"/>
        <v>47.335999999999999</v>
      </c>
      <c r="H505" s="93"/>
      <c r="I505" s="224"/>
      <c r="J505" s="288" t="s">
        <v>1099</v>
      </c>
      <c r="K505" s="89" t="s">
        <v>433</v>
      </c>
      <c r="L505" s="114" t="s">
        <v>1047</v>
      </c>
      <c r="M505" s="241" t="s">
        <v>2126</v>
      </c>
      <c r="N505" s="248" t="s">
        <v>2127</v>
      </c>
      <c r="O505" s="249">
        <v>1</v>
      </c>
      <c r="P505" s="581" t="s">
        <v>2128</v>
      </c>
      <c r="Q505" s="348">
        <v>59.17</v>
      </c>
      <c r="R505" s="226">
        <v>0.2</v>
      </c>
      <c r="S505" s="67">
        <v>47.335999999999999</v>
      </c>
      <c r="T505" s="93"/>
      <c r="U505" s="224"/>
      <c r="V505" s="288" t="s">
        <v>1099</v>
      </c>
      <c r="W505" s="89" t="s">
        <v>433</v>
      </c>
      <c r="X505" s="114" t="s">
        <v>1047</v>
      </c>
    </row>
    <row r="506" spans="1:24" s="1" customFormat="1">
      <c r="A506" s="263" t="s">
        <v>2129</v>
      </c>
      <c r="B506" s="248" t="s">
        <v>2130</v>
      </c>
      <c r="C506" s="249">
        <v>1</v>
      </c>
      <c r="D506" s="581" t="s">
        <v>2128</v>
      </c>
      <c r="E506" s="348">
        <v>79.17</v>
      </c>
      <c r="F506" s="226">
        <f t="shared" si="59"/>
        <v>0.2</v>
      </c>
      <c r="G506" s="67">
        <f t="shared" si="58"/>
        <v>63.335999999999999</v>
      </c>
      <c r="H506" s="93"/>
      <c r="I506" s="224"/>
      <c r="J506" s="288" t="s">
        <v>1099</v>
      </c>
      <c r="K506" s="89" t="s">
        <v>433</v>
      </c>
      <c r="L506" s="114" t="s">
        <v>1047</v>
      </c>
      <c r="M506" s="241" t="s">
        <v>2129</v>
      </c>
      <c r="N506" s="248" t="s">
        <v>2130</v>
      </c>
      <c r="O506" s="249">
        <v>1</v>
      </c>
      <c r="P506" s="581" t="s">
        <v>2128</v>
      </c>
      <c r="Q506" s="348">
        <v>79.17</v>
      </c>
      <c r="R506" s="226">
        <v>0.2</v>
      </c>
      <c r="S506" s="67">
        <v>63.335999999999999</v>
      </c>
      <c r="T506" s="93"/>
      <c r="U506" s="224"/>
      <c r="V506" s="288" t="s">
        <v>1099</v>
      </c>
      <c r="W506" s="89" t="s">
        <v>433</v>
      </c>
      <c r="X506" s="114" t="s">
        <v>1047</v>
      </c>
    </row>
    <row r="507" spans="1:24" s="1" customFormat="1">
      <c r="A507" s="263" t="s">
        <v>2131</v>
      </c>
      <c r="B507" s="248" t="s">
        <v>2132</v>
      </c>
      <c r="C507" s="249">
        <v>1</v>
      </c>
      <c r="D507" s="581" t="s">
        <v>2128</v>
      </c>
      <c r="E507" s="348">
        <v>79.17</v>
      </c>
      <c r="F507" s="226">
        <f t="shared" si="59"/>
        <v>0.2</v>
      </c>
      <c r="G507" s="67">
        <f t="shared" si="58"/>
        <v>63.335999999999999</v>
      </c>
      <c r="H507" s="93"/>
      <c r="I507" s="224"/>
      <c r="J507" s="288" t="s">
        <v>1099</v>
      </c>
      <c r="K507" s="89" t="s">
        <v>433</v>
      </c>
      <c r="L507" s="114" t="s">
        <v>1047</v>
      </c>
      <c r="M507" s="241" t="s">
        <v>2131</v>
      </c>
      <c r="N507" s="248" t="s">
        <v>2132</v>
      </c>
      <c r="O507" s="249">
        <v>1</v>
      </c>
      <c r="P507" s="581" t="s">
        <v>2128</v>
      </c>
      <c r="Q507" s="348">
        <v>79.17</v>
      </c>
      <c r="R507" s="226">
        <v>0.2</v>
      </c>
      <c r="S507" s="67">
        <v>63.335999999999999</v>
      </c>
      <c r="T507" s="93"/>
      <c r="U507" s="224"/>
      <c r="V507" s="288" t="s">
        <v>1099</v>
      </c>
      <c r="W507" s="89" t="s">
        <v>433</v>
      </c>
      <c r="X507" s="114" t="s">
        <v>1047</v>
      </c>
    </row>
    <row r="508" spans="1:24" s="1" customFormat="1">
      <c r="A508" s="263" t="s">
        <v>2133</v>
      </c>
      <c r="B508" s="248" t="s">
        <v>2134</v>
      </c>
      <c r="C508" s="249">
        <v>1</v>
      </c>
      <c r="D508" s="581" t="s">
        <v>2128</v>
      </c>
      <c r="E508" s="348">
        <v>59.17</v>
      </c>
      <c r="F508" s="226">
        <f t="shared" si="59"/>
        <v>0.2</v>
      </c>
      <c r="G508" s="67">
        <f t="shared" si="58"/>
        <v>47.335999999999999</v>
      </c>
      <c r="H508" s="93"/>
      <c r="I508" s="224"/>
      <c r="J508" s="288" t="s">
        <v>1099</v>
      </c>
      <c r="K508" s="89" t="s">
        <v>433</v>
      </c>
      <c r="L508" s="114" t="s">
        <v>1047</v>
      </c>
      <c r="M508" s="241" t="s">
        <v>2133</v>
      </c>
      <c r="N508" s="248" t="s">
        <v>2134</v>
      </c>
      <c r="O508" s="249">
        <v>1</v>
      </c>
      <c r="P508" s="581" t="s">
        <v>2128</v>
      </c>
      <c r="Q508" s="348">
        <v>59.17</v>
      </c>
      <c r="R508" s="226">
        <v>0.2</v>
      </c>
      <c r="S508" s="67">
        <v>47.335999999999999</v>
      </c>
      <c r="T508" s="93"/>
      <c r="U508" s="224"/>
      <c r="V508" s="288" t="s">
        <v>1099</v>
      </c>
      <c r="W508" s="89" t="s">
        <v>433</v>
      </c>
      <c r="X508" s="114" t="s">
        <v>1047</v>
      </c>
    </row>
    <row r="509" spans="1:24" s="1" customFormat="1">
      <c r="A509" s="263" t="s">
        <v>2135</v>
      </c>
      <c r="B509" s="248" t="s">
        <v>2136</v>
      </c>
      <c r="C509" s="249">
        <v>1</v>
      </c>
      <c r="D509" s="581" t="s">
        <v>2128</v>
      </c>
      <c r="E509" s="348">
        <v>79.17</v>
      </c>
      <c r="F509" s="226">
        <f t="shared" si="59"/>
        <v>0.2</v>
      </c>
      <c r="G509" s="67">
        <f t="shared" si="58"/>
        <v>63.335999999999999</v>
      </c>
      <c r="H509" s="93"/>
      <c r="I509" s="224"/>
      <c r="J509" s="288" t="s">
        <v>1099</v>
      </c>
      <c r="K509" s="89" t="s">
        <v>433</v>
      </c>
      <c r="L509" s="114" t="s">
        <v>1047</v>
      </c>
      <c r="M509" s="241" t="s">
        <v>2135</v>
      </c>
      <c r="N509" s="248" t="s">
        <v>2136</v>
      </c>
      <c r="O509" s="249">
        <v>1</v>
      </c>
      <c r="P509" s="581" t="s">
        <v>2128</v>
      </c>
      <c r="Q509" s="348">
        <v>79.17</v>
      </c>
      <c r="R509" s="226">
        <v>0.2</v>
      </c>
      <c r="S509" s="67">
        <v>63.335999999999999</v>
      </c>
      <c r="T509" s="93"/>
      <c r="U509" s="224"/>
      <c r="V509" s="288" t="s">
        <v>1099</v>
      </c>
      <c r="W509" s="89" t="s">
        <v>433</v>
      </c>
      <c r="X509" s="114" t="s">
        <v>1047</v>
      </c>
    </row>
    <row r="510" spans="1:24" s="1" customFormat="1">
      <c r="A510" s="263" t="s">
        <v>2137</v>
      </c>
      <c r="B510" s="248" t="s">
        <v>2138</v>
      </c>
      <c r="C510" s="249">
        <v>1</v>
      </c>
      <c r="D510" s="581" t="s">
        <v>2128</v>
      </c>
      <c r="E510" s="348">
        <v>79.17</v>
      </c>
      <c r="F510" s="226">
        <f t="shared" si="59"/>
        <v>0.2</v>
      </c>
      <c r="G510" s="67">
        <f t="shared" si="58"/>
        <v>63.335999999999999</v>
      </c>
      <c r="H510" s="93"/>
      <c r="I510" s="224"/>
      <c r="J510" s="288" t="s">
        <v>1099</v>
      </c>
      <c r="K510" s="89" t="s">
        <v>433</v>
      </c>
      <c r="L510" s="114" t="s">
        <v>1047</v>
      </c>
      <c r="M510" s="241" t="s">
        <v>2137</v>
      </c>
      <c r="N510" s="248" t="s">
        <v>2138</v>
      </c>
      <c r="O510" s="249">
        <v>1</v>
      </c>
      <c r="P510" s="581" t="s">
        <v>2128</v>
      </c>
      <c r="Q510" s="348">
        <v>79.17</v>
      </c>
      <c r="R510" s="226">
        <v>0.2</v>
      </c>
      <c r="S510" s="67">
        <v>63.335999999999999</v>
      </c>
      <c r="T510" s="93"/>
      <c r="U510" s="224"/>
      <c r="V510" s="288" t="s">
        <v>1099</v>
      </c>
      <c r="W510" s="89" t="s">
        <v>433</v>
      </c>
      <c r="X510" s="114" t="s">
        <v>1047</v>
      </c>
    </row>
    <row r="511" spans="1:24" s="1" customFormat="1">
      <c r="A511" s="263" t="s">
        <v>2139</v>
      </c>
      <c r="B511" s="248" t="s">
        <v>2140</v>
      </c>
      <c r="C511" s="249">
        <v>1</v>
      </c>
      <c r="D511" s="581" t="s">
        <v>2128</v>
      </c>
      <c r="E511" s="348">
        <v>59.17</v>
      </c>
      <c r="F511" s="226">
        <f t="shared" si="59"/>
        <v>0.2</v>
      </c>
      <c r="G511" s="67">
        <f t="shared" si="58"/>
        <v>47.335999999999999</v>
      </c>
      <c r="H511" s="93"/>
      <c r="I511" s="224"/>
      <c r="J511" s="288" t="s">
        <v>1099</v>
      </c>
      <c r="K511" s="89" t="s">
        <v>433</v>
      </c>
      <c r="L511" s="114" t="s">
        <v>1047</v>
      </c>
      <c r="M511" s="241" t="s">
        <v>2139</v>
      </c>
      <c r="N511" s="248" t="s">
        <v>2140</v>
      </c>
      <c r="O511" s="249">
        <v>1</v>
      </c>
      <c r="P511" s="581" t="s">
        <v>2128</v>
      </c>
      <c r="Q511" s="348">
        <v>59.17</v>
      </c>
      <c r="R511" s="226">
        <v>0.2</v>
      </c>
      <c r="S511" s="67">
        <v>47.335999999999999</v>
      </c>
      <c r="T511" s="93"/>
      <c r="U511" s="224"/>
      <c r="V511" s="288" t="s">
        <v>1099</v>
      </c>
      <c r="W511" s="89" t="s">
        <v>433</v>
      </c>
      <c r="X511" s="114" t="s">
        <v>1047</v>
      </c>
    </row>
    <row r="512" spans="1:24" s="1" customFormat="1">
      <c r="A512" s="263" t="s">
        <v>2141</v>
      </c>
      <c r="B512" s="267" t="s">
        <v>2142</v>
      </c>
      <c r="C512" s="249">
        <v>1</v>
      </c>
      <c r="D512" s="581" t="s">
        <v>2128</v>
      </c>
      <c r="E512" s="348">
        <v>79.17</v>
      </c>
      <c r="F512" s="226">
        <f t="shared" si="59"/>
        <v>0.2</v>
      </c>
      <c r="G512" s="67">
        <f t="shared" si="58"/>
        <v>63.335999999999999</v>
      </c>
      <c r="H512" s="93"/>
      <c r="I512" s="224"/>
      <c r="J512" s="288" t="s">
        <v>1099</v>
      </c>
      <c r="K512" s="89" t="s">
        <v>433</v>
      </c>
      <c r="L512" s="114" t="s">
        <v>1047</v>
      </c>
      <c r="M512" s="241" t="s">
        <v>2141</v>
      </c>
      <c r="N512" s="267" t="s">
        <v>2142</v>
      </c>
      <c r="O512" s="249">
        <v>1</v>
      </c>
      <c r="P512" s="581" t="s">
        <v>2128</v>
      </c>
      <c r="Q512" s="348">
        <v>79.17</v>
      </c>
      <c r="R512" s="226">
        <v>0.2</v>
      </c>
      <c r="S512" s="67">
        <v>63.335999999999999</v>
      </c>
      <c r="T512" s="93"/>
      <c r="U512" s="224"/>
      <c r="V512" s="288" t="s">
        <v>1099</v>
      </c>
      <c r="W512" s="89" t="s">
        <v>433</v>
      </c>
      <c r="X512" s="114" t="s">
        <v>1047</v>
      </c>
    </row>
    <row r="513" spans="1:24" s="1" customFormat="1">
      <c r="A513" s="263" t="s">
        <v>2143</v>
      </c>
      <c r="B513" s="267" t="s">
        <v>2144</v>
      </c>
      <c r="C513" s="249">
        <v>1</v>
      </c>
      <c r="D513" s="581" t="s">
        <v>2128</v>
      </c>
      <c r="E513" s="348">
        <v>79.17</v>
      </c>
      <c r="F513" s="226">
        <f t="shared" si="59"/>
        <v>0.2</v>
      </c>
      <c r="G513" s="67">
        <f t="shared" si="58"/>
        <v>63.335999999999999</v>
      </c>
      <c r="H513" s="93"/>
      <c r="I513" s="224"/>
      <c r="J513" s="288" t="s">
        <v>1099</v>
      </c>
      <c r="K513" s="89" t="s">
        <v>433</v>
      </c>
      <c r="L513" s="114" t="s">
        <v>1047</v>
      </c>
      <c r="M513" s="241" t="s">
        <v>2143</v>
      </c>
      <c r="N513" s="267" t="s">
        <v>2144</v>
      </c>
      <c r="O513" s="249">
        <v>1</v>
      </c>
      <c r="P513" s="581" t="s">
        <v>2128</v>
      </c>
      <c r="Q513" s="348">
        <v>79.17</v>
      </c>
      <c r="R513" s="226">
        <v>0.2</v>
      </c>
      <c r="S513" s="67">
        <v>63.335999999999999</v>
      </c>
      <c r="T513" s="93"/>
      <c r="U513" s="224"/>
      <c r="V513" s="288" t="s">
        <v>1099</v>
      </c>
      <c r="W513" s="89" t="s">
        <v>433</v>
      </c>
      <c r="X513" s="114" t="s">
        <v>1047</v>
      </c>
    </row>
    <row r="514" spans="1:24" s="1" customFormat="1">
      <c r="A514" s="263" t="s">
        <v>2145</v>
      </c>
      <c r="B514" s="248" t="s">
        <v>2146</v>
      </c>
      <c r="C514" s="249">
        <v>1</v>
      </c>
      <c r="D514" s="581" t="s">
        <v>2128</v>
      </c>
      <c r="E514" s="348">
        <v>79.17</v>
      </c>
      <c r="F514" s="226">
        <f t="shared" si="59"/>
        <v>0.2</v>
      </c>
      <c r="G514" s="67">
        <f t="shared" si="58"/>
        <v>63.335999999999999</v>
      </c>
      <c r="H514" s="93"/>
      <c r="I514" s="224"/>
      <c r="J514" s="288" t="s">
        <v>1099</v>
      </c>
      <c r="K514" s="89" t="s">
        <v>433</v>
      </c>
      <c r="L514" s="114" t="s">
        <v>1047</v>
      </c>
      <c r="M514" s="241" t="s">
        <v>2145</v>
      </c>
      <c r="N514" s="248" t="s">
        <v>2146</v>
      </c>
      <c r="O514" s="249">
        <v>1</v>
      </c>
      <c r="P514" s="581" t="s">
        <v>2128</v>
      </c>
      <c r="Q514" s="348">
        <v>79.17</v>
      </c>
      <c r="R514" s="226">
        <v>0.2</v>
      </c>
      <c r="S514" s="67">
        <v>63.335999999999999</v>
      </c>
      <c r="T514" s="93"/>
      <c r="U514" s="224"/>
      <c r="V514" s="288" t="s">
        <v>1099</v>
      </c>
      <c r="W514" s="89" t="s">
        <v>433</v>
      </c>
      <c r="X514" s="114" t="s">
        <v>1047</v>
      </c>
    </row>
    <row r="515" spans="1:24" s="1" customFormat="1">
      <c r="A515" s="263" t="s">
        <v>2147</v>
      </c>
      <c r="B515" s="248" t="s">
        <v>2148</v>
      </c>
      <c r="C515" s="249">
        <v>1</v>
      </c>
      <c r="D515" s="581" t="s">
        <v>2128</v>
      </c>
      <c r="E515" s="348">
        <v>79.17</v>
      </c>
      <c r="F515" s="226">
        <f t="shared" si="59"/>
        <v>0.2</v>
      </c>
      <c r="G515" s="67">
        <f t="shared" si="58"/>
        <v>63.335999999999999</v>
      </c>
      <c r="H515" s="93"/>
      <c r="I515" s="224"/>
      <c r="J515" s="288" t="s">
        <v>1099</v>
      </c>
      <c r="K515" s="89" t="s">
        <v>433</v>
      </c>
      <c r="L515" s="114" t="s">
        <v>1047</v>
      </c>
      <c r="M515" s="241" t="s">
        <v>2147</v>
      </c>
      <c r="N515" s="248" t="s">
        <v>2148</v>
      </c>
      <c r="O515" s="249">
        <v>1</v>
      </c>
      <c r="P515" s="581" t="s">
        <v>2128</v>
      </c>
      <c r="Q515" s="348">
        <v>79.17</v>
      </c>
      <c r="R515" s="226">
        <v>0.2</v>
      </c>
      <c r="S515" s="67">
        <v>63.335999999999999</v>
      </c>
      <c r="T515" s="93"/>
      <c r="U515" s="224"/>
      <c r="V515" s="288" t="s">
        <v>1099</v>
      </c>
      <c r="W515" s="89" t="s">
        <v>433</v>
      </c>
      <c r="X515" s="114" t="s">
        <v>1047</v>
      </c>
    </row>
    <row r="516" spans="1:24" s="1" customFormat="1">
      <c r="A516" s="263" t="s">
        <v>2149</v>
      </c>
      <c r="B516" s="248" t="s">
        <v>2150</v>
      </c>
      <c r="C516" s="249">
        <v>1</v>
      </c>
      <c r="D516" s="581" t="s">
        <v>2128</v>
      </c>
      <c r="E516" s="348">
        <v>62.71</v>
      </c>
      <c r="F516" s="226">
        <f t="shared" si="59"/>
        <v>0.2</v>
      </c>
      <c r="G516" s="67">
        <f t="shared" si="58"/>
        <v>50.167999999999999</v>
      </c>
      <c r="H516" s="93"/>
      <c r="I516" s="224"/>
      <c r="J516" s="288" t="s">
        <v>1099</v>
      </c>
      <c r="K516" s="89" t="s">
        <v>433</v>
      </c>
      <c r="L516" s="114" t="s">
        <v>1047</v>
      </c>
      <c r="M516" s="241" t="s">
        <v>2149</v>
      </c>
      <c r="N516" s="248" t="s">
        <v>2150</v>
      </c>
      <c r="O516" s="249">
        <v>1</v>
      </c>
      <c r="P516" s="581" t="s">
        <v>2128</v>
      </c>
      <c r="Q516" s="348">
        <v>62.71</v>
      </c>
      <c r="R516" s="226">
        <v>0.2</v>
      </c>
      <c r="S516" s="67">
        <v>50.167999999999999</v>
      </c>
      <c r="T516" s="93"/>
      <c r="U516" s="224"/>
      <c r="V516" s="288" t="s">
        <v>1099</v>
      </c>
      <c r="W516" s="89" t="s">
        <v>433</v>
      </c>
      <c r="X516" s="114" t="s">
        <v>1047</v>
      </c>
    </row>
    <row r="517" spans="1:24" s="1" customFormat="1">
      <c r="A517" s="263" t="s">
        <v>2151</v>
      </c>
      <c r="B517" s="248" t="s">
        <v>2152</v>
      </c>
      <c r="C517" s="249">
        <v>1</v>
      </c>
      <c r="D517" s="581" t="s">
        <v>2128</v>
      </c>
      <c r="E517" s="348">
        <v>62.71</v>
      </c>
      <c r="F517" s="226">
        <f t="shared" si="59"/>
        <v>0.2</v>
      </c>
      <c r="G517" s="67">
        <f t="shared" si="58"/>
        <v>50.167999999999999</v>
      </c>
      <c r="H517" s="93"/>
      <c r="I517" s="224"/>
      <c r="J517" s="288" t="s">
        <v>1099</v>
      </c>
      <c r="K517" s="89" t="s">
        <v>433</v>
      </c>
      <c r="L517" s="114" t="s">
        <v>1047</v>
      </c>
      <c r="M517" s="241" t="s">
        <v>2151</v>
      </c>
      <c r="N517" s="248" t="s">
        <v>2152</v>
      </c>
      <c r="O517" s="249">
        <v>1</v>
      </c>
      <c r="P517" s="581" t="s">
        <v>2128</v>
      </c>
      <c r="Q517" s="348">
        <v>62.71</v>
      </c>
      <c r="R517" s="226">
        <v>0.2</v>
      </c>
      <c r="S517" s="67">
        <v>50.167999999999999</v>
      </c>
      <c r="T517" s="93"/>
      <c r="U517" s="224"/>
      <c r="V517" s="288" t="s">
        <v>1099</v>
      </c>
      <c r="W517" s="89" t="s">
        <v>433</v>
      </c>
      <c r="X517" s="114" t="s">
        <v>1047</v>
      </c>
    </row>
    <row r="518" spans="1:24" s="1" customFormat="1">
      <c r="A518" s="263" t="s">
        <v>2153</v>
      </c>
      <c r="B518" s="248" t="s">
        <v>2154</v>
      </c>
      <c r="C518" s="249">
        <v>1</v>
      </c>
      <c r="D518" s="581" t="s">
        <v>2128</v>
      </c>
      <c r="E518" s="348">
        <v>62.71</v>
      </c>
      <c r="F518" s="226">
        <f t="shared" si="59"/>
        <v>0.2</v>
      </c>
      <c r="G518" s="67">
        <f t="shared" si="58"/>
        <v>50.167999999999999</v>
      </c>
      <c r="H518" s="93"/>
      <c r="I518" s="224"/>
      <c r="J518" s="288" t="s">
        <v>1099</v>
      </c>
      <c r="K518" s="89" t="s">
        <v>433</v>
      </c>
      <c r="L518" s="114" t="s">
        <v>1047</v>
      </c>
      <c r="M518" s="241" t="s">
        <v>2153</v>
      </c>
      <c r="N518" s="248" t="s">
        <v>2154</v>
      </c>
      <c r="O518" s="249">
        <v>1</v>
      </c>
      <c r="P518" s="581" t="s">
        <v>2128</v>
      </c>
      <c r="Q518" s="348">
        <v>62.71</v>
      </c>
      <c r="R518" s="226">
        <v>0.2</v>
      </c>
      <c r="S518" s="67">
        <v>50.167999999999999</v>
      </c>
      <c r="T518" s="93"/>
      <c r="U518" s="224"/>
      <c r="V518" s="288" t="s">
        <v>1099</v>
      </c>
      <c r="W518" s="89" t="s">
        <v>433</v>
      </c>
      <c r="X518" s="114" t="s">
        <v>1047</v>
      </c>
    </row>
    <row r="519" spans="1:24" s="1" customFormat="1">
      <c r="A519" s="263" t="s">
        <v>2155</v>
      </c>
      <c r="B519" s="248" t="s">
        <v>2156</v>
      </c>
      <c r="C519" s="249">
        <v>1</v>
      </c>
      <c r="D519" s="581" t="s">
        <v>2128</v>
      </c>
      <c r="E519" s="348">
        <v>97.34</v>
      </c>
      <c r="F519" s="226">
        <f t="shared" si="59"/>
        <v>0.2</v>
      </c>
      <c r="G519" s="67">
        <f t="shared" si="58"/>
        <v>77.872</v>
      </c>
      <c r="H519" s="93"/>
      <c r="I519" s="224"/>
      <c r="J519" s="288" t="s">
        <v>1099</v>
      </c>
      <c r="K519" s="89" t="s">
        <v>433</v>
      </c>
      <c r="L519" s="114" t="s">
        <v>1047</v>
      </c>
      <c r="M519" s="241" t="s">
        <v>2155</v>
      </c>
      <c r="N519" s="248" t="s">
        <v>2156</v>
      </c>
      <c r="O519" s="249">
        <v>1</v>
      </c>
      <c r="P519" s="581" t="s">
        <v>2128</v>
      </c>
      <c r="Q519" s="348">
        <v>97.34</v>
      </c>
      <c r="R519" s="226">
        <v>0.2</v>
      </c>
      <c r="S519" s="67">
        <v>77.872</v>
      </c>
      <c r="T519" s="93"/>
      <c r="U519" s="224"/>
      <c r="V519" s="288" t="s">
        <v>1099</v>
      </c>
      <c r="W519" s="89" t="s">
        <v>433</v>
      </c>
      <c r="X519" s="114" t="s">
        <v>1047</v>
      </c>
    </row>
    <row r="520" spans="1:24" s="1" customFormat="1">
      <c r="A520" s="263" t="s">
        <v>2157</v>
      </c>
      <c r="B520" s="248" t="s">
        <v>2158</v>
      </c>
      <c r="C520" s="249">
        <v>1</v>
      </c>
      <c r="D520" s="581" t="s">
        <v>2128</v>
      </c>
      <c r="E520" s="348">
        <v>97.34</v>
      </c>
      <c r="F520" s="226">
        <f t="shared" si="59"/>
        <v>0.2</v>
      </c>
      <c r="G520" s="67">
        <f t="shared" si="58"/>
        <v>77.872</v>
      </c>
      <c r="H520" s="93"/>
      <c r="I520" s="224"/>
      <c r="J520" s="288" t="s">
        <v>1099</v>
      </c>
      <c r="K520" s="89" t="s">
        <v>433</v>
      </c>
      <c r="L520" s="114" t="s">
        <v>1047</v>
      </c>
      <c r="M520" s="241" t="s">
        <v>2157</v>
      </c>
      <c r="N520" s="248" t="s">
        <v>2158</v>
      </c>
      <c r="O520" s="249">
        <v>1</v>
      </c>
      <c r="P520" s="581" t="s">
        <v>2128</v>
      </c>
      <c r="Q520" s="348">
        <v>97.34</v>
      </c>
      <c r="R520" s="226">
        <v>0.2</v>
      </c>
      <c r="S520" s="67">
        <v>77.872</v>
      </c>
      <c r="T520" s="93"/>
      <c r="U520" s="224"/>
      <c r="V520" s="288" t="s">
        <v>1099</v>
      </c>
      <c r="W520" s="89" t="s">
        <v>433</v>
      </c>
      <c r="X520" s="114" t="s">
        <v>1047</v>
      </c>
    </row>
    <row r="521" spans="1:24" s="1" customFormat="1">
      <c r="A521" s="263" t="s">
        <v>2159</v>
      </c>
      <c r="B521" s="267" t="s">
        <v>2160</v>
      </c>
      <c r="C521" s="249">
        <v>1</v>
      </c>
      <c r="D521" s="581" t="s">
        <v>2128</v>
      </c>
      <c r="E521" s="348">
        <v>59.17</v>
      </c>
      <c r="F521" s="226">
        <f t="shared" si="59"/>
        <v>0.2</v>
      </c>
      <c r="G521" s="67">
        <f t="shared" si="58"/>
        <v>47.335999999999999</v>
      </c>
      <c r="H521" s="93"/>
      <c r="I521" s="224"/>
      <c r="J521" s="288" t="s">
        <v>1099</v>
      </c>
      <c r="K521" s="89" t="s">
        <v>433</v>
      </c>
      <c r="L521" s="114" t="s">
        <v>1047</v>
      </c>
      <c r="M521" s="241" t="s">
        <v>2159</v>
      </c>
      <c r="N521" s="267" t="s">
        <v>2160</v>
      </c>
      <c r="O521" s="249">
        <v>1</v>
      </c>
      <c r="P521" s="581" t="s">
        <v>2128</v>
      </c>
      <c r="Q521" s="348">
        <v>59.17</v>
      </c>
      <c r="R521" s="226">
        <v>0.2</v>
      </c>
      <c r="S521" s="67">
        <v>47.335999999999999</v>
      </c>
      <c r="T521" s="93"/>
      <c r="U521" s="224"/>
      <c r="V521" s="288" t="s">
        <v>1099</v>
      </c>
      <c r="W521" s="89" t="s">
        <v>433</v>
      </c>
      <c r="X521" s="114" t="s">
        <v>1047</v>
      </c>
    </row>
    <row r="522" spans="1:24" s="1" customFormat="1">
      <c r="A522" s="263" t="s">
        <v>2161</v>
      </c>
      <c r="B522" s="267" t="s">
        <v>2162</v>
      </c>
      <c r="C522" s="249">
        <v>1</v>
      </c>
      <c r="D522" s="581" t="s">
        <v>2128</v>
      </c>
      <c r="E522" s="348">
        <v>79.17</v>
      </c>
      <c r="F522" s="226">
        <f t="shared" si="59"/>
        <v>0.2</v>
      </c>
      <c r="G522" s="67">
        <f t="shared" si="58"/>
        <v>63.335999999999999</v>
      </c>
      <c r="H522" s="93"/>
      <c r="I522" s="224"/>
      <c r="J522" s="288" t="s">
        <v>1099</v>
      </c>
      <c r="K522" s="89" t="s">
        <v>433</v>
      </c>
      <c r="L522" s="114" t="s">
        <v>1047</v>
      </c>
      <c r="M522" s="241" t="s">
        <v>2161</v>
      </c>
      <c r="N522" s="267" t="s">
        <v>2162</v>
      </c>
      <c r="O522" s="249">
        <v>1</v>
      </c>
      <c r="P522" s="581" t="s">
        <v>2128</v>
      </c>
      <c r="Q522" s="348">
        <v>79.17</v>
      </c>
      <c r="R522" s="226">
        <v>0.2</v>
      </c>
      <c r="S522" s="67">
        <v>63.335999999999999</v>
      </c>
      <c r="T522" s="93"/>
      <c r="U522" s="224"/>
      <c r="V522" s="288" t="s">
        <v>1099</v>
      </c>
      <c r="W522" s="89" t="s">
        <v>433</v>
      </c>
      <c r="X522" s="114" t="s">
        <v>1047</v>
      </c>
    </row>
    <row r="523" spans="1:24" s="1" customFormat="1">
      <c r="A523" s="263" t="s">
        <v>2163</v>
      </c>
      <c r="B523" s="267" t="s">
        <v>2164</v>
      </c>
      <c r="C523" s="249">
        <v>1</v>
      </c>
      <c r="D523" s="581" t="s">
        <v>2128</v>
      </c>
      <c r="E523" s="348">
        <v>79.17</v>
      </c>
      <c r="F523" s="226">
        <f t="shared" si="59"/>
        <v>0.2</v>
      </c>
      <c r="G523" s="67">
        <f t="shared" si="58"/>
        <v>63.335999999999999</v>
      </c>
      <c r="H523" s="93"/>
      <c r="I523" s="224"/>
      <c r="J523" s="288" t="s">
        <v>1099</v>
      </c>
      <c r="K523" s="89" t="s">
        <v>433</v>
      </c>
      <c r="L523" s="114" t="s">
        <v>1047</v>
      </c>
      <c r="M523" s="241" t="s">
        <v>2163</v>
      </c>
      <c r="N523" s="267" t="s">
        <v>2164</v>
      </c>
      <c r="O523" s="249">
        <v>1</v>
      </c>
      <c r="P523" s="581" t="s">
        <v>2128</v>
      </c>
      <c r="Q523" s="348">
        <v>79.17</v>
      </c>
      <c r="R523" s="226">
        <v>0.2</v>
      </c>
      <c r="S523" s="67">
        <v>63.335999999999999</v>
      </c>
      <c r="T523" s="93"/>
      <c r="U523" s="224"/>
      <c r="V523" s="288" t="s">
        <v>1099</v>
      </c>
      <c r="W523" s="89" t="s">
        <v>433</v>
      </c>
      <c r="X523" s="114" t="s">
        <v>1047</v>
      </c>
    </row>
    <row r="524" spans="1:24" s="1" customFormat="1">
      <c r="A524" s="682" t="s">
        <v>2165</v>
      </c>
      <c r="B524" s="248" t="s">
        <v>2166</v>
      </c>
      <c r="C524" s="249">
        <v>1</v>
      </c>
      <c r="D524" s="581" t="s">
        <v>2128</v>
      </c>
      <c r="E524" s="348">
        <v>59.17</v>
      </c>
      <c r="F524" s="226">
        <f t="shared" si="59"/>
        <v>0.2</v>
      </c>
      <c r="G524" s="67">
        <f t="shared" si="58"/>
        <v>47.335999999999999</v>
      </c>
      <c r="H524" s="93"/>
      <c r="I524" s="224"/>
      <c r="J524" s="288" t="s">
        <v>1099</v>
      </c>
      <c r="K524" s="89" t="s">
        <v>433</v>
      </c>
      <c r="L524" s="114" t="s">
        <v>1047</v>
      </c>
      <c r="M524" s="265" t="s">
        <v>2165</v>
      </c>
      <c r="N524" s="248" t="s">
        <v>2166</v>
      </c>
      <c r="O524" s="249">
        <v>1</v>
      </c>
      <c r="P524" s="581" t="s">
        <v>2128</v>
      </c>
      <c r="Q524" s="348">
        <v>59.17</v>
      </c>
      <c r="R524" s="226">
        <v>0.2</v>
      </c>
      <c r="S524" s="67">
        <v>47.335999999999999</v>
      </c>
      <c r="T524" s="93"/>
      <c r="U524" s="224"/>
      <c r="V524" s="288" t="s">
        <v>1099</v>
      </c>
      <c r="W524" s="89" t="s">
        <v>433</v>
      </c>
      <c r="X524" s="114" t="s">
        <v>1047</v>
      </c>
    </row>
    <row r="525" spans="1:24" s="1" customFormat="1">
      <c r="A525" s="682" t="s">
        <v>2167</v>
      </c>
      <c r="B525" s="248" t="s">
        <v>2168</v>
      </c>
      <c r="C525" s="249">
        <v>1</v>
      </c>
      <c r="D525" s="581" t="s">
        <v>2128</v>
      </c>
      <c r="E525" s="348">
        <v>79.17</v>
      </c>
      <c r="F525" s="226">
        <f t="shared" si="59"/>
        <v>0.2</v>
      </c>
      <c r="G525" s="67">
        <f t="shared" si="58"/>
        <v>63.335999999999999</v>
      </c>
      <c r="H525" s="93"/>
      <c r="I525" s="224"/>
      <c r="J525" s="288" t="s">
        <v>1099</v>
      </c>
      <c r="K525" s="89" t="s">
        <v>433</v>
      </c>
      <c r="L525" s="114" t="s">
        <v>1047</v>
      </c>
      <c r="M525" s="265" t="s">
        <v>2167</v>
      </c>
      <c r="N525" s="248" t="s">
        <v>2168</v>
      </c>
      <c r="O525" s="249">
        <v>1</v>
      </c>
      <c r="P525" s="581" t="s">
        <v>2128</v>
      </c>
      <c r="Q525" s="348">
        <v>79.17</v>
      </c>
      <c r="R525" s="226">
        <v>0.2</v>
      </c>
      <c r="S525" s="67">
        <v>63.335999999999999</v>
      </c>
      <c r="T525" s="93"/>
      <c r="U525" s="224"/>
      <c r="V525" s="288" t="s">
        <v>1099</v>
      </c>
      <c r="W525" s="89" t="s">
        <v>433</v>
      </c>
      <c r="X525" s="114" t="s">
        <v>1047</v>
      </c>
    </row>
    <row r="526" spans="1:24" s="1" customFormat="1">
      <c r="A526" s="682" t="s">
        <v>2169</v>
      </c>
      <c r="B526" s="248" t="s">
        <v>2170</v>
      </c>
      <c r="C526" s="249">
        <v>1</v>
      </c>
      <c r="D526" s="581" t="s">
        <v>2128</v>
      </c>
      <c r="E526" s="348">
        <v>79.17</v>
      </c>
      <c r="F526" s="226">
        <f t="shared" si="59"/>
        <v>0.2</v>
      </c>
      <c r="G526" s="67">
        <f t="shared" si="58"/>
        <v>63.335999999999999</v>
      </c>
      <c r="H526" s="93"/>
      <c r="I526" s="224"/>
      <c r="J526" s="288" t="s">
        <v>1099</v>
      </c>
      <c r="K526" s="89" t="s">
        <v>433</v>
      </c>
      <c r="L526" s="114" t="s">
        <v>1047</v>
      </c>
      <c r="M526" s="265" t="s">
        <v>2169</v>
      </c>
      <c r="N526" s="248" t="s">
        <v>2170</v>
      </c>
      <c r="O526" s="249">
        <v>1</v>
      </c>
      <c r="P526" s="581" t="s">
        <v>2128</v>
      </c>
      <c r="Q526" s="348">
        <v>79.17</v>
      </c>
      <c r="R526" s="226">
        <v>0.2</v>
      </c>
      <c r="S526" s="67">
        <v>63.335999999999999</v>
      </c>
      <c r="T526" s="93"/>
      <c r="U526" s="224"/>
      <c r="V526" s="288" t="s">
        <v>1099</v>
      </c>
      <c r="W526" s="89" t="s">
        <v>433</v>
      </c>
      <c r="X526" s="114" t="s">
        <v>1047</v>
      </c>
    </row>
    <row r="527" spans="1:24" s="1" customFormat="1">
      <c r="A527" s="682" t="s">
        <v>2171</v>
      </c>
      <c r="B527" s="248" t="s">
        <v>2172</v>
      </c>
      <c r="C527" s="249">
        <v>1</v>
      </c>
      <c r="D527" s="581" t="s">
        <v>2128</v>
      </c>
      <c r="E527" s="348">
        <v>59.17</v>
      </c>
      <c r="F527" s="226">
        <f t="shared" si="59"/>
        <v>0.2</v>
      </c>
      <c r="G527" s="67">
        <f t="shared" si="58"/>
        <v>47.335999999999999</v>
      </c>
      <c r="H527" s="93"/>
      <c r="I527" s="224"/>
      <c r="J527" s="288" t="s">
        <v>1099</v>
      </c>
      <c r="K527" s="89" t="s">
        <v>433</v>
      </c>
      <c r="L527" s="114" t="s">
        <v>1047</v>
      </c>
      <c r="M527" s="265" t="s">
        <v>2171</v>
      </c>
      <c r="N527" s="248" t="s">
        <v>2172</v>
      </c>
      <c r="O527" s="249">
        <v>1</v>
      </c>
      <c r="P527" s="581" t="s">
        <v>2128</v>
      </c>
      <c r="Q527" s="348">
        <v>59.17</v>
      </c>
      <c r="R527" s="226">
        <v>0.2</v>
      </c>
      <c r="S527" s="67">
        <v>47.335999999999999</v>
      </c>
      <c r="T527" s="93"/>
      <c r="U527" s="224"/>
      <c r="V527" s="288" t="s">
        <v>1099</v>
      </c>
      <c r="W527" s="89" t="s">
        <v>433</v>
      </c>
      <c r="X527" s="114" t="s">
        <v>1047</v>
      </c>
    </row>
    <row r="528" spans="1:24" s="1" customFormat="1">
      <c r="A528" s="682" t="s">
        <v>2173</v>
      </c>
      <c r="B528" s="248" t="s">
        <v>2174</v>
      </c>
      <c r="C528" s="249">
        <v>1</v>
      </c>
      <c r="D528" s="581" t="s">
        <v>2128</v>
      </c>
      <c r="E528" s="348">
        <v>79.17</v>
      </c>
      <c r="F528" s="226">
        <f t="shared" si="59"/>
        <v>0.2</v>
      </c>
      <c r="G528" s="67">
        <f t="shared" si="58"/>
        <v>63.335999999999999</v>
      </c>
      <c r="H528" s="93"/>
      <c r="I528" s="224"/>
      <c r="J528" s="288" t="s">
        <v>1099</v>
      </c>
      <c r="K528" s="89" t="s">
        <v>433</v>
      </c>
      <c r="L528" s="114" t="s">
        <v>1047</v>
      </c>
      <c r="M528" s="265" t="s">
        <v>2173</v>
      </c>
      <c r="N528" s="248" t="s">
        <v>2174</v>
      </c>
      <c r="O528" s="249">
        <v>1</v>
      </c>
      <c r="P528" s="581" t="s">
        <v>2128</v>
      </c>
      <c r="Q528" s="348">
        <v>79.17</v>
      </c>
      <c r="R528" s="226">
        <v>0.2</v>
      </c>
      <c r="S528" s="67">
        <v>63.335999999999999</v>
      </c>
      <c r="T528" s="93"/>
      <c r="U528" s="224"/>
      <c r="V528" s="288" t="s">
        <v>1099</v>
      </c>
      <c r="W528" s="89" t="s">
        <v>433</v>
      </c>
      <c r="X528" s="114" t="s">
        <v>1047</v>
      </c>
    </row>
    <row r="529" spans="1:24" s="1" customFormat="1" ht="15.95" customHeight="1">
      <c r="A529" s="682" t="s">
        <v>2175</v>
      </c>
      <c r="B529" s="267" t="s">
        <v>2176</v>
      </c>
      <c r="C529" s="249">
        <v>1</v>
      </c>
      <c r="D529" s="581" t="s">
        <v>2128</v>
      </c>
      <c r="E529" s="348">
        <v>79.17</v>
      </c>
      <c r="F529" s="226">
        <f t="shared" si="59"/>
        <v>0.2</v>
      </c>
      <c r="G529" s="67">
        <f t="shared" si="58"/>
        <v>63.335999999999999</v>
      </c>
      <c r="H529" s="93"/>
      <c r="I529" s="224"/>
      <c r="J529" s="288" t="s">
        <v>1099</v>
      </c>
      <c r="K529" s="89" t="s">
        <v>433</v>
      </c>
      <c r="L529" s="114" t="s">
        <v>1047</v>
      </c>
      <c r="M529" s="265" t="s">
        <v>2175</v>
      </c>
      <c r="N529" s="267" t="s">
        <v>2176</v>
      </c>
      <c r="O529" s="249">
        <v>1</v>
      </c>
      <c r="P529" s="581" t="s">
        <v>2128</v>
      </c>
      <c r="Q529" s="348">
        <v>79.17</v>
      </c>
      <c r="R529" s="226">
        <v>0.2</v>
      </c>
      <c r="S529" s="67">
        <v>63.335999999999999</v>
      </c>
      <c r="T529" s="93"/>
      <c r="U529" s="224"/>
      <c r="V529" s="288" t="s">
        <v>1099</v>
      </c>
      <c r="W529" s="89" t="s">
        <v>433</v>
      </c>
      <c r="X529" s="114" t="s">
        <v>1047</v>
      </c>
    </row>
    <row r="530" spans="1:24" s="1" customFormat="1">
      <c r="A530" s="682" t="s">
        <v>2177</v>
      </c>
      <c r="B530" s="267" t="s">
        <v>2178</v>
      </c>
      <c r="C530" s="249">
        <v>1</v>
      </c>
      <c r="D530" s="581" t="s">
        <v>2128</v>
      </c>
      <c r="E530" s="348">
        <v>85.88</v>
      </c>
      <c r="F530" s="226">
        <f t="shared" si="59"/>
        <v>0.2</v>
      </c>
      <c r="G530" s="67">
        <f t="shared" si="58"/>
        <v>68.703999999999994</v>
      </c>
      <c r="H530" s="93"/>
      <c r="I530" s="224"/>
      <c r="J530" s="288" t="s">
        <v>1099</v>
      </c>
      <c r="K530" s="89" t="s">
        <v>433</v>
      </c>
      <c r="L530" s="114" t="s">
        <v>1047</v>
      </c>
      <c r="M530" s="265" t="s">
        <v>2177</v>
      </c>
      <c r="N530" s="267" t="s">
        <v>2178</v>
      </c>
      <c r="O530" s="249">
        <v>1</v>
      </c>
      <c r="P530" s="581" t="s">
        <v>2128</v>
      </c>
      <c r="Q530" s="348">
        <v>85.88</v>
      </c>
      <c r="R530" s="226">
        <v>0.2</v>
      </c>
      <c r="S530" s="67">
        <v>68.703999999999994</v>
      </c>
      <c r="T530" s="93"/>
      <c r="U530" s="224"/>
      <c r="V530" s="288" t="s">
        <v>1099</v>
      </c>
      <c r="W530" s="89" t="s">
        <v>433</v>
      </c>
      <c r="X530" s="114" t="s">
        <v>1047</v>
      </c>
    </row>
    <row r="531" spans="1:24" s="1" customFormat="1">
      <c r="A531" s="682" t="s">
        <v>2179</v>
      </c>
      <c r="B531" s="267" t="s">
        <v>2180</v>
      </c>
      <c r="C531" s="249">
        <v>1</v>
      </c>
      <c r="D531" s="581" t="s">
        <v>2128</v>
      </c>
      <c r="E531" s="348">
        <v>115.88</v>
      </c>
      <c r="F531" s="226">
        <f t="shared" si="59"/>
        <v>0.2</v>
      </c>
      <c r="G531" s="67">
        <f t="shared" ref="G531:G548" si="60">E531-(E531*F531)</f>
        <v>92.703999999999994</v>
      </c>
      <c r="H531" s="93"/>
      <c r="I531" s="224"/>
      <c r="J531" s="288" t="s">
        <v>1099</v>
      </c>
      <c r="K531" s="89" t="s">
        <v>433</v>
      </c>
      <c r="L531" s="114" t="s">
        <v>1047</v>
      </c>
      <c r="M531" s="265" t="s">
        <v>2179</v>
      </c>
      <c r="N531" s="267" t="s">
        <v>2180</v>
      </c>
      <c r="O531" s="249">
        <v>1</v>
      </c>
      <c r="P531" s="581" t="s">
        <v>2128</v>
      </c>
      <c r="Q531" s="348">
        <v>115.88</v>
      </c>
      <c r="R531" s="226">
        <v>0.2</v>
      </c>
      <c r="S531" s="67">
        <v>92.703999999999994</v>
      </c>
      <c r="T531" s="93"/>
      <c r="U531" s="224"/>
      <c r="V531" s="288" t="s">
        <v>1099</v>
      </c>
      <c r="W531" s="89" t="s">
        <v>433</v>
      </c>
      <c r="X531" s="114" t="s">
        <v>1047</v>
      </c>
    </row>
    <row r="532" spans="1:24" s="1" customFormat="1">
      <c r="A532" s="682" t="s">
        <v>2181</v>
      </c>
      <c r="B532" s="267" t="s">
        <v>2182</v>
      </c>
      <c r="C532" s="249">
        <v>1</v>
      </c>
      <c r="D532" s="581" t="s">
        <v>2128</v>
      </c>
      <c r="E532" s="348">
        <v>115.88</v>
      </c>
      <c r="F532" s="226">
        <f t="shared" si="59"/>
        <v>0.2</v>
      </c>
      <c r="G532" s="67">
        <f t="shared" si="60"/>
        <v>92.703999999999994</v>
      </c>
      <c r="H532" s="93"/>
      <c r="I532" s="224"/>
      <c r="J532" s="288" t="s">
        <v>1099</v>
      </c>
      <c r="K532" s="89" t="s">
        <v>433</v>
      </c>
      <c r="L532" s="114" t="s">
        <v>1047</v>
      </c>
      <c r="M532" s="265" t="s">
        <v>2181</v>
      </c>
      <c r="N532" s="267" t="s">
        <v>2182</v>
      </c>
      <c r="O532" s="249">
        <v>1</v>
      </c>
      <c r="P532" s="581" t="s">
        <v>2128</v>
      </c>
      <c r="Q532" s="348">
        <v>115.88</v>
      </c>
      <c r="R532" s="226">
        <v>0.2</v>
      </c>
      <c r="S532" s="67">
        <v>92.703999999999994</v>
      </c>
      <c r="T532" s="93"/>
      <c r="U532" s="224"/>
      <c r="V532" s="288" t="s">
        <v>1099</v>
      </c>
      <c r="W532" s="89" t="s">
        <v>433</v>
      </c>
      <c r="X532" s="114" t="s">
        <v>1047</v>
      </c>
    </row>
    <row r="533" spans="1:24" s="1" customFormat="1">
      <c r="A533" s="682" t="s">
        <v>2183</v>
      </c>
      <c r="B533" s="267" t="s">
        <v>2184</v>
      </c>
      <c r="C533" s="249">
        <v>1</v>
      </c>
      <c r="D533" s="581" t="s">
        <v>2128</v>
      </c>
      <c r="E533" s="348">
        <v>32.090000000000003</v>
      </c>
      <c r="F533" s="226">
        <f t="shared" si="59"/>
        <v>0.2</v>
      </c>
      <c r="G533" s="67">
        <f t="shared" si="60"/>
        <v>25.672000000000004</v>
      </c>
      <c r="H533" s="93"/>
      <c r="I533" s="224"/>
      <c r="J533" s="288" t="s">
        <v>1099</v>
      </c>
      <c r="K533" s="89" t="s">
        <v>433</v>
      </c>
      <c r="L533" s="114" t="s">
        <v>1047</v>
      </c>
      <c r="M533" s="265" t="s">
        <v>2183</v>
      </c>
      <c r="N533" s="267" t="s">
        <v>2184</v>
      </c>
      <c r="O533" s="249">
        <v>1</v>
      </c>
      <c r="P533" s="581" t="s">
        <v>2128</v>
      </c>
      <c r="Q533" s="348">
        <v>32.090000000000003</v>
      </c>
      <c r="R533" s="226">
        <v>0.2</v>
      </c>
      <c r="S533" s="67">
        <v>25.672000000000004</v>
      </c>
      <c r="T533" s="93"/>
      <c r="U533" s="224"/>
      <c r="V533" s="288" t="s">
        <v>1099</v>
      </c>
      <c r="W533" s="89" t="s">
        <v>433</v>
      </c>
      <c r="X533" s="114" t="s">
        <v>1047</v>
      </c>
    </row>
    <row r="534" spans="1:24" s="1" customFormat="1">
      <c r="A534" s="682" t="s">
        <v>2185</v>
      </c>
      <c r="B534" s="267" t="s">
        <v>2186</v>
      </c>
      <c r="C534" s="249">
        <v>1</v>
      </c>
      <c r="D534" s="581" t="s">
        <v>2128</v>
      </c>
      <c r="E534" s="348">
        <v>32.090000000000003</v>
      </c>
      <c r="F534" s="226">
        <f t="shared" si="59"/>
        <v>0.2</v>
      </c>
      <c r="G534" s="67">
        <f t="shared" si="60"/>
        <v>25.672000000000004</v>
      </c>
      <c r="H534" s="93"/>
      <c r="I534" s="224"/>
      <c r="J534" s="288" t="s">
        <v>1099</v>
      </c>
      <c r="K534" s="89" t="s">
        <v>433</v>
      </c>
      <c r="L534" s="114" t="s">
        <v>1047</v>
      </c>
      <c r="M534" s="265" t="s">
        <v>2185</v>
      </c>
      <c r="N534" s="267" t="s">
        <v>2186</v>
      </c>
      <c r="O534" s="249">
        <v>1</v>
      </c>
      <c r="P534" s="581" t="s">
        <v>2128</v>
      </c>
      <c r="Q534" s="348">
        <v>32.090000000000003</v>
      </c>
      <c r="R534" s="226">
        <v>0.2</v>
      </c>
      <c r="S534" s="67">
        <v>25.672000000000004</v>
      </c>
      <c r="T534" s="93"/>
      <c r="U534" s="224"/>
      <c r="V534" s="288" t="s">
        <v>1099</v>
      </c>
      <c r="W534" s="89" t="s">
        <v>433</v>
      </c>
      <c r="X534" s="114" t="s">
        <v>1047</v>
      </c>
    </row>
    <row r="535" spans="1:24" s="1" customFormat="1">
      <c r="A535" s="682" t="s">
        <v>2187</v>
      </c>
      <c r="B535" s="267" t="s">
        <v>2188</v>
      </c>
      <c r="C535" s="249">
        <v>1</v>
      </c>
      <c r="D535" s="581" t="s">
        <v>2128</v>
      </c>
      <c r="E535" s="348">
        <v>32.090000000000003</v>
      </c>
      <c r="F535" s="226">
        <f t="shared" si="59"/>
        <v>0.2</v>
      </c>
      <c r="G535" s="67">
        <f t="shared" si="60"/>
        <v>25.672000000000004</v>
      </c>
      <c r="H535" s="93"/>
      <c r="I535" s="224"/>
      <c r="J535" s="288" t="s">
        <v>1099</v>
      </c>
      <c r="K535" s="89" t="s">
        <v>433</v>
      </c>
      <c r="L535" s="114" t="s">
        <v>1047</v>
      </c>
      <c r="M535" s="265" t="s">
        <v>2187</v>
      </c>
      <c r="N535" s="267" t="s">
        <v>2188</v>
      </c>
      <c r="O535" s="249">
        <v>1</v>
      </c>
      <c r="P535" s="581" t="s">
        <v>2128</v>
      </c>
      <c r="Q535" s="348">
        <v>32.090000000000003</v>
      </c>
      <c r="R535" s="226">
        <v>0.2</v>
      </c>
      <c r="S535" s="67">
        <v>25.672000000000004</v>
      </c>
      <c r="T535" s="93"/>
      <c r="U535" s="224"/>
      <c r="V535" s="288" t="s">
        <v>1099</v>
      </c>
      <c r="W535" s="89" t="s">
        <v>433</v>
      </c>
      <c r="X535" s="114" t="s">
        <v>1047</v>
      </c>
    </row>
    <row r="536" spans="1:24" s="1" customFormat="1">
      <c r="A536" s="682" t="s">
        <v>2189</v>
      </c>
      <c r="B536" s="267" t="s">
        <v>2190</v>
      </c>
      <c r="C536" s="249">
        <v>1</v>
      </c>
      <c r="D536" s="581" t="s">
        <v>2128</v>
      </c>
      <c r="E536" s="348">
        <v>32.090000000000003</v>
      </c>
      <c r="F536" s="226">
        <f t="shared" si="59"/>
        <v>0.2</v>
      </c>
      <c r="G536" s="67">
        <f t="shared" si="60"/>
        <v>25.672000000000004</v>
      </c>
      <c r="H536" s="93"/>
      <c r="I536" s="224"/>
      <c r="J536" s="288" t="s">
        <v>1099</v>
      </c>
      <c r="K536" s="89" t="s">
        <v>433</v>
      </c>
      <c r="L536" s="114" t="s">
        <v>1047</v>
      </c>
      <c r="M536" s="265" t="s">
        <v>2189</v>
      </c>
      <c r="N536" s="267" t="s">
        <v>2190</v>
      </c>
      <c r="O536" s="249">
        <v>1</v>
      </c>
      <c r="P536" s="581" t="s">
        <v>2128</v>
      </c>
      <c r="Q536" s="348">
        <v>32.090000000000003</v>
      </c>
      <c r="R536" s="226">
        <v>0.2</v>
      </c>
      <c r="S536" s="67">
        <v>25.672000000000004</v>
      </c>
      <c r="T536" s="93"/>
      <c r="U536" s="224"/>
      <c r="V536" s="288" t="s">
        <v>1099</v>
      </c>
      <c r="W536" s="89" t="s">
        <v>433</v>
      </c>
      <c r="X536" s="114" t="s">
        <v>1047</v>
      </c>
    </row>
    <row r="537" spans="1:24" s="1" customFormat="1">
      <c r="A537" s="682" t="s">
        <v>2191</v>
      </c>
      <c r="B537" s="267" t="s">
        <v>2192</v>
      </c>
      <c r="C537" s="249">
        <v>1</v>
      </c>
      <c r="D537" s="581" t="s">
        <v>2128</v>
      </c>
      <c r="E537" s="348">
        <v>46.5</v>
      </c>
      <c r="F537" s="226">
        <f t="shared" si="59"/>
        <v>0.2</v>
      </c>
      <c r="G537" s="67">
        <f t="shared" si="60"/>
        <v>37.200000000000003</v>
      </c>
      <c r="H537" s="93"/>
      <c r="I537" s="224"/>
      <c r="J537" s="288" t="s">
        <v>1099</v>
      </c>
      <c r="K537" s="89" t="s">
        <v>433</v>
      </c>
      <c r="L537" s="114" t="s">
        <v>1047</v>
      </c>
      <c r="M537" s="265" t="s">
        <v>2191</v>
      </c>
      <c r="N537" s="267" t="s">
        <v>2192</v>
      </c>
      <c r="O537" s="249">
        <v>1</v>
      </c>
      <c r="P537" s="581" t="s">
        <v>2128</v>
      </c>
      <c r="Q537" s="348">
        <v>46.5</v>
      </c>
      <c r="R537" s="226">
        <v>0.2</v>
      </c>
      <c r="S537" s="67">
        <v>37.200000000000003</v>
      </c>
      <c r="T537" s="93"/>
      <c r="U537" s="224"/>
      <c r="V537" s="288" t="s">
        <v>1099</v>
      </c>
      <c r="W537" s="89" t="s">
        <v>433</v>
      </c>
      <c r="X537" s="114" t="s">
        <v>1047</v>
      </c>
    </row>
    <row r="538" spans="1:24" s="1" customFormat="1">
      <c r="A538" s="682" t="s">
        <v>2193</v>
      </c>
      <c r="B538" s="267" t="s">
        <v>2194</v>
      </c>
      <c r="C538" s="249">
        <v>1</v>
      </c>
      <c r="D538" s="581" t="s">
        <v>2128</v>
      </c>
      <c r="E538" s="348">
        <v>29.09</v>
      </c>
      <c r="F538" s="226">
        <f t="shared" si="59"/>
        <v>0.2</v>
      </c>
      <c r="G538" s="67">
        <f t="shared" si="60"/>
        <v>23.271999999999998</v>
      </c>
      <c r="H538" s="93"/>
      <c r="I538" s="224"/>
      <c r="J538" s="288" t="s">
        <v>1099</v>
      </c>
      <c r="K538" s="89" t="s">
        <v>433</v>
      </c>
      <c r="L538" s="114" t="s">
        <v>1047</v>
      </c>
      <c r="M538" s="265" t="s">
        <v>2193</v>
      </c>
      <c r="N538" s="267" t="s">
        <v>2194</v>
      </c>
      <c r="O538" s="249">
        <v>1</v>
      </c>
      <c r="P538" s="581" t="s">
        <v>2128</v>
      </c>
      <c r="Q538" s="348">
        <v>29.09</v>
      </c>
      <c r="R538" s="226">
        <v>0.2</v>
      </c>
      <c r="S538" s="67">
        <v>23.271999999999998</v>
      </c>
      <c r="T538" s="93"/>
      <c r="U538" s="224"/>
      <c r="V538" s="288" t="s">
        <v>1099</v>
      </c>
      <c r="W538" s="89" t="s">
        <v>433</v>
      </c>
      <c r="X538" s="114" t="s">
        <v>1047</v>
      </c>
    </row>
    <row r="539" spans="1:24" s="1" customFormat="1">
      <c r="A539" s="263" t="s">
        <v>2195</v>
      </c>
      <c r="B539" s="248" t="s">
        <v>2196</v>
      </c>
      <c r="C539" s="249">
        <v>1</v>
      </c>
      <c r="D539" s="581" t="s">
        <v>2128</v>
      </c>
      <c r="E539" s="348">
        <v>51.5</v>
      </c>
      <c r="F539" s="226">
        <f t="shared" si="59"/>
        <v>0.2</v>
      </c>
      <c r="G539" s="67">
        <f t="shared" si="60"/>
        <v>41.2</v>
      </c>
      <c r="H539" s="93"/>
      <c r="I539" s="224"/>
      <c r="J539" s="288" t="s">
        <v>1099</v>
      </c>
      <c r="K539" s="89" t="s">
        <v>433</v>
      </c>
      <c r="L539" s="114" t="s">
        <v>1047</v>
      </c>
      <c r="M539" s="241" t="s">
        <v>2195</v>
      </c>
      <c r="N539" s="248" t="s">
        <v>2196</v>
      </c>
      <c r="O539" s="249">
        <v>1</v>
      </c>
      <c r="P539" s="581" t="s">
        <v>2128</v>
      </c>
      <c r="Q539" s="348">
        <v>51.5</v>
      </c>
      <c r="R539" s="226">
        <v>0.2</v>
      </c>
      <c r="S539" s="67">
        <v>41.2</v>
      </c>
      <c r="T539" s="93"/>
      <c r="U539" s="224"/>
      <c r="V539" s="288" t="s">
        <v>1099</v>
      </c>
      <c r="W539" s="89" t="s">
        <v>433</v>
      </c>
      <c r="X539" s="114" t="s">
        <v>1047</v>
      </c>
    </row>
    <row r="540" spans="1:24" s="1" customFormat="1">
      <c r="A540" s="682" t="s">
        <v>2197</v>
      </c>
      <c r="B540" s="267" t="s">
        <v>2198</v>
      </c>
      <c r="C540" s="249">
        <v>1</v>
      </c>
      <c r="D540" s="581" t="s">
        <v>2128</v>
      </c>
      <c r="E540" s="348">
        <v>51.5</v>
      </c>
      <c r="F540" s="226">
        <f t="shared" si="59"/>
        <v>0.2</v>
      </c>
      <c r="G540" s="67">
        <f t="shared" si="60"/>
        <v>41.2</v>
      </c>
      <c r="H540" s="93"/>
      <c r="I540" s="224"/>
      <c r="J540" s="288" t="s">
        <v>1099</v>
      </c>
      <c r="K540" s="89" t="s">
        <v>433</v>
      </c>
      <c r="L540" s="114" t="s">
        <v>1047</v>
      </c>
      <c r="M540" s="265" t="s">
        <v>2197</v>
      </c>
      <c r="N540" s="267" t="s">
        <v>2198</v>
      </c>
      <c r="O540" s="249">
        <v>1</v>
      </c>
      <c r="P540" s="581" t="s">
        <v>2128</v>
      </c>
      <c r="Q540" s="348">
        <v>51.5</v>
      </c>
      <c r="R540" s="226">
        <v>0.2</v>
      </c>
      <c r="S540" s="67">
        <v>41.2</v>
      </c>
      <c r="T540" s="93"/>
      <c r="U540" s="224"/>
      <c r="V540" s="288" t="s">
        <v>1099</v>
      </c>
      <c r="W540" s="89" t="s">
        <v>433</v>
      </c>
      <c r="X540" s="114" t="s">
        <v>1047</v>
      </c>
    </row>
    <row r="541" spans="1:24" s="1" customFormat="1">
      <c r="A541" s="682" t="s">
        <v>2199</v>
      </c>
      <c r="B541" s="267" t="s">
        <v>2200</v>
      </c>
      <c r="C541" s="249">
        <v>1</v>
      </c>
      <c r="D541" s="581" t="s">
        <v>2128</v>
      </c>
      <c r="E541" s="348">
        <v>51.5</v>
      </c>
      <c r="F541" s="226">
        <f t="shared" si="59"/>
        <v>0.2</v>
      </c>
      <c r="G541" s="67">
        <f t="shared" si="60"/>
        <v>41.2</v>
      </c>
      <c r="H541" s="93"/>
      <c r="I541" s="224"/>
      <c r="J541" s="288" t="s">
        <v>1099</v>
      </c>
      <c r="K541" s="89" t="s">
        <v>433</v>
      </c>
      <c r="L541" s="114" t="s">
        <v>1047</v>
      </c>
      <c r="M541" s="265" t="s">
        <v>2199</v>
      </c>
      <c r="N541" s="267" t="s">
        <v>2200</v>
      </c>
      <c r="O541" s="249">
        <v>1</v>
      </c>
      <c r="P541" s="581" t="s">
        <v>2128</v>
      </c>
      <c r="Q541" s="348">
        <v>51.5</v>
      </c>
      <c r="R541" s="226">
        <v>0.2</v>
      </c>
      <c r="S541" s="67">
        <v>41.2</v>
      </c>
      <c r="T541" s="93"/>
      <c r="U541" s="224"/>
      <c r="V541" s="288" t="s">
        <v>1099</v>
      </c>
      <c r="W541" s="89" t="s">
        <v>433</v>
      </c>
      <c r="X541" s="114" t="s">
        <v>1047</v>
      </c>
    </row>
    <row r="542" spans="1:24" s="1" customFormat="1">
      <c r="A542" s="682" t="s">
        <v>2201</v>
      </c>
      <c r="B542" s="267" t="s">
        <v>2202</v>
      </c>
      <c r="C542" s="249">
        <v>1</v>
      </c>
      <c r="D542" s="581" t="s">
        <v>2128</v>
      </c>
      <c r="E542" s="348">
        <v>15.86</v>
      </c>
      <c r="F542" s="226">
        <f t="shared" si="59"/>
        <v>0.2</v>
      </c>
      <c r="G542" s="67">
        <f t="shared" si="60"/>
        <v>12.687999999999999</v>
      </c>
      <c r="H542" s="93"/>
      <c r="I542" s="224"/>
      <c r="J542" s="288" t="s">
        <v>1099</v>
      </c>
      <c r="K542" s="89" t="s">
        <v>433</v>
      </c>
      <c r="L542" s="114" t="s">
        <v>1047</v>
      </c>
      <c r="M542" s="265" t="s">
        <v>2201</v>
      </c>
      <c r="N542" s="267" t="s">
        <v>2202</v>
      </c>
      <c r="O542" s="249">
        <v>1</v>
      </c>
      <c r="P542" s="581" t="s">
        <v>2128</v>
      </c>
      <c r="Q542" s="348">
        <v>15.86</v>
      </c>
      <c r="R542" s="226">
        <v>0.2</v>
      </c>
      <c r="S542" s="67">
        <v>12.687999999999999</v>
      </c>
      <c r="T542" s="93"/>
      <c r="U542" s="224"/>
      <c r="V542" s="288" t="s">
        <v>1099</v>
      </c>
      <c r="W542" s="89" t="s">
        <v>433</v>
      </c>
      <c r="X542" s="114" t="s">
        <v>1047</v>
      </c>
    </row>
    <row r="543" spans="1:24" s="1" customFormat="1">
      <c r="A543" s="263" t="s">
        <v>2203</v>
      </c>
      <c r="B543" s="248" t="s">
        <v>2204</v>
      </c>
      <c r="C543" s="249">
        <v>1</v>
      </c>
      <c r="D543" s="272" t="s">
        <v>1357</v>
      </c>
      <c r="E543" s="348">
        <v>34.99</v>
      </c>
      <c r="F543" s="226">
        <f t="shared" si="59"/>
        <v>0.2</v>
      </c>
      <c r="G543" s="67">
        <f t="shared" si="60"/>
        <v>27.992000000000001</v>
      </c>
      <c r="H543" s="93"/>
      <c r="I543" s="224"/>
      <c r="J543" s="288" t="s">
        <v>1099</v>
      </c>
      <c r="K543" s="89" t="s">
        <v>433</v>
      </c>
      <c r="L543" s="114" t="s">
        <v>1047</v>
      </c>
      <c r="M543" s="241" t="s">
        <v>2203</v>
      </c>
      <c r="N543" s="248" t="s">
        <v>2204</v>
      </c>
      <c r="O543" s="249">
        <v>1</v>
      </c>
      <c r="P543" s="272" t="s">
        <v>1357</v>
      </c>
      <c r="Q543" s="348">
        <v>34.99</v>
      </c>
      <c r="R543" s="226">
        <v>0.2</v>
      </c>
      <c r="S543" s="67">
        <v>27.992000000000001</v>
      </c>
      <c r="T543" s="93"/>
      <c r="U543" s="224"/>
      <c r="V543" s="288" t="s">
        <v>1099</v>
      </c>
      <c r="W543" s="89" t="s">
        <v>433</v>
      </c>
      <c r="X543" s="114" t="s">
        <v>1047</v>
      </c>
    </row>
    <row r="544" spans="1:24" s="1" customFormat="1">
      <c r="A544" s="263" t="s">
        <v>2205</v>
      </c>
      <c r="B544" s="248" t="s">
        <v>2206</v>
      </c>
      <c r="C544" s="249">
        <v>1</v>
      </c>
      <c r="D544" s="272" t="s">
        <v>1357</v>
      </c>
      <c r="E544" s="348">
        <v>34.99</v>
      </c>
      <c r="F544" s="226">
        <f t="shared" si="59"/>
        <v>0.2</v>
      </c>
      <c r="G544" s="67">
        <f t="shared" si="60"/>
        <v>27.992000000000001</v>
      </c>
      <c r="H544" s="93"/>
      <c r="I544" s="224"/>
      <c r="J544" s="288" t="s">
        <v>1099</v>
      </c>
      <c r="K544" s="89" t="s">
        <v>433</v>
      </c>
      <c r="L544" s="114" t="s">
        <v>1047</v>
      </c>
      <c r="M544" s="241" t="s">
        <v>2205</v>
      </c>
      <c r="N544" s="248" t="s">
        <v>2206</v>
      </c>
      <c r="O544" s="249">
        <v>1</v>
      </c>
      <c r="P544" s="272" t="s">
        <v>1357</v>
      </c>
      <c r="Q544" s="348">
        <v>34.99</v>
      </c>
      <c r="R544" s="226">
        <v>0.2</v>
      </c>
      <c r="S544" s="67">
        <v>27.992000000000001</v>
      </c>
      <c r="T544" s="93"/>
      <c r="U544" s="224"/>
      <c r="V544" s="288" t="s">
        <v>1099</v>
      </c>
      <c r="W544" s="89" t="s">
        <v>433</v>
      </c>
      <c r="X544" s="114" t="s">
        <v>1047</v>
      </c>
    </row>
    <row r="545" spans="1:24" s="1" customFormat="1">
      <c r="A545" s="263" t="s">
        <v>2207</v>
      </c>
      <c r="B545" s="248" t="s">
        <v>2208</v>
      </c>
      <c r="C545" s="249">
        <v>1</v>
      </c>
      <c r="D545" s="272" t="s">
        <v>1442</v>
      </c>
      <c r="E545" s="348">
        <v>151.65</v>
      </c>
      <c r="F545" s="226">
        <f t="shared" si="59"/>
        <v>0.2</v>
      </c>
      <c r="G545" s="67">
        <f t="shared" si="60"/>
        <v>121.32000000000001</v>
      </c>
      <c r="H545" s="93"/>
      <c r="I545" s="224"/>
      <c r="J545" s="288" t="s">
        <v>1099</v>
      </c>
      <c r="K545" s="89" t="s">
        <v>433</v>
      </c>
      <c r="L545" s="114" t="s">
        <v>1047</v>
      </c>
      <c r="M545" s="241" t="s">
        <v>2207</v>
      </c>
      <c r="N545" s="248" t="s">
        <v>2208</v>
      </c>
      <c r="O545" s="249">
        <v>1</v>
      </c>
      <c r="P545" s="272" t="s">
        <v>1442</v>
      </c>
      <c r="Q545" s="348">
        <v>151.65</v>
      </c>
      <c r="R545" s="226">
        <v>0.2</v>
      </c>
      <c r="S545" s="67">
        <v>121.32000000000001</v>
      </c>
      <c r="T545" s="93"/>
      <c r="U545" s="224"/>
      <c r="V545" s="288" t="s">
        <v>1099</v>
      </c>
      <c r="W545" s="89" t="s">
        <v>433</v>
      </c>
      <c r="X545" s="114" t="s">
        <v>1047</v>
      </c>
    </row>
    <row r="546" spans="1:24" s="1" customFormat="1">
      <c r="A546" s="263" t="s">
        <v>2209</v>
      </c>
      <c r="B546" s="248" t="s">
        <v>2210</v>
      </c>
      <c r="C546" s="249">
        <v>1</v>
      </c>
      <c r="D546" s="272" t="s">
        <v>1442</v>
      </c>
      <c r="E546" s="348">
        <v>99.33</v>
      </c>
      <c r="F546" s="226">
        <f t="shared" si="59"/>
        <v>0.2</v>
      </c>
      <c r="G546" s="67">
        <f t="shared" si="60"/>
        <v>79.463999999999999</v>
      </c>
      <c r="H546" s="93"/>
      <c r="I546" s="224"/>
      <c r="J546" s="288" t="s">
        <v>1099</v>
      </c>
      <c r="K546" s="89" t="s">
        <v>433</v>
      </c>
      <c r="L546" s="114" t="s">
        <v>1047</v>
      </c>
      <c r="M546" s="241" t="s">
        <v>2209</v>
      </c>
      <c r="N546" s="248" t="s">
        <v>2210</v>
      </c>
      <c r="O546" s="249">
        <v>1</v>
      </c>
      <c r="P546" s="272" t="s">
        <v>1442</v>
      </c>
      <c r="Q546" s="348">
        <v>99.33</v>
      </c>
      <c r="R546" s="226">
        <v>0.2</v>
      </c>
      <c r="S546" s="67">
        <v>79.463999999999999</v>
      </c>
      <c r="T546" s="93"/>
      <c r="U546" s="224"/>
      <c r="V546" s="288" t="s">
        <v>1099</v>
      </c>
      <c r="W546" s="89" t="s">
        <v>433</v>
      </c>
      <c r="X546" s="114" t="s">
        <v>1047</v>
      </c>
    </row>
    <row r="547" spans="1:24" s="1" customFormat="1">
      <c r="A547" s="263" t="s">
        <v>2211</v>
      </c>
      <c r="B547" s="248" t="s">
        <v>2212</v>
      </c>
      <c r="C547" s="249">
        <v>1</v>
      </c>
      <c r="D547" s="272" t="s">
        <v>2213</v>
      </c>
      <c r="E547" s="348">
        <v>59.99</v>
      </c>
      <c r="F547" s="226">
        <f t="shared" si="59"/>
        <v>0.2</v>
      </c>
      <c r="G547" s="67">
        <f t="shared" si="60"/>
        <v>47.992000000000004</v>
      </c>
      <c r="H547" s="93"/>
      <c r="I547" s="224"/>
      <c r="J547" s="288" t="s">
        <v>1099</v>
      </c>
      <c r="K547" s="89" t="s">
        <v>433</v>
      </c>
      <c r="L547" s="114" t="s">
        <v>1047</v>
      </c>
      <c r="M547" s="241" t="s">
        <v>2214</v>
      </c>
      <c r="N547" s="248" t="s">
        <v>2212</v>
      </c>
      <c r="O547" s="249">
        <v>1</v>
      </c>
      <c r="P547" s="272" t="s">
        <v>2215</v>
      </c>
      <c r="Q547" s="348">
        <v>59.99</v>
      </c>
      <c r="R547" s="226">
        <v>0.2</v>
      </c>
      <c r="S547" s="67">
        <v>47.992000000000004</v>
      </c>
      <c r="T547" s="93"/>
      <c r="U547" s="224"/>
      <c r="V547" s="288" t="s">
        <v>1099</v>
      </c>
      <c r="W547" s="89" t="s">
        <v>433</v>
      </c>
      <c r="X547" s="114" t="s">
        <v>1047</v>
      </c>
    </row>
    <row r="548" spans="1:24" s="1" customFormat="1" ht="13.5" thickBot="1">
      <c r="A548" s="263" t="s">
        <v>2216</v>
      </c>
      <c r="B548" s="248" t="s">
        <v>2217</v>
      </c>
      <c r="C548" s="249">
        <v>1</v>
      </c>
      <c r="D548" s="272" t="s">
        <v>2213</v>
      </c>
      <c r="E548" s="348">
        <v>59.99</v>
      </c>
      <c r="F548" s="226">
        <f t="shared" si="59"/>
        <v>0.2</v>
      </c>
      <c r="G548" s="67">
        <f t="shared" si="60"/>
        <v>47.992000000000004</v>
      </c>
      <c r="H548" s="93"/>
      <c r="I548" s="224"/>
      <c r="J548" s="288" t="s">
        <v>1099</v>
      </c>
      <c r="K548" s="89" t="s">
        <v>433</v>
      </c>
      <c r="L548" s="114" t="s">
        <v>1047</v>
      </c>
      <c r="M548" s="241" t="s">
        <v>2218</v>
      </c>
      <c r="N548" s="248" t="s">
        <v>2217</v>
      </c>
      <c r="O548" s="249">
        <v>1</v>
      </c>
      <c r="P548" s="272" t="s">
        <v>2215</v>
      </c>
      <c r="Q548" s="348">
        <v>59.99</v>
      </c>
      <c r="R548" s="226">
        <v>0.2</v>
      </c>
      <c r="S548" s="67">
        <v>47.992000000000004</v>
      </c>
      <c r="T548" s="93"/>
      <c r="U548" s="224"/>
      <c r="V548" s="288" t="s">
        <v>1099</v>
      </c>
      <c r="W548" s="89" t="s">
        <v>433</v>
      </c>
      <c r="X548" s="114" t="s">
        <v>1047</v>
      </c>
    </row>
    <row r="549" spans="1:24" s="1" customFormat="1" ht="21.75" thickBot="1">
      <c r="A549" s="680" t="s">
        <v>2220</v>
      </c>
      <c r="B549" s="458"/>
      <c r="C549" s="459"/>
      <c r="D549" s="459"/>
      <c r="E549" s="460"/>
      <c r="F549" s="461"/>
      <c r="G549" s="460"/>
      <c r="H549" s="460"/>
      <c r="I549" s="460"/>
      <c r="J549" s="635"/>
      <c r="K549" s="462"/>
      <c r="L549" s="463"/>
      <c r="M549" s="474" t="s">
        <v>2220</v>
      </c>
      <c r="N549" s="458"/>
      <c r="O549" s="459"/>
      <c r="P549" s="459"/>
      <c r="Q549" s="460"/>
      <c r="R549" s="461"/>
      <c r="S549" s="460"/>
      <c r="T549" s="460"/>
      <c r="U549" s="460"/>
      <c r="V549" s="635"/>
      <c r="W549" s="462"/>
      <c r="X549" s="463"/>
    </row>
    <row r="550" spans="1:24" s="1" customFormat="1">
      <c r="A550" s="263" t="s">
        <v>2221</v>
      </c>
      <c r="B550" s="248" t="s">
        <v>2222</v>
      </c>
      <c r="C550" s="249">
        <v>1</v>
      </c>
      <c r="D550" s="272" t="s">
        <v>1459</v>
      </c>
      <c r="E550" s="348">
        <v>25</v>
      </c>
      <c r="F550" s="226">
        <f t="shared" si="19"/>
        <v>0.2</v>
      </c>
      <c r="G550" s="67">
        <f>E550-(E550*F550)</f>
        <v>20</v>
      </c>
      <c r="H550" s="93"/>
      <c r="I550" s="224"/>
      <c r="J550" s="288" t="s">
        <v>1099</v>
      </c>
      <c r="K550" s="89" t="s">
        <v>433</v>
      </c>
      <c r="L550" s="114" t="s">
        <v>1047</v>
      </c>
      <c r="M550" s="241" t="s">
        <v>2221</v>
      </c>
      <c r="N550" s="248" t="s">
        <v>2222</v>
      </c>
      <c r="O550" s="249">
        <v>1</v>
      </c>
      <c r="P550" s="272" t="s">
        <v>1459</v>
      </c>
      <c r="Q550" s="348">
        <v>25</v>
      </c>
      <c r="R550" s="226">
        <v>0.2</v>
      </c>
      <c r="S550" s="67">
        <v>20</v>
      </c>
      <c r="T550" s="93"/>
      <c r="U550" s="224"/>
      <c r="V550" s="288" t="s">
        <v>1099</v>
      </c>
      <c r="W550" s="89" t="s">
        <v>433</v>
      </c>
      <c r="X550" s="114" t="s">
        <v>1047</v>
      </c>
    </row>
    <row r="551" spans="1:24" s="1" customFormat="1">
      <c r="A551" s="263" t="s">
        <v>2223</v>
      </c>
      <c r="B551" s="248" t="s">
        <v>2224</v>
      </c>
      <c r="C551" s="249">
        <v>1</v>
      </c>
      <c r="D551" s="272" t="s">
        <v>1459</v>
      </c>
      <c r="E551" s="348">
        <v>25</v>
      </c>
      <c r="F551" s="226">
        <f t="shared" si="19"/>
        <v>0.2</v>
      </c>
      <c r="G551" s="67">
        <f>E551-(E551*F551)</f>
        <v>20</v>
      </c>
      <c r="H551" s="93"/>
      <c r="I551" s="224"/>
      <c r="J551" s="288" t="s">
        <v>1099</v>
      </c>
      <c r="K551" s="89" t="s">
        <v>433</v>
      </c>
      <c r="L551" s="114" t="s">
        <v>1047</v>
      </c>
      <c r="M551" s="241" t="s">
        <v>2223</v>
      </c>
      <c r="N551" s="248" t="s">
        <v>2224</v>
      </c>
      <c r="O551" s="249">
        <v>1</v>
      </c>
      <c r="P551" s="272" t="s">
        <v>1459</v>
      </c>
      <c r="Q551" s="348">
        <v>25</v>
      </c>
      <c r="R551" s="226">
        <v>0.2</v>
      </c>
      <c r="S551" s="67">
        <v>20</v>
      </c>
      <c r="T551" s="93"/>
      <c r="U551" s="224"/>
      <c r="V551" s="288" t="s">
        <v>1099</v>
      </c>
      <c r="W551" s="89" t="s">
        <v>433</v>
      </c>
      <c r="X551" s="114" t="s">
        <v>1047</v>
      </c>
    </row>
    <row r="552" spans="1:24" s="1" customFormat="1">
      <c r="A552" s="263" t="s">
        <v>2225</v>
      </c>
      <c r="B552" s="248" t="s">
        <v>2226</v>
      </c>
      <c r="C552" s="249">
        <v>1</v>
      </c>
      <c r="D552" s="272" t="s">
        <v>1459</v>
      </c>
      <c r="E552" s="348">
        <v>39.99</v>
      </c>
      <c r="F552" s="226">
        <f t="shared" si="19"/>
        <v>0.2</v>
      </c>
      <c r="G552" s="67">
        <f>E552-(E552*F552)</f>
        <v>31.992000000000001</v>
      </c>
      <c r="H552" s="93"/>
      <c r="I552" s="224">
        <v>0.05</v>
      </c>
      <c r="J552" s="288" t="s">
        <v>1099</v>
      </c>
      <c r="K552" s="89" t="s">
        <v>433</v>
      </c>
      <c r="L552" s="114" t="s">
        <v>1047</v>
      </c>
      <c r="M552" s="241" t="s">
        <v>2225</v>
      </c>
      <c r="N552" s="248" t="s">
        <v>2226</v>
      </c>
      <c r="O552" s="249">
        <v>1</v>
      </c>
      <c r="P552" s="272" t="s">
        <v>1459</v>
      </c>
      <c r="Q552" s="348">
        <v>39.99</v>
      </c>
      <c r="R552" s="226">
        <v>0.2</v>
      </c>
      <c r="S552" s="67">
        <v>31.992000000000001</v>
      </c>
      <c r="T552" s="93"/>
      <c r="U552" s="224">
        <v>0.05</v>
      </c>
      <c r="V552" s="288" t="s">
        <v>1099</v>
      </c>
      <c r="W552" s="89" t="s">
        <v>433</v>
      </c>
      <c r="X552" s="114" t="s">
        <v>1047</v>
      </c>
    </row>
    <row r="553" spans="1:24" s="1" customFormat="1">
      <c r="A553" s="263"/>
      <c r="B553" s="248"/>
      <c r="C553" s="249"/>
      <c r="D553" s="272"/>
      <c r="E553" s="348"/>
      <c r="F553" s="226"/>
      <c r="G553" s="67"/>
      <c r="H553" s="93"/>
      <c r="I553" s="224"/>
      <c r="J553" s="288"/>
      <c r="K553" s="89"/>
      <c r="L553" s="114"/>
      <c r="M553" s="643" t="s">
        <v>2227</v>
      </c>
      <c r="N553" s="644" t="s">
        <v>2228</v>
      </c>
      <c r="O553" s="645">
        <v>1</v>
      </c>
      <c r="P553" s="646" t="s">
        <v>2229</v>
      </c>
      <c r="Q553" s="654">
        <v>199</v>
      </c>
      <c r="R553" s="648">
        <v>0.2</v>
      </c>
      <c r="S553" s="659">
        <v>159.19999999999999</v>
      </c>
      <c r="T553" s="650"/>
      <c r="U553" s="651"/>
      <c r="V553" s="288" t="s">
        <v>1099</v>
      </c>
      <c r="W553" s="89" t="s">
        <v>433</v>
      </c>
      <c r="X553" s="114" t="s">
        <v>1047</v>
      </c>
    </row>
    <row r="554" spans="1:24" s="1" customFormat="1">
      <c r="A554" s="241" t="s">
        <v>2230</v>
      </c>
      <c r="B554" s="248" t="s">
        <v>2231</v>
      </c>
      <c r="C554" s="249">
        <v>1</v>
      </c>
      <c r="D554" s="272" t="s">
        <v>2229</v>
      </c>
      <c r="E554" s="348">
        <v>169</v>
      </c>
      <c r="F554" s="226">
        <f>rv_20</f>
        <v>0.2</v>
      </c>
      <c r="G554" s="67">
        <f>E554-(E554*F554)</f>
        <v>135.19999999999999</v>
      </c>
      <c r="H554" s="93"/>
      <c r="I554" s="224"/>
      <c r="J554" s="288" t="s">
        <v>1099</v>
      </c>
      <c r="K554" s="89" t="s">
        <v>433</v>
      </c>
      <c r="L554" s="114" t="s">
        <v>1047</v>
      </c>
      <c r="M554" s="241" t="s">
        <v>2230</v>
      </c>
      <c r="N554" s="248" t="s">
        <v>2231</v>
      </c>
      <c r="O554" s="249">
        <v>1</v>
      </c>
      <c r="P554" s="272" t="s">
        <v>2229</v>
      </c>
      <c r="Q554" s="348">
        <v>169</v>
      </c>
      <c r="R554" s="226">
        <v>0.2</v>
      </c>
      <c r="S554" s="67">
        <v>135.19999999999999</v>
      </c>
      <c r="T554" s="93"/>
      <c r="U554" s="224"/>
      <c r="V554" s="288" t="s">
        <v>1099</v>
      </c>
      <c r="W554" s="89" t="s">
        <v>433</v>
      </c>
      <c r="X554" s="114" t="s">
        <v>1047</v>
      </c>
    </row>
    <row r="555" spans="1:24" s="1" customFormat="1" ht="13.5" thickBot="1">
      <c r="A555" s="263" t="s">
        <v>2232</v>
      </c>
      <c r="B555" s="248" t="s">
        <v>2233</v>
      </c>
      <c r="C555" s="249">
        <v>1</v>
      </c>
      <c r="D555" s="272" t="s">
        <v>2219</v>
      </c>
      <c r="E555" s="348">
        <v>159.94999999999999</v>
      </c>
      <c r="F555" s="226">
        <f>rv_20</f>
        <v>0.2</v>
      </c>
      <c r="G555" s="67">
        <f>E555-(E555*F555)</f>
        <v>127.96</v>
      </c>
      <c r="H555" s="93"/>
      <c r="I555" s="224"/>
      <c r="J555" s="288" t="s">
        <v>1099</v>
      </c>
      <c r="K555" s="89" t="s">
        <v>433</v>
      </c>
      <c r="L555" s="114" t="s">
        <v>1047</v>
      </c>
      <c r="M555" s="241" t="s">
        <v>2232</v>
      </c>
      <c r="N555" s="248" t="s">
        <v>2233</v>
      </c>
      <c r="O555" s="249">
        <v>1</v>
      </c>
      <c r="P555" s="272" t="s">
        <v>2219</v>
      </c>
      <c r="Q555" s="348">
        <v>159.94999999999999</v>
      </c>
      <c r="R555" s="226">
        <v>0.2</v>
      </c>
      <c r="S555" s="67">
        <v>127.96</v>
      </c>
      <c r="T555" s="93"/>
      <c r="U555" s="224"/>
      <c r="V555" s="288" t="s">
        <v>1099</v>
      </c>
      <c r="W555" s="89" t="s">
        <v>433</v>
      </c>
      <c r="X555" s="114" t="s">
        <v>1047</v>
      </c>
    </row>
    <row r="556" spans="1:24" s="1" customFormat="1" ht="23.1" customHeight="1" thickBot="1">
      <c r="A556" s="680" t="s">
        <v>2234</v>
      </c>
      <c r="B556" s="458" t="s">
        <v>2235</v>
      </c>
      <c r="C556" s="459"/>
      <c r="D556" s="459"/>
      <c r="E556" s="460"/>
      <c r="F556" s="461"/>
      <c r="G556" s="460"/>
      <c r="H556" s="460"/>
      <c r="I556" s="460"/>
      <c r="J556" s="635"/>
      <c r="K556" s="462"/>
      <c r="L556" s="463"/>
      <c r="M556" s="474" t="s">
        <v>2234</v>
      </c>
      <c r="N556" s="458" t="s">
        <v>2235</v>
      </c>
      <c r="O556" s="459"/>
      <c r="P556" s="459"/>
      <c r="Q556" s="460"/>
      <c r="R556" s="461"/>
      <c r="S556" s="460"/>
      <c r="T556" s="460"/>
      <c r="U556" s="460"/>
      <c r="V556" s="635"/>
      <c r="W556" s="462"/>
      <c r="X556" s="463"/>
    </row>
    <row r="557" spans="1:24" s="1" customFormat="1">
      <c r="A557" s="263" t="s">
        <v>2236</v>
      </c>
      <c r="B557" s="248" t="s">
        <v>2237</v>
      </c>
      <c r="C557" s="249">
        <v>1</v>
      </c>
      <c r="D557" s="272" t="s">
        <v>1411</v>
      </c>
      <c r="E557" s="348">
        <v>37.5</v>
      </c>
      <c r="F557" s="226">
        <f>rv_20</f>
        <v>0.2</v>
      </c>
      <c r="G557" s="67">
        <f>E557-(E557*F557)</f>
        <v>30</v>
      </c>
      <c r="H557" s="93"/>
      <c r="I557" s="224"/>
      <c r="J557" s="288" t="s">
        <v>1099</v>
      </c>
      <c r="K557" s="89" t="s">
        <v>433</v>
      </c>
      <c r="L557" s="114" t="s">
        <v>1047</v>
      </c>
      <c r="M557" s="643" t="s">
        <v>2238</v>
      </c>
      <c r="N557" s="644" t="s">
        <v>2239</v>
      </c>
      <c r="O557" s="645">
        <v>1</v>
      </c>
      <c r="P557" s="646" t="s">
        <v>1411</v>
      </c>
      <c r="Q557" s="654">
        <v>35.75</v>
      </c>
      <c r="R557" s="648">
        <v>0.2</v>
      </c>
      <c r="S557" s="659">
        <v>28.6</v>
      </c>
      <c r="T557" s="650"/>
      <c r="U557" s="651">
        <v>0</v>
      </c>
      <c r="V557" s="288" t="s">
        <v>1099</v>
      </c>
      <c r="W557" s="89" t="s">
        <v>433</v>
      </c>
      <c r="X557" s="114" t="s">
        <v>1047</v>
      </c>
    </row>
    <row r="558" spans="1:24" s="1" customFormat="1">
      <c r="A558" s="263"/>
      <c r="B558" s="248"/>
      <c r="C558" s="249"/>
      <c r="D558" s="272"/>
      <c r="E558" s="348"/>
      <c r="F558" s="226"/>
      <c r="G558" s="67"/>
      <c r="H558" s="93"/>
      <c r="I558" s="224"/>
      <c r="J558" s="288"/>
      <c r="K558" s="89"/>
      <c r="L558" s="114"/>
      <c r="M558" s="643" t="s">
        <v>2240</v>
      </c>
      <c r="N558" s="644" t="s">
        <v>2241</v>
      </c>
      <c r="O558" s="645">
        <v>1</v>
      </c>
      <c r="P558" s="646" t="s">
        <v>1411</v>
      </c>
      <c r="Q558" s="654">
        <v>41.58</v>
      </c>
      <c r="R558" s="648">
        <v>0.2</v>
      </c>
      <c r="S558" s="659">
        <v>33.263999999999996</v>
      </c>
      <c r="T558" s="650"/>
      <c r="U558" s="651">
        <v>0</v>
      </c>
      <c r="V558" s="288" t="s">
        <v>1099</v>
      </c>
      <c r="W558" s="89" t="s">
        <v>433</v>
      </c>
      <c r="X558" s="114" t="s">
        <v>1047</v>
      </c>
    </row>
    <row r="559" spans="1:24" s="1" customFormat="1">
      <c r="A559" s="263" t="s">
        <v>2242</v>
      </c>
      <c r="B559" s="248" t="s">
        <v>2243</v>
      </c>
      <c r="C559" s="249">
        <v>1</v>
      </c>
      <c r="D559" s="272" t="s">
        <v>1411</v>
      </c>
      <c r="E559" s="348">
        <v>48.33</v>
      </c>
      <c r="F559" s="226">
        <f>rv_20</f>
        <v>0.2</v>
      </c>
      <c r="G559" s="67">
        <f>E559-(E559*F559)</f>
        <v>38.664000000000001</v>
      </c>
      <c r="H559" s="93"/>
      <c r="I559" s="224"/>
      <c r="J559" s="288" t="s">
        <v>1099</v>
      </c>
      <c r="K559" s="89" t="s">
        <v>433</v>
      </c>
      <c r="L559" s="114" t="s">
        <v>1047</v>
      </c>
      <c r="M559" s="241" t="s">
        <v>2242</v>
      </c>
      <c r="N559" s="248" t="s">
        <v>2243</v>
      </c>
      <c r="O559" s="249">
        <v>1</v>
      </c>
      <c r="P559" s="272" t="s">
        <v>1411</v>
      </c>
      <c r="Q559" s="348">
        <v>48.33</v>
      </c>
      <c r="R559" s="226">
        <v>0.2</v>
      </c>
      <c r="S559" s="67">
        <v>38.664000000000001</v>
      </c>
      <c r="T559" s="93"/>
      <c r="U559" s="224">
        <v>0</v>
      </c>
      <c r="V559" s="288" t="s">
        <v>1099</v>
      </c>
      <c r="W559" s="89" t="s">
        <v>433</v>
      </c>
      <c r="X559" s="114" t="s">
        <v>1047</v>
      </c>
    </row>
    <row r="560" spans="1:24" s="1" customFormat="1">
      <c r="A560" s="263" t="s">
        <v>2244</v>
      </c>
      <c r="B560" s="248" t="s">
        <v>2245</v>
      </c>
      <c r="C560" s="249">
        <v>1</v>
      </c>
      <c r="D560" s="272" t="s">
        <v>1411</v>
      </c>
      <c r="E560" s="348">
        <v>100</v>
      </c>
      <c r="F560" s="226">
        <f>rv_20</f>
        <v>0.2</v>
      </c>
      <c r="G560" s="67">
        <f>E560-(E560*F560)</f>
        <v>80</v>
      </c>
      <c r="H560" s="93"/>
      <c r="I560" s="224"/>
      <c r="J560" s="288" t="s">
        <v>1099</v>
      </c>
      <c r="K560" s="89" t="s">
        <v>433</v>
      </c>
      <c r="L560" s="114" t="s">
        <v>1047</v>
      </c>
      <c r="M560" s="241" t="s">
        <v>2244</v>
      </c>
      <c r="N560" s="248" t="s">
        <v>2245</v>
      </c>
      <c r="O560" s="249">
        <v>1</v>
      </c>
      <c r="P560" s="272" t="s">
        <v>1411</v>
      </c>
      <c r="Q560" s="348">
        <v>100</v>
      </c>
      <c r="R560" s="226">
        <v>0.2</v>
      </c>
      <c r="S560" s="67">
        <v>80</v>
      </c>
      <c r="T560" s="93"/>
      <c r="U560" s="224">
        <v>0</v>
      </c>
      <c r="V560" s="288" t="s">
        <v>1099</v>
      </c>
      <c r="W560" s="89" t="s">
        <v>433</v>
      </c>
      <c r="X560" s="114" t="s">
        <v>1047</v>
      </c>
    </row>
    <row r="561" spans="1:24" s="1" customFormat="1">
      <c r="A561" s="263" t="s">
        <v>2246</v>
      </c>
      <c r="B561" s="248" t="s">
        <v>2247</v>
      </c>
      <c r="C561" s="249">
        <v>1</v>
      </c>
      <c r="D561" s="272" t="s">
        <v>1411</v>
      </c>
      <c r="E561" s="348">
        <v>82.5</v>
      </c>
      <c r="F561" s="226">
        <f>rv_20</f>
        <v>0.2</v>
      </c>
      <c r="G561" s="67">
        <f>E561-(E561*F561)</f>
        <v>66</v>
      </c>
      <c r="H561" s="93"/>
      <c r="I561" s="224"/>
      <c r="J561" s="288" t="s">
        <v>1099</v>
      </c>
      <c r="K561" s="89" t="s">
        <v>433</v>
      </c>
      <c r="L561" s="114" t="s">
        <v>1047</v>
      </c>
      <c r="M561" s="241" t="s">
        <v>2246</v>
      </c>
      <c r="N561" s="248" t="s">
        <v>2247</v>
      </c>
      <c r="O561" s="249">
        <v>1</v>
      </c>
      <c r="P561" s="272" t="s">
        <v>1411</v>
      </c>
      <c r="Q561" s="348">
        <v>82.5</v>
      </c>
      <c r="R561" s="226">
        <v>0.2</v>
      </c>
      <c r="S561" s="67">
        <v>66</v>
      </c>
      <c r="T561" s="93"/>
      <c r="U561" s="224">
        <v>0</v>
      </c>
      <c r="V561" s="288" t="s">
        <v>1099</v>
      </c>
      <c r="W561" s="89" t="s">
        <v>433</v>
      </c>
      <c r="X561" s="114" t="s">
        <v>1047</v>
      </c>
    </row>
    <row r="562" spans="1:24" s="1" customFormat="1">
      <c r="A562" s="263" t="s">
        <v>2248</v>
      </c>
      <c r="B562" s="248" t="s">
        <v>2249</v>
      </c>
      <c r="C562" s="249">
        <v>1</v>
      </c>
      <c r="D562" s="272" t="s">
        <v>1411</v>
      </c>
      <c r="E562" s="348">
        <v>99.17</v>
      </c>
      <c r="F562" s="226">
        <f>rv_20</f>
        <v>0.2</v>
      </c>
      <c r="G562" s="67">
        <f>E562-(E562*F562)</f>
        <v>79.335999999999999</v>
      </c>
      <c r="H562" s="93"/>
      <c r="I562" s="224"/>
      <c r="J562" s="288" t="s">
        <v>1099</v>
      </c>
      <c r="K562" s="89" t="s">
        <v>433</v>
      </c>
      <c r="L562" s="114" t="s">
        <v>1047</v>
      </c>
      <c r="M562" s="241" t="s">
        <v>2248</v>
      </c>
      <c r="N562" s="248" t="s">
        <v>2249</v>
      </c>
      <c r="O562" s="249">
        <v>1</v>
      </c>
      <c r="P562" s="272" t="s">
        <v>1411</v>
      </c>
      <c r="Q562" s="348">
        <v>99.17</v>
      </c>
      <c r="R562" s="226">
        <v>0.2</v>
      </c>
      <c r="S562" s="67">
        <v>79.335999999999999</v>
      </c>
      <c r="T562" s="93"/>
      <c r="U562" s="224">
        <v>0</v>
      </c>
      <c r="V562" s="288" t="s">
        <v>1099</v>
      </c>
      <c r="W562" s="89" t="s">
        <v>433</v>
      </c>
      <c r="X562" s="114" t="s">
        <v>1047</v>
      </c>
    </row>
    <row r="563" spans="1:24" s="1" customFormat="1">
      <c r="A563" s="263" t="s">
        <v>2250</v>
      </c>
      <c r="B563" s="248" t="s">
        <v>2251</v>
      </c>
      <c r="C563" s="249">
        <v>1</v>
      </c>
      <c r="D563" s="272" t="s">
        <v>1411</v>
      </c>
      <c r="E563" s="348">
        <v>49.66</v>
      </c>
      <c r="F563" s="226">
        <f>rv_20</f>
        <v>0.2</v>
      </c>
      <c r="G563" s="67">
        <f>E563-(E563*F563)</f>
        <v>39.727999999999994</v>
      </c>
      <c r="H563" s="93"/>
      <c r="I563" s="224"/>
      <c r="J563" s="288" t="s">
        <v>1099</v>
      </c>
      <c r="K563" s="89" t="s">
        <v>433</v>
      </c>
      <c r="L563" s="114" t="s">
        <v>1047</v>
      </c>
      <c r="M563" s="643" t="s">
        <v>2252</v>
      </c>
      <c r="N563" s="644" t="s">
        <v>2253</v>
      </c>
      <c r="O563" s="645">
        <v>1</v>
      </c>
      <c r="P563" s="646" t="s">
        <v>1411</v>
      </c>
      <c r="Q563" s="654">
        <v>41.58</v>
      </c>
      <c r="R563" s="648">
        <v>0.2</v>
      </c>
      <c r="S563" s="659">
        <v>33.263999999999996</v>
      </c>
      <c r="T563" s="650"/>
      <c r="U563" s="651">
        <v>0</v>
      </c>
      <c r="V563" s="288" t="s">
        <v>1099</v>
      </c>
      <c r="W563" s="89" t="s">
        <v>433</v>
      </c>
      <c r="X563" s="114" t="s">
        <v>1047</v>
      </c>
    </row>
    <row r="564" spans="1:24" s="1" customFormat="1">
      <c r="A564" s="263"/>
      <c r="B564" s="248"/>
      <c r="C564" s="249"/>
      <c r="D564" s="272"/>
      <c r="E564" s="348"/>
      <c r="F564" s="226"/>
      <c r="G564" s="67"/>
      <c r="H564" s="93"/>
      <c r="I564" s="224"/>
      <c r="J564" s="288"/>
      <c r="K564" s="89"/>
      <c r="L564" s="114"/>
      <c r="M564" s="643" t="s">
        <v>2254</v>
      </c>
      <c r="N564" s="644" t="s">
        <v>2255</v>
      </c>
      <c r="O564" s="645">
        <v>1</v>
      </c>
      <c r="P564" s="646" t="s">
        <v>1411</v>
      </c>
      <c r="Q564" s="654">
        <v>33.25</v>
      </c>
      <c r="R564" s="648">
        <v>0.2</v>
      </c>
      <c r="S564" s="659">
        <v>26.6</v>
      </c>
      <c r="T564" s="650"/>
      <c r="U564" s="651">
        <v>0</v>
      </c>
      <c r="V564" s="288" t="s">
        <v>1099</v>
      </c>
      <c r="W564" s="89" t="s">
        <v>433</v>
      </c>
      <c r="X564" s="114" t="s">
        <v>1047</v>
      </c>
    </row>
    <row r="565" spans="1:24" s="1" customFormat="1">
      <c r="A565" s="263" t="s">
        <v>2256</v>
      </c>
      <c r="B565" s="248" t="s">
        <v>2257</v>
      </c>
      <c r="C565" s="249">
        <v>1</v>
      </c>
      <c r="D565" s="272" t="s">
        <v>1411</v>
      </c>
      <c r="E565" s="348">
        <v>33.25</v>
      </c>
      <c r="F565" s="226">
        <f t="shared" ref="F565:F581" si="61">rv_20</f>
        <v>0.2</v>
      </c>
      <c r="G565" s="67">
        <f t="shared" ref="G565:G574" si="62">E565-(E565*F565)</f>
        <v>26.6</v>
      </c>
      <c r="H565" s="93"/>
      <c r="I565" s="224"/>
      <c r="J565" s="288" t="s">
        <v>1099</v>
      </c>
      <c r="K565" s="89" t="s">
        <v>433</v>
      </c>
      <c r="L565" s="114" t="s">
        <v>1047</v>
      </c>
      <c r="M565" s="241" t="s">
        <v>2256</v>
      </c>
      <c r="N565" s="248" t="s">
        <v>2257</v>
      </c>
      <c r="O565" s="249">
        <v>1</v>
      </c>
      <c r="P565" s="272" t="s">
        <v>1411</v>
      </c>
      <c r="Q565" s="348">
        <v>33.25</v>
      </c>
      <c r="R565" s="226">
        <v>0.2</v>
      </c>
      <c r="S565" s="67">
        <v>26.6</v>
      </c>
      <c r="T565" s="93"/>
      <c r="U565" s="224">
        <v>0</v>
      </c>
      <c r="V565" s="288" t="s">
        <v>1099</v>
      </c>
      <c r="W565" s="89" t="s">
        <v>433</v>
      </c>
      <c r="X565" s="114" t="s">
        <v>1047</v>
      </c>
    </row>
    <row r="566" spans="1:24" s="1" customFormat="1">
      <c r="A566" s="263" t="s">
        <v>2258</v>
      </c>
      <c r="B566" s="248" t="s">
        <v>2259</v>
      </c>
      <c r="C566" s="249">
        <v>1</v>
      </c>
      <c r="D566" s="272" t="s">
        <v>1411</v>
      </c>
      <c r="E566" s="348">
        <v>33.25</v>
      </c>
      <c r="F566" s="226">
        <f t="shared" si="61"/>
        <v>0.2</v>
      </c>
      <c r="G566" s="67">
        <f t="shared" si="62"/>
        <v>26.6</v>
      </c>
      <c r="H566" s="93"/>
      <c r="I566" s="224"/>
      <c r="J566" s="288" t="s">
        <v>1099</v>
      </c>
      <c r="K566" s="89" t="s">
        <v>433</v>
      </c>
      <c r="L566" s="114" t="s">
        <v>1047</v>
      </c>
      <c r="M566" s="241" t="s">
        <v>2258</v>
      </c>
      <c r="N566" s="248" t="s">
        <v>2259</v>
      </c>
      <c r="O566" s="249">
        <v>1</v>
      </c>
      <c r="P566" s="272" t="s">
        <v>1411</v>
      </c>
      <c r="Q566" s="348">
        <v>33.25</v>
      </c>
      <c r="R566" s="226">
        <v>0.2</v>
      </c>
      <c r="S566" s="67">
        <v>26.6</v>
      </c>
      <c r="T566" s="93"/>
      <c r="U566" s="224">
        <v>0</v>
      </c>
      <c r="V566" s="288" t="s">
        <v>1099</v>
      </c>
      <c r="W566" s="89" t="s">
        <v>433</v>
      </c>
      <c r="X566" s="114" t="s">
        <v>1047</v>
      </c>
    </row>
    <row r="567" spans="1:24" s="1" customFormat="1">
      <c r="A567" s="263" t="s">
        <v>2260</v>
      </c>
      <c r="B567" s="248" t="s">
        <v>2261</v>
      </c>
      <c r="C567" s="249">
        <v>1</v>
      </c>
      <c r="D567" s="272" t="s">
        <v>1411</v>
      </c>
      <c r="E567" s="348">
        <v>33.25</v>
      </c>
      <c r="F567" s="226">
        <f t="shared" si="61"/>
        <v>0.2</v>
      </c>
      <c r="G567" s="67">
        <f t="shared" si="62"/>
        <v>26.6</v>
      </c>
      <c r="H567" s="93"/>
      <c r="I567" s="224"/>
      <c r="J567" s="288" t="s">
        <v>1099</v>
      </c>
      <c r="K567" s="89" t="s">
        <v>433</v>
      </c>
      <c r="L567" s="114" t="s">
        <v>1047</v>
      </c>
      <c r="M567" s="241" t="s">
        <v>2260</v>
      </c>
      <c r="N567" s="248" t="s">
        <v>2261</v>
      </c>
      <c r="O567" s="249">
        <v>1</v>
      </c>
      <c r="P567" s="272" t="s">
        <v>1411</v>
      </c>
      <c r="Q567" s="348">
        <v>33.25</v>
      </c>
      <c r="R567" s="226">
        <v>0.2</v>
      </c>
      <c r="S567" s="67">
        <v>26.6</v>
      </c>
      <c r="T567" s="93"/>
      <c r="U567" s="224">
        <v>0</v>
      </c>
      <c r="V567" s="288" t="s">
        <v>1099</v>
      </c>
      <c r="W567" s="89" t="s">
        <v>433</v>
      </c>
      <c r="X567" s="114" t="s">
        <v>1047</v>
      </c>
    </row>
    <row r="568" spans="1:24" s="1" customFormat="1">
      <c r="A568" s="263" t="s">
        <v>2262</v>
      </c>
      <c r="B568" s="248" t="s">
        <v>2263</v>
      </c>
      <c r="C568" s="249">
        <v>1</v>
      </c>
      <c r="D568" s="272" t="s">
        <v>1411</v>
      </c>
      <c r="E568" s="348">
        <v>30.75</v>
      </c>
      <c r="F568" s="226">
        <f t="shared" si="61"/>
        <v>0.2</v>
      </c>
      <c r="G568" s="67">
        <f t="shared" si="62"/>
        <v>24.6</v>
      </c>
      <c r="H568" s="93"/>
      <c r="I568" s="224"/>
      <c r="J568" s="288" t="s">
        <v>1099</v>
      </c>
      <c r="K568" s="89" t="s">
        <v>433</v>
      </c>
      <c r="L568" s="114" t="s">
        <v>1047</v>
      </c>
      <c r="M568" s="241" t="s">
        <v>2262</v>
      </c>
      <c r="N568" s="248" t="s">
        <v>2263</v>
      </c>
      <c r="O568" s="249">
        <v>1</v>
      </c>
      <c r="P568" s="272" t="s">
        <v>1411</v>
      </c>
      <c r="Q568" s="348">
        <v>30.75</v>
      </c>
      <c r="R568" s="226">
        <v>0.2</v>
      </c>
      <c r="S568" s="67">
        <v>24.6</v>
      </c>
      <c r="T568" s="93"/>
      <c r="U568" s="224">
        <v>0</v>
      </c>
      <c r="V568" s="288" t="s">
        <v>1099</v>
      </c>
      <c r="W568" s="89" t="s">
        <v>433</v>
      </c>
      <c r="X568" s="114" t="s">
        <v>1047</v>
      </c>
    </row>
    <row r="569" spans="1:24" s="1" customFormat="1">
      <c r="A569" s="263" t="s">
        <v>2264</v>
      </c>
      <c r="B569" s="248" t="s">
        <v>2265</v>
      </c>
      <c r="C569" s="249">
        <v>1</v>
      </c>
      <c r="D569" s="272" t="s">
        <v>1411</v>
      </c>
      <c r="E569" s="348">
        <v>37.42</v>
      </c>
      <c r="F569" s="226">
        <f t="shared" si="61"/>
        <v>0.2</v>
      </c>
      <c r="G569" s="67">
        <f t="shared" si="62"/>
        <v>29.936</v>
      </c>
      <c r="H569" s="93"/>
      <c r="I569" s="224"/>
      <c r="J569" s="288" t="s">
        <v>1099</v>
      </c>
      <c r="K569" s="89" t="s">
        <v>433</v>
      </c>
      <c r="L569" s="114" t="s">
        <v>1047</v>
      </c>
      <c r="M569" s="241" t="s">
        <v>2264</v>
      </c>
      <c r="N569" s="248" t="s">
        <v>2265</v>
      </c>
      <c r="O569" s="249">
        <v>1</v>
      </c>
      <c r="P569" s="272" t="s">
        <v>1411</v>
      </c>
      <c r="Q569" s="348">
        <v>37.42</v>
      </c>
      <c r="R569" s="226">
        <v>0.2</v>
      </c>
      <c r="S569" s="67">
        <v>29.936</v>
      </c>
      <c r="T569" s="93"/>
      <c r="U569" s="224">
        <v>0</v>
      </c>
      <c r="V569" s="288" t="s">
        <v>1099</v>
      </c>
      <c r="W569" s="89" t="s">
        <v>433</v>
      </c>
      <c r="X569" s="114" t="s">
        <v>1047</v>
      </c>
    </row>
    <row r="570" spans="1:24" s="1" customFormat="1">
      <c r="A570" s="263" t="s">
        <v>2266</v>
      </c>
      <c r="B570" s="248" t="s">
        <v>2267</v>
      </c>
      <c r="C570" s="249">
        <v>1</v>
      </c>
      <c r="D570" s="272" t="s">
        <v>1411</v>
      </c>
      <c r="E570" s="348">
        <v>65.83</v>
      </c>
      <c r="F570" s="226">
        <f t="shared" si="61"/>
        <v>0.2</v>
      </c>
      <c r="G570" s="67">
        <f t="shared" si="62"/>
        <v>52.664000000000001</v>
      </c>
      <c r="H570" s="93"/>
      <c r="I570" s="224"/>
      <c r="J570" s="288" t="s">
        <v>1099</v>
      </c>
      <c r="K570" s="89" t="s">
        <v>433</v>
      </c>
      <c r="L570" s="114" t="s">
        <v>1047</v>
      </c>
      <c r="M570" s="241" t="s">
        <v>2266</v>
      </c>
      <c r="N570" s="248" t="s">
        <v>2267</v>
      </c>
      <c r="O570" s="249">
        <v>1</v>
      </c>
      <c r="P570" s="272" t="s">
        <v>1411</v>
      </c>
      <c r="Q570" s="348">
        <v>65.83</v>
      </c>
      <c r="R570" s="226">
        <v>0.2</v>
      </c>
      <c r="S570" s="67">
        <v>52.664000000000001</v>
      </c>
      <c r="T570" s="93"/>
      <c r="U570" s="224">
        <v>0</v>
      </c>
      <c r="V570" s="288" t="s">
        <v>1099</v>
      </c>
      <c r="W570" s="89" t="s">
        <v>433</v>
      </c>
      <c r="X570" s="114" t="s">
        <v>1047</v>
      </c>
    </row>
    <row r="571" spans="1:24" s="1" customFormat="1">
      <c r="A571" s="263" t="s">
        <v>2268</v>
      </c>
      <c r="B571" s="248" t="s">
        <v>2269</v>
      </c>
      <c r="C571" s="249">
        <v>1</v>
      </c>
      <c r="D571" s="272" t="s">
        <v>1411</v>
      </c>
      <c r="E571" s="348">
        <v>49.92</v>
      </c>
      <c r="F571" s="226">
        <f t="shared" si="61"/>
        <v>0.2</v>
      </c>
      <c r="G571" s="67">
        <f t="shared" si="62"/>
        <v>39.936</v>
      </c>
      <c r="H571" s="93"/>
      <c r="I571" s="224"/>
      <c r="J571" s="288" t="s">
        <v>1099</v>
      </c>
      <c r="K571" s="89" t="s">
        <v>433</v>
      </c>
      <c r="L571" s="114" t="s">
        <v>1047</v>
      </c>
      <c r="M571" s="241" t="s">
        <v>2268</v>
      </c>
      <c r="N571" s="248" t="s">
        <v>2269</v>
      </c>
      <c r="O571" s="249">
        <v>1</v>
      </c>
      <c r="P571" s="272" t="s">
        <v>1411</v>
      </c>
      <c r="Q571" s="348">
        <v>49.92</v>
      </c>
      <c r="R571" s="226">
        <v>0.2</v>
      </c>
      <c r="S571" s="67">
        <v>39.936</v>
      </c>
      <c r="T571" s="93"/>
      <c r="U571" s="224">
        <v>0</v>
      </c>
      <c r="V571" s="288" t="s">
        <v>1099</v>
      </c>
      <c r="W571" s="89" t="s">
        <v>433</v>
      </c>
      <c r="X571" s="114" t="s">
        <v>1047</v>
      </c>
    </row>
    <row r="572" spans="1:24" s="1" customFormat="1">
      <c r="A572" s="263" t="s">
        <v>2270</v>
      </c>
      <c r="B572" s="248" t="s">
        <v>2271</v>
      </c>
      <c r="C572" s="249">
        <v>1</v>
      </c>
      <c r="D572" s="272" t="s">
        <v>1411</v>
      </c>
      <c r="E572" s="348">
        <v>45.75</v>
      </c>
      <c r="F572" s="226">
        <f t="shared" si="61"/>
        <v>0.2</v>
      </c>
      <c r="G572" s="67">
        <f t="shared" si="62"/>
        <v>36.6</v>
      </c>
      <c r="H572" s="93"/>
      <c r="I572" s="224"/>
      <c r="J572" s="288" t="s">
        <v>1099</v>
      </c>
      <c r="K572" s="89" t="s">
        <v>433</v>
      </c>
      <c r="L572" s="114" t="s">
        <v>1047</v>
      </c>
      <c r="M572" s="241" t="s">
        <v>2270</v>
      </c>
      <c r="N572" s="248" t="s">
        <v>2271</v>
      </c>
      <c r="O572" s="249">
        <v>1</v>
      </c>
      <c r="P572" s="272" t="s">
        <v>1411</v>
      </c>
      <c r="Q572" s="348">
        <v>45.75</v>
      </c>
      <c r="R572" s="226">
        <v>0.2</v>
      </c>
      <c r="S572" s="67">
        <v>36.6</v>
      </c>
      <c r="T572" s="93"/>
      <c r="U572" s="224">
        <v>0</v>
      </c>
      <c r="V572" s="288" t="s">
        <v>1099</v>
      </c>
      <c r="W572" s="89" t="s">
        <v>433</v>
      </c>
      <c r="X572" s="114" t="s">
        <v>1047</v>
      </c>
    </row>
    <row r="573" spans="1:24" s="1" customFormat="1">
      <c r="A573" s="263" t="s">
        <v>2272</v>
      </c>
      <c r="B573" s="248" t="s">
        <v>2273</v>
      </c>
      <c r="C573" s="249">
        <v>1</v>
      </c>
      <c r="D573" s="272" t="s">
        <v>1411</v>
      </c>
      <c r="E573" s="348">
        <v>20.75</v>
      </c>
      <c r="F573" s="226">
        <f t="shared" si="61"/>
        <v>0.2</v>
      </c>
      <c r="G573" s="67">
        <f t="shared" si="62"/>
        <v>16.600000000000001</v>
      </c>
      <c r="H573" s="93"/>
      <c r="I573" s="224"/>
      <c r="J573" s="288" t="s">
        <v>1099</v>
      </c>
      <c r="K573" s="89" t="s">
        <v>433</v>
      </c>
      <c r="L573" s="114" t="s">
        <v>1047</v>
      </c>
      <c r="M573" s="241" t="s">
        <v>2272</v>
      </c>
      <c r="N573" s="248" t="s">
        <v>2273</v>
      </c>
      <c r="O573" s="249">
        <v>1</v>
      </c>
      <c r="P573" s="272" t="s">
        <v>1411</v>
      </c>
      <c r="Q573" s="348">
        <v>20.75</v>
      </c>
      <c r="R573" s="226">
        <v>0.2</v>
      </c>
      <c r="S573" s="67">
        <v>16.600000000000001</v>
      </c>
      <c r="T573" s="93"/>
      <c r="U573" s="224">
        <v>0</v>
      </c>
      <c r="V573" s="288" t="s">
        <v>1099</v>
      </c>
      <c r="W573" s="89" t="s">
        <v>433</v>
      </c>
      <c r="X573" s="114" t="s">
        <v>1047</v>
      </c>
    </row>
    <row r="574" spans="1:24" s="1" customFormat="1">
      <c r="A574" s="263" t="s">
        <v>2274</v>
      </c>
      <c r="B574" s="248" t="s">
        <v>2275</v>
      </c>
      <c r="C574" s="249">
        <v>1</v>
      </c>
      <c r="D574" s="272" t="s">
        <v>1411</v>
      </c>
      <c r="E574" s="348">
        <v>20.75</v>
      </c>
      <c r="F574" s="226">
        <f t="shared" si="61"/>
        <v>0.2</v>
      </c>
      <c r="G574" s="67">
        <f t="shared" si="62"/>
        <v>16.600000000000001</v>
      </c>
      <c r="H574" s="93"/>
      <c r="I574" s="224"/>
      <c r="J574" s="288" t="s">
        <v>1099</v>
      </c>
      <c r="K574" s="89" t="s">
        <v>433</v>
      </c>
      <c r="L574" s="114" t="s">
        <v>1047</v>
      </c>
      <c r="M574" s="241" t="s">
        <v>2274</v>
      </c>
      <c r="N574" s="248" t="s">
        <v>2275</v>
      </c>
      <c r="O574" s="249">
        <v>1</v>
      </c>
      <c r="P574" s="272" t="s">
        <v>1411</v>
      </c>
      <c r="Q574" s="348">
        <v>20.75</v>
      </c>
      <c r="R574" s="226">
        <v>0.2</v>
      </c>
      <c r="S574" s="67">
        <v>16.600000000000001</v>
      </c>
      <c r="T574" s="93"/>
      <c r="U574" s="224">
        <v>0</v>
      </c>
      <c r="V574" s="288" t="s">
        <v>1099</v>
      </c>
      <c r="W574" s="89" t="s">
        <v>433</v>
      </c>
      <c r="X574" s="114" t="s">
        <v>1047</v>
      </c>
    </row>
    <row r="575" spans="1:24" s="1" customFormat="1">
      <c r="A575" s="263" t="s">
        <v>2276</v>
      </c>
      <c r="B575" s="248" t="s">
        <v>2277</v>
      </c>
      <c r="C575" s="249">
        <v>1</v>
      </c>
      <c r="D575" s="272" t="s">
        <v>1928</v>
      </c>
      <c r="E575" s="348">
        <v>26.96</v>
      </c>
      <c r="F575" s="226">
        <f t="shared" si="61"/>
        <v>0.2</v>
      </c>
      <c r="G575" s="67">
        <f t="shared" ref="G575:G581" si="63">E575-(E575*F575)</f>
        <v>21.568000000000001</v>
      </c>
      <c r="H575" s="93"/>
      <c r="I575" s="224"/>
      <c r="J575" s="288" t="s">
        <v>1099</v>
      </c>
      <c r="K575" s="89" t="s">
        <v>433</v>
      </c>
      <c r="L575" s="114" t="s">
        <v>1047</v>
      </c>
      <c r="M575" s="241" t="s">
        <v>2276</v>
      </c>
      <c r="N575" s="248" t="s">
        <v>2277</v>
      </c>
      <c r="O575" s="249">
        <v>1</v>
      </c>
      <c r="P575" s="272" t="s">
        <v>1928</v>
      </c>
      <c r="Q575" s="348">
        <v>26.96</v>
      </c>
      <c r="R575" s="226">
        <v>0.2</v>
      </c>
      <c r="S575" s="67">
        <v>21.568000000000001</v>
      </c>
      <c r="T575" s="93"/>
      <c r="U575" s="224"/>
      <c r="V575" s="288" t="s">
        <v>1099</v>
      </c>
      <c r="W575" s="89" t="s">
        <v>433</v>
      </c>
      <c r="X575" s="114" t="s">
        <v>1047</v>
      </c>
    </row>
    <row r="576" spans="1:24" s="1" customFormat="1">
      <c r="A576" s="263" t="s">
        <v>2278</v>
      </c>
      <c r="B576" s="248" t="s">
        <v>2279</v>
      </c>
      <c r="C576" s="249">
        <v>1</v>
      </c>
      <c r="D576" s="272" t="s">
        <v>1928</v>
      </c>
      <c r="E576" s="348">
        <v>26.96</v>
      </c>
      <c r="F576" s="226">
        <f t="shared" si="61"/>
        <v>0.2</v>
      </c>
      <c r="G576" s="67">
        <f t="shared" si="63"/>
        <v>21.568000000000001</v>
      </c>
      <c r="H576" s="93"/>
      <c r="I576" s="224"/>
      <c r="J576" s="288" t="s">
        <v>1099</v>
      </c>
      <c r="K576" s="89" t="s">
        <v>433</v>
      </c>
      <c r="L576" s="114" t="s">
        <v>1047</v>
      </c>
      <c r="M576" s="241" t="s">
        <v>2278</v>
      </c>
      <c r="N576" s="248" t="s">
        <v>2279</v>
      </c>
      <c r="O576" s="249">
        <v>1</v>
      </c>
      <c r="P576" s="272" t="s">
        <v>1928</v>
      </c>
      <c r="Q576" s="348">
        <v>26.96</v>
      </c>
      <c r="R576" s="226">
        <v>0.2</v>
      </c>
      <c r="S576" s="67">
        <v>21.568000000000001</v>
      </c>
      <c r="T576" s="93"/>
      <c r="U576" s="224"/>
      <c r="V576" s="288" t="s">
        <v>1099</v>
      </c>
      <c r="W576" s="89" t="s">
        <v>433</v>
      </c>
      <c r="X576" s="114" t="s">
        <v>1047</v>
      </c>
    </row>
    <row r="577" spans="1:24" s="1" customFormat="1">
      <c r="A577" s="263">
        <v>400700</v>
      </c>
      <c r="B577" s="271" t="s">
        <v>2280</v>
      </c>
      <c r="C577" s="249">
        <v>1</v>
      </c>
      <c r="D577" s="272" t="s">
        <v>1978</v>
      </c>
      <c r="E577" s="348">
        <v>37.49</v>
      </c>
      <c r="F577" s="226">
        <f t="shared" si="61"/>
        <v>0.2</v>
      </c>
      <c r="G577" s="67">
        <f t="shared" si="63"/>
        <v>29.992000000000001</v>
      </c>
      <c r="H577" s="93"/>
      <c r="I577" s="224"/>
      <c r="J577" s="288" t="s">
        <v>1099</v>
      </c>
      <c r="K577" s="89" t="s">
        <v>433</v>
      </c>
      <c r="L577" s="114" t="s">
        <v>1047</v>
      </c>
      <c r="M577" s="241">
        <v>400700</v>
      </c>
      <c r="N577" s="271" t="s">
        <v>2281</v>
      </c>
      <c r="O577" s="249">
        <v>1</v>
      </c>
      <c r="P577" s="272" t="s">
        <v>1978</v>
      </c>
      <c r="Q577" s="348">
        <v>37.49</v>
      </c>
      <c r="R577" s="226">
        <v>0.2</v>
      </c>
      <c r="S577" s="67">
        <v>29.992000000000001</v>
      </c>
      <c r="T577" s="93"/>
      <c r="U577" s="224"/>
      <c r="V577" s="288" t="s">
        <v>1099</v>
      </c>
      <c r="W577" s="89" t="s">
        <v>433</v>
      </c>
      <c r="X577" s="114" t="s">
        <v>1047</v>
      </c>
    </row>
    <row r="578" spans="1:24" s="1" customFormat="1">
      <c r="A578" s="263">
        <v>400701</v>
      </c>
      <c r="B578" s="271" t="s">
        <v>2282</v>
      </c>
      <c r="C578" s="249">
        <v>1</v>
      </c>
      <c r="D578" s="272" t="s">
        <v>1978</v>
      </c>
      <c r="E578" s="348">
        <v>41.66</v>
      </c>
      <c r="F578" s="226">
        <f t="shared" si="61"/>
        <v>0.2</v>
      </c>
      <c r="G578" s="67">
        <f t="shared" si="63"/>
        <v>33.327999999999996</v>
      </c>
      <c r="H578" s="93"/>
      <c r="I578" s="224"/>
      <c r="J578" s="288" t="s">
        <v>1099</v>
      </c>
      <c r="K578" s="89" t="s">
        <v>433</v>
      </c>
      <c r="L578" s="114" t="s">
        <v>1047</v>
      </c>
      <c r="M578" s="241">
        <v>400701</v>
      </c>
      <c r="N578" s="271" t="s">
        <v>2283</v>
      </c>
      <c r="O578" s="249">
        <v>1</v>
      </c>
      <c r="P578" s="272" t="s">
        <v>1978</v>
      </c>
      <c r="Q578" s="348">
        <v>41.66</v>
      </c>
      <c r="R578" s="226">
        <v>0.2</v>
      </c>
      <c r="S578" s="67">
        <v>33.327999999999996</v>
      </c>
      <c r="T578" s="93"/>
      <c r="U578" s="224"/>
      <c r="V578" s="288" t="s">
        <v>1099</v>
      </c>
      <c r="W578" s="89" t="s">
        <v>433</v>
      </c>
      <c r="X578" s="114" t="s">
        <v>1047</v>
      </c>
    </row>
    <row r="579" spans="1:24" s="1" customFormat="1">
      <c r="A579" s="263">
        <v>400702</v>
      </c>
      <c r="B579" s="271" t="s">
        <v>2284</v>
      </c>
      <c r="C579" s="249">
        <v>1</v>
      </c>
      <c r="D579" s="272" t="s">
        <v>1978</v>
      </c>
      <c r="E579" s="348">
        <v>49.99</v>
      </c>
      <c r="F579" s="226">
        <f t="shared" si="61"/>
        <v>0.2</v>
      </c>
      <c r="G579" s="67">
        <f t="shared" si="63"/>
        <v>39.992000000000004</v>
      </c>
      <c r="H579" s="93"/>
      <c r="I579" s="224"/>
      <c r="J579" s="288" t="s">
        <v>1099</v>
      </c>
      <c r="K579" s="89" t="s">
        <v>433</v>
      </c>
      <c r="L579" s="114" t="s">
        <v>1047</v>
      </c>
      <c r="M579" s="241">
        <v>400702</v>
      </c>
      <c r="N579" s="271" t="s">
        <v>2284</v>
      </c>
      <c r="O579" s="249">
        <v>1</v>
      </c>
      <c r="P579" s="272" t="s">
        <v>1978</v>
      </c>
      <c r="Q579" s="348">
        <v>49.99</v>
      </c>
      <c r="R579" s="226">
        <v>0.2</v>
      </c>
      <c r="S579" s="67">
        <v>39.992000000000004</v>
      </c>
      <c r="T579" s="93"/>
      <c r="U579" s="224"/>
      <c r="V579" s="288" t="s">
        <v>1099</v>
      </c>
      <c r="W579" s="89" t="s">
        <v>433</v>
      </c>
      <c r="X579" s="114" t="s">
        <v>1047</v>
      </c>
    </row>
    <row r="580" spans="1:24" s="1" customFormat="1">
      <c r="A580" s="263">
        <v>400703</v>
      </c>
      <c r="B580" s="271" t="s">
        <v>2285</v>
      </c>
      <c r="C580" s="249">
        <v>1</v>
      </c>
      <c r="D580" s="272" t="s">
        <v>1978</v>
      </c>
      <c r="E580" s="348">
        <v>66.66</v>
      </c>
      <c r="F580" s="226">
        <f t="shared" si="61"/>
        <v>0.2</v>
      </c>
      <c r="G580" s="67">
        <f t="shared" si="63"/>
        <v>53.327999999999996</v>
      </c>
      <c r="H580" s="93"/>
      <c r="I580" s="224"/>
      <c r="J580" s="288" t="s">
        <v>1099</v>
      </c>
      <c r="K580" s="89" t="s">
        <v>433</v>
      </c>
      <c r="L580" s="114" t="s">
        <v>1047</v>
      </c>
      <c r="M580" s="241">
        <v>400703</v>
      </c>
      <c r="N580" s="271" t="s">
        <v>2285</v>
      </c>
      <c r="O580" s="249">
        <v>1</v>
      </c>
      <c r="P580" s="272" t="s">
        <v>1978</v>
      </c>
      <c r="Q580" s="348">
        <v>66.66</v>
      </c>
      <c r="R580" s="226">
        <v>0.2</v>
      </c>
      <c r="S580" s="67">
        <v>53.327999999999996</v>
      </c>
      <c r="T580" s="93"/>
      <c r="U580" s="224"/>
      <c r="V580" s="288" t="s">
        <v>1099</v>
      </c>
      <c r="W580" s="89" t="s">
        <v>433</v>
      </c>
      <c r="X580" s="114" t="s">
        <v>1047</v>
      </c>
    </row>
    <row r="581" spans="1:24" s="1" customFormat="1">
      <c r="A581" s="263">
        <v>400708</v>
      </c>
      <c r="B581" s="271" t="s">
        <v>2286</v>
      </c>
      <c r="C581" s="249">
        <v>1</v>
      </c>
      <c r="D581" s="272" t="s">
        <v>1978</v>
      </c>
      <c r="E581" s="348">
        <v>115.83</v>
      </c>
      <c r="F581" s="226">
        <f t="shared" si="61"/>
        <v>0.2</v>
      </c>
      <c r="G581" s="67">
        <f t="shared" si="63"/>
        <v>92.664000000000001</v>
      </c>
      <c r="H581" s="93"/>
      <c r="I581" s="224"/>
      <c r="J581" s="288" t="s">
        <v>1099</v>
      </c>
      <c r="K581" s="89" t="s">
        <v>433</v>
      </c>
      <c r="L581" s="114" t="s">
        <v>1047</v>
      </c>
      <c r="M581" s="241">
        <v>400708</v>
      </c>
      <c r="N581" s="271" t="s">
        <v>2286</v>
      </c>
      <c r="O581" s="249">
        <v>1</v>
      </c>
      <c r="P581" s="272" t="s">
        <v>1978</v>
      </c>
      <c r="Q581" s="348">
        <v>115.83</v>
      </c>
      <c r="R581" s="226">
        <v>0.2</v>
      </c>
      <c r="S581" s="67">
        <v>92.664000000000001</v>
      </c>
      <c r="T581" s="93"/>
      <c r="U581" s="224"/>
      <c r="V581" s="288" t="s">
        <v>1099</v>
      </c>
      <c r="W581" s="89" t="s">
        <v>433</v>
      </c>
      <c r="X581" s="114" t="s">
        <v>1047</v>
      </c>
    </row>
    <row r="582" spans="1:24" s="1" customFormat="1">
      <c r="A582" s="263"/>
      <c r="B582" s="271"/>
      <c r="C582" s="249"/>
      <c r="D582" s="272"/>
      <c r="E582" s="348"/>
      <c r="F582" s="226"/>
      <c r="G582" s="67"/>
      <c r="H582" s="93"/>
      <c r="I582" s="224"/>
      <c r="J582" s="288"/>
      <c r="K582" s="89"/>
      <c r="L582" s="114"/>
      <c r="M582" s="643">
        <v>135064</v>
      </c>
      <c r="N582" s="658" t="s">
        <v>2287</v>
      </c>
      <c r="O582" s="645">
        <v>1</v>
      </c>
      <c r="P582" s="646" t="s">
        <v>1978</v>
      </c>
      <c r="Q582" s="654">
        <v>41.66</v>
      </c>
      <c r="R582" s="648">
        <v>0.2</v>
      </c>
      <c r="S582" s="659">
        <v>33.327999999999996</v>
      </c>
      <c r="T582" s="650"/>
      <c r="U582" s="651">
        <v>0.02</v>
      </c>
      <c r="V582" s="288" t="s">
        <v>1099</v>
      </c>
      <c r="W582" s="89" t="s">
        <v>433</v>
      </c>
      <c r="X582" s="114" t="s">
        <v>1047</v>
      </c>
    </row>
    <row r="583" spans="1:24" s="1" customFormat="1">
      <c r="A583" s="263">
        <v>400508</v>
      </c>
      <c r="B583" s="271" t="s">
        <v>2288</v>
      </c>
      <c r="C583" s="249">
        <v>1</v>
      </c>
      <c r="D583" s="272" t="s">
        <v>1978</v>
      </c>
      <c r="E583" s="348">
        <v>70.83</v>
      </c>
      <c r="F583" s="226">
        <f>rv_20</f>
        <v>0.2</v>
      </c>
      <c r="G583" s="67">
        <f t="shared" ref="G583:G584" si="64">E583-(E583*F583)</f>
        <v>56.664000000000001</v>
      </c>
      <c r="H583" s="93"/>
      <c r="I583" s="224">
        <v>0.01</v>
      </c>
      <c r="J583" s="288" t="s">
        <v>1099</v>
      </c>
      <c r="K583" s="89" t="s">
        <v>433</v>
      </c>
      <c r="L583" s="114" t="s">
        <v>1047</v>
      </c>
      <c r="M583" s="241">
        <v>400508</v>
      </c>
      <c r="N583" s="271" t="s">
        <v>2288</v>
      </c>
      <c r="O583" s="249">
        <v>1</v>
      </c>
      <c r="P583" s="272" t="s">
        <v>1978</v>
      </c>
      <c r="Q583" s="348">
        <v>70.83</v>
      </c>
      <c r="R583" s="226">
        <v>0.2</v>
      </c>
      <c r="S583" s="67">
        <v>56.664000000000001</v>
      </c>
      <c r="T583" s="93"/>
      <c r="U583" s="224">
        <v>0.01</v>
      </c>
      <c r="V583" s="288" t="s">
        <v>1099</v>
      </c>
      <c r="W583" s="89" t="s">
        <v>433</v>
      </c>
      <c r="X583" s="114" t="s">
        <v>1047</v>
      </c>
    </row>
    <row r="584" spans="1:24" s="1" customFormat="1" ht="13.5" thickBot="1">
      <c r="A584" s="263">
        <v>170231</v>
      </c>
      <c r="B584" s="271" t="s">
        <v>2289</v>
      </c>
      <c r="C584" s="249">
        <v>1</v>
      </c>
      <c r="D584" s="272" t="s">
        <v>1978</v>
      </c>
      <c r="E584" s="348">
        <v>108.33</v>
      </c>
      <c r="F584" s="226">
        <f>rv_20</f>
        <v>0.2</v>
      </c>
      <c r="G584" s="67">
        <f t="shared" si="64"/>
        <v>86.664000000000001</v>
      </c>
      <c r="H584" s="93"/>
      <c r="I584" s="224"/>
      <c r="J584" s="288" t="s">
        <v>1099</v>
      </c>
      <c r="K584" s="89" t="s">
        <v>433</v>
      </c>
      <c r="L584" s="114" t="s">
        <v>1047</v>
      </c>
      <c r="M584" s="241">
        <v>170231</v>
      </c>
      <c r="N584" s="271" t="s">
        <v>2289</v>
      </c>
      <c r="O584" s="249">
        <v>1</v>
      </c>
      <c r="P584" s="272" t="s">
        <v>1978</v>
      </c>
      <c r="Q584" s="348">
        <v>108.33</v>
      </c>
      <c r="R584" s="226">
        <v>0.2</v>
      </c>
      <c r="S584" s="67">
        <v>86.664000000000001</v>
      </c>
      <c r="T584" s="93"/>
      <c r="U584" s="224"/>
      <c r="V584" s="288" t="s">
        <v>1099</v>
      </c>
      <c r="W584" s="89" t="s">
        <v>433</v>
      </c>
      <c r="X584" s="114" t="s">
        <v>1047</v>
      </c>
    </row>
    <row r="585" spans="1:24" s="1" customFormat="1" ht="23.1" customHeight="1" thickBot="1">
      <c r="A585" s="680" t="s">
        <v>2290</v>
      </c>
      <c r="B585" s="458"/>
      <c r="C585" s="459"/>
      <c r="D585" s="459"/>
      <c r="E585" s="460"/>
      <c r="F585" s="461"/>
      <c r="G585" s="460"/>
      <c r="H585" s="460"/>
      <c r="I585" s="460"/>
      <c r="J585" s="635"/>
      <c r="K585" s="462"/>
      <c r="L585" s="463"/>
      <c r="M585" s="474" t="s">
        <v>2290</v>
      </c>
      <c r="N585" s="458"/>
      <c r="O585" s="459"/>
      <c r="P585" s="459"/>
      <c r="Q585" s="460"/>
      <c r="R585" s="461"/>
      <c r="S585" s="460"/>
      <c r="T585" s="460"/>
      <c r="U585" s="460"/>
      <c r="V585" s="635"/>
      <c r="W585" s="462"/>
      <c r="X585" s="463"/>
    </row>
    <row r="586" spans="1:24" s="1" customFormat="1">
      <c r="A586" s="263" t="s">
        <v>2291</v>
      </c>
      <c r="B586" s="248" t="s">
        <v>2292</v>
      </c>
      <c r="C586" s="249">
        <v>1</v>
      </c>
      <c r="D586" s="272" t="s">
        <v>118</v>
      </c>
      <c r="E586" s="349">
        <v>140.77000000000001</v>
      </c>
      <c r="F586" s="226">
        <f>rv_atv</f>
        <v>0.05</v>
      </c>
      <c r="G586" s="99">
        <f>E586-(E586*F586)</f>
        <v>133.73150000000001</v>
      </c>
      <c r="H586" s="93"/>
      <c r="I586" s="224">
        <v>0.06</v>
      </c>
      <c r="J586" s="288" t="s">
        <v>1099</v>
      </c>
      <c r="K586" s="89" t="s">
        <v>433</v>
      </c>
      <c r="L586" s="114" t="s">
        <v>1047</v>
      </c>
      <c r="M586" s="241" t="s">
        <v>2291</v>
      </c>
      <c r="N586" s="248" t="s">
        <v>2292</v>
      </c>
      <c r="O586" s="249">
        <v>1</v>
      </c>
      <c r="P586" s="272" t="s">
        <v>118</v>
      </c>
      <c r="Q586" s="349">
        <v>140.77000000000001</v>
      </c>
      <c r="R586" s="226">
        <v>0.05</v>
      </c>
      <c r="S586" s="99">
        <v>133.73150000000001</v>
      </c>
      <c r="T586" s="93"/>
      <c r="U586" s="224">
        <v>0.06</v>
      </c>
      <c r="V586" s="288" t="s">
        <v>1099</v>
      </c>
      <c r="W586" s="89" t="s">
        <v>433</v>
      </c>
      <c r="X586" s="114" t="s">
        <v>1047</v>
      </c>
    </row>
    <row r="587" spans="1:24" s="1" customFormat="1">
      <c r="A587" s="263" t="s">
        <v>2293</v>
      </c>
      <c r="B587" s="248" t="s">
        <v>2294</v>
      </c>
      <c r="C587" s="249">
        <v>1</v>
      </c>
      <c r="D587" s="272" t="s">
        <v>118</v>
      </c>
      <c r="E587" s="349">
        <v>157.44</v>
      </c>
      <c r="F587" s="226">
        <f>rv_atv</f>
        <v>0.05</v>
      </c>
      <c r="G587" s="99">
        <f>E587-(E587*F587)</f>
        <v>149.56799999999998</v>
      </c>
      <c r="H587" s="93"/>
      <c r="I587" s="224">
        <v>0.06</v>
      </c>
      <c r="J587" s="288" t="s">
        <v>1099</v>
      </c>
      <c r="K587" s="89" t="s">
        <v>433</v>
      </c>
      <c r="L587" s="114" t="s">
        <v>1047</v>
      </c>
      <c r="M587" s="241" t="s">
        <v>2293</v>
      </c>
      <c r="N587" s="248" t="s">
        <v>2294</v>
      </c>
      <c r="O587" s="249">
        <v>1</v>
      </c>
      <c r="P587" s="272" t="s">
        <v>118</v>
      </c>
      <c r="Q587" s="349">
        <v>157.44</v>
      </c>
      <c r="R587" s="226">
        <v>0.05</v>
      </c>
      <c r="S587" s="99">
        <v>149.56799999999998</v>
      </c>
      <c r="T587" s="93"/>
      <c r="U587" s="224">
        <v>0.06</v>
      </c>
      <c r="V587" s="288" t="s">
        <v>1099</v>
      </c>
      <c r="W587" s="89" t="s">
        <v>433</v>
      </c>
      <c r="X587" s="114" t="s">
        <v>1047</v>
      </c>
    </row>
    <row r="588" spans="1:24" s="1" customFormat="1" ht="13.5" thickBot="1">
      <c r="A588" s="263" t="s">
        <v>2295</v>
      </c>
      <c r="B588" s="248" t="s">
        <v>2296</v>
      </c>
      <c r="C588" s="249">
        <v>1</v>
      </c>
      <c r="D588" s="272" t="s">
        <v>118</v>
      </c>
      <c r="E588" s="349">
        <v>57.49</v>
      </c>
      <c r="F588" s="226">
        <f>rv_atv</f>
        <v>0.05</v>
      </c>
      <c r="G588" s="99">
        <f>E588-(E588*F588)</f>
        <v>54.615500000000004</v>
      </c>
      <c r="H588" s="93"/>
      <c r="I588" s="224">
        <v>0.01</v>
      </c>
      <c r="J588" s="288" t="s">
        <v>1099</v>
      </c>
      <c r="K588" s="89" t="s">
        <v>433</v>
      </c>
      <c r="L588" s="114" t="s">
        <v>1047</v>
      </c>
      <c r="M588" s="241" t="s">
        <v>2295</v>
      </c>
      <c r="N588" s="248" t="s">
        <v>2296</v>
      </c>
      <c r="O588" s="249">
        <v>1</v>
      </c>
      <c r="P588" s="272" t="s">
        <v>118</v>
      </c>
      <c r="Q588" s="349">
        <v>57.49</v>
      </c>
      <c r="R588" s="226">
        <v>0.05</v>
      </c>
      <c r="S588" s="99">
        <v>54.615500000000004</v>
      </c>
      <c r="T588" s="93"/>
      <c r="U588" s="224">
        <v>0.01</v>
      </c>
      <c r="V588" s="288" t="s">
        <v>1099</v>
      </c>
      <c r="W588" s="89" t="s">
        <v>433</v>
      </c>
      <c r="X588" s="114" t="s">
        <v>1047</v>
      </c>
    </row>
    <row r="589" spans="1:24" s="437" customFormat="1" ht="23.1" customHeight="1" thickBot="1">
      <c r="A589" s="680" t="s">
        <v>2297</v>
      </c>
      <c r="B589" s="458" t="s">
        <v>2298</v>
      </c>
      <c r="C589" s="459"/>
      <c r="D589" s="459"/>
      <c r="E589" s="460"/>
      <c r="F589" s="461"/>
      <c r="G589" s="460"/>
      <c r="H589" s="460"/>
      <c r="I589" s="460"/>
      <c r="J589" s="635"/>
      <c r="K589" s="462"/>
      <c r="L589" s="463"/>
      <c r="M589" s="474" t="s">
        <v>2297</v>
      </c>
      <c r="N589" s="458" t="s">
        <v>2298</v>
      </c>
      <c r="O589" s="459"/>
      <c r="P589" s="459"/>
      <c r="Q589" s="460"/>
      <c r="R589" s="461"/>
      <c r="S589" s="460"/>
      <c r="T589" s="460"/>
      <c r="U589" s="460"/>
      <c r="V589" s="635"/>
      <c r="W589" s="462"/>
      <c r="X589" s="463"/>
    </row>
    <row r="590" spans="1:24" s="437" customFormat="1" ht="15.95" customHeight="1">
      <c r="A590" s="684" t="s">
        <v>2299</v>
      </c>
      <c r="B590" s="93"/>
      <c r="C590" s="249"/>
      <c r="D590" s="272"/>
      <c r="E590" s="349"/>
      <c r="F590" s="226"/>
      <c r="G590" s="99"/>
      <c r="H590" s="93"/>
      <c r="I590" s="224"/>
      <c r="J590" s="288"/>
      <c r="K590" s="89"/>
      <c r="L590" s="114"/>
      <c r="M590" s="438" t="s">
        <v>2299</v>
      </c>
      <c r="N590" s="93"/>
      <c r="O590" s="249"/>
      <c r="P590" s="272"/>
      <c r="Q590" s="349"/>
      <c r="R590" s="226"/>
      <c r="S590" s="99"/>
      <c r="T590" s="93"/>
      <c r="U590" s="224"/>
      <c r="V590" s="288"/>
      <c r="W590" s="89"/>
      <c r="X590" s="114"/>
    </row>
    <row r="591" spans="1:24" s="1" customFormat="1" ht="15.95" customHeight="1">
      <c r="A591" s="678" t="s">
        <v>2300</v>
      </c>
      <c r="B591" s="248" t="s">
        <v>2301</v>
      </c>
      <c r="C591" s="249">
        <v>1</v>
      </c>
      <c r="D591" s="272" t="s">
        <v>2302</v>
      </c>
      <c r="E591" s="349">
        <v>48</v>
      </c>
      <c r="F591" s="226">
        <f>rv_32</f>
        <v>0.32</v>
      </c>
      <c r="G591" s="99">
        <f t="shared" ref="G591:G600" si="65">E591-(E591*F591)</f>
        <v>32.64</v>
      </c>
      <c r="H591" s="93"/>
      <c r="I591" s="224">
        <v>0.01</v>
      </c>
      <c r="J591" s="288" t="s">
        <v>1099</v>
      </c>
      <c r="K591" s="89" t="s">
        <v>433</v>
      </c>
      <c r="L591" s="114" t="s">
        <v>1047</v>
      </c>
      <c r="M591" s="266" t="s">
        <v>2300</v>
      </c>
      <c r="N591" s="248" t="s">
        <v>2301</v>
      </c>
      <c r="O591" s="249">
        <v>1</v>
      </c>
      <c r="P591" s="272" t="s">
        <v>2302</v>
      </c>
      <c r="Q591" s="349">
        <v>48</v>
      </c>
      <c r="R591" s="226">
        <v>0.32</v>
      </c>
      <c r="S591" s="99">
        <v>32.64</v>
      </c>
      <c r="T591" s="93"/>
      <c r="U591" s="224">
        <v>0.01</v>
      </c>
      <c r="V591" s="288" t="s">
        <v>1099</v>
      </c>
      <c r="W591" s="89" t="s">
        <v>433</v>
      </c>
      <c r="X591" s="114" t="s">
        <v>1047</v>
      </c>
    </row>
    <row r="592" spans="1:24" s="1" customFormat="1" ht="15.95" customHeight="1">
      <c r="A592" s="678" t="s">
        <v>2303</v>
      </c>
      <c r="B592" s="248" t="s">
        <v>2304</v>
      </c>
      <c r="C592" s="249">
        <v>1</v>
      </c>
      <c r="D592" s="272" t="s">
        <v>2302</v>
      </c>
      <c r="E592" s="349">
        <v>85</v>
      </c>
      <c r="F592" s="226">
        <f>rv_32</f>
        <v>0.32</v>
      </c>
      <c r="G592" s="99">
        <f t="shared" si="65"/>
        <v>57.8</v>
      </c>
      <c r="H592" s="93"/>
      <c r="I592" s="224">
        <v>0.01</v>
      </c>
      <c r="J592" s="288" t="s">
        <v>1099</v>
      </c>
      <c r="K592" s="89" t="s">
        <v>433</v>
      </c>
      <c r="L592" s="114" t="s">
        <v>1047</v>
      </c>
      <c r="M592" s="266" t="s">
        <v>2303</v>
      </c>
      <c r="N592" s="248" t="s">
        <v>2304</v>
      </c>
      <c r="O592" s="249">
        <v>1</v>
      </c>
      <c r="P592" s="272" t="s">
        <v>2302</v>
      </c>
      <c r="Q592" s="349">
        <v>85</v>
      </c>
      <c r="R592" s="226">
        <v>0.32</v>
      </c>
      <c r="S592" s="99">
        <v>57.8</v>
      </c>
      <c r="T592" s="93"/>
      <c r="U592" s="224">
        <v>0.01</v>
      </c>
      <c r="V592" s="288" t="s">
        <v>1099</v>
      </c>
      <c r="W592" s="89" t="s">
        <v>433</v>
      </c>
      <c r="X592" s="114" t="s">
        <v>1047</v>
      </c>
    </row>
    <row r="593" spans="1:24" s="1" customFormat="1" ht="17.100000000000001" customHeight="1">
      <c r="A593" s="678" t="s">
        <v>2305</v>
      </c>
      <c r="B593" s="248" t="s">
        <v>2306</v>
      </c>
      <c r="C593" s="249">
        <v>1</v>
      </c>
      <c r="D593" s="272" t="s">
        <v>2302</v>
      </c>
      <c r="E593" s="349">
        <v>159</v>
      </c>
      <c r="F593" s="226">
        <f>rv_32</f>
        <v>0.32</v>
      </c>
      <c r="G593" s="99">
        <f t="shared" si="65"/>
        <v>108.12</v>
      </c>
      <c r="H593" s="93"/>
      <c r="I593" s="224">
        <v>0.01</v>
      </c>
      <c r="J593" s="288" t="s">
        <v>1099</v>
      </c>
      <c r="K593" s="89" t="s">
        <v>433</v>
      </c>
      <c r="L593" s="114" t="s">
        <v>1047</v>
      </c>
      <c r="M593" s="266" t="s">
        <v>2305</v>
      </c>
      <c r="N593" s="248" t="s">
        <v>2306</v>
      </c>
      <c r="O593" s="249">
        <v>1</v>
      </c>
      <c r="P593" s="272" t="s">
        <v>2302</v>
      </c>
      <c r="Q593" s="349">
        <v>159</v>
      </c>
      <c r="R593" s="226">
        <v>0.32</v>
      </c>
      <c r="S593" s="99">
        <v>108.12</v>
      </c>
      <c r="T593" s="93"/>
      <c r="U593" s="224">
        <v>0.01</v>
      </c>
      <c r="V593" s="288" t="s">
        <v>1099</v>
      </c>
      <c r="W593" s="89" t="s">
        <v>433</v>
      </c>
      <c r="X593" s="114" t="s">
        <v>1047</v>
      </c>
    </row>
    <row r="594" spans="1:24" s="1" customFormat="1" ht="14.1" customHeight="1">
      <c r="A594" s="684" t="s">
        <v>2307</v>
      </c>
      <c r="B594" s="248"/>
      <c r="C594" s="249"/>
      <c r="D594" s="272"/>
      <c r="E594" s="349"/>
      <c r="F594" s="226"/>
      <c r="G594" s="99"/>
      <c r="H594" s="93"/>
      <c r="I594" s="224"/>
      <c r="J594" s="288" t="s">
        <v>1099</v>
      </c>
      <c r="K594" s="89" t="s">
        <v>433</v>
      </c>
      <c r="L594" s="114" t="s">
        <v>1047</v>
      </c>
      <c r="M594" s="438" t="s">
        <v>2307</v>
      </c>
      <c r="N594" s="248"/>
      <c r="O594" s="249"/>
      <c r="P594" s="272"/>
      <c r="Q594" s="349"/>
      <c r="R594" s="226"/>
      <c r="S594" s="99"/>
      <c r="T594" s="93"/>
      <c r="U594" s="224"/>
      <c r="V594" s="288" t="s">
        <v>1099</v>
      </c>
      <c r="W594" s="89" t="s">
        <v>433</v>
      </c>
      <c r="X594" s="114" t="s">
        <v>1047</v>
      </c>
    </row>
    <row r="595" spans="1:24" s="1" customFormat="1" ht="14.1" customHeight="1">
      <c r="A595" s="678" t="s">
        <v>2308</v>
      </c>
      <c r="B595" s="248" t="s">
        <v>2309</v>
      </c>
      <c r="C595" s="249">
        <v>1</v>
      </c>
      <c r="D595" s="272" t="s">
        <v>2302</v>
      </c>
      <c r="E595" s="349">
        <v>89</v>
      </c>
      <c r="F595" s="226">
        <f>rv_32</f>
        <v>0.32</v>
      </c>
      <c r="G595" s="99">
        <f t="shared" si="65"/>
        <v>60.519999999999996</v>
      </c>
      <c r="H595" s="93"/>
      <c r="I595" s="224">
        <v>0.01</v>
      </c>
      <c r="J595" s="288" t="s">
        <v>1099</v>
      </c>
      <c r="K595" s="89" t="s">
        <v>433</v>
      </c>
      <c r="L595" s="114" t="s">
        <v>1047</v>
      </c>
      <c r="M595" s="266" t="s">
        <v>2308</v>
      </c>
      <c r="N595" s="248" t="s">
        <v>2309</v>
      </c>
      <c r="O595" s="249">
        <v>1</v>
      </c>
      <c r="P595" s="272" t="s">
        <v>2302</v>
      </c>
      <c r="Q595" s="349">
        <v>89</v>
      </c>
      <c r="R595" s="226">
        <v>0.32</v>
      </c>
      <c r="S595" s="99">
        <v>60.519999999999996</v>
      </c>
      <c r="T595" s="93"/>
      <c r="U595" s="224">
        <v>0.01</v>
      </c>
      <c r="V595" s="288" t="s">
        <v>1099</v>
      </c>
      <c r="W595" s="89" t="s">
        <v>433</v>
      </c>
      <c r="X595" s="114" t="s">
        <v>1047</v>
      </c>
    </row>
    <row r="596" spans="1:24" s="1" customFormat="1" ht="14.1" customHeight="1">
      <c r="A596" s="678" t="s">
        <v>2310</v>
      </c>
      <c r="B596" s="248" t="s">
        <v>2311</v>
      </c>
      <c r="C596" s="249">
        <v>1</v>
      </c>
      <c r="D596" s="272" t="s">
        <v>2302</v>
      </c>
      <c r="E596" s="349">
        <v>179</v>
      </c>
      <c r="F596" s="226">
        <f>rv_32</f>
        <v>0.32</v>
      </c>
      <c r="G596" s="99">
        <f t="shared" si="65"/>
        <v>121.72</v>
      </c>
      <c r="H596" s="93"/>
      <c r="I596" s="224">
        <v>0.01</v>
      </c>
      <c r="J596" s="288" t="s">
        <v>1099</v>
      </c>
      <c r="K596" s="89" t="s">
        <v>433</v>
      </c>
      <c r="L596" s="114" t="s">
        <v>1047</v>
      </c>
      <c r="M596" s="266" t="s">
        <v>2310</v>
      </c>
      <c r="N596" s="248" t="s">
        <v>2311</v>
      </c>
      <c r="O596" s="249">
        <v>1</v>
      </c>
      <c r="P596" s="272" t="s">
        <v>2302</v>
      </c>
      <c r="Q596" s="349">
        <v>179</v>
      </c>
      <c r="R596" s="226">
        <v>0.32</v>
      </c>
      <c r="S596" s="99">
        <v>121.72</v>
      </c>
      <c r="T596" s="93"/>
      <c r="U596" s="224">
        <v>0.01</v>
      </c>
      <c r="V596" s="288" t="s">
        <v>1099</v>
      </c>
      <c r="W596" s="89" t="s">
        <v>433</v>
      </c>
      <c r="X596" s="114" t="s">
        <v>1047</v>
      </c>
    </row>
    <row r="597" spans="1:24" s="1" customFormat="1" ht="14.1" customHeight="1">
      <c r="A597" s="678" t="s">
        <v>2312</v>
      </c>
      <c r="B597" s="248" t="s">
        <v>2313</v>
      </c>
      <c r="C597" s="249">
        <v>1</v>
      </c>
      <c r="D597" s="272" t="s">
        <v>2302</v>
      </c>
      <c r="E597" s="349">
        <v>359</v>
      </c>
      <c r="F597" s="226">
        <f>rv_32</f>
        <v>0.32</v>
      </c>
      <c r="G597" s="99">
        <f t="shared" si="65"/>
        <v>244.12</v>
      </c>
      <c r="H597" s="93"/>
      <c r="I597" s="224">
        <v>0.01</v>
      </c>
      <c r="J597" s="288" t="s">
        <v>1099</v>
      </c>
      <c r="K597" s="89" t="s">
        <v>433</v>
      </c>
      <c r="L597" s="114" t="s">
        <v>1047</v>
      </c>
      <c r="M597" s="266" t="s">
        <v>2312</v>
      </c>
      <c r="N597" s="248" t="s">
        <v>2313</v>
      </c>
      <c r="O597" s="249">
        <v>1</v>
      </c>
      <c r="P597" s="272" t="s">
        <v>2302</v>
      </c>
      <c r="Q597" s="349">
        <v>359</v>
      </c>
      <c r="R597" s="226">
        <v>0.32</v>
      </c>
      <c r="S597" s="99">
        <v>244.12</v>
      </c>
      <c r="T597" s="93"/>
      <c r="U597" s="224">
        <v>0.01</v>
      </c>
      <c r="V597" s="288" t="s">
        <v>1099</v>
      </c>
      <c r="W597" s="89" t="s">
        <v>433</v>
      </c>
      <c r="X597" s="114" t="s">
        <v>1047</v>
      </c>
    </row>
    <row r="598" spans="1:24" s="1" customFormat="1" ht="15.95" customHeight="1">
      <c r="A598" s="684" t="s">
        <v>2314</v>
      </c>
      <c r="B598" s="248"/>
      <c r="C598" s="249"/>
      <c r="D598" s="272"/>
      <c r="E598" s="349"/>
      <c r="F598" s="226"/>
      <c r="G598" s="99"/>
      <c r="H598" s="93"/>
      <c r="I598" s="224"/>
      <c r="J598" s="288" t="s">
        <v>1099</v>
      </c>
      <c r="K598" s="89" t="s">
        <v>433</v>
      </c>
      <c r="L598" s="114" t="s">
        <v>1047</v>
      </c>
      <c r="M598" s="438" t="s">
        <v>2314</v>
      </c>
      <c r="N598" s="248"/>
      <c r="O598" s="249"/>
      <c r="P598" s="272"/>
      <c r="Q598" s="349"/>
      <c r="R598" s="226"/>
      <c r="S598" s="99"/>
      <c r="T598" s="93"/>
      <c r="U598" s="224"/>
      <c r="V598" s="288" t="s">
        <v>1099</v>
      </c>
      <c r="W598" s="89" t="s">
        <v>433</v>
      </c>
      <c r="X598" s="114" t="s">
        <v>1047</v>
      </c>
    </row>
    <row r="599" spans="1:24" s="1" customFormat="1" ht="12.95" customHeight="1">
      <c r="A599" s="678" t="s">
        <v>2315</v>
      </c>
      <c r="B599" s="267" t="s">
        <v>2316</v>
      </c>
      <c r="C599" s="249">
        <v>1</v>
      </c>
      <c r="D599" s="272" t="s">
        <v>2302</v>
      </c>
      <c r="E599" s="349">
        <v>48</v>
      </c>
      <c r="F599" s="226">
        <f>rv_32</f>
        <v>0.32</v>
      </c>
      <c r="G599" s="99">
        <f t="shared" si="65"/>
        <v>32.64</v>
      </c>
      <c r="H599" s="93"/>
      <c r="I599" s="224">
        <v>0.01</v>
      </c>
      <c r="J599" s="288" t="s">
        <v>1099</v>
      </c>
      <c r="K599" s="89" t="s">
        <v>433</v>
      </c>
      <c r="L599" s="114" t="s">
        <v>1047</v>
      </c>
      <c r="M599" s="266" t="s">
        <v>2315</v>
      </c>
      <c r="N599" s="267" t="s">
        <v>2316</v>
      </c>
      <c r="O599" s="249">
        <v>1</v>
      </c>
      <c r="P599" s="272" t="s">
        <v>2302</v>
      </c>
      <c r="Q599" s="349">
        <v>48</v>
      </c>
      <c r="R599" s="226">
        <v>0.32</v>
      </c>
      <c r="S599" s="99">
        <v>32.64</v>
      </c>
      <c r="T599" s="93"/>
      <c r="U599" s="224">
        <v>0.01</v>
      </c>
      <c r="V599" s="288" t="s">
        <v>1099</v>
      </c>
      <c r="W599" s="89" t="s">
        <v>433</v>
      </c>
      <c r="X599" s="114" t="s">
        <v>1047</v>
      </c>
    </row>
    <row r="600" spans="1:24" s="1" customFormat="1" ht="12.95" customHeight="1" thickBot="1">
      <c r="A600" s="678" t="s">
        <v>2317</v>
      </c>
      <c r="B600" s="248" t="s">
        <v>2318</v>
      </c>
      <c r="C600" s="249">
        <v>1</v>
      </c>
      <c r="D600" s="272" t="s">
        <v>2302</v>
      </c>
      <c r="E600" s="349">
        <v>69</v>
      </c>
      <c r="F600" s="226">
        <f>rv_32</f>
        <v>0.32</v>
      </c>
      <c r="G600" s="99">
        <f t="shared" si="65"/>
        <v>46.92</v>
      </c>
      <c r="H600" s="93"/>
      <c r="I600" s="224">
        <v>0.01</v>
      </c>
      <c r="J600" s="288" t="s">
        <v>1099</v>
      </c>
      <c r="K600" s="89" t="s">
        <v>433</v>
      </c>
      <c r="L600" s="114" t="s">
        <v>1047</v>
      </c>
      <c r="M600" s="266" t="s">
        <v>2317</v>
      </c>
      <c r="N600" s="248" t="s">
        <v>2318</v>
      </c>
      <c r="O600" s="249">
        <v>1</v>
      </c>
      <c r="P600" s="272" t="s">
        <v>2302</v>
      </c>
      <c r="Q600" s="349">
        <v>69</v>
      </c>
      <c r="R600" s="226">
        <v>0.32</v>
      </c>
      <c r="S600" s="99">
        <v>46.92</v>
      </c>
      <c r="T600" s="93"/>
      <c r="U600" s="224">
        <v>0.01</v>
      </c>
      <c r="V600" s="288" t="s">
        <v>1099</v>
      </c>
      <c r="W600" s="89" t="s">
        <v>433</v>
      </c>
      <c r="X600" s="114" t="s">
        <v>1047</v>
      </c>
    </row>
    <row r="601" spans="1:24" s="1" customFormat="1" ht="21.75" thickBot="1">
      <c r="A601" s="680" t="s">
        <v>2319</v>
      </c>
      <c r="B601" s="458" t="s">
        <v>2320</v>
      </c>
      <c r="C601" s="459"/>
      <c r="D601" s="459"/>
      <c r="E601" s="460"/>
      <c r="F601" s="461"/>
      <c r="G601" s="460"/>
      <c r="H601" s="460"/>
      <c r="I601" s="460"/>
      <c r="J601" s="635"/>
      <c r="K601" s="462"/>
      <c r="L601" s="463"/>
      <c r="M601" s="474" t="s">
        <v>2319</v>
      </c>
      <c r="N601" s="458" t="s">
        <v>2320</v>
      </c>
      <c r="O601" s="459"/>
      <c r="P601" s="459"/>
      <c r="Q601" s="460"/>
      <c r="R601" s="461"/>
      <c r="S601" s="460"/>
      <c r="T601" s="460"/>
      <c r="U601" s="460"/>
      <c r="V601" s="635"/>
      <c r="W601" s="462"/>
      <c r="X601" s="463"/>
    </row>
    <row r="602" spans="1:24" s="1" customFormat="1">
      <c r="A602" s="263" t="s">
        <v>2321</v>
      </c>
      <c r="B602" s="248" t="s">
        <v>2322</v>
      </c>
      <c r="C602" s="249">
        <v>1</v>
      </c>
      <c r="D602" s="272" t="s">
        <v>2323</v>
      </c>
      <c r="E602" s="348">
        <v>39.68</v>
      </c>
      <c r="F602" s="226">
        <f t="shared" ref="F602:F753" si="66">rv_10</f>
        <v>0.1</v>
      </c>
      <c r="G602" s="67">
        <f>E602-(E602*F602)</f>
        <v>35.712000000000003</v>
      </c>
      <c r="H602" s="93"/>
      <c r="I602" s="224"/>
      <c r="J602" s="288" t="s">
        <v>1099</v>
      </c>
      <c r="K602" s="89" t="s">
        <v>433</v>
      </c>
      <c r="L602" s="114" t="s">
        <v>1047</v>
      </c>
      <c r="M602" s="241" t="s">
        <v>2321</v>
      </c>
      <c r="N602" s="248" t="s">
        <v>2322</v>
      </c>
      <c r="O602" s="249">
        <v>1</v>
      </c>
      <c r="P602" s="272" t="s">
        <v>2323</v>
      </c>
      <c r="Q602" s="348">
        <v>39.68</v>
      </c>
      <c r="R602" s="226">
        <v>0.1</v>
      </c>
      <c r="S602" s="67">
        <v>35.712000000000003</v>
      </c>
      <c r="T602" s="93"/>
      <c r="U602" s="224"/>
      <c r="V602" s="288" t="s">
        <v>1099</v>
      </c>
      <c r="W602" s="89" t="s">
        <v>433</v>
      </c>
      <c r="X602" s="114" t="s">
        <v>1047</v>
      </c>
    </row>
    <row r="603" spans="1:24" s="1" customFormat="1">
      <c r="A603" s="263" t="s">
        <v>2324</v>
      </c>
      <c r="B603" s="248" t="s">
        <v>2325</v>
      </c>
      <c r="C603" s="249">
        <v>1</v>
      </c>
      <c r="D603" s="272" t="s">
        <v>2323</v>
      </c>
      <c r="E603" s="348">
        <v>79.37</v>
      </c>
      <c r="F603" s="226">
        <f t="shared" si="66"/>
        <v>0.1</v>
      </c>
      <c r="G603" s="67">
        <f>E603-(E603*F603)</f>
        <v>71.433000000000007</v>
      </c>
      <c r="H603" s="93"/>
      <c r="I603" s="224"/>
      <c r="J603" s="288" t="s">
        <v>1099</v>
      </c>
      <c r="K603" s="89" t="s">
        <v>433</v>
      </c>
      <c r="L603" s="114" t="s">
        <v>1047</v>
      </c>
      <c r="M603" s="241" t="s">
        <v>2324</v>
      </c>
      <c r="N603" s="248" t="s">
        <v>2325</v>
      </c>
      <c r="O603" s="249">
        <v>1</v>
      </c>
      <c r="P603" s="272" t="s">
        <v>2323</v>
      </c>
      <c r="Q603" s="348">
        <v>79.37</v>
      </c>
      <c r="R603" s="226">
        <v>0.1</v>
      </c>
      <c r="S603" s="67">
        <v>71.433000000000007</v>
      </c>
      <c r="T603" s="93"/>
      <c r="U603" s="224"/>
      <c r="V603" s="288" t="s">
        <v>1099</v>
      </c>
      <c r="W603" s="89" t="s">
        <v>433</v>
      </c>
      <c r="X603" s="114" t="s">
        <v>1047</v>
      </c>
    </row>
    <row r="604" spans="1:24" s="1" customFormat="1">
      <c r="A604" s="685" t="s">
        <v>2326</v>
      </c>
      <c r="B604" s="271" t="s">
        <v>2327</v>
      </c>
      <c r="C604" s="249">
        <v>1</v>
      </c>
      <c r="D604" s="475" t="s">
        <v>118</v>
      </c>
      <c r="E604" s="475">
        <v>1</v>
      </c>
      <c r="F604" s="583">
        <v>0</v>
      </c>
      <c r="G604" s="67">
        <f>E604-(E604*F604)</f>
        <v>1</v>
      </c>
      <c r="H604" s="500"/>
      <c r="I604" s="501"/>
      <c r="J604" s="487" t="s">
        <v>1099</v>
      </c>
      <c r="K604" s="489" t="s">
        <v>433</v>
      </c>
      <c r="L604" s="492" t="s">
        <v>1047</v>
      </c>
      <c r="M604" s="582" t="s">
        <v>2326</v>
      </c>
      <c r="N604" s="271" t="s">
        <v>2327</v>
      </c>
      <c r="O604" s="249">
        <v>1</v>
      </c>
      <c r="P604" s="475" t="s">
        <v>118</v>
      </c>
      <c r="Q604" s="475">
        <v>1</v>
      </c>
      <c r="R604" s="583">
        <v>0</v>
      </c>
      <c r="S604" s="67">
        <v>1</v>
      </c>
      <c r="T604" s="500"/>
      <c r="U604" s="501"/>
      <c r="V604" s="487" t="s">
        <v>1099</v>
      </c>
      <c r="W604" s="489" t="s">
        <v>433</v>
      </c>
      <c r="X604" s="492" t="s">
        <v>1047</v>
      </c>
    </row>
    <row r="605" spans="1:24" s="1" customFormat="1" ht="13.5" thickBot="1">
      <c r="A605" s="686" t="s">
        <v>2328</v>
      </c>
      <c r="B605" s="585" t="s">
        <v>2329</v>
      </c>
      <c r="C605" s="586">
        <v>1</v>
      </c>
      <c r="D605" s="587" t="s">
        <v>140</v>
      </c>
      <c r="E605" s="587">
        <v>0.05</v>
      </c>
      <c r="F605" s="588">
        <v>0</v>
      </c>
      <c r="G605" s="589">
        <f>E605-(E605*F605)</f>
        <v>0.05</v>
      </c>
      <c r="H605" s="502"/>
      <c r="I605" s="503"/>
      <c r="J605" s="488" t="s">
        <v>1099</v>
      </c>
      <c r="K605" s="491" t="s">
        <v>433</v>
      </c>
      <c r="L605" s="494" t="s">
        <v>1047</v>
      </c>
      <c r="M605" s="584" t="s">
        <v>2328</v>
      </c>
      <c r="N605" s="585" t="s">
        <v>2329</v>
      </c>
      <c r="O605" s="586">
        <v>1</v>
      </c>
      <c r="P605" s="587" t="s">
        <v>140</v>
      </c>
      <c r="Q605" s="587">
        <v>0.05</v>
      </c>
      <c r="R605" s="588">
        <v>0</v>
      </c>
      <c r="S605" s="589">
        <v>0.05</v>
      </c>
      <c r="T605" s="502"/>
      <c r="U605" s="503"/>
      <c r="V605" s="488" t="s">
        <v>1099</v>
      </c>
      <c r="W605" s="491" t="s">
        <v>433</v>
      </c>
      <c r="X605" s="494" t="s">
        <v>1047</v>
      </c>
    </row>
    <row r="606" spans="1:24" s="1" customFormat="1" ht="23.1" customHeight="1" thickBot="1">
      <c r="A606" s="687" t="s">
        <v>2330</v>
      </c>
      <c r="B606" s="496" t="s">
        <v>2331</v>
      </c>
      <c r="C606" s="497"/>
      <c r="D606" s="497"/>
      <c r="E606" s="495"/>
      <c r="F606" s="498"/>
      <c r="G606" s="495"/>
      <c r="H606" s="495"/>
      <c r="I606" s="495"/>
      <c r="J606" s="636"/>
      <c r="K606" s="490"/>
      <c r="L606" s="493"/>
      <c r="M606" s="499" t="s">
        <v>2330</v>
      </c>
      <c r="N606" s="496" t="s">
        <v>2331</v>
      </c>
      <c r="O606" s="497"/>
      <c r="P606" s="497"/>
      <c r="Q606" s="495"/>
      <c r="R606" s="498"/>
      <c r="S606" s="495"/>
      <c r="T606" s="495"/>
      <c r="U606" s="495"/>
      <c r="V606" s="636"/>
      <c r="W606" s="490"/>
      <c r="X606" s="493"/>
    </row>
    <row r="607" spans="1:24" s="1" customFormat="1">
      <c r="A607" s="688" t="s">
        <v>2332</v>
      </c>
      <c r="B607" s="268" t="s">
        <v>2333</v>
      </c>
      <c r="C607" s="269">
        <v>1</v>
      </c>
      <c r="D607" s="110" t="s">
        <v>2323</v>
      </c>
      <c r="E607" s="427">
        <v>4455.87</v>
      </c>
      <c r="F607" s="270">
        <f t="shared" ref="F607:F645" si="67">rv_10</f>
        <v>0.1</v>
      </c>
      <c r="G607" s="111">
        <f t="shared" ref="G607:G657" si="68">E607-(E607*F607)</f>
        <v>4010.2829999999999</v>
      </c>
      <c r="H607" s="93"/>
      <c r="I607" s="224"/>
      <c r="J607" s="288" t="s">
        <v>1099</v>
      </c>
      <c r="K607" s="89" t="s">
        <v>433</v>
      </c>
      <c r="L607" s="114" t="s">
        <v>1047</v>
      </c>
      <c r="M607" s="234" t="s">
        <v>2332</v>
      </c>
      <c r="N607" s="268" t="s">
        <v>2333</v>
      </c>
      <c r="O607" s="269">
        <v>1</v>
      </c>
      <c r="P607" s="110" t="s">
        <v>2323</v>
      </c>
      <c r="Q607" s="427">
        <v>4455.87</v>
      </c>
      <c r="R607" s="270">
        <v>0.1</v>
      </c>
      <c r="S607" s="111">
        <v>4010.2829999999999</v>
      </c>
      <c r="T607" s="93"/>
      <c r="U607" s="224"/>
      <c r="V607" s="288" t="s">
        <v>1099</v>
      </c>
      <c r="W607" s="89" t="s">
        <v>433</v>
      </c>
      <c r="X607" s="114" t="s">
        <v>1047</v>
      </c>
    </row>
    <row r="608" spans="1:24" s="1" customFormat="1">
      <c r="A608" s="263" t="s">
        <v>2334</v>
      </c>
      <c r="B608" s="248" t="s">
        <v>2335</v>
      </c>
      <c r="C608" s="249">
        <v>1</v>
      </c>
      <c r="D608" s="272" t="s">
        <v>2323</v>
      </c>
      <c r="E608" s="348">
        <v>357.59</v>
      </c>
      <c r="F608" s="226">
        <f t="shared" si="67"/>
        <v>0.1</v>
      </c>
      <c r="G608" s="67">
        <f t="shared" si="68"/>
        <v>321.83099999999996</v>
      </c>
      <c r="H608" s="93"/>
      <c r="I608" s="224"/>
      <c r="J608" s="288" t="s">
        <v>1099</v>
      </c>
      <c r="K608" s="89" t="s">
        <v>433</v>
      </c>
      <c r="L608" s="114" t="s">
        <v>1047</v>
      </c>
      <c r="M608" s="241" t="s">
        <v>2334</v>
      </c>
      <c r="N608" s="248" t="s">
        <v>2335</v>
      </c>
      <c r="O608" s="249">
        <v>1</v>
      </c>
      <c r="P608" s="272" t="s">
        <v>2323</v>
      </c>
      <c r="Q608" s="348">
        <v>357.59</v>
      </c>
      <c r="R608" s="226">
        <v>0.1</v>
      </c>
      <c r="S608" s="67">
        <v>321.83099999999996</v>
      </c>
      <c r="T608" s="93"/>
      <c r="U608" s="224"/>
      <c r="V608" s="288" t="s">
        <v>1099</v>
      </c>
      <c r="W608" s="89" t="s">
        <v>433</v>
      </c>
      <c r="X608" s="114" t="s">
        <v>1047</v>
      </c>
    </row>
    <row r="609" spans="1:24" s="1" customFormat="1">
      <c r="A609" s="263" t="s">
        <v>2336</v>
      </c>
      <c r="B609" s="248" t="s">
        <v>2337</v>
      </c>
      <c r="C609" s="249">
        <v>1</v>
      </c>
      <c r="D609" s="272" t="s">
        <v>2323</v>
      </c>
      <c r="E609" s="348">
        <v>357.59</v>
      </c>
      <c r="F609" s="226">
        <f t="shared" si="67"/>
        <v>0.1</v>
      </c>
      <c r="G609" s="67">
        <f t="shared" ref="G609" si="69">E609-(E609*F609)</f>
        <v>321.83099999999996</v>
      </c>
      <c r="H609" s="93"/>
      <c r="I609" s="224"/>
      <c r="J609" s="288" t="s">
        <v>1099</v>
      </c>
      <c r="K609" s="89" t="s">
        <v>433</v>
      </c>
      <c r="L609" s="114" t="s">
        <v>1047</v>
      </c>
      <c r="M609" s="241"/>
      <c r="N609" s="248"/>
      <c r="O609" s="249"/>
      <c r="P609" s="272"/>
      <c r="Q609" s="348"/>
      <c r="R609" s="226"/>
      <c r="S609" s="67"/>
      <c r="T609" s="93"/>
      <c r="U609" s="224"/>
      <c r="V609" s="288"/>
      <c r="W609" s="89"/>
      <c r="X609" s="114"/>
    </row>
    <row r="610" spans="1:24" s="1" customFormat="1">
      <c r="A610" s="263" t="s">
        <v>2338</v>
      </c>
      <c r="B610" s="248" t="s">
        <v>2339</v>
      </c>
      <c r="C610" s="249">
        <v>1</v>
      </c>
      <c r="D610" s="272" t="s">
        <v>2323</v>
      </c>
      <c r="E610" s="348">
        <v>391.11</v>
      </c>
      <c r="F610" s="226">
        <f t="shared" si="67"/>
        <v>0.1</v>
      </c>
      <c r="G610" s="67">
        <f t="shared" si="68"/>
        <v>351.99900000000002</v>
      </c>
      <c r="H610" s="93"/>
      <c r="I610" s="224"/>
      <c r="J610" s="288" t="s">
        <v>1099</v>
      </c>
      <c r="K610" s="89" t="s">
        <v>433</v>
      </c>
      <c r="L610" s="114" t="s">
        <v>1047</v>
      </c>
      <c r="M610" s="241" t="s">
        <v>2338</v>
      </c>
      <c r="N610" s="248" t="s">
        <v>2339</v>
      </c>
      <c r="O610" s="249">
        <v>1</v>
      </c>
      <c r="P610" s="272" t="s">
        <v>2323</v>
      </c>
      <c r="Q610" s="348">
        <v>391.11</v>
      </c>
      <c r="R610" s="226">
        <v>0.1</v>
      </c>
      <c r="S610" s="67">
        <v>351.99900000000002</v>
      </c>
      <c r="T610" s="93"/>
      <c r="U610" s="224"/>
      <c r="V610" s="288" t="s">
        <v>1099</v>
      </c>
      <c r="W610" s="89" t="s">
        <v>433</v>
      </c>
      <c r="X610" s="114" t="s">
        <v>1047</v>
      </c>
    </row>
    <row r="611" spans="1:24" s="1" customFormat="1">
      <c r="A611" s="263" t="s">
        <v>2340</v>
      </c>
      <c r="B611" s="248" t="s">
        <v>2341</v>
      </c>
      <c r="C611" s="249">
        <v>1</v>
      </c>
      <c r="D611" s="272" t="s">
        <v>2323</v>
      </c>
      <c r="E611" s="348">
        <v>111.75</v>
      </c>
      <c r="F611" s="226">
        <f t="shared" si="67"/>
        <v>0.1</v>
      </c>
      <c r="G611" s="67">
        <f t="shared" si="68"/>
        <v>100.575</v>
      </c>
      <c r="H611" s="93"/>
      <c r="I611" s="224"/>
      <c r="J611" s="288" t="s">
        <v>1099</v>
      </c>
      <c r="K611" s="89" t="s">
        <v>433</v>
      </c>
      <c r="L611" s="114" t="s">
        <v>1047</v>
      </c>
      <c r="M611" s="241" t="s">
        <v>2340</v>
      </c>
      <c r="N611" s="248" t="s">
        <v>2341</v>
      </c>
      <c r="O611" s="249">
        <v>1</v>
      </c>
      <c r="P611" s="272" t="s">
        <v>2323</v>
      </c>
      <c r="Q611" s="348">
        <v>111.75</v>
      </c>
      <c r="R611" s="226">
        <v>0.1</v>
      </c>
      <c r="S611" s="67">
        <v>100.575</v>
      </c>
      <c r="T611" s="93"/>
      <c r="U611" s="224"/>
      <c r="V611" s="288" t="s">
        <v>1099</v>
      </c>
      <c r="W611" s="89" t="s">
        <v>433</v>
      </c>
      <c r="X611" s="114" t="s">
        <v>1047</v>
      </c>
    </row>
    <row r="612" spans="1:24" s="1" customFormat="1">
      <c r="A612" s="263" t="s">
        <v>2342</v>
      </c>
      <c r="B612" s="248" t="s">
        <v>2343</v>
      </c>
      <c r="C612" s="249">
        <v>1</v>
      </c>
      <c r="D612" s="272" t="s">
        <v>2323</v>
      </c>
      <c r="E612" s="348">
        <v>251.43</v>
      </c>
      <c r="F612" s="226">
        <f t="shared" si="67"/>
        <v>0.1</v>
      </c>
      <c r="G612" s="67">
        <f t="shared" si="68"/>
        <v>226.28700000000001</v>
      </c>
      <c r="H612" s="93"/>
      <c r="I612" s="224"/>
      <c r="J612" s="288" t="s">
        <v>1099</v>
      </c>
      <c r="K612" s="89" t="s">
        <v>433</v>
      </c>
      <c r="L612" s="114" t="s">
        <v>1047</v>
      </c>
      <c r="M612" s="241" t="s">
        <v>2342</v>
      </c>
      <c r="N612" s="248" t="s">
        <v>2343</v>
      </c>
      <c r="O612" s="249">
        <v>1</v>
      </c>
      <c r="P612" s="272" t="s">
        <v>2323</v>
      </c>
      <c r="Q612" s="348">
        <v>251.43</v>
      </c>
      <c r="R612" s="226">
        <v>0.1</v>
      </c>
      <c r="S612" s="67">
        <v>226.28700000000001</v>
      </c>
      <c r="T612" s="93"/>
      <c r="U612" s="224"/>
      <c r="V612" s="288" t="s">
        <v>1099</v>
      </c>
      <c r="W612" s="89" t="s">
        <v>433</v>
      </c>
      <c r="X612" s="114" t="s">
        <v>1047</v>
      </c>
    </row>
    <row r="613" spans="1:24" s="1" customFormat="1">
      <c r="A613" s="263" t="s">
        <v>2344</v>
      </c>
      <c r="B613" s="248" t="s">
        <v>2345</v>
      </c>
      <c r="C613" s="249">
        <v>1</v>
      </c>
      <c r="D613" s="272" t="s">
        <v>2323</v>
      </c>
      <c r="E613" s="348">
        <v>749.21</v>
      </c>
      <c r="F613" s="226">
        <f t="shared" si="67"/>
        <v>0.1</v>
      </c>
      <c r="G613" s="67">
        <f t="shared" si="68"/>
        <v>674.28899999999999</v>
      </c>
      <c r="H613" s="93"/>
      <c r="I613" s="224"/>
      <c r="J613" s="288" t="s">
        <v>1099</v>
      </c>
      <c r="K613" s="89" t="s">
        <v>433</v>
      </c>
      <c r="L613" s="114" t="s">
        <v>1047</v>
      </c>
      <c r="M613" s="241" t="s">
        <v>2344</v>
      </c>
      <c r="N613" s="248" t="s">
        <v>2345</v>
      </c>
      <c r="O613" s="249">
        <v>1</v>
      </c>
      <c r="P613" s="272" t="s">
        <v>2323</v>
      </c>
      <c r="Q613" s="348">
        <v>749.21</v>
      </c>
      <c r="R613" s="226">
        <v>0.1</v>
      </c>
      <c r="S613" s="67">
        <v>674.28899999999999</v>
      </c>
      <c r="T613" s="93"/>
      <c r="U613" s="224"/>
      <c r="V613" s="288" t="s">
        <v>1099</v>
      </c>
      <c r="W613" s="89" t="s">
        <v>433</v>
      </c>
      <c r="X613" s="114" t="s">
        <v>1047</v>
      </c>
    </row>
    <row r="614" spans="1:24" s="1" customFormat="1">
      <c r="A614" s="263" t="s">
        <v>2346</v>
      </c>
      <c r="B614" s="248" t="s">
        <v>2347</v>
      </c>
      <c r="C614" s="249">
        <v>1</v>
      </c>
      <c r="D614" s="272" t="s">
        <v>2323</v>
      </c>
      <c r="E614" s="348">
        <v>304.76</v>
      </c>
      <c r="F614" s="226">
        <f t="shared" si="67"/>
        <v>0.1</v>
      </c>
      <c r="G614" s="67">
        <f t="shared" si="68"/>
        <v>274.28399999999999</v>
      </c>
      <c r="H614" s="93"/>
      <c r="I614" s="224"/>
      <c r="J614" s="288" t="s">
        <v>1099</v>
      </c>
      <c r="K614" s="89" t="s">
        <v>433</v>
      </c>
      <c r="L614" s="114" t="s">
        <v>1047</v>
      </c>
      <c r="M614" s="241" t="s">
        <v>2346</v>
      </c>
      <c r="N614" s="248" t="s">
        <v>2347</v>
      </c>
      <c r="O614" s="249">
        <v>1</v>
      </c>
      <c r="P614" s="272" t="s">
        <v>2323</v>
      </c>
      <c r="Q614" s="348">
        <v>304.76</v>
      </c>
      <c r="R614" s="226">
        <v>0.1</v>
      </c>
      <c r="S614" s="67">
        <v>274.28399999999999</v>
      </c>
      <c r="T614" s="93"/>
      <c r="U614" s="224"/>
      <c r="V614" s="288" t="s">
        <v>1099</v>
      </c>
      <c r="W614" s="89" t="s">
        <v>433</v>
      </c>
      <c r="X614" s="114" t="s">
        <v>1047</v>
      </c>
    </row>
    <row r="615" spans="1:24" s="1" customFormat="1">
      <c r="A615" s="263" t="s">
        <v>2348</v>
      </c>
      <c r="B615" s="248" t="s">
        <v>2349</v>
      </c>
      <c r="C615" s="249">
        <v>1</v>
      </c>
      <c r="D615" s="272" t="s">
        <v>2323</v>
      </c>
      <c r="E615" s="348">
        <v>251.43</v>
      </c>
      <c r="F615" s="226">
        <f t="shared" si="67"/>
        <v>0.1</v>
      </c>
      <c r="G615" s="67">
        <f t="shared" si="68"/>
        <v>226.28700000000001</v>
      </c>
      <c r="H615" s="93"/>
      <c r="I615" s="224"/>
      <c r="J615" s="288" t="s">
        <v>1099</v>
      </c>
      <c r="K615" s="89" t="s">
        <v>433</v>
      </c>
      <c r="L615" s="114" t="s">
        <v>1047</v>
      </c>
      <c r="M615" s="241" t="s">
        <v>2348</v>
      </c>
      <c r="N615" s="248" t="s">
        <v>2349</v>
      </c>
      <c r="O615" s="249">
        <v>1</v>
      </c>
      <c r="P615" s="272" t="s">
        <v>2323</v>
      </c>
      <c r="Q615" s="348">
        <v>251.43</v>
      </c>
      <c r="R615" s="226">
        <v>0.1</v>
      </c>
      <c r="S615" s="67">
        <v>226.28700000000001</v>
      </c>
      <c r="T615" s="93"/>
      <c r="U615" s="224"/>
      <c r="V615" s="288" t="s">
        <v>1099</v>
      </c>
      <c r="W615" s="89" t="s">
        <v>433</v>
      </c>
      <c r="X615" s="114" t="s">
        <v>1047</v>
      </c>
    </row>
    <row r="616" spans="1:24" s="1" customFormat="1">
      <c r="A616" s="263" t="s">
        <v>2350</v>
      </c>
      <c r="B616" s="248" t="s">
        <v>2351</v>
      </c>
      <c r="C616" s="249">
        <v>1</v>
      </c>
      <c r="D616" s="272" t="s">
        <v>2323</v>
      </c>
      <c r="E616" s="348">
        <v>524.76</v>
      </c>
      <c r="F616" s="226">
        <f t="shared" si="67"/>
        <v>0.1</v>
      </c>
      <c r="G616" s="67">
        <f t="shared" si="68"/>
        <v>472.28399999999999</v>
      </c>
      <c r="H616" s="93"/>
      <c r="I616" s="224"/>
      <c r="J616" s="288" t="s">
        <v>1099</v>
      </c>
      <c r="K616" s="89" t="s">
        <v>433</v>
      </c>
      <c r="L616" s="114" t="s">
        <v>1047</v>
      </c>
      <c r="M616" s="241" t="s">
        <v>2350</v>
      </c>
      <c r="N616" s="248" t="s">
        <v>2351</v>
      </c>
      <c r="O616" s="249">
        <v>1</v>
      </c>
      <c r="P616" s="272" t="s">
        <v>2323</v>
      </c>
      <c r="Q616" s="348">
        <v>524.76</v>
      </c>
      <c r="R616" s="226">
        <v>0.1</v>
      </c>
      <c r="S616" s="67">
        <v>472.28399999999999</v>
      </c>
      <c r="T616" s="93"/>
      <c r="U616" s="224"/>
      <c r="V616" s="288" t="s">
        <v>1099</v>
      </c>
      <c r="W616" s="89" t="s">
        <v>433</v>
      </c>
      <c r="X616" s="114" t="s">
        <v>1047</v>
      </c>
    </row>
    <row r="617" spans="1:24" s="1" customFormat="1">
      <c r="A617" s="263" t="s">
        <v>2352</v>
      </c>
      <c r="B617" s="248" t="s">
        <v>2353</v>
      </c>
      <c r="C617" s="249">
        <v>1</v>
      </c>
      <c r="D617" s="272" t="s">
        <v>2323</v>
      </c>
      <c r="E617" s="348">
        <v>129.68</v>
      </c>
      <c r="F617" s="226">
        <f t="shared" si="67"/>
        <v>0.1</v>
      </c>
      <c r="G617" s="67">
        <f t="shared" si="68"/>
        <v>116.712</v>
      </c>
      <c r="H617" s="93"/>
      <c r="I617" s="224"/>
      <c r="J617" s="288" t="s">
        <v>1099</v>
      </c>
      <c r="K617" s="89" t="s">
        <v>433</v>
      </c>
      <c r="L617" s="114" t="s">
        <v>1047</v>
      </c>
      <c r="M617" s="241" t="s">
        <v>2352</v>
      </c>
      <c r="N617" s="248" t="s">
        <v>2353</v>
      </c>
      <c r="O617" s="249">
        <v>1</v>
      </c>
      <c r="P617" s="272" t="s">
        <v>2323</v>
      </c>
      <c r="Q617" s="348">
        <v>129.68</v>
      </c>
      <c r="R617" s="226">
        <v>0.1</v>
      </c>
      <c r="S617" s="67">
        <v>116.712</v>
      </c>
      <c r="T617" s="93"/>
      <c r="U617" s="224"/>
      <c r="V617" s="288" t="s">
        <v>1099</v>
      </c>
      <c r="W617" s="89" t="s">
        <v>433</v>
      </c>
      <c r="X617" s="114" t="s">
        <v>1047</v>
      </c>
    </row>
    <row r="618" spans="1:24" s="1" customFormat="1">
      <c r="A618" s="263" t="s">
        <v>2354</v>
      </c>
      <c r="B618" s="248" t="s">
        <v>2355</v>
      </c>
      <c r="C618" s="249">
        <v>1</v>
      </c>
      <c r="D618" s="272" t="s">
        <v>2323</v>
      </c>
      <c r="E618" s="348">
        <v>20.32</v>
      </c>
      <c r="F618" s="226">
        <f t="shared" si="67"/>
        <v>0.1</v>
      </c>
      <c r="G618" s="67">
        <f t="shared" ref="G618" si="70">E618-(E618*F618)</f>
        <v>18.288</v>
      </c>
      <c r="H618" s="93"/>
      <c r="I618" s="224"/>
      <c r="J618" s="288" t="s">
        <v>1099</v>
      </c>
      <c r="K618" s="89" t="s">
        <v>433</v>
      </c>
      <c r="L618" s="114" t="s">
        <v>1047</v>
      </c>
      <c r="M618" s="241" t="s">
        <v>2354</v>
      </c>
      <c r="N618" s="248" t="s">
        <v>2355</v>
      </c>
      <c r="O618" s="249">
        <v>1</v>
      </c>
      <c r="P618" s="272" t="s">
        <v>2323</v>
      </c>
      <c r="Q618" s="348">
        <v>20.32</v>
      </c>
      <c r="R618" s="226">
        <v>0.1</v>
      </c>
      <c r="S618" s="67">
        <v>18.288</v>
      </c>
      <c r="T618" s="113"/>
      <c r="U618" s="28"/>
      <c r="V618" s="288" t="s">
        <v>1099</v>
      </c>
      <c r="W618" s="89" t="s">
        <v>433</v>
      </c>
      <c r="X618" s="114" t="s">
        <v>1047</v>
      </c>
    </row>
    <row r="619" spans="1:24" s="1" customFormat="1">
      <c r="A619" s="688" t="s">
        <v>2356</v>
      </c>
      <c r="B619" s="268" t="s">
        <v>2357</v>
      </c>
      <c r="C619" s="269">
        <v>1</v>
      </c>
      <c r="D619" s="110" t="s">
        <v>2323</v>
      </c>
      <c r="E619" s="427">
        <v>6132.06</v>
      </c>
      <c r="F619" s="270">
        <f t="shared" si="67"/>
        <v>0.1</v>
      </c>
      <c r="G619" s="111">
        <f t="shared" si="68"/>
        <v>5518.8540000000003</v>
      </c>
      <c r="H619" s="93"/>
      <c r="I619" s="224"/>
      <c r="J619" s="288" t="s">
        <v>1099</v>
      </c>
      <c r="K619" s="89" t="s">
        <v>433</v>
      </c>
      <c r="L619" s="114" t="s">
        <v>1047</v>
      </c>
      <c r="M619" s="234" t="s">
        <v>2356</v>
      </c>
      <c r="N619" s="268" t="s">
        <v>2357</v>
      </c>
      <c r="O619" s="269">
        <v>1</v>
      </c>
      <c r="P619" s="110" t="s">
        <v>2323</v>
      </c>
      <c r="Q619" s="427">
        <v>6132.06</v>
      </c>
      <c r="R619" s="270">
        <v>0.1</v>
      </c>
      <c r="S619" s="111">
        <v>5518.8540000000003</v>
      </c>
      <c r="T619" s="93"/>
      <c r="U619" s="224"/>
      <c r="V619" s="288" t="s">
        <v>1099</v>
      </c>
      <c r="W619" s="89" t="s">
        <v>433</v>
      </c>
      <c r="X619" s="114" t="s">
        <v>1047</v>
      </c>
    </row>
    <row r="620" spans="1:24" s="1" customFormat="1">
      <c r="A620" s="263" t="s">
        <v>2358</v>
      </c>
      <c r="B620" s="248" t="s">
        <v>2359</v>
      </c>
      <c r="C620" s="249">
        <v>1</v>
      </c>
      <c r="D620" s="272" t="s">
        <v>2323</v>
      </c>
      <c r="E620" s="348">
        <v>536.38</v>
      </c>
      <c r="F620" s="226">
        <f t="shared" si="67"/>
        <v>0.1</v>
      </c>
      <c r="G620" s="67">
        <f t="shared" si="68"/>
        <v>482.74199999999996</v>
      </c>
      <c r="H620" s="93"/>
      <c r="I620" s="224"/>
      <c r="J620" s="288" t="s">
        <v>1099</v>
      </c>
      <c r="K620" s="89" t="s">
        <v>433</v>
      </c>
      <c r="L620" s="114" t="s">
        <v>1047</v>
      </c>
      <c r="M620" s="241" t="s">
        <v>2358</v>
      </c>
      <c r="N620" s="248" t="s">
        <v>2359</v>
      </c>
      <c r="O620" s="249">
        <v>1</v>
      </c>
      <c r="P620" s="272" t="s">
        <v>2323</v>
      </c>
      <c r="Q620" s="348">
        <v>536.38</v>
      </c>
      <c r="R620" s="226">
        <v>0.1</v>
      </c>
      <c r="S620" s="67">
        <v>482.74199999999996</v>
      </c>
      <c r="T620" s="93"/>
      <c r="U620" s="224"/>
      <c r="V620" s="288" t="s">
        <v>1099</v>
      </c>
      <c r="W620" s="89" t="s">
        <v>433</v>
      </c>
      <c r="X620" s="114" t="s">
        <v>1047</v>
      </c>
    </row>
    <row r="621" spans="1:24" s="1" customFormat="1">
      <c r="A621" s="263" t="s">
        <v>2360</v>
      </c>
      <c r="B621" s="248" t="s">
        <v>2361</v>
      </c>
      <c r="C621" s="249">
        <v>1</v>
      </c>
      <c r="D621" s="272" t="s">
        <v>2323</v>
      </c>
      <c r="E621" s="348">
        <v>536.38</v>
      </c>
      <c r="F621" s="226">
        <f t="shared" si="67"/>
        <v>0.1</v>
      </c>
      <c r="G621" s="67">
        <f t="shared" si="68"/>
        <v>482.74199999999996</v>
      </c>
      <c r="H621" s="93"/>
      <c r="I621" s="224"/>
      <c r="J621" s="288" t="s">
        <v>1099</v>
      </c>
      <c r="K621" s="89" t="s">
        <v>433</v>
      </c>
      <c r="L621" s="114" t="s">
        <v>1047</v>
      </c>
      <c r="M621" s="241"/>
      <c r="N621" s="248"/>
      <c r="O621" s="249"/>
      <c r="P621" s="272"/>
      <c r="Q621" s="348"/>
      <c r="R621" s="226"/>
      <c r="S621" s="67"/>
      <c r="T621" s="93"/>
      <c r="U621" s="224"/>
      <c r="V621" s="288"/>
      <c r="W621" s="89"/>
      <c r="X621" s="114"/>
    </row>
    <row r="622" spans="1:24" s="1" customFormat="1">
      <c r="A622" s="263" t="s">
        <v>2362</v>
      </c>
      <c r="B622" s="248" t="s">
        <v>2363</v>
      </c>
      <c r="C622" s="249">
        <v>1</v>
      </c>
      <c r="D622" s="272" t="s">
        <v>2323</v>
      </c>
      <c r="E622" s="348">
        <v>446.98</v>
      </c>
      <c r="F622" s="226">
        <f t="shared" si="67"/>
        <v>0.1</v>
      </c>
      <c r="G622" s="67">
        <f t="shared" si="68"/>
        <v>402.28200000000004</v>
      </c>
      <c r="H622" s="93"/>
      <c r="I622" s="224"/>
      <c r="J622" s="288" t="s">
        <v>1099</v>
      </c>
      <c r="K622" s="89" t="s">
        <v>433</v>
      </c>
      <c r="L622" s="114" t="s">
        <v>1047</v>
      </c>
      <c r="M622" s="241" t="s">
        <v>2362</v>
      </c>
      <c r="N622" s="248" t="s">
        <v>2363</v>
      </c>
      <c r="O622" s="249">
        <v>1</v>
      </c>
      <c r="P622" s="272" t="s">
        <v>2323</v>
      </c>
      <c r="Q622" s="348">
        <v>446.98</v>
      </c>
      <c r="R622" s="226">
        <v>0.1</v>
      </c>
      <c r="S622" s="67">
        <v>402.28200000000004</v>
      </c>
      <c r="T622" s="93"/>
      <c r="U622" s="224"/>
      <c r="V622" s="288" t="s">
        <v>1099</v>
      </c>
      <c r="W622" s="89" t="s">
        <v>433</v>
      </c>
      <c r="X622" s="114" t="s">
        <v>1047</v>
      </c>
    </row>
    <row r="623" spans="1:24" s="1" customFormat="1">
      <c r="A623" s="263" t="s">
        <v>2364</v>
      </c>
      <c r="B623" s="248" t="s">
        <v>2365</v>
      </c>
      <c r="C623" s="249">
        <v>1</v>
      </c>
      <c r="D623" s="272" t="s">
        <v>2323</v>
      </c>
      <c r="E623" s="348">
        <v>167.62</v>
      </c>
      <c r="F623" s="226">
        <f t="shared" si="67"/>
        <v>0.1</v>
      </c>
      <c r="G623" s="67">
        <f t="shared" si="68"/>
        <v>150.858</v>
      </c>
      <c r="H623" s="93"/>
      <c r="I623" s="224"/>
      <c r="J623" s="288" t="s">
        <v>1099</v>
      </c>
      <c r="K623" s="89" t="s">
        <v>433</v>
      </c>
      <c r="L623" s="114" t="s">
        <v>1047</v>
      </c>
      <c r="M623" s="241" t="s">
        <v>2364</v>
      </c>
      <c r="N623" s="248" t="s">
        <v>2365</v>
      </c>
      <c r="O623" s="249">
        <v>1</v>
      </c>
      <c r="P623" s="272" t="s">
        <v>2323</v>
      </c>
      <c r="Q623" s="348">
        <v>167.62</v>
      </c>
      <c r="R623" s="226">
        <v>0.1</v>
      </c>
      <c r="S623" s="67">
        <v>150.858</v>
      </c>
      <c r="T623" s="93"/>
      <c r="U623" s="224"/>
      <c r="V623" s="288" t="s">
        <v>1099</v>
      </c>
      <c r="W623" s="89" t="s">
        <v>433</v>
      </c>
      <c r="X623" s="114" t="s">
        <v>1047</v>
      </c>
    </row>
    <row r="624" spans="1:24" s="1" customFormat="1">
      <c r="A624" s="263" t="s">
        <v>2342</v>
      </c>
      <c r="B624" s="248" t="s">
        <v>2343</v>
      </c>
      <c r="C624" s="249">
        <v>1</v>
      </c>
      <c r="D624" s="272" t="s">
        <v>2323</v>
      </c>
      <c r="E624" s="348">
        <v>251.43</v>
      </c>
      <c r="F624" s="226">
        <f t="shared" si="67"/>
        <v>0.1</v>
      </c>
      <c r="G624" s="67">
        <f t="shared" si="68"/>
        <v>226.28700000000001</v>
      </c>
      <c r="H624" s="93"/>
      <c r="I624" s="224"/>
      <c r="J624" s="288" t="s">
        <v>1099</v>
      </c>
      <c r="K624" s="89" t="s">
        <v>433</v>
      </c>
      <c r="L624" s="114" t="s">
        <v>1047</v>
      </c>
      <c r="M624" s="241" t="s">
        <v>2342</v>
      </c>
      <c r="N624" s="248" t="s">
        <v>2343</v>
      </c>
      <c r="O624" s="249">
        <v>1</v>
      </c>
      <c r="P624" s="272" t="s">
        <v>2323</v>
      </c>
      <c r="Q624" s="348">
        <v>251.43</v>
      </c>
      <c r="R624" s="226">
        <v>0.1</v>
      </c>
      <c r="S624" s="67">
        <v>226.28700000000001</v>
      </c>
      <c r="T624" s="93"/>
      <c r="U624" s="224"/>
      <c r="V624" s="288" t="s">
        <v>1099</v>
      </c>
      <c r="W624" s="89" t="s">
        <v>433</v>
      </c>
      <c r="X624" s="114" t="s">
        <v>1047</v>
      </c>
    </row>
    <row r="625" spans="1:24" s="1" customFormat="1">
      <c r="A625" s="263" t="s">
        <v>2366</v>
      </c>
      <c r="B625" s="248" t="s">
        <v>2367</v>
      </c>
      <c r="C625" s="249">
        <v>1</v>
      </c>
      <c r="D625" s="272" t="s">
        <v>2323</v>
      </c>
      <c r="E625" s="348">
        <v>850.79</v>
      </c>
      <c r="F625" s="226">
        <f t="shared" si="67"/>
        <v>0.1</v>
      </c>
      <c r="G625" s="67">
        <f t="shared" si="68"/>
        <v>765.71100000000001</v>
      </c>
      <c r="H625" s="93"/>
      <c r="I625" s="224"/>
      <c r="J625" s="288" t="s">
        <v>1099</v>
      </c>
      <c r="K625" s="89" t="s">
        <v>433</v>
      </c>
      <c r="L625" s="114" t="s">
        <v>1047</v>
      </c>
      <c r="M625" s="241" t="s">
        <v>2366</v>
      </c>
      <c r="N625" s="248" t="s">
        <v>2367</v>
      </c>
      <c r="O625" s="249">
        <v>1</v>
      </c>
      <c r="P625" s="272" t="s">
        <v>2323</v>
      </c>
      <c r="Q625" s="348">
        <v>850.79</v>
      </c>
      <c r="R625" s="226">
        <v>0.1</v>
      </c>
      <c r="S625" s="67">
        <v>765.71100000000001</v>
      </c>
      <c r="T625" s="93"/>
      <c r="U625" s="224"/>
      <c r="V625" s="288" t="s">
        <v>1099</v>
      </c>
      <c r="W625" s="89" t="s">
        <v>433</v>
      </c>
      <c r="X625" s="114" t="s">
        <v>1047</v>
      </c>
    </row>
    <row r="626" spans="1:24" s="1" customFormat="1">
      <c r="A626" s="263" t="s">
        <v>2368</v>
      </c>
      <c r="B626" s="248" t="s">
        <v>2369</v>
      </c>
      <c r="C626" s="249">
        <v>1</v>
      </c>
      <c r="D626" s="272" t="s">
        <v>2323</v>
      </c>
      <c r="E626" s="348">
        <v>426.67</v>
      </c>
      <c r="F626" s="226">
        <f t="shared" si="67"/>
        <v>0.1</v>
      </c>
      <c r="G626" s="67">
        <f t="shared" si="68"/>
        <v>384.00300000000004</v>
      </c>
      <c r="H626" s="93"/>
      <c r="I626" s="224"/>
      <c r="J626" s="288" t="s">
        <v>1099</v>
      </c>
      <c r="K626" s="89" t="s">
        <v>433</v>
      </c>
      <c r="L626" s="114" t="s">
        <v>1047</v>
      </c>
      <c r="M626" s="241" t="s">
        <v>2368</v>
      </c>
      <c r="N626" s="248" t="s">
        <v>2369</v>
      </c>
      <c r="O626" s="249">
        <v>1</v>
      </c>
      <c r="P626" s="272" t="s">
        <v>2323</v>
      </c>
      <c r="Q626" s="348">
        <v>426.67</v>
      </c>
      <c r="R626" s="226">
        <v>0.1</v>
      </c>
      <c r="S626" s="67">
        <v>384.00300000000004</v>
      </c>
      <c r="T626" s="93"/>
      <c r="U626" s="224"/>
      <c r="V626" s="288" t="s">
        <v>1099</v>
      </c>
      <c r="W626" s="89" t="s">
        <v>433</v>
      </c>
      <c r="X626" s="114" t="s">
        <v>1047</v>
      </c>
    </row>
    <row r="627" spans="1:24" s="1" customFormat="1">
      <c r="A627" s="263" t="s">
        <v>2348</v>
      </c>
      <c r="B627" s="248" t="s">
        <v>2349</v>
      </c>
      <c r="C627" s="249">
        <v>1</v>
      </c>
      <c r="D627" s="272" t="s">
        <v>2323</v>
      </c>
      <c r="E627" s="348">
        <v>251.43</v>
      </c>
      <c r="F627" s="226">
        <f t="shared" si="67"/>
        <v>0.1</v>
      </c>
      <c r="G627" s="67">
        <f t="shared" si="68"/>
        <v>226.28700000000001</v>
      </c>
      <c r="H627" s="93"/>
      <c r="I627" s="224"/>
      <c r="J627" s="288" t="s">
        <v>1099</v>
      </c>
      <c r="K627" s="89" t="s">
        <v>433</v>
      </c>
      <c r="L627" s="114" t="s">
        <v>1047</v>
      </c>
      <c r="M627" s="241" t="s">
        <v>2348</v>
      </c>
      <c r="N627" s="248" t="s">
        <v>2349</v>
      </c>
      <c r="O627" s="249">
        <v>1</v>
      </c>
      <c r="P627" s="272" t="s">
        <v>2323</v>
      </c>
      <c r="Q627" s="348">
        <v>251.43</v>
      </c>
      <c r="R627" s="226">
        <v>0.1</v>
      </c>
      <c r="S627" s="67">
        <v>226.28700000000001</v>
      </c>
      <c r="T627" s="93"/>
      <c r="U627" s="224"/>
      <c r="V627" s="288" t="s">
        <v>1099</v>
      </c>
      <c r="W627" s="89" t="s">
        <v>433</v>
      </c>
      <c r="X627" s="114" t="s">
        <v>1047</v>
      </c>
    </row>
    <row r="628" spans="1:24" s="1" customFormat="1">
      <c r="A628" s="263" t="s">
        <v>2350</v>
      </c>
      <c r="B628" s="248" t="s">
        <v>2351</v>
      </c>
      <c r="C628" s="249">
        <v>1</v>
      </c>
      <c r="D628" s="272" t="s">
        <v>2323</v>
      </c>
      <c r="E628" s="348">
        <v>524.76</v>
      </c>
      <c r="F628" s="226">
        <f t="shared" si="67"/>
        <v>0.1</v>
      </c>
      <c r="G628" s="67">
        <f t="shared" si="68"/>
        <v>472.28399999999999</v>
      </c>
      <c r="H628" s="93"/>
      <c r="I628" s="224"/>
      <c r="J628" s="288" t="s">
        <v>1099</v>
      </c>
      <c r="K628" s="89" t="s">
        <v>433</v>
      </c>
      <c r="L628" s="114" t="s">
        <v>1047</v>
      </c>
      <c r="M628" s="241" t="s">
        <v>2350</v>
      </c>
      <c r="N628" s="248" t="s">
        <v>2351</v>
      </c>
      <c r="O628" s="249">
        <v>1</v>
      </c>
      <c r="P628" s="272" t="s">
        <v>2323</v>
      </c>
      <c r="Q628" s="348">
        <v>524.76</v>
      </c>
      <c r="R628" s="226">
        <v>0.1</v>
      </c>
      <c r="S628" s="67">
        <v>472.28399999999999</v>
      </c>
      <c r="T628" s="93"/>
      <c r="U628" s="224"/>
      <c r="V628" s="288" t="s">
        <v>1099</v>
      </c>
      <c r="W628" s="89" t="s">
        <v>433</v>
      </c>
      <c r="X628" s="114" t="s">
        <v>1047</v>
      </c>
    </row>
    <row r="629" spans="1:24" s="1" customFormat="1">
      <c r="A629" s="263" t="s">
        <v>2352</v>
      </c>
      <c r="B629" s="248" t="s">
        <v>2353</v>
      </c>
      <c r="C629" s="249">
        <v>1</v>
      </c>
      <c r="D629" s="272" t="s">
        <v>2323</v>
      </c>
      <c r="E629" s="348">
        <v>129.68</v>
      </c>
      <c r="F629" s="226">
        <f t="shared" si="67"/>
        <v>0.1</v>
      </c>
      <c r="G629" s="67">
        <f t="shared" si="68"/>
        <v>116.712</v>
      </c>
      <c r="H629" s="93"/>
      <c r="I629" s="224"/>
      <c r="J629" s="288" t="s">
        <v>1099</v>
      </c>
      <c r="K629" s="89" t="s">
        <v>433</v>
      </c>
      <c r="L629" s="114" t="s">
        <v>1047</v>
      </c>
      <c r="M629" s="241" t="s">
        <v>2352</v>
      </c>
      <c r="N629" s="248" t="s">
        <v>2353</v>
      </c>
      <c r="O629" s="249">
        <v>1</v>
      </c>
      <c r="P629" s="272" t="s">
        <v>2323</v>
      </c>
      <c r="Q629" s="348">
        <v>129.68</v>
      </c>
      <c r="R629" s="226">
        <v>0.1</v>
      </c>
      <c r="S629" s="67">
        <v>116.712</v>
      </c>
      <c r="T629" s="93"/>
      <c r="U629" s="224"/>
      <c r="V629" s="288" t="s">
        <v>1099</v>
      </c>
      <c r="W629" s="89" t="s">
        <v>433</v>
      </c>
      <c r="X629" s="114" t="s">
        <v>1047</v>
      </c>
    </row>
    <row r="630" spans="1:24" s="1" customFormat="1">
      <c r="A630" s="263" t="s">
        <v>2354</v>
      </c>
      <c r="B630" s="248" t="s">
        <v>2355</v>
      </c>
      <c r="C630" s="249">
        <v>1</v>
      </c>
      <c r="D630" s="272" t="s">
        <v>2323</v>
      </c>
      <c r="E630" s="348">
        <v>20.32</v>
      </c>
      <c r="F630" s="226">
        <f t="shared" si="67"/>
        <v>0.1</v>
      </c>
      <c r="G630" s="67">
        <f t="shared" si="68"/>
        <v>18.288</v>
      </c>
      <c r="H630" s="93"/>
      <c r="I630" s="224"/>
      <c r="J630" s="288" t="s">
        <v>1099</v>
      </c>
      <c r="K630" s="89" t="s">
        <v>433</v>
      </c>
      <c r="L630" s="114" t="s">
        <v>1047</v>
      </c>
      <c r="M630" s="241" t="s">
        <v>2354</v>
      </c>
      <c r="N630" s="248" t="s">
        <v>2355</v>
      </c>
      <c r="O630" s="249">
        <v>1</v>
      </c>
      <c r="P630" s="272" t="s">
        <v>2323</v>
      </c>
      <c r="Q630" s="348">
        <v>20.32</v>
      </c>
      <c r="R630" s="226">
        <v>0.1</v>
      </c>
      <c r="S630" s="67">
        <v>18.288</v>
      </c>
      <c r="T630" s="113"/>
      <c r="U630" s="28"/>
      <c r="V630" s="288" t="s">
        <v>1099</v>
      </c>
      <c r="W630" s="89" t="s">
        <v>433</v>
      </c>
      <c r="X630" s="114" t="s">
        <v>1047</v>
      </c>
    </row>
    <row r="631" spans="1:24" s="1" customFormat="1">
      <c r="A631" s="688" t="s">
        <v>2370</v>
      </c>
      <c r="B631" s="268" t="s">
        <v>2371</v>
      </c>
      <c r="C631" s="269">
        <v>1</v>
      </c>
      <c r="D631" s="110" t="s">
        <v>2323</v>
      </c>
      <c r="E631" s="427">
        <v>6816.51</v>
      </c>
      <c r="F631" s="270">
        <f t="shared" si="67"/>
        <v>0.1</v>
      </c>
      <c r="G631" s="111">
        <f t="shared" si="68"/>
        <v>6134.8590000000004</v>
      </c>
      <c r="H631" s="93"/>
      <c r="I631" s="224"/>
      <c r="J631" s="288" t="s">
        <v>1099</v>
      </c>
      <c r="K631" s="89" t="s">
        <v>433</v>
      </c>
      <c r="L631" s="114" t="s">
        <v>1047</v>
      </c>
      <c r="M631" s="234" t="s">
        <v>2370</v>
      </c>
      <c r="N631" s="268" t="s">
        <v>2371</v>
      </c>
      <c r="O631" s="269">
        <v>1</v>
      </c>
      <c r="P631" s="110" t="s">
        <v>2323</v>
      </c>
      <c r="Q631" s="427">
        <v>6816.51</v>
      </c>
      <c r="R631" s="270">
        <v>0.1</v>
      </c>
      <c r="S631" s="111">
        <v>6134.8590000000004</v>
      </c>
      <c r="T631" s="93"/>
      <c r="U631" s="224"/>
      <c r="V631" s="288" t="s">
        <v>1099</v>
      </c>
      <c r="W631" s="89" t="s">
        <v>433</v>
      </c>
      <c r="X631" s="114" t="s">
        <v>1047</v>
      </c>
    </row>
    <row r="632" spans="1:24" s="1" customFormat="1">
      <c r="A632" s="263" t="s">
        <v>2372</v>
      </c>
      <c r="B632" s="248" t="s">
        <v>2373</v>
      </c>
      <c r="C632" s="249">
        <v>1</v>
      </c>
      <c r="D632" s="272" t="s">
        <v>2323</v>
      </c>
      <c r="E632" s="348">
        <v>715.17</v>
      </c>
      <c r="F632" s="226">
        <f t="shared" si="67"/>
        <v>0.1</v>
      </c>
      <c r="G632" s="67">
        <f t="shared" si="68"/>
        <v>643.65300000000002</v>
      </c>
      <c r="H632" s="93"/>
      <c r="I632" s="224"/>
      <c r="J632" s="288" t="s">
        <v>1099</v>
      </c>
      <c r="K632" s="89" t="s">
        <v>433</v>
      </c>
      <c r="L632" s="114" t="s">
        <v>1047</v>
      </c>
      <c r="M632" s="241" t="s">
        <v>2372</v>
      </c>
      <c r="N632" s="248" t="s">
        <v>2373</v>
      </c>
      <c r="O632" s="249">
        <v>1</v>
      </c>
      <c r="P632" s="272" t="s">
        <v>2323</v>
      </c>
      <c r="Q632" s="348">
        <v>715.17</v>
      </c>
      <c r="R632" s="226">
        <v>0.1</v>
      </c>
      <c r="S632" s="67">
        <v>643.65300000000002</v>
      </c>
      <c r="T632" s="93"/>
      <c r="U632" s="224"/>
      <c r="V632" s="288" t="s">
        <v>1099</v>
      </c>
      <c r="W632" s="89" t="s">
        <v>433</v>
      </c>
      <c r="X632" s="114" t="s">
        <v>1047</v>
      </c>
    </row>
    <row r="633" spans="1:24" s="1" customFormat="1">
      <c r="A633" s="263" t="s">
        <v>2374</v>
      </c>
      <c r="B633" s="248" t="s">
        <v>2375</v>
      </c>
      <c r="C633" s="249">
        <v>1</v>
      </c>
      <c r="D633" s="272" t="s">
        <v>2323</v>
      </c>
      <c r="E633" s="348">
        <v>715.17</v>
      </c>
      <c r="F633" s="226">
        <f t="shared" si="67"/>
        <v>0.1</v>
      </c>
      <c r="G633" s="67">
        <f t="shared" ref="G633" si="71">E633-(E633*F633)</f>
        <v>643.65300000000002</v>
      </c>
      <c r="H633" s="93"/>
      <c r="I633" s="224"/>
      <c r="J633" s="288" t="s">
        <v>1099</v>
      </c>
      <c r="K633" s="89" t="s">
        <v>433</v>
      </c>
      <c r="L633" s="114" t="s">
        <v>1047</v>
      </c>
      <c r="M633" s="241"/>
      <c r="N633" s="248"/>
      <c r="O633" s="249"/>
      <c r="P633" s="272"/>
      <c r="Q633" s="348"/>
      <c r="R633" s="226"/>
      <c r="S633" s="67"/>
      <c r="T633" s="93"/>
      <c r="U633" s="224"/>
      <c r="V633" s="288"/>
      <c r="W633" s="89"/>
      <c r="X633" s="114"/>
    </row>
    <row r="634" spans="1:24" s="1" customFormat="1">
      <c r="A634" s="263" t="s">
        <v>2376</v>
      </c>
      <c r="B634" s="248" t="s">
        <v>2377</v>
      </c>
      <c r="C634" s="249">
        <v>1</v>
      </c>
      <c r="D634" s="272" t="s">
        <v>2323</v>
      </c>
      <c r="E634" s="348">
        <v>516.83000000000004</v>
      </c>
      <c r="F634" s="226">
        <f t="shared" si="67"/>
        <v>0.1</v>
      </c>
      <c r="G634" s="67">
        <f t="shared" si="68"/>
        <v>465.14700000000005</v>
      </c>
      <c r="H634" s="93"/>
      <c r="I634" s="224"/>
      <c r="J634" s="288" t="s">
        <v>1099</v>
      </c>
      <c r="K634" s="89" t="s">
        <v>433</v>
      </c>
      <c r="L634" s="114" t="s">
        <v>1047</v>
      </c>
      <c r="M634" s="241" t="s">
        <v>2376</v>
      </c>
      <c r="N634" s="248" t="s">
        <v>2377</v>
      </c>
      <c r="O634" s="249">
        <v>1</v>
      </c>
      <c r="P634" s="272" t="s">
        <v>2323</v>
      </c>
      <c r="Q634" s="348">
        <v>516.83000000000004</v>
      </c>
      <c r="R634" s="226">
        <v>0.1</v>
      </c>
      <c r="S634" s="67">
        <v>465.14700000000005</v>
      </c>
      <c r="T634" s="93"/>
      <c r="U634" s="224"/>
      <c r="V634" s="288" t="s">
        <v>1099</v>
      </c>
      <c r="W634" s="89" t="s">
        <v>433</v>
      </c>
      <c r="X634" s="114" t="s">
        <v>1047</v>
      </c>
    </row>
    <row r="635" spans="1:24" s="1" customFormat="1">
      <c r="A635" s="263" t="s">
        <v>2378</v>
      </c>
      <c r="B635" s="248" t="s">
        <v>2379</v>
      </c>
      <c r="C635" s="249">
        <v>1</v>
      </c>
      <c r="D635" s="272" t="s">
        <v>2323</v>
      </c>
      <c r="E635" s="348">
        <v>223.49</v>
      </c>
      <c r="F635" s="226">
        <f t="shared" si="67"/>
        <v>0.1</v>
      </c>
      <c r="G635" s="67">
        <f t="shared" si="68"/>
        <v>201.14100000000002</v>
      </c>
      <c r="H635" s="93"/>
      <c r="I635" s="224"/>
      <c r="J635" s="288" t="s">
        <v>1099</v>
      </c>
      <c r="K635" s="89" t="s">
        <v>433</v>
      </c>
      <c r="L635" s="114" t="s">
        <v>1047</v>
      </c>
      <c r="M635" s="241" t="s">
        <v>2378</v>
      </c>
      <c r="N635" s="248" t="s">
        <v>2379</v>
      </c>
      <c r="O635" s="249">
        <v>1</v>
      </c>
      <c r="P635" s="272" t="s">
        <v>2323</v>
      </c>
      <c r="Q635" s="348">
        <v>223.49</v>
      </c>
      <c r="R635" s="226">
        <v>0.1</v>
      </c>
      <c r="S635" s="67">
        <v>201.14100000000002</v>
      </c>
      <c r="T635" s="93"/>
      <c r="U635" s="224"/>
      <c r="V635" s="288" t="s">
        <v>1099</v>
      </c>
      <c r="W635" s="89" t="s">
        <v>433</v>
      </c>
      <c r="X635" s="114" t="s">
        <v>1047</v>
      </c>
    </row>
    <row r="636" spans="1:24" s="1" customFormat="1">
      <c r="A636" s="263" t="s">
        <v>2342</v>
      </c>
      <c r="B636" s="248" t="s">
        <v>2343</v>
      </c>
      <c r="C636" s="249">
        <v>1</v>
      </c>
      <c r="D636" s="272" t="s">
        <v>2323</v>
      </c>
      <c r="E636" s="348">
        <v>251.43</v>
      </c>
      <c r="F636" s="226">
        <f t="shared" si="67"/>
        <v>0.1</v>
      </c>
      <c r="G636" s="67">
        <f t="shared" si="68"/>
        <v>226.28700000000001</v>
      </c>
      <c r="H636" s="93"/>
      <c r="I636" s="224"/>
      <c r="J636" s="288" t="s">
        <v>1099</v>
      </c>
      <c r="K636" s="89" t="s">
        <v>433</v>
      </c>
      <c r="L636" s="114" t="s">
        <v>1047</v>
      </c>
      <c r="M636" s="241" t="s">
        <v>2342</v>
      </c>
      <c r="N636" s="248" t="s">
        <v>2343</v>
      </c>
      <c r="O636" s="249">
        <v>1</v>
      </c>
      <c r="P636" s="272" t="s">
        <v>2323</v>
      </c>
      <c r="Q636" s="348">
        <v>251.43</v>
      </c>
      <c r="R636" s="226">
        <v>0.1</v>
      </c>
      <c r="S636" s="67">
        <v>226.28700000000001</v>
      </c>
      <c r="T636" s="93"/>
      <c r="U636" s="224"/>
      <c r="V636" s="288" t="s">
        <v>1099</v>
      </c>
      <c r="W636" s="89" t="s">
        <v>433</v>
      </c>
      <c r="X636" s="114" t="s">
        <v>1047</v>
      </c>
    </row>
    <row r="637" spans="1:24" s="1" customFormat="1">
      <c r="A637" s="263" t="s">
        <v>2366</v>
      </c>
      <c r="B637" s="248" t="s">
        <v>2367</v>
      </c>
      <c r="C637" s="249">
        <v>1</v>
      </c>
      <c r="D637" s="272" t="s">
        <v>2323</v>
      </c>
      <c r="E637" s="348">
        <v>850.79</v>
      </c>
      <c r="F637" s="226">
        <f t="shared" si="67"/>
        <v>0.1</v>
      </c>
      <c r="G637" s="67">
        <f t="shared" si="68"/>
        <v>765.71100000000001</v>
      </c>
      <c r="H637" s="93"/>
      <c r="I637" s="224"/>
      <c r="J637" s="288" t="s">
        <v>1099</v>
      </c>
      <c r="K637" s="89" t="s">
        <v>433</v>
      </c>
      <c r="L637" s="114" t="s">
        <v>1047</v>
      </c>
      <c r="M637" s="241" t="s">
        <v>2366</v>
      </c>
      <c r="N637" s="248" t="s">
        <v>2367</v>
      </c>
      <c r="O637" s="249">
        <v>1</v>
      </c>
      <c r="P637" s="272" t="s">
        <v>2323</v>
      </c>
      <c r="Q637" s="348">
        <v>850.79</v>
      </c>
      <c r="R637" s="226">
        <v>0.1</v>
      </c>
      <c r="S637" s="67">
        <v>765.71100000000001</v>
      </c>
      <c r="T637" s="93"/>
      <c r="U637" s="224"/>
      <c r="V637" s="288" t="s">
        <v>1099</v>
      </c>
      <c r="W637" s="89" t="s">
        <v>433</v>
      </c>
      <c r="X637" s="114" t="s">
        <v>1047</v>
      </c>
    </row>
    <row r="638" spans="1:24" s="1" customFormat="1">
      <c r="A638" s="263" t="s">
        <v>2380</v>
      </c>
      <c r="B638" s="248" t="s">
        <v>2369</v>
      </c>
      <c r="C638" s="249">
        <v>1</v>
      </c>
      <c r="D638" s="272" t="s">
        <v>2323</v>
      </c>
      <c r="E638" s="348">
        <v>502.86</v>
      </c>
      <c r="F638" s="226">
        <f t="shared" si="67"/>
        <v>0.1</v>
      </c>
      <c r="G638" s="67">
        <f t="shared" si="68"/>
        <v>452.57400000000001</v>
      </c>
      <c r="H638" s="93"/>
      <c r="I638" s="224"/>
      <c r="J638" s="288" t="s">
        <v>1099</v>
      </c>
      <c r="K638" s="89" t="s">
        <v>433</v>
      </c>
      <c r="L638" s="114" t="s">
        <v>1047</v>
      </c>
      <c r="M638" s="241" t="s">
        <v>2380</v>
      </c>
      <c r="N638" s="248" t="s">
        <v>2369</v>
      </c>
      <c r="O638" s="249">
        <v>1</v>
      </c>
      <c r="P638" s="272" t="s">
        <v>2323</v>
      </c>
      <c r="Q638" s="348">
        <v>502.86</v>
      </c>
      <c r="R638" s="226">
        <v>0.1</v>
      </c>
      <c r="S638" s="67">
        <v>452.57400000000001</v>
      </c>
      <c r="T638" s="93"/>
      <c r="U638" s="224"/>
      <c r="V638" s="288" t="s">
        <v>1099</v>
      </c>
      <c r="W638" s="89" t="s">
        <v>433</v>
      </c>
      <c r="X638" s="114" t="s">
        <v>1047</v>
      </c>
    </row>
    <row r="639" spans="1:24" s="1" customFormat="1">
      <c r="A639" s="263" t="s">
        <v>2348</v>
      </c>
      <c r="B639" s="248" t="s">
        <v>2349</v>
      </c>
      <c r="C639" s="249">
        <v>1</v>
      </c>
      <c r="D639" s="272" t="s">
        <v>2323</v>
      </c>
      <c r="E639" s="348">
        <v>251.43</v>
      </c>
      <c r="F639" s="226">
        <f t="shared" si="67"/>
        <v>0.1</v>
      </c>
      <c r="G639" s="67">
        <f t="shared" si="68"/>
        <v>226.28700000000001</v>
      </c>
      <c r="H639" s="93"/>
      <c r="I639" s="224"/>
      <c r="J639" s="288" t="s">
        <v>1099</v>
      </c>
      <c r="K639" s="89" t="s">
        <v>433</v>
      </c>
      <c r="L639" s="114" t="s">
        <v>1047</v>
      </c>
      <c r="M639" s="241" t="s">
        <v>2348</v>
      </c>
      <c r="N639" s="248" t="s">
        <v>2349</v>
      </c>
      <c r="O639" s="249">
        <v>1</v>
      </c>
      <c r="P639" s="272" t="s">
        <v>2323</v>
      </c>
      <c r="Q639" s="348">
        <v>251.43</v>
      </c>
      <c r="R639" s="226">
        <v>0.1</v>
      </c>
      <c r="S639" s="67">
        <v>226.28700000000001</v>
      </c>
      <c r="T639" s="93"/>
      <c r="U639" s="224"/>
      <c r="V639" s="288" t="s">
        <v>1099</v>
      </c>
      <c r="W639" s="89" t="s">
        <v>433</v>
      </c>
      <c r="X639" s="114" t="s">
        <v>1047</v>
      </c>
    </row>
    <row r="640" spans="1:24" s="1" customFormat="1">
      <c r="A640" s="263" t="s">
        <v>2350</v>
      </c>
      <c r="B640" s="248" t="s">
        <v>2351</v>
      </c>
      <c r="C640" s="249">
        <v>1</v>
      </c>
      <c r="D640" s="272" t="s">
        <v>2323</v>
      </c>
      <c r="E640" s="348">
        <v>524.76</v>
      </c>
      <c r="F640" s="226">
        <f t="shared" si="67"/>
        <v>0.1</v>
      </c>
      <c r="G640" s="67">
        <f t="shared" si="68"/>
        <v>472.28399999999999</v>
      </c>
      <c r="H640" s="93"/>
      <c r="I640" s="224"/>
      <c r="J640" s="288" t="s">
        <v>1099</v>
      </c>
      <c r="K640" s="89" t="s">
        <v>433</v>
      </c>
      <c r="L640" s="114" t="s">
        <v>1047</v>
      </c>
      <c r="M640" s="241" t="s">
        <v>2350</v>
      </c>
      <c r="N640" s="248" t="s">
        <v>2351</v>
      </c>
      <c r="O640" s="249">
        <v>1</v>
      </c>
      <c r="P640" s="272" t="s">
        <v>2323</v>
      </c>
      <c r="Q640" s="348">
        <v>524.76</v>
      </c>
      <c r="R640" s="226">
        <v>0.1</v>
      </c>
      <c r="S640" s="67">
        <v>472.28399999999999</v>
      </c>
      <c r="T640" s="93"/>
      <c r="U640" s="224"/>
      <c r="V640" s="288" t="s">
        <v>1099</v>
      </c>
      <c r="W640" s="89" t="s">
        <v>433</v>
      </c>
      <c r="X640" s="114" t="s">
        <v>1047</v>
      </c>
    </row>
    <row r="641" spans="1:24" s="1" customFormat="1">
      <c r="A641" s="263" t="s">
        <v>2352</v>
      </c>
      <c r="B641" s="248" t="s">
        <v>2353</v>
      </c>
      <c r="C641" s="249">
        <v>1</v>
      </c>
      <c r="D641" s="272" t="s">
        <v>2323</v>
      </c>
      <c r="E641" s="348">
        <v>129.68</v>
      </c>
      <c r="F641" s="226">
        <f t="shared" si="67"/>
        <v>0.1</v>
      </c>
      <c r="G641" s="67">
        <f t="shared" si="68"/>
        <v>116.712</v>
      </c>
      <c r="H641" s="93"/>
      <c r="I641" s="224"/>
      <c r="J641" s="288" t="s">
        <v>1099</v>
      </c>
      <c r="K641" s="89" t="s">
        <v>433</v>
      </c>
      <c r="L641" s="114" t="s">
        <v>1047</v>
      </c>
      <c r="M641" s="241" t="s">
        <v>2352</v>
      </c>
      <c r="N641" s="248" t="s">
        <v>2353</v>
      </c>
      <c r="O641" s="249">
        <v>1</v>
      </c>
      <c r="P641" s="272" t="s">
        <v>2323</v>
      </c>
      <c r="Q641" s="348">
        <v>129.68</v>
      </c>
      <c r="R641" s="226">
        <v>0.1</v>
      </c>
      <c r="S641" s="67">
        <v>116.712</v>
      </c>
      <c r="T641" s="93"/>
      <c r="U641" s="224"/>
      <c r="V641" s="288" t="s">
        <v>1099</v>
      </c>
      <c r="W641" s="89" t="s">
        <v>433</v>
      </c>
      <c r="X641" s="114" t="s">
        <v>1047</v>
      </c>
    </row>
    <row r="642" spans="1:24" s="1" customFormat="1">
      <c r="A642" s="263" t="s">
        <v>2354</v>
      </c>
      <c r="B642" s="248" t="s">
        <v>2355</v>
      </c>
      <c r="C642" s="249">
        <v>1</v>
      </c>
      <c r="D642" s="272" t="s">
        <v>2323</v>
      </c>
      <c r="E642" s="348">
        <v>20.32</v>
      </c>
      <c r="F642" s="226">
        <f t="shared" si="67"/>
        <v>0.1</v>
      </c>
      <c r="G642" s="67">
        <f t="shared" si="68"/>
        <v>18.288</v>
      </c>
      <c r="H642" s="93"/>
      <c r="I642" s="224"/>
      <c r="J642" s="288" t="s">
        <v>1099</v>
      </c>
      <c r="K642" s="89" t="s">
        <v>433</v>
      </c>
      <c r="L642" s="114" t="s">
        <v>1047</v>
      </c>
      <c r="M642" s="241" t="s">
        <v>2354</v>
      </c>
      <c r="N642" s="248" t="s">
        <v>2355</v>
      </c>
      <c r="O642" s="249">
        <v>1</v>
      </c>
      <c r="P642" s="272" t="s">
        <v>2323</v>
      </c>
      <c r="Q642" s="348">
        <v>20.32</v>
      </c>
      <c r="R642" s="226">
        <v>0.1</v>
      </c>
      <c r="S642" s="67">
        <v>18.288</v>
      </c>
      <c r="T642" s="113"/>
      <c r="U642" s="28"/>
      <c r="V642" s="288" t="s">
        <v>1099</v>
      </c>
      <c r="W642" s="89" t="s">
        <v>433</v>
      </c>
      <c r="X642" s="114" t="s">
        <v>1047</v>
      </c>
    </row>
    <row r="643" spans="1:24" s="1" customFormat="1">
      <c r="A643" s="688" t="s">
        <v>2381</v>
      </c>
      <c r="B643" s="268" t="s">
        <v>2382</v>
      </c>
      <c r="C643" s="269">
        <v>1</v>
      </c>
      <c r="D643" s="110" t="s">
        <v>2323</v>
      </c>
      <c r="E643" s="427">
        <v>8911.75</v>
      </c>
      <c r="F643" s="270">
        <f t="shared" si="67"/>
        <v>0.1</v>
      </c>
      <c r="G643" s="111">
        <f t="shared" si="68"/>
        <v>8020.5749999999998</v>
      </c>
      <c r="H643" s="93"/>
      <c r="I643" s="224"/>
      <c r="J643" s="288" t="s">
        <v>1099</v>
      </c>
      <c r="K643" s="89" t="s">
        <v>433</v>
      </c>
      <c r="L643" s="114" t="s">
        <v>1047</v>
      </c>
      <c r="M643" s="234" t="s">
        <v>2381</v>
      </c>
      <c r="N643" s="268" t="s">
        <v>2382</v>
      </c>
      <c r="O643" s="269">
        <v>1</v>
      </c>
      <c r="P643" s="110" t="s">
        <v>2323</v>
      </c>
      <c r="Q643" s="427">
        <v>8911.75</v>
      </c>
      <c r="R643" s="270">
        <v>0.1</v>
      </c>
      <c r="S643" s="111">
        <v>8020.5749999999998</v>
      </c>
      <c r="T643" s="93"/>
      <c r="U643" s="224"/>
      <c r="V643" s="288" t="s">
        <v>1099</v>
      </c>
      <c r="W643" s="89" t="s">
        <v>433</v>
      </c>
      <c r="X643" s="114" t="s">
        <v>1047</v>
      </c>
    </row>
    <row r="644" spans="1:24" s="1" customFormat="1">
      <c r="A644" s="263" t="s">
        <v>2383</v>
      </c>
      <c r="B644" s="248" t="s">
        <v>2384</v>
      </c>
      <c r="C644" s="249">
        <v>1</v>
      </c>
      <c r="D644" s="272" t="s">
        <v>2323</v>
      </c>
      <c r="E644" s="348">
        <v>1005.71</v>
      </c>
      <c r="F644" s="226">
        <f t="shared" si="67"/>
        <v>0.1</v>
      </c>
      <c r="G644" s="67">
        <f t="shared" si="68"/>
        <v>905.13900000000001</v>
      </c>
      <c r="H644" s="93"/>
      <c r="I644" s="224"/>
      <c r="J644" s="288" t="s">
        <v>1099</v>
      </c>
      <c r="K644" s="89" t="s">
        <v>433</v>
      </c>
      <c r="L644" s="114" t="s">
        <v>1047</v>
      </c>
      <c r="M644" s="241" t="s">
        <v>2383</v>
      </c>
      <c r="N644" s="248" t="s">
        <v>2384</v>
      </c>
      <c r="O644" s="249">
        <v>1</v>
      </c>
      <c r="P644" s="272" t="s">
        <v>2323</v>
      </c>
      <c r="Q644" s="348">
        <v>1005.71</v>
      </c>
      <c r="R644" s="226">
        <v>0.1</v>
      </c>
      <c r="S644" s="67">
        <v>905.13900000000001</v>
      </c>
      <c r="T644" s="93"/>
      <c r="U644" s="224"/>
      <c r="V644" s="288" t="s">
        <v>1099</v>
      </c>
      <c r="W644" s="89" t="s">
        <v>433</v>
      </c>
      <c r="X644" s="114" t="s">
        <v>1047</v>
      </c>
    </row>
    <row r="645" spans="1:24" s="1" customFormat="1">
      <c r="A645" s="263" t="s">
        <v>2385</v>
      </c>
      <c r="B645" s="248" t="s">
        <v>2386</v>
      </c>
      <c r="C645" s="249">
        <v>1</v>
      </c>
      <c r="D645" s="272" t="s">
        <v>2323</v>
      </c>
      <c r="E645" s="348">
        <v>1005.71</v>
      </c>
      <c r="F645" s="226">
        <f t="shared" si="67"/>
        <v>0.1</v>
      </c>
      <c r="G645" s="67">
        <f t="shared" ref="G645" si="72">E645-(E645*F645)</f>
        <v>905.13900000000001</v>
      </c>
      <c r="H645" s="93"/>
      <c r="I645" s="224"/>
      <c r="J645" s="288" t="s">
        <v>1099</v>
      </c>
      <c r="K645" s="89" t="s">
        <v>433</v>
      </c>
      <c r="L645" s="114" t="s">
        <v>1047</v>
      </c>
      <c r="M645" s="241"/>
      <c r="N645" s="248"/>
      <c r="O645" s="249"/>
      <c r="P645" s="272"/>
      <c r="Q645" s="348"/>
      <c r="R645" s="226"/>
      <c r="S645" s="67"/>
      <c r="T645" s="93"/>
      <c r="U645" s="224"/>
      <c r="V645" s="288"/>
      <c r="W645" s="89"/>
      <c r="X645" s="114"/>
    </row>
    <row r="646" spans="1:24" s="1" customFormat="1">
      <c r="A646" s="263" t="s">
        <v>2387</v>
      </c>
      <c r="B646" s="248" t="s">
        <v>2388</v>
      </c>
      <c r="C646" s="249">
        <v>1</v>
      </c>
      <c r="D646" s="272" t="s">
        <v>2323</v>
      </c>
      <c r="E646" s="348">
        <v>586.66999999999996</v>
      </c>
      <c r="F646" s="226">
        <f t="shared" ref="F646:F669" si="73">rv_10</f>
        <v>0.1</v>
      </c>
      <c r="G646" s="67">
        <f t="shared" si="68"/>
        <v>528.00299999999993</v>
      </c>
      <c r="H646" s="93"/>
      <c r="I646" s="224"/>
      <c r="J646" s="288" t="s">
        <v>1099</v>
      </c>
      <c r="K646" s="89" t="s">
        <v>433</v>
      </c>
      <c r="L646" s="114" t="s">
        <v>1047</v>
      </c>
      <c r="M646" s="241" t="s">
        <v>2387</v>
      </c>
      <c r="N646" s="248" t="s">
        <v>2388</v>
      </c>
      <c r="O646" s="249">
        <v>1</v>
      </c>
      <c r="P646" s="272" t="s">
        <v>2323</v>
      </c>
      <c r="Q646" s="348">
        <v>586.66999999999996</v>
      </c>
      <c r="R646" s="226">
        <v>0.1</v>
      </c>
      <c r="S646" s="67">
        <v>528.00299999999993</v>
      </c>
      <c r="T646" s="93"/>
      <c r="U646" s="224"/>
      <c r="V646" s="288" t="s">
        <v>1099</v>
      </c>
      <c r="W646" s="89" t="s">
        <v>433</v>
      </c>
      <c r="X646" s="114" t="s">
        <v>1047</v>
      </c>
    </row>
    <row r="647" spans="1:24" s="1" customFormat="1">
      <c r="A647" s="263" t="s">
        <v>2389</v>
      </c>
      <c r="B647" s="248" t="s">
        <v>2390</v>
      </c>
      <c r="C647" s="249">
        <v>1</v>
      </c>
      <c r="D647" s="272" t="s">
        <v>2323</v>
      </c>
      <c r="E647" s="348">
        <v>335.24</v>
      </c>
      <c r="F647" s="226">
        <f t="shared" si="73"/>
        <v>0.1</v>
      </c>
      <c r="G647" s="67">
        <f t="shared" si="68"/>
        <v>301.71600000000001</v>
      </c>
      <c r="H647" s="93"/>
      <c r="I647" s="224"/>
      <c r="J647" s="288" t="s">
        <v>1099</v>
      </c>
      <c r="K647" s="89" t="s">
        <v>433</v>
      </c>
      <c r="L647" s="114" t="s">
        <v>1047</v>
      </c>
      <c r="M647" s="241" t="s">
        <v>2389</v>
      </c>
      <c r="N647" s="248" t="s">
        <v>2390</v>
      </c>
      <c r="O647" s="249">
        <v>1</v>
      </c>
      <c r="P647" s="272" t="s">
        <v>2323</v>
      </c>
      <c r="Q647" s="348">
        <v>335.24</v>
      </c>
      <c r="R647" s="226">
        <v>0.1</v>
      </c>
      <c r="S647" s="67">
        <v>301.71600000000001</v>
      </c>
      <c r="T647" s="93"/>
      <c r="U647" s="224"/>
      <c r="V647" s="288" t="s">
        <v>1099</v>
      </c>
      <c r="W647" s="89" t="s">
        <v>433</v>
      </c>
      <c r="X647" s="114" t="s">
        <v>1047</v>
      </c>
    </row>
    <row r="648" spans="1:24" s="1" customFormat="1">
      <c r="A648" s="263" t="s">
        <v>2342</v>
      </c>
      <c r="B648" s="248" t="s">
        <v>2343</v>
      </c>
      <c r="C648" s="249">
        <v>1</v>
      </c>
      <c r="D648" s="272" t="s">
        <v>2323</v>
      </c>
      <c r="E648" s="348">
        <v>251.43</v>
      </c>
      <c r="F648" s="226">
        <f t="shared" si="73"/>
        <v>0.1</v>
      </c>
      <c r="G648" s="67">
        <f t="shared" si="68"/>
        <v>226.28700000000001</v>
      </c>
      <c r="H648" s="93"/>
      <c r="I648" s="224"/>
      <c r="J648" s="288" t="s">
        <v>1099</v>
      </c>
      <c r="K648" s="89" t="s">
        <v>433</v>
      </c>
      <c r="L648" s="114" t="s">
        <v>1047</v>
      </c>
      <c r="M648" s="241" t="s">
        <v>2342</v>
      </c>
      <c r="N648" s="248" t="s">
        <v>2343</v>
      </c>
      <c r="O648" s="249">
        <v>1</v>
      </c>
      <c r="P648" s="272" t="s">
        <v>2323</v>
      </c>
      <c r="Q648" s="348">
        <v>251.43</v>
      </c>
      <c r="R648" s="226">
        <v>0.1</v>
      </c>
      <c r="S648" s="67">
        <v>226.28700000000001</v>
      </c>
      <c r="T648" s="93"/>
      <c r="U648" s="224"/>
      <c r="V648" s="288" t="s">
        <v>1099</v>
      </c>
      <c r="W648" s="89" t="s">
        <v>433</v>
      </c>
      <c r="X648" s="114" t="s">
        <v>1047</v>
      </c>
    </row>
    <row r="649" spans="1:24" s="1" customFormat="1">
      <c r="A649" s="263" t="s">
        <v>2391</v>
      </c>
      <c r="B649" s="248" t="s">
        <v>2392</v>
      </c>
      <c r="C649" s="249">
        <v>1</v>
      </c>
      <c r="D649" s="272" t="s">
        <v>2323</v>
      </c>
      <c r="E649" s="348">
        <v>914.29</v>
      </c>
      <c r="F649" s="226">
        <f t="shared" si="73"/>
        <v>0.1</v>
      </c>
      <c r="G649" s="67">
        <f t="shared" si="68"/>
        <v>822.86099999999999</v>
      </c>
      <c r="H649" s="93"/>
      <c r="I649" s="224"/>
      <c r="J649" s="288" t="s">
        <v>1099</v>
      </c>
      <c r="K649" s="89" t="s">
        <v>433</v>
      </c>
      <c r="L649" s="114" t="s">
        <v>1047</v>
      </c>
      <c r="M649" s="241" t="s">
        <v>2391</v>
      </c>
      <c r="N649" s="248" t="s">
        <v>2392</v>
      </c>
      <c r="O649" s="249">
        <v>1</v>
      </c>
      <c r="P649" s="272" t="s">
        <v>2323</v>
      </c>
      <c r="Q649" s="348">
        <v>914.29</v>
      </c>
      <c r="R649" s="226">
        <v>0.1</v>
      </c>
      <c r="S649" s="67">
        <v>822.86099999999999</v>
      </c>
      <c r="T649" s="93"/>
      <c r="U649" s="224"/>
      <c r="V649" s="288" t="s">
        <v>1099</v>
      </c>
      <c r="W649" s="89" t="s">
        <v>433</v>
      </c>
      <c r="X649" s="114" t="s">
        <v>1047</v>
      </c>
    </row>
    <row r="650" spans="1:24" s="1" customFormat="1">
      <c r="A650" s="263" t="s">
        <v>2393</v>
      </c>
      <c r="B650" s="248" t="s">
        <v>2394</v>
      </c>
      <c r="C650" s="249">
        <v>1</v>
      </c>
      <c r="D650" s="272" t="s">
        <v>2323</v>
      </c>
      <c r="E650" s="348">
        <v>640</v>
      </c>
      <c r="F650" s="226">
        <f t="shared" si="73"/>
        <v>0.1</v>
      </c>
      <c r="G650" s="67">
        <f t="shared" si="68"/>
        <v>576</v>
      </c>
      <c r="H650" s="93"/>
      <c r="I650" s="224"/>
      <c r="J650" s="288" t="s">
        <v>1099</v>
      </c>
      <c r="K650" s="89" t="s">
        <v>433</v>
      </c>
      <c r="L650" s="114" t="s">
        <v>1047</v>
      </c>
      <c r="M650" s="241" t="s">
        <v>2393</v>
      </c>
      <c r="N650" s="248" t="s">
        <v>2394</v>
      </c>
      <c r="O650" s="249">
        <v>1</v>
      </c>
      <c r="P650" s="272" t="s">
        <v>2323</v>
      </c>
      <c r="Q650" s="348">
        <v>640</v>
      </c>
      <c r="R650" s="226">
        <v>0.1</v>
      </c>
      <c r="S650" s="67">
        <v>576</v>
      </c>
      <c r="T650" s="93"/>
      <c r="U650" s="224"/>
      <c r="V650" s="288" t="s">
        <v>1099</v>
      </c>
      <c r="W650" s="89" t="s">
        <v>433</v>
      </c>
      <c r="X650" s="114" t="s">
        <v>1047</v>
      </c>
    </row>
    <row r="651" spans="1:24" s="1" customFormat="1">
      <c r="A651" s="263" t="s">
        <v>2348</v>
      </c>
      <c r="B651" s="248" t="s">
        <v>2349</v>
      </c>
      <c r="C651" s="249">
        <v>1</v>
      </c>
      <c r="D651" s="272" t="s">
        <v>2323</v>
      </c>
      <c r="E651" s="348">
        <v>251.43</v>
      </c>
      <c r="F651" s="226">
        <f t="shared" si="73"/>
        <v>0.1</v>
      </c>
      <c r="G651" s="67">
        <f t="shared" si="68"/>
        <v>226.28700000000001</v>
      </c>
      <c r="H651" s="93"/>
      <c r="I651" s="224"/>
      <c r="J651" s="288" t="s">
        <v>1099</v>
      </c>
      <c r="K651" s="89" t="s">
        <v>433</v>
      </c>
      <c r="L651" s="114" t="s">
        <v>1047</v>
      </c>
      <c r="M651" s="241" t="s">
        <v>2348</v>
      </c>
      <c r="N651" s="248" t="s">
        <v>2349</v>
      </c>
      <c r="O651" s="249">
        <v>1</v>
      </c>
      <c r="P651" s="272" t="s">
        <v>2323</v>
      </c>
      <c r="Q651" s="348">
        <v>251.43</v>
      </c>
      <c r="R651" s="226">
        <v>0.1</v>
      </c>
      <c r="S651" s="67">
        <v>226.28700000000001</v>
      </c>
      <c r="T651" s="93"/>
      <c r="U651" s="224"/>
      <c r="V651" s="288" t="s">
        <v>1099</v>
      </c>
      <c r="W651" s="89" t="s">
        <v>433</v>
      </c>
      <c r="X651" s="114" t="s">
        <v>1047</v>
      </c>
    </row>
    <row r="652" spans="1:24" s="1" customFormat="1">
      <c r="A652" s="263" t="s">
        <v>2395</v>
      </c>
      <c r="B652" s="248" t="s">
        <v>2396</v>
      </c>
      <c r="C652" s="249">
        <v>1</v>
      </c>
      <c r="D652" s="272" t="s">
        <v>2323</v>
      </c>
      <c r="E652" s="348">
        <v>279.37</v>
      </c>
      <c r="F652" s="226">
        <f t="shared" si="73"/>
        <v>0.1</v>
      </c>
      <c r="G652" s="67">
        <f t="shared" si="68"/>
        <v>251.43299999999999</v>
      </c>
      <c r="H652" s="93"/>
      <c r="I652" s="224"/>
      <c r="J652" s="288" t="s">
        <v>1099</v>
      </c>
      <c r="K652" s="89" t="s">
        <v>433</v>
      </c>
      <c r="L652" s="114" t="s">
        <v>1047</v>
      </c>
      <c r="M652" s="241" t="s">
        <v>2395</v>
      </c>
      <c r="N652" s="248" t="s">
        <v>2396</v>
      </c>
      <c r="O652" s="249">
        <v>1</v>
      </c>
      <c r="P652" s="272" t="s">
        <v>2323</v>
      </c>
      <c r="Q652" s="348">
        <v>279.37</v>
      </c>
      <c r="R652" s="226">
        <v>0.1</v>
      </c>
      <c r="S652" s="67">
        <v>251.43299999999999</v>
      </c>
      <c r="T652" s="93"/>
      <c r="U652" s="224"/>
      <c r="V652" s="288" t="s">
        <v>1099</v>
      </c>
      <c r="W652" s="89" t="s">
        <v>433</v>
      </c>
      <c r="X652" s="114" t="s">
        <v>1047</v>
      </c>
    </row>
    <row r="653" spans="1:24" s="1" customFormat="1">
      <c r="A653" s="263" t="s">
        <v>2350</v>
      </c>
      <c r="B653" s="248" t="s">
        <v>2351</v>
      </c>
      <c r="C653" s="249">
        <v>1</v>
      </c>
      <c r="D653" s="272" t="s">
        <v>2323</v>
      </c>
      <c r="E653" s="348">
        <v>524.76</v>
      </c>
      <c r="F653" s="226">
        <f t="shared" si="73"/>
        <v>0.1</v>
      </c>
      <c r="G653" s="67">
        <f t="shared" si="68"/>
        <v>472.28399999999999</v>
      </c>
      <c r="H653" s="93"/>
      <c r="I653" s="224"/>
      <c r="J653" s="288" t="s">
        <v>1099</v>
      </c>
      <c r="K653" s="89" t="s">
        <v>433</v>
      </c>
      <c r="L653" s="114" t="s">
        <v>1047</v>
      </c>
      <c r="M653" s="241" t="s">
        <v>2350</v>
      </c>
      <c r="N653" s="248" t="s">
        <v>2351</v>
      </c>
      <c r="O653" s="249">
        <v>1</v>
      </c>
      <c r="P653" s="272" t="s">
        <v>2323</v>
      </c>
      <c r="Q653" s="348">
        <v>524.76</v>
      </c>
      <c r="R653" s="226">
        <v>0.1</v>
      </c>
      <c r="S653" s="67">
        <v>472.28399999999999</v>
      </c>
      <c r="T653" s="93"/>
      <c r="U653" s="224"/>
      <c r="V653" s="288" t="s">
        <v>1099</v>
      </c>
      <c r="W653" s="89" t="s">
        <v>433</v>
      </c>
      <c r="X653" s="114" t="s">
        <v>1047</v>
      </c>
    </row>
    <row r="654" spans="1:24" s="1" customFormat="1">
      <c r="A654" s="263" t="s">
        <v>2352</v>
      </c>
      <c r="B654" s="248" t="s">
        <v>2353</v>
      </c>
      <c r="C654" s="249">
        <v>1</v>
      </c>
      <c r="D654" s="272" t="s">
        <v>2323</v>
      </c>
      <c r="E654" s="348">
        <v>129.68</v>
      </c>
      <c r="F654" s="226">
        <f t="shared" si="73"/>
        <v>0.1</v>
      </c>
      <c r="G654" s="67">
        <f t="shared" si="68"/>
        <v>116.712</v>
      </c>
      <c r="H654" s="93"/>
      <c r="I654" s="224"/>
      <c r="J654" s="288" t="s">
        <v>1099</v>
      </c>
      <c r="K654" s="89" t="s">
        <v>433</v>
      </c>
      <c r="L654" s="114" t="s">
        <v>1047</v>
      </c>
      <c r="M654" s="241" t="s">
        <v>2352</v>
      </c>
      <c r="N654" s="248" t="s">
        <v>2353</v>
      </c>
      <c r="O654" s="249">
        <v>1</v>
      </c>
      <c r="P654" s="272" t="s">
        <v>2323</v>
      </c>
      <c r="Q654" s="348">
        <v>129.68</v>
      </c>
      <c r="R654" s="226">
        <v>0.1</v>
      </c>
      <c r="S654" s="67">
        <v>116.712</v>
      </c>
      <c r="T654" s="93"/>
      <c r="U654" s="224"/>
      <c r="V654" s="288" t="s">
        <v>1099</v>
      </c>
      <c r="W654" s="89" t="s">
        <v>433</v>
      </c>
      <c r="X654" s="114" t="s">
        <v>1047</v>
      </c>
    </row>
    <row r="655" spans="1:24" s="1" customFormat="1">
      <c r="A655" s="263" t="s">
        <v>2354</v>
      </c>
      <c r="B655" s="248" t="s">
        <v>2355</v>
      </c>
      <c r="C655" s="249">
        <v>1</v>
      </c>
      <c r="D655" s="272" t="s">
        <v>2323</v>
      </c>
      <c r="E655" s="348">
        <v>20.32</v>
      </c>
      <c r="F655" s="226">
        <f t="shared" si="73"/>
        <v>0.1</v>
      </c>
      <c r="G655" s="67">
        <f t="shared" si="68"/>
        <v>18.288</v>
      </c>
      <c r="H655" s="93"/>
      <c r="I655" s="224"/>
      <c r="J655" s="288" t="s">
        <v>1099</v>
      </c>
      <c r="K655" s="89" t="s">
        <v>433</v>
      </c>
      <c r="L655" s="114" t="s">
        <v>1047</v>
      </c>
      <c r="M655" s="241" t="s">
        <v>2354</v>
      </c>
      <c r="N655" s="248" t="s">
        <v>2355</v>
      </c>
      <c r="O655" s="249">
        <v>1</v>
      </c>
      <c r="P655" s="272" t="s">
        <v>2323</v>
      </c>
      <c r="Q655" s="348">
        <v>20.32</v>
      </c>
      <c r="R655" s="226">
        <v>0.1</v>
      </c>
      <c r="S655" s="67">
        <v>18.288</v>
      </c>
      <c r="T655" s="113"/>
      <c r="U655" s="28"/>
      <c r="V655" s="288" t="s">
        <v>1099</v>
      </c>
      <c r="W655" s="89" t="s">
        <v>433</v>
      </c>
      <c r="X655" s="114" t="s">
        <v>1047</v>
      </c>
    </row>
    <row r="656" spans="1:24" s="1" customFormat="1">
      <c r="A656" s="688" t="s">
        <v>2397</v>
      </c>
      <c r="B656" s="268" t="s">
        <v>2398</v>
      </c>
      <c r="C656" s="269">
        <v>1</v>
      </c>
      <c r="D656" s="110" t="s">
        <v>2323</v>
      </c>
      <c r="E656" s="427">
        <v>10741.59</v>
      </c>
      <c r="F656" s="270">
        <f t="shared" si="73"/>
        <v>0.1</v>
      </c>
      <c r="G656" s="111">
        <f t="shared" si="68"/>
        <v>9667.4310000000005</v>
      </c>
      <c r="H656" s="93"/>
      <c r="I656" s="224"/>
      <c r="J656" s="288" t="s">
        <v>1099</v>
      </c>
      <c r="K656" s="89" t="s">
        <v>433</v>
      </c>
      <c r="L656" s="114" t="s">
        <v>1047</v>
      </c>
      <c r="M656" s="234" t="s">
        <v>2397</v>
      </c>
      <c r="N656" s="268" t="s">
        <v>2398</v>
      </c>
      <c r="O656" s="269">
        <v>1</v>
      </c>
      <c r="P656" s="110" t="s">
        <v>2323</v>
      </c>
      <c r="Q656" s="427">
        <v>10741.59</v>
      </c>
      <c r="R656" s="270">
        <v>0.1</v>
      </c>
      <c r="S656" s="111">
        <v>9667.4310000000005</v>
      </c>
      <c r="T656" s="93"/>
      <c r="U656" s="224"/>
      <c r="V656" s="288" t="s">
        <v>1099</v>
      </c>
      <c r="W656" s="89" t="s">
        <v>433</v>
      </c>
      <c r="X656" s="114" t="s">
        <v>1047</v>
      </c>
    </row>
    <row r="657" spans="1:24" s="1" customFormat="1">
      <c r="A657" s="263" t="s">
        <v>2399</v>
      </c>
      <c r="B657" s="248" t="s">
        <v>2400</v>
      </c>
      <c r="C657" s="249">
        <v>1</v>
      </c>
      <c r="D657" s="272" t="s">
        <v>2323</v>
      </c>
      <c r="E657" s="348">
        <v>1340.95</v>
      </c>
      <c r="F657" s="226">
        <f t="shared" si="73"/>
        <v>0.1</v>
      </c>
      <c r="G657" s="67">
        <f t="shared" si="68"/>
        <v>1206.855</v>
      </c>
      <c r="H657" s="93"/>
      <c r="I657" s="224"/>
      <c r="J657" s="288" t="s">
        <v>1099</v>
      </c>
      <c r="K657" s="89" t="s">
        <v>433</v>
      </c>
      <c r="L657" s="114" t="s">
        <v>1047</v>
      </c>
      <c r="M657" s="241" t="s">
        <v>2399</v>
      </c>
      <c r="N657" s="248" t="s">
        <v>2400</v>
      </c>
      <c r="O657" s="249">
        <v>1</v>
      </c>
      <c r="P657" s="272" t="s">
        <v>2323</v>
      </c>
      <c r="Q657" s="348">
        <v>1340.95</v>
      </c>
      <c r="R657" s="226">
        <v>0.1</v>
      </c>
      <c r="S657" s="67">
        <v>1206.855</v>
      </c>
      <c r="T657" s="93"/>
      <c r="U657" s="224"/>
      <c r="V657" s="288" t="s">
        <v>1099</v>
      </c>
      <c r="W657" s="89" t="s">
        <v>433</v>
      </c>
      <c r="X657" s="114" t="s">
        <v>1047</v>
      </c>
    </row>
    <row r="658" spans="1:24" s="1" customFormat="1">
      <c r="A658" s="263" t="s">
        <v>2401</v>
      </c>
      <c r="B658" s="248" t="s">
        <v>2402</v>
      </c>
      <c r="C658" s="249">
        <v>1</v>
      </c>
      <c r="D658" s="272" t="s">
        <v>2323</v>
      </c>
      <c r="E658" s="348">
        <v>1340.95</v>
      </c>
      <c r="F658" s="226">
        <f t="shared" si="73"/>
        <v>0.1</v>
      </c>
      <c r="G658" s="67">
        <f t="shared" ref="G658" si="74">E658-(E658*F658)</f>
        <v>1206.855</v>
      </c>
      <c r="H658" s="93"/>
      <c r="I658" s="224"/>
      <c r="J658" s="288" t="s">
        <v>1099</v>
      </c>
      <c r="K658" s="89" t="s">
        <v>433</v>
      </c>
      <c r="L658" s="114" t="s">
        <v>1047</v>
      </c>
      <c r="M658" s="241"/>
      <c r="N658" s="248"/>
      <c r="O658" s="249"/>
      <c r="P658" s="272"/>
      <c r="Q658" s="348"/>
      <c r="R658" s="226"/>
      <c r="S658" s="67"/>
      <c r="T658" s="93"/>
      <c r="U658" s="224"/>
      <c r="V658" s="288"/>
      <c r="W658" s="89"/>
      <c r="X658" s="114"/>
    </row>
    <row r="659" spans="1:24" s="1" customFormat="1">
      <c r="A659" s="263" t="s">
        <v>2403</v>
      </c>
      <c r="B659" s="248" t="s">
        <v>2404</v>
      </c>
      <c r="C659" s="249">
        <v>1</v>
      </c>
      <c r="D659" s="272" t="s">
        <v>2323</v>
      </c>
      <c r="E659" s="348">
        <v>656.51</v>
      </c>
      <c r="F659" s="226">
        <f t="shared" si="73"/>
        <v>0.1</v>
      </c>
      <c r="G659" s="67">
        <f t="shared" ref="G659:G722" si="75">E659-(E659*F659)</f>
        <v>590.85900000000004</v>
      </c>
      <c r="H659" s="93"/>
      <c r="I659" s="224"/>
      <c r="J659" s="288" t="s">
        <v>1099</v>
      </c>
      <c r="K659" s="89" t="s">
        <v>433</v>
      </c>
      <c r="L659" s="114" t="s">
        <v>1047</v>
      </c>
      <c r="M659" s="241" t="s">
        <v>2403</v>
      </c>
      <c r="N659" s="248" t="s">
        <v>2404</v>
      </c>
      <c r="O659" s="249">
        <v>1</v>
      </c>
      <c r="P659" s="272" t="s">
        <v>2323</v>
      </c>
      <c r="Q659" s="348">
        <v>656.51</v>
      </c>
      <c r="R659" s="226">
        <v>0.1</v>
      </c>
      <c r="S659" s="67">
        <v>590.85900000000004</v>
      </c>
      <c r="T659" s="93"/>
      <c r="U659" s="224"/>
      <c r="V659" s="288" t="s">
        <v>1099</v>
      </c>
      <c r="W659" s="89" t="s">
        <v>433</v>
      </c>
      <c r="X659" s="114" t="s">
        <v>1047</v>
      </c>
    </row>
    <row r="660" spans="1:24" s="1" customFormat="1">
      <c r="A660" s="263" t="s">
        <v>2405</v>
      </c>
      <c r="B660" s="248" t="s">
        <v>2406</v>
      </c>
      <c r="C660" s="249">
        <v>1</v>
      </c>
      <c r="D660" s="272" t="s">
        <v>2323</v>
      </c>
      <c r="E660" s="348">
        <v>446.98</v>
      </c>
      <c r="F660" s="226">
        <f t="shared" si="73"/>
        <v>0.1</v>
      </c>
      <c r="G660" s="67">
        <f t="shared" si="75"/>
        <v>402.28200000000004</v>
      </c>
      <c r="H660" s="93"/>
      <c r="I660" s="224"/>
      <c r="J660" s="288" t="s">
        <v>1099</v>
      </c>
      <c r="K660" s="89" t="s">
        <v>433</v>
      </c>
      <c r="L660" s="114" t="s">
        <v>1047</v>
      </c>
      <c r="M660" s="241" t="s">
        <v>2405</v>
      </c>
      <c r="N660" s="248" t="s">
        <v>2406</v>
      </c>
      <c r="O660" s="249">
        <v>1</v>
      </c>
      <c r="P660" s="272" t="s">
        <v>2323</v>
      </c>
      <c r="Q660" s="348">
        <v>446.98</v>
      </c>
      <c r="R660" s="226">
        <v>0.1</v>
      </c>
      <c r="S660" s="67">
        <v>402.28200000000004</v>
      </c>
      <c r="T660" s="93"/>
      <c r="U660" s="224"/>
      <c r="V660" s="288" t="s">
        <v>1099</v>
      </c>
      <c r="W660" s="89" t="s">
        <v>433</v>
      </c>
      <c r="X660" s="114" t="s">
        <v>1047</v>
      </c>
    </row>
    <row r="661" spans="1:24" s="1" customFormat="1">
      <c r="A661" s="263" t="s">
        <v>2342</v>
      </c>
      <c r="B661" s="248" t="s">
        <v>2343</v>
      </c>
      <c r="C661" s="249">
        <v>1</v>
      </c>
      <c r="D661" s="272" t="s">
        <v>2323</v>
      </c>
      <c r="E661" s="348">
        <v>251.43</v>
      </c>
      <c r="F661" s="226">
        <f t="shared" si="73"/>
        <v>0.1</v>
      </c>
      <c r="G661" s="67">
        <f t="shared" si="75"/>
        <v>226.28700000000001</v>
      </c>
      <c r="H661" s="93"/>
      <c r="I661" s="224"/>
      <c r="J661" s="288" t="s">
        <v>1099</v>
      </c>
      <c r="K661" s="89" t="s">
        <v>433</v>
      </c>
      <c r="L661" s="114" t="s">
        <v>1047</v>
      </c>
      <c r="M661" s="241" t="s">
        <v>2342</v>
      </c>
      <c r="N661" s="248" t="s">
        <v>2343</v>
      </c>
      <c r="O661" s="249">
        <v>1</v>
      </c>
      <c r="P661" s="272" t="s">
        <v>2323</v>
      </c>
      <c r="Q661" s="348">
        <v>251.43</v>
      </c>
      <c r="R661" s="226">
        <v>0.1</v>
      </c>
      <c r="S661" s="67">
        <v>226.28700000000001</v>
      </c>
      <c r="T661" s="93"/>
      <c r="U661" s="224"/>
      <c r="V661" s="288" t="s">
        <v>1099</v>
      </c>
      <c r="W661" s="89" t="s">
        <v>433</v>
      </c>
      <c r="X661" s="114" t="s">
        <v>1047</v>
      </c>
    </row>
    <row r="662" spans="1:24" s="1" customFormat="1">
      <c r="A662" s="263" t="s">
        <v>2391</v>
      </c>
      <c r="B662" s="248" t="s">
        <v>2392</v>
      </c>
      <c r="C662" s="249">
        <v>1</v>
      </c>
      <c r="D662" s="272" t="s">
        <v>2323</v>
      </c>
      <c r="E662" s="348">
        <v>914.29</v>
      </c>
      <c r="F662" s="226">
        <f t="shared" si="73"/>
        <v>0.1</v>
      </c>
      <c r="G662" s="67">
        <f t="shared" si="75"/>
        <v>822.86099999999999</v>
      </c>
      <c r="H662" s="93"/>
      <c r="I662" s="224"/>
      <c r="J662" s="288" t="s">
        <v>1099</v>
      </c>
      <c r="K662" s="89" t="s">
        <v>433</v>
      </c>
      <c r="L662" s="114" t="s">
        <v>1047</v>
      </c>
      <c r="M662" s="241" t="s">
        <v>2391</v>
      </c>
      <c r="N662" s="248" t="s">
        <v>2392</v>
      </c>
      <c r="O662" s="249">
        <v>1</v>
      </c>
      <c r="P662" s="272" t="s">
        <v>2323</v>
      </c>
      <c r="Q662" s="348">
        <v>914.29</v>
      </c>
      <c r="R662" s="226">
        <v>0.1</v>
      </c>
      <c r="S662" s="67">
        <v>822.86099999999999</v>
      </c>
      <c r="T662" s="93"/>
      <c r="U662" s="224"/>
      <c r="V662" s="288" t="s">
        <v>1099</v>
      </c>
      <c r="W662" s="89" t="s">
        <v>433</v>
      </c>
      <c r="X662" s="114" t="s">
        <v>1047</v>
      </c>
    </row>
    <row r="663" spans="1:24" s="1" customFormat="1">
      <c r="A663" s="263" t="s">
        <v>2407</v>
      </c>
      <c r="B663" s="248" t="s">
        <v>2394</v>
      </c>
      <c r="C663" s="249">
        <v>1</v>
      </c>
      <c r="D663" s="272" t="s">
        <v>2323</v>
      </c>
      <c r="E663" s="348">
        <v>761.9</v>
      </c>
      <c r="F663" s="226">
        <f t="shared" si="73"/>
        <v>0.1</v>
      </c>
      <c r="G663" s="67">
        <f t="shared" si="75"/>
        <v>685.71</v>
      </c>
      <c r="H663" s="93"/>
      <c r="I663" s="224"/>
      <c r="J663" s="288" t="s">
        <v>1099</v>
      </c>
      <c r="K663" s="89" t="s">
        <v>433</v>
      </c>
      <c r="L663" s="114" t="s">
        <v>1047</v>
      </c>
      <c r="M663" s="241" t="s">
        <v>2407</v>
      </c>
      <c r="N663" s="248" t="s">
        <v>2394</v>
      </c>
      <c r="O663" s="249">
        <v>1</v>
      </c>
      <c r="P663" s="272" t="s">
        <v>2323</v>
      </c>
      <c r="Q663" s="348">
        <v>761.9</v>
      </c>
      <c r="R663" s="226">
        <v>0.1</v>
      </c>
      <c r="S663" s="67">
        <v>685.71</v>
      </c>
      <c r="T663" s="93"/>
      <c r="U663" s="224"/>
      <c r="V663" s="288" t="s">
        <v>1099</v>
      </c>
      <c r="W663" s="89" t="s">
        <v>433</v>
      </c>
      <c r="X663" s="114" t="s">
        <v>1047</v>
      </c>
    </row>
    <row r="664" spans="1:24" s="1" customFormat="1">
      <c r="A664" s="263" t="s">
        <v>2348</v>
      </c>
      <c r="B664" s="248" t="s">
        <v>2349</v>
      </c>
      <c r="C664" s="249">
        <v>1</v>
      </c>
      <c r="D664" s="272" t="s">
        <v>2323</v>
      </c>
      <c r="E664" s="348">
        <v>251.43</v>
      </c>
      <c r="F664" s="226">
        <f t="shared" si="73"/>
        <v>0.1</v>
      </c>
      <c r="G664" s="67">
        <f t="shared" si="75"/>
        <v>226.28700000000001</v>
      </c>
      <c r="H664" s="93"/>
      <c r="I664" s="224"/>
      <c r="J664" s="288" t="s">
        <v>1099</v>
      </c>
      <c r="K664" s="89" t="s">
        <v>433</v>
      </c>
      <c r="L664" s="114" t="s">
        <v>1047</v>
      </c>
      <c r="M664" s="241" t="s">
        <v>2348</v>
      </c>
      <c r="N664" s="248" t="s">
        <v>2349</v>
      </c>
      <c r="O664" s="249">
        <v>1</v>
      </c>
      <c r="P664" s="272" t="s">
        <v>2323</v>
      </c>
      <c r="Q664" s="348">
        <v>251.43</v>
      </c>
      <c r="R664" s="226">
        <v>0.1</v>
      </c>
      <c r="S664" s="67">
        <v>226.28700000000001</v>
      </c>
      <c r="T664" s="93"/>
      <c r="U664" s="224"/>
      <c r="V664" s="288" t="s">
        <v>1099</v>
      </c>
      <c r="W664" s="89" t="s">
        <v>433</v>
      </c>
      <c r="X664" s="114" t="s">
        <v>1047</v>
      </c>
    </row>
    <row r="665" spans="1:24" s="1" customFormat="1">
      <c r="A665" s="263" t="s">
        <v>2395</v>
      </c>
      <c r="B665" s="248" t="s">
        <v>2396</v>
      </c>
      <c r="C665" s="249">
        <v>1</v>
      </c>
      <c r="D665" s="272" t="s">
        <v>2323</v>
      </c>
      <c r="E665" s="348">
        <v>279.37</v>
      </c>
      <c r="F665" s="226">
        <f t="shared" si="73"/>
        <v>0.1</v>
      </c>
      <c r="G665" s="67">
        <f t="shared" si="75"/>
        <v>251.43299999999999</v>
      </c>
      <c r="H665" s="93"/>
      <c r="I665" s="224"/>
      <c r="J665" s="288" t="s">
        <v>1099</v>
      </c>
      <c r="K665" s="89" t="s">
        <v>433</v>
      </c>
      <c r="L665" s="114" t="s">
        <v>1047</v>
      </c>
      <c r="M665" s="241" t="s">
        <v>2395</v>
      </c>
      <c r="N665" s="248" t="s">
        <v>2396</v>
      </c>
      <c r="O665" s="249">
        <v>1</v>
      </c>
      <c r="P665" s="272" t="s">
        <v>2323</v>
      </c>
      <c r="Q665" s="348">
        <v>279.37</v>
      </c>
      <c r="R665" s="226">
        <v>0.1</v>
      </c>
      <c r="S665" s="67">
        <v>251.43299999999999</v>
      </c>
      <c r="T665" s="93"/>
      <c r="U665" s="224"/>
      <c r="V665" s="288" t="s">
        <v>1099</v>
      </c>
      <c r="W665" s="89" t="s">
        <v>433</v>
      </c>
      <c r="X665" s="114" t="s">
        <v>1047</v>
      </c>
    </row>
    <row r="666" spans="1:24" s="1" customFormat="1">
      <c r="A666" s="263" t="s">
        <v>2350</v>
      </c>
      <c r="B666" s="248" t="s">
        <v>2351</v>
      </c>
      <c r="C666" s="249">
        <v>1</v>
      </c>
      <c r="D666" s="272" t="s">
        <v>2323</v>
      </c>
      <c r="E666" s="348">
        <v>524.76</v>
      </c>
      <c r="F666" s="226">
        <f t="shared" si="73"/>
        <v>0.1</v>
      </c>
      <c r="G666" s="67">
        <f t="shared" si="75"/>
        <v>472.28399999999999</v>
      </c>
      <c r="H666" s="93"/>
      <c r="I666" s="224"/>
      <c r="J666" s="288" t="s">
        <v>1099</v>
      </c>
      <c r="K666" s="89" t="s">
        <v>433</v>
      </c>
      <c r="L666" s="114" t="s">
        <v>1047</v>
      </c>
      <c r="M666" s="241" t="s">
        <v>2350</v>
      </c>
      <c r="N666" s="248" t="s">
        <v>2351</v>
      </c>
      <c r="O666" s="249">
        <v>1</v>
      </c>
      <c r="P666" s="272" t="s">
        <v>2323</v>
      </c>
      <c r="Q666" s="348">
        <v>524.76</v>
      </c>
      <c r="R666" s="226">
        <v>0.1</v>
      </c>
      <c r="S666" s="67">
        <v>472.28399999999999</v>
      </c>
      <c r="T666" s="93"/>
      <c r="U666" s="224"/>
      <c r="V666" s="288" t="s">
        <v>1099</v>
      </c>
      <c r="W666" s="89" t="s">
        <v>433</v>
      </c>
      <c r="X666" s="114" t="s">
        <v>1047</v>
      </c>
    </row>
    <row r="667" spans="1:24" s="1" customFormat="1">
      <c r="A667" s="263" t="s">
        <v>2352</v>
      </c>
      <c r="B667" s="248" t="s">
        <v>2353</v>
      </c>
      <c r="C667" s="249">
        <v>1</v>
      </c>
      <c r="D667" s="272" t="s">
        <v>2323</v>
      </c>
      <c r="E667" s="348">
        <v>129.68</v>
      </c>
      <c r="F667" s="226">
        <f t="shared" si="73"/>
        <v>0.1</v>
      </c>
      <c r="G667" s="67">
        <f t="shared" si="75"/>
        <v>116.712</v>
      </c>
      <c r="H667" s="93"/>
      <c r="I667" s="224"/>
      <c r="J667" s="288" t="s">
        <v>1099</v>
      </c>
      <c r="K667" s="89" t="s">
        <v>433</v>
      </c>
      <c r="L667" s="114" t="s">
        <v>1047</v>
      </c>
      <c r="M667" s="241" t="s">
        <v>2352</v>
      </c>
      <c r="N667" s="248" t="s">
        <v>2353</v>
      </c>
      <c r="O667" s="249">
        <v>1</v>
      </c>
      <c r="P667" s="272" t="s">
        <v>2323</v>
      </c>
      <c r="Q667" s="348">
        <v>129.68</v>
      </c>
      <c r="R667" s="226">
        <v>0.1</v>
      </c>
      <c r="S667" s="67">
        <v>116.712</v>
      </c>
      <c r="T667" s="93"/>
      <c r="U667" s="224"/>
      <c r="V667" s="288" t="s">
        <v>1099</v>
      </c>
      <c r="W667" s="89" t="s">
        <v>433</v>
      </c>
      <c r="X667" s="114" t="s">
        <v>1047</v>
      </c>
    </row>
    <row r="668" spans="1:24" s="1" customFormat="1">
      <c r="A668" s="263" t="s">
        <v>2354</v>
      </c>
      <c r="B668" s="248" t="s">
        <v>2355</v>
      </c>
      <c r="C668" s="249">
        <v>1</v>
      </c>
      <c r="D668" s="272" t="s">
        <v>2323</v>
      </c>
      <c r="E668" s="348">
        <v>20.32</v>
      </c>
      <c r="F668" s="226">
        <f t="shared" si="73"/>
        <v>0.1</v>
      </c>
      <c r="G668" s="67">
        <f t="shared" si="75"/>
        <v>18.288</v>
      </c>
      <c r="H668" s="113"/>
      <c r="I668" s="28"/>
      <c r="J668" s="288" t="s">
        <v>1099</v>
      </c>
      <c r="K668" s="89" t="s">
        <v>433</v>
      </c>
      <c r="L668" s="114" t="s">
        <v>1047</v>
      </c>
      <c r="M668" s="241" t="s">
        <v>2354</v>
      </c>
      <c r="N668" s="248" t="s">
        <v>2355</v>
      </c>
      <c r="O668" s="249">
        <v>1</v>
      </c>
      <c r="P668" s="272" t="s">
        <v>2323</v>
      </c>
      <c r="Q668" s="348">
        <v>20.32</v>
      </c>
      <c r="R668" s="226">
        <v>0.1</v>
      </c>
      <c r="S668" s="67">
        <v>18.288</v>
      </c>
      <c r="T668" s="113"/>
      <c r="U668" s="28"/>
      <c r="V668" s="288" t="s">
        <v>1099</v>
      </c>
      <c r="W668" s="89" t="s">
        <v>433</v>
      </c>
      <c r="X668" s="114" t="s">
        <v>1047</v>
      </c>
    </row>
    <row r="669" spans="1:24" s="1" customFormat="1">
      <c r="A669" s="688" t="s">
        <v>2408</v>
      </c>
      <c r="B669" s="268" t="s">
        <v>2409</v>
      </c>
      <c r="C669" s="269">
        <v>1</v>
      </c>
      <c r="D669" s="110" t="s">
        <v>2323</v>
      </c>
      <c r="E669" s="427">
        <v>3174.6</v>
      </c>
      <c r="F669" s="270">
        <f t="shared" si="73"/>
        <v>0.1</v>
      </c>
      <c r="G669" s="111">
        <f t="shared" si="75"/>
        <v>2857.14</v>
      </c>
      <c r="H669" s="93"/>
      <c r="I669" s="224"/>
      <c r="J669" s="288" t="s">
        <v>1099</v>
      </c>
      <c r="K669" s="89" t="s">
        <v>433</v>
      </c>
      <c r="L669" s="114" t="s">
        <v>1047</v>
      </c>
      <c r="M669" s="234" t="s">
        <v>2408</v>
      </c>
      <c r="N669" s="268" t="s">
        <v>2409</v>
      </c>
      <c r="O669" s="269">
        <v>1</v>
      </c>
      <c r="P669" s="110" t="s">
        <v>2323</v>
      </c>
      <c r="Q669" s="427">
        <v>3174.6</v>
      </c>
      <c r="R669" s="270">
        <v>0.1</v>
      </c>
      <c r="S669" s="111">
        <v>2857.14</v>
      </c>
      <c r="T669" s="93"/>
      <c r="U669" s="224"/>
      <c r="V669" s="288" t="s">
        <v>1099</v>
      </c>
      <c r="W669" s="89" t="s">
        <v>433</v>
      </c>
      <c r="X669" s="114" t="s">
        <v>1047</v>
      </c>
    </row>
    <row r="670" spans="1:24" s="1" customFormat="1">
      <c r="A670" s="263" t="s">
        <v>2410</v>
      </c>
      <c r="B670" s="248" t="s">
        <v>2411</v>
      </c>
      <c r="C670" s="249">
        <v>1</v>
      </c>
      <c r="D670" s="272" t="s">
        <v>2323</v>
      </c>
      <c r="E670" s="348">
        <v>0</v>
      </c>
      <c r="F670" s="226"/>
      <c r="G670" s="67">
        <f t="shared" si="75"/>
        <v>0</v>
      </c>
      <c r="H670" s="93"/>
      <c r="I670" s="224"/>
      <c r="J670" s="288" t="s">
        <v>1099</v>
      </c>
      <c r="K670" s="89" t="s">
        <v>433</v>
      </c>
      <c r="L670" s="114" t="s">
        <v>1047</v>
      </c>
      <c r="M670" s="241" t="s">
        <v>2410</v>
      </c>
      <c r="N670" s="248" t="s">
        <v>2411</v>
      </c>
      <c r="O670" s="249">
        <v>1</v>
      </c>
      <c r="P670" s="272" t="s">
        <v>2323</v>
      </c>
      <c r="Q670" s="348">
        <v>0</v>
      </c>
      <c r="R670" s="226"/>
      <c r="S670" s="67">
        <v>0</v>
      </c>
      <c r="T670" s="93"/>
      <c r="U670" s="224"/>
      <c r="V670" s="288" t="s">
        <v>1099</v>
      </c>
      <c r="W670" s="89" t="s">
        <v>433</v>
      </c>
      <c r="X670" s="114" t="s">
        <v>1047</v>
      </c>
    </row>
    <row r="671" spans="1:24" s="1" customFormat="1">
      <c r="A671" s="263" t="s">
        <v>2412</v>
      </c>
      <c r="B671" s="248" t="s">
        <v>2413</v>
      </c>
      <c r="C671" s="249">
        <v>1</v>
      </c>
      <c r="D671" s="272" t="s">
        <v>2323</v>
      </c>
      <c r="E671" s="348">
        <v>431.75</v>
      </c>
      <c r="F671" s="226">
        <f t="shared" ref="F671:F677" si="76">rv_10</f>
        <v>0.1</v>
      </c>
      <c r="G671" s="67">
        <f t="shared" si="75"/>
        <v>388.57499999999999</v>
      </c>
      <c r="H671" s="93"/>
      <c r="I671" s="224"/>
      <c r="J671" s="288" t="s">
        <v>1099</v>
      </c>
      <c r="K671" s="89" t="s">
        <v>433</v>
      </c>
      <c r="L671" s="114" t="s">
        <v>1047</v>
      </c>
      <c r="M671" s="241" t="s">
        <v>2412</v>
      </c>
      <c r="N671" s="248" t="s">
        <v>2413</v>
      </c>
      <c r="O671" s="249">
        <v>1</v>
      </c>
      <c r="P671" s="272" t="s">
        <v>2323</v>
      </c>
      <c r="Q671" s="348">
        <v>431.75</v>
      </c>
      <c r="R671" s="226">
        <v>0.1</v>
      </c>
      <c r="S671" s="67">
        <v>388.57499999999999</v>
      </c>
      <c r="T671" s="93"/>
      <c r="U671" s="224"/>
      <c r="V671" s="288" t="s">
        <v>1099</v>
      </c>
      <c r="W671" s="89" t="s">
        <v>433</v>
      </c>
      <c r="X671" s="114" t="s">
        <v>1047</v>
      </c>
    </row>
    <row r="672" spans="1:24" s="1" customFormat="1">
      <c r="A672" s="263" t="s">
        <v>2414</v>
      </c>
      <c r="B672" s="248" t="s">
        <v>2415</v>
      </c>
      <c r="C672" s="249">
        <v>1</v>
      </c>
      <c r="D672" s="272" t="s">
        <v>2323</v>
      </c>
      <c r="E672" s="348">
        <v>1015.87</v>
      </c>
      <c r="F672" s="226">
        <f t="shared" si="76"/>
        <v>0.1</v>
      </c>
      <c r="G672" s="67">
        <f t="shared" si="75"/>
        <v>914.28300000000002</v>
      </c>
      <c r="H672" s="93"/>
      <c r="I672" s="224"/>
      <c r="J672" s="288" t="s">
        <v>1099</v>
      </c>
      <c r="K672" s="89" t="s">
        <v>433</v>
      </c>
      <c r="L672" s="114" t="s">
        <v>1047</v>
      </c>
      <c r="M672" s="241" t="s">
        <v>2414</v>
      </c>
      <c r="N672" s="248" t="s">
        <v>2415</v>
      </c>
      <c r="O672" s="249">
        <v>1</v>
      </c>
      <c r="P672" s="272" t="s">
        <v>2323</v>
      </c>
      <c r="Q672" s="348">
        <v>1015.87</v>
      </c>
      <c r="R672" s="226">
        <v>0.1</v>
      </c>
      <c r="S672" s="67">
        <v>914.28300000000002</v>
      </c>
      <c r="T672" s="93"/>
      <c r="U672" s="224"/>
      <c r="V672" s="288" t="s">
        <v>1099</v>
      </c>
      <c r="W672" s="89" t="s">
        <v>433</v>
      </c>
      <c r="X672" s="114" t="s">
        <v>1047</v>
      </c>
    </row>
    <row r="673" spans="1:24" s="1" customFormat="1">
      <c r="A673" s="263" t="s">
        <v>2416</v>
      </c>
      <c r="B673" s="248" t="s">
        <v>2417</v>
      </c>
      <c r="C673" s="249">
        <v>1</v>
      </c>
      <c r="D673" s="272" t="s">
        <v>2323</v>
      </c>
      <c r="E673" s="348">
        <v>1600</v>
      </c>
      <c r="F673" s="226">
        <f t="shared" si="76"/>
        <v>0.1</v>
      </c>
      <c r="G673" s="67">
        <f t="shared" si="75"/>
        <v>1440</v>
      </c>
      <c r="H673" s="93"/>
      <c r="I673" s="224"/>
      <c r="J673" s="288" t="s">
        <v>1099</v>
      </c>
      <c r="K673" s="89" t="s">
        <v>433</v>
      </c>
      <c r="L673" s="114" t="s">
        <v>1047</v>
      </c>
      <c r="M673" s="241" t="s">
        <v>2416</v>
      </c>
      <c r="N673" s="248" t="s">
        <v>2417</v>
      </c>
      <c r="O673" s="249">
        <v>1</v>
      </c>
      <c r="P673" s="272" t="s">
        <v>2323</v>
      </c>
      <c r="Q673" s="348">
        <v>1600</v>
      </c>
      <c r="R673" s="226">
        <v>0.1</v>
      </c>
      <c r="S673" s="67">
        <v>1440</v>
      </c>
      <c r="T673" s="93"/>
      <c r="U673" s="224"/>
      <c r="V673" s="288" t="s">
        <v>1099</v>
      </c>
      <c r="W673" s="89" t="s">
        <v>433</v>
      </c>
      <c r="X673" s="114" t="s">
        <v>1047</v>
      </c>
    </row>
    <row r="674" spans="1:24" s="1" customFormat="1">
      <c r="A674" s="263" t="s">
        <v>2418</v>
      </c>
      <c r="B674" s="248" t="s">
        <v>2419</v>
      </c>
      <c r="C674" s="249">
        <v>1</v>
      </c>
      <c r="D674" s="272" t="s">
        <v>2323</v>
      </c>
      <c r="E674" s="348">
        <v>2679.37</v>
      </c>
      <c r="F674" s="226">
        <f t="shared" si="76"/>
        <v>0.1</v>
      </c>
      <c r="G674" s="67">
        <f t="shared" si="75"/>
        <v>2411.433</v>
      </c>
      <c r="H674" s="93"/>
      <c r="I674" s="224"/>
      <c r="J674" s="288" t="s">
        <v>1099</v>
      </c>
      <c r="K674" s="89" t="s">
        <v>433</v>
      </c>
      <c r="L674" s="114" t="s">
        <v>1047</v>
      </c>
      <c r="M674" s="241" t="s">
        <v>2418</v>
      </c>
      <c r="N674" s="248" t="s">
        <v>2419</v>
      </c>
      <c r="O674" s="249">
        <v>1</v>
      </c>
      <c r="P674" s="272" t="s">
        <v>2323</v>
      </c>
      <c r="Q674" s="348">
        <v>2679.37</v>
      </c>
      <c r="R674" s="226">
        <v>0.1</v>
      </c>
      <c r="S674" s="67">
        <v>2411.433</v>
      </c>
      <c r="T674" s="93"/>
      <c r="U674" s="224"/>
      <c r="V674" s="288" t="s">
        <v>1099</v>
      </c>
      <c r="W674" s="89" t="s">
        <v>433</v>
      </c>
      <c r="X674" s="114" t="s">
        <v>1047</v>
      </c>
    </row>
    <row r="675" spans="1:24" s="1" customFormat="1">
      <c r="A675" s="263" t="s">
        <v>2420</v>
      </c>
      <c r="B675" s="248" t="s">
        <v>2421</v>
      </c>
      <c r="C675" s="249">
        <v>1</v>
      </c>
      <c r="D675" s="272" t="s">
        <v>2323</v>
      </c>
      <c r="E675" s="348">
        <v>609.52</v>
      </c>
      <c r="F675" s="226">
        <f t="shared" si="76"/>
        <v>0.1</v>
      </c>
      <c r="G675" s="67">
        <f t="shared" si="75"/>
        <v>548.56799999999998</v>
      </c>
      <c r="H675" s="93"/>
      <c r="I675" s="224"/>
      <c r="J675" s="288" t="s">
        <v>1099</v>
      </c>
      <c r="K675" s="89" t="s">
        <v>433</v>
      </c>
      <c r="L675" s="114" t="s">
        <v>1047</v>
      </c>
      <c r="M675" s="241" t="s">
        <v>2420</v>
      </c>
      <c r="N675" s="248" t="s">
        <v>2421</v>
      </c>
      <c r="O675" s="249">
        <v>1</v>
      </c>
      <c r="P675" s="272" t="s">
        <v>2323</v>
      </c>
      <c r="Q675" s="348">
        <v>609.52</v>
      </c>
      <c r="R675" s="226">
        <v>0.1</v>
      </c>
      <c r="S675" s="67">
        <v>548.56799999999998</v>
      </c>
      <c r="T675" s="93"/>
      <c r="U675" s="224"/>
      <c r="V675" s="288" t="s">
        <v>1099</v>
      </c>
      <c r="W675" s="89" t="s">
        <v>433</v>
      </c>
      <c r="X675" s="114" t="s">
        <v>1047</v>
      </c>
    </row>
    <row r="676" spans="1:24" s="1" customFormat="1">
      <c r="A676" s="263" t="s">
        <v>2422</v>
      </c>
      <c r="B676" s="248" t="s">
        <v>2423</v>
      </c>
      <c r="C676" s="249">
        <v>1</v>
      </c>
      <c r="D676" s="272" t="s">
        <v>2323</v>
      </c>
      <c r="E676" s="348">
        <v>26.98</v>
      </c>
      <c r="F676" s="226">
        <f t="shared" si="76"/>
        <v>0.1</v>
      </c>
      <c r="G676" s="67">
        <f t="shared" si="75"/>
        <v>24.282</v>
      </c>
      <c r="H676" s="93"/>
      <c r="I676" s="224"/>
      <c r="J676" s="288" t="s">
        <v>1099</v>
      </c>
      <c r="K676" s="89" t="s">
        <v>433</v>
      </c>
      <c r="L676" s="114" t="s">
        <v>1047</v>
      </c>
      <c r="M676" s="241" t="s">
        <v>2422</v>
      </c>
      <c r="N676" s="248" t="s">
        <v>2423</v>
      </c>
      <c r="O676" s="249">
        <v>1</v>
      </c>
      <c r="P676" s="272" t="s">
        <v>2323</v>
      </c>
      <c r="Q676" s="348">
        <v>26.98</v>
      </c>
      <c r="R676" s="226">
        <v>0.1</v>
      </c>
      <c r="S676" s="67">
        <v>24.282</v>
      </c>
      <c r="T676" s="93"/>
      <c r="U676" s="224"/>
      <c r="V676" s="288" t="s">
        <v>1099</v>
      </c>
      <c r="W676" s="89" t="s">
        <v>433</v>
      </c>
      <c r="X676" s="114" t="s">
        <v>1047</v>
      </c>
    </row>
    <row r="677" spans="1:24" s="1" customFormat="1">
      <c r="A677" s="688" t="s">
        <v>2424</v>
      </c>
      <c r="B677" s="268" t="s">
        <v>2425</v>
      </c>
      <c r="C677" s="269">
        <v>1</v>
      </c>
      <c r="D677" s="110" t="s">
        <v>2323</v>
      </c>
      <c r="E677" s="427">
        <v>3530.16</v>
      </c>
      <c r="F677" s="270">
        <f t="shared" si="76"/>
        <v>0.1</v>
      </c>
      <c r="G677" s="111">
        <f t="shared" si="75"/>
        <v>3177.1439999999998</v>
      </c>
      <c r="H677" s="93"/>
      <c r="I677" s="224"/>
      <c r="J677" s="288" t="s">
        <v>1099</v>
      </c>
      <c r="K677" s="89" t="s">
        <v>433</v>
      </c>
      <c r="L677" s="114" t="s">
        <v>1047</v>
      </c>
      <c r="M677" s="234" t="s">
        <v>2424</v>
      </c>
      <c r="N677" s="268" t="s">
        <v>2425</v>
      </c>
      <c r="O677" s="269">
        <v>1</v>
      </c>
      <c r="P677" s="110" t="s">
        <v>2323</v>
      </c>
      <c r="Q677" s="427">
        <v>3530.16</v>
      </c>
      <c r="R677" s="270">
        <v>0.1</v>
      </c>
      <c r="S677" s="111">
        <v>3177.1439999999998</v>
      </c>
      <c r="T677" s="93"/>
      <c r="U677" s="224"/>
      <c r="V677" s="288" t="s">
        <v>1099</v>
      </c>
      <c r="W677" s="89" t="s">
        <v>433</v>
      </c>
      <c r="X677" s="114" t="s">
        <v>1047</v>
      </c>
    </row>
    <row r="678" spans="1:24" s="1" customFormat="1">
      <c r="A678" s="263" t="s">
        <v>2410</v>
      </c>
      <c r="B678" s="248" t="s">
        <v>2411</v>
      </c>
      <c r="C678" s="249">
        <v>1</v>
      </c>
      <c r="D678" s="272" t="s">
        <v>2323</v>
      </c>
      <c r="E678" s="348">
        <v>0</v>
      </c>
      <c r="F678" s="226"/>
      <c r="G678" s="67">
        <f t="shared" si="75"/>
        <v>0</v>
      </c>
      <c r="H678" s="93"/>
      <c r="I678" s="224"/>
      <c r="J678" s="288" t="s">
        <v>1099</v>
      </c>
      <c r="K678" s="89" t="s">
        <v>433</v>
      </c>
      <c r="L678" s="114" t="s">
        <v>1047</v>
      </c>
      <c r="M678" s="241" t="s">
        <v>2410</v>
      </c>
      <c r="N678" s="248" t="s">
        <v>2411</v>
      </c>
      <c r="O678" s="249">
        <v>1</v>
      </c>
      <c r="P678" s="272" t="s">
        <v>2323</v>
      </c>
      <c r="Q678" s="348">
        <v>0</v>
      </c>
      <c r="R678" s="226"/>
      <c r="S678" s="67">
        <v>0</v>
      </c>
      <c r="T678" s="93"/>
      <c r="U678" s="224"/>
      <c r="V678" s="288" t="s">
        <v>1099</v>
      </c>
      <c r="W678" s="89" t="s">
        <v>433</v>
      </c>
      <c r="X678" s="114" t="s">
        <v>1047</v>
      </c>
    </row>
    <row r="679" spans="1:24" s="1" customFormat="1">
      <c r="A679" s="263" t="s">
        <v>2412</v>
      </c>
      <c r="B679" s="248" t="s">
        <v>2413</v>
      </c>
      <c r="C679" s="249">
        <v>1</v>
      </c>
      <c r="D679" s="272" t="s">
        <v>2323</v>
      </c>
      <c r="E679" s="348">
        <v>431.75</v>
      </c>
      <c r="F679" s="226">
        <f t="shared" ref="F679:F685" si="77">rv_10</f>
        <v>0.1</v>
      </c>
      <c r="G679" s="67">
        <f t="shared" si="75"/>
        <v>388.57499999999999</v>
      </c>
      <c r="H679" s="93"/>
      <c r="I679" s="224"/>
      <c r="J679" s="288" t="s">
        <v>1099</v>
      </c>
      <c r="K679" s="89" t="s">
        <v>433</v>
      </c>
      <c r="L679" s="114" t="s">
        <v>1047</v>
      </c>
      <c r="M679" s="241" t="s">
        <v>2412</v>
      </c>
      <c r="N679" s="248" t="s">
        <v>2413</v>
      </c>
      <c r="O679" s="249">
        <v>1</v>
      </c>
      <c r="P679" s="272" t="s">
        <v>2323</v>
      </c>
      <c r="Q679" s="348">
        <v>431.75</v>
      </c>
      <c r="R679" s="226">
        <v>0.1</v>
      </c>
      <c r="S679" s="67">
        <v>388.57499999999999</v>
      </c>
      <c r="T679" s="93"/>
      <c r="U679" s="224"/>
      <c r="V679" s="288" t="s">
        <v>1099</v>
      </c>
      <c r="W679" s="89" t="s">
        <v>433</v>
      </c>
      <c r="X679" s="114" t="s">
        <v>1047</v>
      </c>
    </row>
    <row r="680" spans="1:24" s="1" customFormat="1">
      <c r="A680" s="263" t="s">
        <v>2414</v>
      </c>
      <c r="B680" s="248" t="s">
        <v>2415</v>
      </c>
      <c r="C680" s="249">
        <v>1</v>
      </c>
      <c r="D680" s="272" t="s">
        <v>2323</v>
      </c>
      <c r="E680" s="348">
        <v>1015.87</v>
      </c>
      <c r="F680" s="226">
        <f t="shared" si="77"/>
        <v>0.1</v>
      </c>
      <c r="G680" s="67">
        <f t="shared" si="75"/>
        <v>914.28300000000002</v>
      </c>
      <c r="H680" s="93"/>
      <c r="I680" s="224"/>
      <c r="J680" s="288" t="s">
        <v>1099</v>
      </c>
      <c r="K680" s="89" t="s">
        <v>433</v>
      </c>
      <c r="L680" s="114" t="s">
        <v>1047</v>
      </c>
      <c r="M680" s="241" t="s">
        <v>2414</v>
      </c>
      <c r="N680" s="248" t="s">
        <v>2415</v>
      </c>
      <c r="O680" s="249">
        <v>1</v>
      </c>
      <c r="P680" s="272" t="s">
        <v>2323</v>
      </c>
      <c r="Q680" s="348">
        <v>1015.87</v>
      </c>
      <c r="R680" s="226">
        <v>0.1</v>
      </c>
      <c r="S680" s="67">
        <v>914.28300000000002</v>
      </c>
      <c r="T680" s="93"/>
      <c r="U680" s="224"/>
      <c r="V680" s="288" t="s">
        <v>1099</v>
      </c>
      <c r="W680" s="89" t="s">
        <v>433</v>
      </c>
      <c r="X680" s="114" t="s">
        <v>1047</v>
      </c>
    </row>
    <row r="681" spans="1:24" s="1" customFormat="1">
      <c r="A681" s="263" t="s">
        <v>2416</v>
      </c>
      <c r="B681" s="248" t="s">
        <v>2417</v>
      </c>
      <c r="C681" s="249">
        <v>1</v>
      </c>
      <c r="D681" s="272" t="s">
        <v>2323</v>
      </c>
      <c r="E681" s="348">
        <v>1600</v>
      </c>
      <c r="F681" s="226">
        <f t="shared" si="77"/>
        <v>0.1</v>
      </c>
      <c r="G681" s="67">
        <f t="shared" si="75"/>
        <v>1440</v>
      </c>
      <c r="H681" s="93"/>
      <c r="I681" s="224"/>
      <c r="J681" s="288" t="s">
        <v>1099</v>
      </c>
      <c r="K681" s="89" t="s">
        <v>433</v>
      </c>
      <c r="L681" s="114" t="s">
        <v>1047</v>
      </c>
      <c r="M681" s="241" t="s">
        <v>2416</v>
      </c>
      <c r="N681" s="248" t="s">
        <v>2417</v>
      </c>
      <c r="O681" s="249">
        <v>1</v>
      </c>
      <c r="P681" s="272" t="s">
        <v>2323</v>
      </c>
      <c r="Q681" s="348">
        <v>1600</v>
      </c>
      <c r="R681" s="226">
        <v>0.1</v>
      </c>
      <c r="S681" s="67">
        <v>1440</v>
      </c>
      <c r="T681" s="93"/>
      <c r="U681" s="224"/>
      <c r="V681" s="288" t="s">
        <v>1099</v>
      </c>
      <c r="W681" s="89" t="s">
        <v>433</v>
      </c>
      <c r="X681" s="114" t="s">
        <v>1047</v>
      </c>
    </row>
    <row r="682" spans="1:24" s="1" customFormat="1">
      <c r="A682" s="263" t="s">
        <v>2418</v>
      </c>
      <c r="B682" s="248" t="s">
        <v>2419</v>
      </c>
      <c r="C682" s="249">
        <v>1</v>
      </c>
      <c r="D682" s="272" t="s">
        <v>2323</v>
      </c>
      <c r="E682" s="348">
        <v>2679.37</v>
      </c>
      <c r="F682" s="226">
        <f t="shared" si="77"/>
        <v>0.1</v>
      </c>
      <c r="G682" s="67">
        <f t="shared" si="75"/>
        <v>2411.433</v>
      </c>
      <c r="H682" s="93"/>
      <c r="I682" s="224"/>
      <c r="J682" s="288" t="s">
        <v>1099</v>
      </c>
      <c r="K682" s="89" t="s">
        <v>433</v>
      </c>
      <c r="L682" s="114" t="s">
        <v>1047</v>
      </c>
      <c r="M682" s="241" t="s">
        <v>2418</v>
      </c>
      <c r="N682" s="248" t="s">
        <v>2419</v>
      </c>
      <c r="O682" s="249">
        <v>1</v>
      </c>
      <c r="P682" s="272" t="s">
        <v>2323</v>
      </c>
      <c r="Q682" s="348">
        <v>2679.37</v>
      </c>
      <c r="R682" s="226">
        <v>0.1</v>
      </c>
      <c r="S682" s="67">
        <v>2411.433</v>
      </c>
      <c r="T682" s="93"/>
      <c r="U682" s="224"/>
      <c r="V682" s="288" t="s">
        <v>1099</v>
      </c>
      <c r="W682" s="89" t="s">
        <v>433</v>
      </c>
      <c r="X682" s="114" t="s">
        <v>1047</v>
      </c>
    </row>
    <row r="683" spans="1:24" s="1" customFormat="1">
      <c r="A683" s="263" t="s">
        <v>2420</v>
      </c>
      <c r="B683" s="248" t="s">
        <v>2421</v>
      </c>
      <c r="C683" s="249">
        <v>1</v>
      </c>
      <c r="D683" s="272" t="s">
        <v>2323</v>
      </c>
      <c r="E683" s="348">
        <v>609.52</v>
      </c>
      <c r="F683" s="226">
        <f t="shared" si="77"/>
        <v>0.1</v>
      </c>
      <c r="G683" s="67">
        <f t="shared" si="75"/>
        <v>548.56799999999998</v>
      </c>
      <c r="H683" s="93"/>
      <c r="I683" s="224"/>
      <c r="J683" s="288" t="s">
        <v>1099</v>
      </c>
      <c r="K683" s="89" t="s">
        <v>433</v>
      </c>
      <c r="L683" s="114" t="s">
        <v>1047</v>
      </c>
      <c r="M683" s="241" t="s">
        <v>2420</v>
      </c>
      <c r="N683" s="248" t="s">
        <v>2421</v>
      </c>
      <c r="O683" s="249">
        <v>1</v>
      </c>
      <c r="P683" s="272" t="s">
        <v>2323</v>
      </c>
      <c r="Q683" s="348">
        <v>609.52</v>
      </c>
      <c r="R683" s="226">
        <v>0.1</v>
      </c>
      <c r="S683" s="67">
        <v>548.56799999999998</v>
      </c>
      <c r="T683" s="93"/>
      <c r="U683" s="224"/>
      <c r="V683" s="288" t="s">
        <v>1099</v>
      </c>
      <c r="W683" s="89" t="s">
        <v>433</v>
      </c>
      <c r="X683" s="114" t="s">
        <v>1047</v>
      </c>
    </row>
    <row r="684" spans="1:24" s="1" customFormat="1">
      <c r="A684" s="263" t="s">
        <v>2422</v>
      </c>
      <c r="B684" s="248" t="s">
        <v>2423</v>
      </c>
      <c r="C684" s="249">
        <v>1</v>
      </c>
      <c r="D684" s="272" t="s">
        <v>2323</v>
      </c>
      <c r="E684" s="348">
        <v>26.98</v>
      </c>
      <c r="F684" s="226">
        <f t="shared" si="77"/>
        <v>0.1</v>
      </c>
      <c r="G684" s="67">
        <f t="shared" si="75"/>
        <v>24.282</v>
      </c>
      <c r="H684" s="93"/>
      <c r="I684" s="224"/>
      <c r="J684" s="288" t="s">
        <v>1099</v>
      </c>
      <c r="K684" s="89" t="s">
        <v>433</v>
      </c>
      <c r="L684" s="114" t="s">
        <v>1047</v>
      </c>
      <c r="M684" s="241" t="s">
        <v>2422</v>
      </c>
      <c r="N684" s="248" t="s">
        <v>2423</v>
      </c>
      <c r="O684" s="249">
        <v>1</v>
      </c>
      <c r="P684" s="272" t="s">
        <v>2323</v>
      </c>
      <c r="Q684" s="348">
        <v>26.98</v>
      </c>
      <c r="R684" s="226">
        <v>0.1</v>
      </c>
      <c r="S684" s="67">
        <v>24.282</v>
      </c>
      <c r="T684" s="93"/>
      <c r="U684" s="224"/>
      <c r="V684" s="288" t="s">
        <v>1099</v>
      </c>
      <c r="W684" s="89" t="s">
        <v>433</v>
      </c>
      <c r="X684" s="114" t="s">
        <v>1047</v>
      </c>
    </row>
    <row r="685" spans="1:24" s="1" customFormat="1">
      <c r="A685" s="688" t="s">
        <v>2426</v>
      </c>
      <c r="B685" s="268" t="s">
        <v>2427</v>
      </c>
      <c r="C685" s="269">
        <v>1</v>
      </c>
      <c r="D685" s="110" t="s">
        <v>2323</v>
      </c>
      <c r="E685" s="427">
        <v>4431.75</v>
      </c>
      <c r="F685" s="270">
        <f t="shared" si="77"/>
        <v>0.1</v>
      </c>
      <c r="G685" s="111">
        <f t="shared" si="75"/>
        <v>3988.5749999999998</v>
      </c>
      <c r="H685" s="93"/>
      <c r="I685" s="224"/>
      <c r="J685" s="288" t="s">
        <v>1099</v>
      </c>
      <c r="K685" s="89" t="s">
        <v>433</v>
      </c>
      <c r="L685" s="114" t="s">
        <v>1047</v>
      </c>
      <c r="M685" s="234" t="s">
        <v>2426</v>
      </c>
      <c r="N685" s="268" t="s">
        <v>2427</v>
      </c>
      <c r="O685" s="269">
        <v>1</v>
      </c>
      <c r="P685" s="110" t="s">
        <v>2323</v>
      </c>
      <c r="Q685" s="427">
        <v>4431.75</v>
      </c>
      <c r="R685" s="270">
        <v>0.1</v>
      </c>
      <c r="S685" s="111">
        <v>3988.5749999999998</v>
      </c>
      <c r="T685" s="93"/>
      <c r="U685" s="224"/>
      <c r="V685" s="288" t="s">
        <v>1099</v>
      </c>
      <c r="W685" s="89" t="s">
        <v>433</v>
      </c>
      <c r="X685" s="114" t="s">
        <v>1047</v>
      </c>
    </row>
    <row r="686" spans="1:24" s="1" customFormat="1">
      <c r="A686" s="263" t="s">
        <v>2410</v>
      </c>
      <c r="B686" s="248" t="s">
        <v>2411</v>
      </c>
      <c r="C686" s="249">
        <v>1</v>
      </c>
      <c r="D686" s="272" t="s">
        <v>2323</v>
      </c>
      <c r="E686" s="348">
        <v>0</v>
      </c>
      <c r="F686" s="226"/>
      <c r="G686" s="67">
        <f t="shared" si="75"/>
        <v>0</v>
      </c>
      <c r="H686" s="93"/>
      <c r="I686" s="224"/>
      <c r="J686" s="288" t="s">
        <v>1099</v>
      </c>
      <c r="K686" s="89" t="s">
        <v>433</v>
      </c>
      <c r="L686" s="114" t="s">
        <v>1047</v>
      </c>
      <c r="M686" s="241" t="s">
        <v>2410</v>
      </c>
      <c r="N686" s="248" t="s">
        <v>2411</v>
      </c>
      <c r="O686" s="249">
        <v>1</v>
      </c>
      <c r="P686" s="272" t="s">
        <v>2323</v>
      </c>
      <c r="Q686" s="348">
        <v>0</v>
      </c>
      <c r="R686" s="226"/>
      <c r="S686" s="67">
        <v>0</v>
      </c>
      <c r="T686" s="93"/>
      <c r="U686" s="224"/>
      <c r="V686" s="288" t="s">
        <v>1099</v>
      </c>
      <c r="W686" s="89" t="s">
        <v>433</v>
      </c>
      <c r="X686" s="114" t="s">
        <v>1047</v>
      </c>
    </row>
    <row r="687" spans="1:24" s="1" customFormat="1">
      <c r="A687" s="263" t="s">
        <v>2412</v>
      </c>
      <c r="B687" s="248" t="s">
        <v>2413</v>
      </c>
      <c r="C687" s="249">
        <v>1</v>
      </c>
      <c r="D687" s="272" t="s">
        <v>2323</v>
      </c>
      <c r="E687" s="348">
        <v>431.75</v>
      </c>
      <c r="F687" s="226">
        <f t="shared" ref="F687:F702" si="78">rv_10</f>
        <v>0.1</v>
      </c>
      <c r="G687" s="67">
        <f t="shared" si="75"/>
        <v>388.57499999999999</v>
      </c>
      <c r="H687" s="93"/>
      <c r="I687" s="224"/>
      <c r="J687" s="288" t="s">
        <v>1099</v>
      </c>
      <c r="K687" s="89" t="s">
        <v>433</v>
      </c>
      <c r="L687" s="114" t="s">
        <v>1047</v>
      </c>
      <c r="M687" s="241" t="s">
        <v>2412</v>
      </c>
      <c r="N687" s="248" t="s">
        <v>2413</v>
      </c>
      <c r="O687" s="249">
        <v>1</v>
      </c>
      <c r="P687" s="272" t="s">
        <v>2323</v>
      </c>
      <c r="Q687" s="348">
        <v>431.75</v>
      </c>
      <c r="R687" s="226">
        <v>0.1</v>
      </c>
      <c r="S687" s="67">
        <v>388.57499999999999</v>
      </c>
      <c r="T687" s="93"/>
      <c r="U687" s="224"/>
      <c r="V687" s="288" t="s">
        <v>1099</v>
      </c>
      <c r="W687" s="89" t="s">
        <v>433</v>
      </c>
      <c r="X687" s="114" t="s">
        <v>1047</v>
      </c>
    </row>
    <row r="688" spans="1:24" s="1" customFormat="1">
      <c r="A688" s="263" t="s">
        <v>2414</v>
      </c>
      <c r="B688" s="248" t="s">
        <v>2415</v>
      </c>
      <c r="C688" s="249">
        <v>1</v>
      </c>
      <c r="D688" s="272" t="s">
        <v>2323</v>
      </c>
      <c r="E688" s="348">
        <v>1015.87</v>
      </c>
      <c r="F688" s="226">
        <f t="shared" si="78"/>
        <v>0.1</v>
      </c>
      <c r="G688" s="67">
        <f t="shared" si="75"/>
        <v>914.28300000000002</v>
      </c>
      <c r="H688" s="93"/>
      <c r="I688" s="224"/>
      <c r="J688" s="288" t="s">
        <v>1099</v>
      </c>
      <c r="K688" s="89" t="s">
        <v>433</v>
      </c>
      <c r="L688" s="114" t="s">
        <v>1047</v>
      </c>
      <c r="M688" s="241" t="s">
        <v>2414</v>
      </c>
      <c r="N688" s="248" t="s">
        <v>2415</v>
      </c>
      <c r="O688" s="249">
        <v>1</v>
      </c>
      <c r="P688" s="272" t="s">
        <v>2323</v>
      </c>
      <c r="Q688" s="348">
        <v>1015.87</v>
      </c>
      <c r="R688" s="226">
        <v>0.1</v>
      </c>
      <c r="S688" s="67">
        <v>914.28300000000002</v>
      </c>
      <c r="T688" s="93"/>
      <c r="U688" s="224"/>
      <c r="V688" s="288" t="s">
        <v>1099</v>
      </c>
      <c r="W688" s="89" t="s">
        <v>433</v>
      </c>
      <c r="X688" s="114" t="s">
        <v>1047</v>
      </c>
    </row>
    <row r="689" spans="1:24" s="1" customFormat="1">
      <c r="A689" s="263" t="s">
        <v>2416</v>
      </c>
      <c r="B689" s="248" t="s">
        <v>2417</v>
      </c>
      <c r="C689" s="249">
        <v>1</v>
      </c>
      <c r="D689" s="272" t="s">
        <v>2323</v>
      </c>
      <c r="E689" s="348">
        <v>1600</v>
      </c>
      <c r="F689" s="226">
        <f t="shared" si="78"/>
        <v>0.1</v>
      </c>
      <c r="G689" s="67">
        <f t="shared" si="75"/>
        <v>1440</v>
      </c>
      <c r="H689" s="93"/>
      <c r="I689" s="224"/>
      <c r="J689" s="288" t="s">
        <v>1099</v>
      </c>
      <c r="K689" s="89" t="s">
        <v>433</v>
      </c>
      <c r="L689" s="114" t="s">
        <v>1047</v>
      </c>
      <c r="M689" s="241" t="s">
        <v>2416</v>
      </c>
      <c r="N689" s="248" t="s">
        <v>2417</v>
      </c>
      <c r="O689" s="249">
        <v>1</v>
      </c>
      <c r="P689" s="272" t="s">
        <v>2323</v>
      </c>
      <c r="Q689" s="348">
        <v>1600</v>
      </c>
      <c r="R689" s="226">
        <v>0.1</v>
      </c>
      <c r="S689" s="67">
        <v>1440</v>
      </c>
      <c r="T689" s="93"/>
      <c r="U689" s="224"/>
      <c r="V689" s="288" t="s">
        <v>1099</v>
      </c>
      <c r="W689" s="89" t="s">
        <v>433</v>
      </c>
      <c r="X689" s="114" t="s">
        <v>1047</v>
      </c>
    </row>
    <row r="690" spans="1:24" s="1" customFormat="1">
      <c r="A690" s="263" t="s">
        <v>2418</v>
      </c>
      <c r="B690" s="248" t="s">
        <v>2419</v>
      </c>
      <c r="C690" s="249">
        <v>1</v>
      </c>
      <c r="D690" s="272" t="s">
        <v>2323</v>
      </c>
      <c r="E690" s="348">
        <v>2679.37</v>
      </c>
      <c r="F690" s="226">
        <f t="shared" si="78"/>
        <v>0.1</v>
      </c>
      <c r="G690" s="67">
        <f t="shared" si="75"/>
        <v>2411.433</v>
      </c>
      <c r="H690" s="93"/>
      <c r="I690" s="224"/>
      <c r="J690" s="288" t="s">
        <v>1099</v>
      </c>
      <c r="K690" s="89" t="s">
        <v>433</v>
      </c>
      <c r="L690" s="114" t="s">
        <v>1047</v>
      </c>
      <c r="M690" s="241" t="s">
        <v>2418</v>
      </c>
      <c r="N690" s="248" t="s">
        <v>2419</v>
      </c>
      <c r="O690" s="249">
        <v>1</v>
      </c>
      <c r="P690" s="272" t="s">
        <v>2323</v>
      </c>
      <c r="Q690" s="348">
        <v>2679.37</v>
      </c>
      <c r="R690" s="226">
        <v>0.1</v>
      </c>
      <c r="S690" s="67">
        <v>2411.433</v>
      </c>
      <c r="T690" s="93"/>
      <c r="U690" s="224"/>
      <c r="V690" s="288" t="s">
        <v>1099</v>
      </c>
      <c r="W690" s="89" t="s">
        <v>433</v>
      </c>
      <c r="X690" s="114" t="s">
        <v>1047</v>
      </c>
    </row>
    <row r="691" spans="1:24" s="1" customFormat="1">
      <c r="A691" s="263" t="s">
        <v>2420</v>
      </c>
      <c r="B691" s="248" t="s">
        <v>2421</v>
      </c>
      <c r="C691" s="249">
        <v>1</v>
      </c>
      <c r="D691" s="272" t="s">
        <v>2323</v>
      </c>
      <c r="E691" s="348">
        <v>609.52</v>
      </c>
      <c r="F691" s="226">
        <f t="shared" si="78"/>
        <v>0.1</v>
      </c>
      <c r="G691" s="67">
        <f t="shared" si="75"/>
        <v>548.56799999999998</v>
      </c>
      <c r="H691" s="93"/>
      <c r="I691" s="224"/>
      <c r="J691" s="288" t="s">
        <v>1099</v>
      </c>
      <c r="K691" s="89" t="s">
        <v>433</v>
      </c>
      <c r="L691" s="114" t="s">
        <v>1047</v>
      </c>
      <c r="M691" s="241" t="s">
        <v>2420</v>
      </c>
      <c r="N691" s="248" t="s">
        <v>2421</v>
      </c>
      <c r="O691" s="249">
        <v>1</v>
      </c>
      <c r="P691" s="272" t="s">
        <v>2323</v>
      </c>
      <c r="Q691" s="348">
        <v>609.52</v>
      </c>
      <c r="R691" s="226">
        <v>0.1</v>
      </c>
      <c r="S691" s="67">
        <v>548.56799999999998</v>
      </c>
      <c r="T691" s="93"/>
      <c r="U691" s="224"/>
      <c r="V691" s="288" t="s">
        <v>1099</v>
      </c>
      <c r="W691" s="89" t="s">
        <v>433</v>
      </c>
      <c r="X691" s="114" t="s">
        <v>1047</v>
      </c>
    </row>
    <row r="692" spans="1:24" s="1" customFormat="1">
      <c r="A692" s="263" t="s">
        <v>2422</v>
      </c>
      <c r="B692" s="248" t="s">
        <v>2423</v>
      </c>
      <c r="C692" s="249">
        <v>1</v>
      </c>
      <c r="D692" s="272" t="s">
        <v>2323</v>
      </c>
      <c r="E692" s="348">
        <v>26.98</v>
      </c>
      <c r="F692" s="226">
        <f t="shared" si="78"/>
        <v>0.1</v>
      </c>
      <c r="G692" s="67">
        <f t="shared" si="75"/>
        <v>24.282</v>
      </c>
      <c r="H692" s="93"/>
      <c r="I692" s="224"/>
      <c r="J692" s="288" t="s">
        <v>1099</v>
      </c>
      <c r="K692" s="89" t="s">
        <v>433</v>
      </c>
      <c r="L692" s="114" t="s">
        <v>1047</v>
      </c>
      <c r="M692" s="241" t="s">
        <v>2422</v>
      </c>
      <c r="N692" s="248" t="s">
        <v>2423</v>
      </c>
      <c r="O692" s="249">
        <v>1</v>
      </c>
      <c r="P692" s="272" t="s">
        <v>2323</v>
      </c>
      <c r="Q692" s="348">
        <v>26.98</v>
      </c>
      <c r="R692" s="226">
        <v>0.1</v>
      </c>
      <c r="S692" s="67">
        <v>24.282</v>
      </c>
      <c r="T692" s="93"/>
      <c r="U692" s="224"/>
      <c r="V692" s="288" t="s">
        <v>1099</v>
      </c>
      <c r="W692" s="89" t="s">
        <v>433</v>
      </c>
      <c r="X692" s="114" t="s">
        <v>1047</v>
      </c>
    </row>
    <row r="693" spans="1:24" s="1" customFormat="1">
      <c r="A693" s="688" t="s">
        <v>2428</v>
      </c>
      <c r="B693" s="268" t="s">
        <v>2429</v>
      </c>
      <c r="C693" s="269">
        <v>1</v>
      </c>
      <c r="D693" s="110" t="s">
        <v>2323</v>
      </c>
      <c r="E693" s="427">
        <v>1996.83</v>
      </c>
      <c r="F693" s="270">
        <f t="shared" si="78"/>
        <v>0.1</v>
      </c>
      <c r="G693" s="111">
        <f t="shared" si="75"/>
        <v>1797.1469999999999</v>
      </c>
      <c r="H693" s="93"/>
      <c r="I693" s="224"/>
      <c r="J693" s="288" t="s">
        <v>1099</v>
      </c>
      <c r="K693" s="89" t="s">
        <v>433</v>
      </c>
      <c r="L693" s="114" t="s">
        <v>1047</v>
      </c>
      <c r="M693" s="234" t="s">
        <v>2428</v>
      </c>
      <c r="N693" s="268" t="s">
        <v>2429</v>
      </c>
      <c r="O693" s="269">
        <v>1</v>
      </c>
      <c r="P693" s="110" t="s">
        <v>2323</v>
      </c>
      <c r="Q693" s="427">
        <v>1996.83</v>
      </c>
      <c r="R693" s="270">
        <v>0.1</v>
      </c>
      <c r="S693" s="111">
        <v>1797.1469999999999</v>
      </c>
      <c r="T693" s="93"/>
      <c r="U693" s="224"/>
      <c r="V693" s="288" t="s">
        <v>1099</v>
      </c>
      <c r="W693" s="89" t="s">
        <v>433</v>
      </c>
      <c r="X693" s="114" t="s">
        <v>1047</v>
      </c>
    </row>
    <row r="694" spans="1:24" s="1" customFormat="1">
      <c r="A694" s="263" t="s">
        <v>2430</v>
      </c>
      <c r="B694" s="248" t="s">
        <v>2431</v>
      </c>
      <c r="C694" s="249">
        <v>1</v>
      </c>
      <c r="D694" s="272" t="s">
        <v>2323</v>
      </c>
      <c r="E694" s="348">
        <v>43.17</v>
      </c>
      <c r="F694" s="226">
        <f t="shared" si="78"/>
        <v>0.1</v>
      </c>
      <c r="G694" s="67">
        <f t="shared" si="75"/>
        <v>38.853000000000002</v>
      </c>
      <c r="H694" s="93"/>
      <c r="I694" s="224"/>
      <c r="J694" s="288" t="s">
        <v>1099</v>
      </c>
      <c r="K694" s="89" t="s">
        <v>433</v>
      </c>
      <c r="L694" s="114" t="s">
        <v>1047</v>
      </c>
      <c r="M694" s="241" t="s">
        <v>2430</v>
      </c>
      <c r="N694" s="248" t="s">
        <v>2431</v>
      </c>
      <c r="O694" s="249">
        <v>1</v>
      </c>
      <c r="P694" s="272" t="s">
        <v>2323</v>
      </c>
      <c r="Q694" s="348">
        <v>43.17</v>
      </c>
      <c r="R694" s="226">
        <v>0.1</v>
      </c>
      <c r="S694" s="67">
        <v>38.853000000000002</v>
      </c>
      <c r="T694" s="93"/>
      <c r="U694" s="224"/>
      <c r="V694" s="288" t="s">
        <v>1099</v>
      </c>
      <c r="W694" s="89" t="s">
        <v>433</v>
      </c>
      <c r="X694" s="114" t="s">
        <v>1047</v>
      </c>
    </row>
    <row r="695" spans="1:24" s="1" customFormat="1">
      <c r="A695" s="263" t="s">
        <v>2432</v>
      </c>
      <c r="B695" s="248" t="s">
        <v>2433</v>
      </c>
      <c r="C695" s="249">
        <v>1</v>
      </c>
      <c r="D695" s="272" t="s">
        <v>2323</v>
      </c>
      <c r="E695" s="348">
        <v>1003.81</v>
      </c>
      <c r="F695" s="226">
        <f t="shared" si="78"/>
        <v>0.1</v>
      </c>
      <c r="G695" s="67">
        <f t="shared" si="75"/>
        <v>903.42899999999997</v>
      </c>
      <c r="H695" s="93"/>
      <c r="I695" s="224"/>
      <c r="J695" s="288" t="s">
        <v>1099</v>
      </c>
      <c r="K695" s="89" t="s">
        <v>433</v>
      </c>
      <c r="L695" s="114" t="s">
        <v>1047</v>
      </c>
      <c r="M695" s="241" t="s">
        <v>2432</v>
      </c>
      <c r="N695" s="248" t="s">
        <v>2433</v>
      </c>
      <c r="O695" s="249">
        <v>1</v>
      </c>
      <c r="P695" s="272" t="s">
        <v>2323</v>
      </c>
      <c r="Q695" s="348">
        <v>1003.81</v>
      </c>
      <c r="R695" s="226">
        <v>0.1</v>
      </c>
      <c r="S695" s="67">
        <v>903.42899999999997</v>
      </c>
      <c r="T695" s="93"/>
      <c r="U695" s="224"/>
      <c r="V695" s="288" t="s">
        <v>1099</v>
      </c>
      <c r="W695" s="89" t="s">
        <v>433</v>
      </c>
      <c r="X695" s="114" t="s">
        <v>1047</v>
      </c>
    </row>
    <row r="696" spans="1:24" s="1" customFormat="1">
      <c r="A696" s="263" t="s">
        <v>2434</v>
      </c>
      <c r="B696" s="248" t="s">
        <v>2435</v>
      </c>
      <c r="C696" s="249">
        <v>1</v>
      </c>
      <c r="D696" s="272" t="s">
        <v>2323</v>
      </c>
      <c r="E696" s="348">
        <v>180</v>
      </c>
      <c r="F696" s="226">
        <f t="shared" si="78"/>
        <v>0.1</v>
      </c>
      <c r="G696" s="67">
        <f t="shared" ref="G696" si="79">E696-(E696*F696)</f>
        <v>162</v>
      </c>
      <c r="H696" s="93"/>
      <c r="I696" s="224"/>
      <c r="J696" s="288" t="s">
        <v>1099</v>
      </c>
      <c r="K696" s="89" t="s">
        <v>433</v>
      </c>
      <c r="L696" s="114" t="s">
        <v>1047</v>
      </c>
      <c r="M696" s="241" t="s">
        <v>2434</v>
      </c>
      <c r="N696" s="248" t="s">
        <v>2435</v>
      </c>
      <c r="O696" s="249">
        <v>1</v>
      </c>
      <c r="P696" s="272" t="s">
        <v>2323</v>
      </c>
      <c r="Q696" s="348">
        <v>180</v>
      </c>
      <c r="R696" s="226">
        <v>0.1</v>
      </c>
      <c r="S696" s="67">
        <v>162</v>
      </c>
      <c r="T696" s="93"/>
      <c r="U696" s="224"/>
      <c r="V696" s="288" t="s">
        <v>1099</v>
      </c>
      <c r="W696" s="89" t="s">
        <v>433</v>
      </c>
      <c r="X696" s="114" t="s">
        <v>1047</v>
      </c>
    </row>
    <row r="697" spans="1:24" s="1" customFormat="1">
      <c r="A697" s="263" t="s">
        <v>2436</v>
      </c>
      <c r="B697" s="248" t="s">
        <v>2437</v>
      </c>
      <c r="C697" s="249">
        <v>1</v>
      </c>
      <c r="D697" s="272" t="s">
        <v>2323</v>
      </c>
      <c r="E697" s="348">
        <v>268.19</v>
      </c>
      <c r="F697" s="226">
        <f t="shared" si="78"/>
        <v>0.1</v>
      </c>
      <c r="G697" s="67">
        <f t="shared" si="75"/>
        <v>241.37099999999998</v>
      </c>
      <c r="H697" s="93"/>
      <c r="I697" s="224"/>
      <c r="J697" s="288" t="s">
        <v>1099</v>
      </c>
      <c r="K697" s="89" t="s">
        <v>433</v>
      </c>
      <c r="L697" s="114" t="s">
        <v>1047</v>
      </c>
      <c r="M697" s="241" t="s">
        <v>2436</v>
      </c>
      <c r="N697" s="248" t="s">
        <v>2437</v>
      </c>
      <c r="O697" s="249">
        <v>1</v>
      </c>
      <c r="P697" s="272" t="s">
        <v>2323</v>
      </c>
      <c r="Q697" s="348">
        <v>268.19</v>
      </c>
      <c r="R697" s="226">
        <v>0.1</v>
      </c>
      <c r="S697" s="67">
        <v>241.37099999999998</v>
      </c>
      <c r="T697" s="93"/>
      <c r="U697" s="224"/>
      <c r="V697" s="288" t="s">
        <v>1099</v>
      </c>
      <c r="W697" s="89" t="s">
        <v>433</v>
      </c>
      <c r="X697" s="114" t="s">
        <v>1047</v>
      </c>
    </row>
    <row r="698" spans="1:24" s="1" customFormat="1">
      <c r="A698" s="263" t="s">
        <v>2438</v>
      </c>
      <c r="B698" s="248" t="s">
        <v>2439</v>
      </c>
      <c r="C698" s="249">
        <v>1</v>
      </c>
      <c r="D698" s="272" t="s">
        <v>2323</v>
      </c>
      <c r="E698" s="348">
        <v>312.89</v>
      </c>
      <c r="F698" s="226">
        <f t="shared" si="78"/>
        <v>0.1</v>
      </c>
      <c r="G698" s="67">
        <f t="shared" si="75"/>
        <v>281.601</v>
      </c>
      <c r="H698" s="93"/>
      <c r="I698" s="224"/>
      <c r="J698" s="288" t="s">
        <v>1099</v>
      </c>
      <c r="K698" s="89" t="s">
        <v>433</v>
      </c>
      <c r="L698" s="114" t="s">
        <v>1047</v>
      </c>
      <c r="M698" s="241" t="s">
        <v>2438</v>
      </c>
      <c r="N698" s="248" t="s">
        <v>2439</v>
      </c>
      <c r="O698" s="249">
        <v>1</v>
      </c>
      <c r="P698" s="272" t="s">
        <v>2323</v>
      </c>
      <c r="Q698" s="348">
        <v>312.89</v>
      </c>
      <c r="R698" s="226">
        <v>0.1</v>
      </c>
      <c r="S698" s="67">
        <v>281.601</v>
      </c>
      <c r="T698" s="93"/>
      <c r="U698" s="224"/>
      <c r="V698" s="288" t="s">
        <v>1099</v>
      </c>
      <c r="W698" s="89" t="s">
        <v>433</v>
      </c>
      <c r="X698" s="114" t="s">
        <v>1047</v>
      </c>
    </row>
    <row r="699" spans="1:24" s="1" customFormat="1">
      <c r="A699" s="263" t="s">
        <v>2440</v>
      </c>
      <c r="B699" s="248" t="s">
        <v>2441</v>
      </c>
      <c r="C699" s="249">
        <v>1</v>
      </c>
      <c r="D699" s="272" t="s">
        <v>2323</v>
      </c>
      <c r="E699" s="348">
        <v>357.59</v>
      </c>
      <c r="F699" s="226">
        <f t="shared" si="78"/>
        <v>0.1</v>
      </c>
      <c r="G699" s="67">
        <f t="shared" si="75"/>
        <v>321.83099999999996</v>
      </c>
      <c r="H699" s="93"/>
      <c r="I699" s="224"/>
      <c r="J699" s="288" t="s">
        <v>1099</v>
      </c>
      <c r="K699" s="89" t="s">
        <v>433</v>
      </c>
      <c r="L699" s="114" t="s">
        <v>1047</v>
      </c>
      <c r="M699" s="241" t="s">
        <v>2440</v>
      </c>
      <c r="N699" s="248" t="s">
        <v>2441</v>
      </c>
      <c r="O699" s="249">
        <v>1</v>
      </c>
      <c r="P699" s="272" t="s">
        <v>2323</v>
      </c>
      <c r="Q699" s="348">
        <v>357.59</v>
      </c>
      <c r="R699" s="226">
        <v>0.1</v>
      </c>
      <c r="S699" s="67">
        <v>321.83099999999996</v>
      </c>
      <c r="T699" s="93"/>
      <c r="U699" s="224"/>
      <c r="V699" s="288" t="s">
        <v>1099</v>
      </c>
      <c r="W699" s="89" t="s">
        <v>433</v>
      </c>
      <c r="X699" s="114" t="s">
        <v>1047</v>
      </c>
    </row>
    <row r="700" spans="1:24" s="1" customFormat="1">
      <c r="A700" s="263" t="s">
        <v>2442</v>
      </c>
      <c r="B700" s="248" t="s">
        <v>2443</v>
      </c>
      <c r="C700" s="249">
        <v>1</v>
      </c>
      <c r="D700" s="272" t="s">
        <v>2323</v>
      </c>
      <c r="E700" s="348">
        <v>335.95</v>
      </c>
      <c r="F700" s="226">
        <f t="shared" si="78"/>
        <v>0.1</v>
      </c>
      <c r="G700" s="67">
        <f t="shared" si="75"/>
        <v>302.35500000000002</v>
      </c>
      <c r="H700" s="93"/>
      <c r="I700" s="224"/>
      <c r="J700" s="288" t="s">
        <v>1099</v>
      </c>
      <c r="K700" s="89" t="s">
        <v>433</v>
      </c>
      <c r="L700" s="114" t="s">
        <v>1047</v>
      </c>
      <c r="M700" s="241" t="s">
        <v>2442</v>
      </c>
      <c r="N700" s="248" t="s">
        <v>2443</v>
      </c>
      <c r="O700" s="249">
        <v>1</v>
      </c>
      <c r="P700" s="272" t="s">
        <v>2323</v>
      </c>
      <c r="Q700" s="348">
        <v>335.95</v>
      </c>
      <c r="R700" s="226">
        <v>0.1</v>
      </c>
      <c r="S700" s="67">
        <v>302.35500000000002</v>
      </c>
      <c r="T700" s="93"/>
      <c r="U700" s="224"/>
      <c r="V700" s="288" t="s">
        <v>1099</v>
      </c>
      <c r="W700" s="89" t="s">
        <v>433</v>
      </c>
      <c r="X700" s="114" t="s">
        <v>1047</v>
      </c>
    </row>
    <row r="701" spans="1:24" s="1" customFormat="1">
      <c r="A701" s="263" t="s">
        <v>2444</v>
      </c>
      <c r="B701" s="248" t="s">
        <v>2445</v>
      </c>
      <c r="C701" s="249">
        <v>1</v>
      </c>
      <c r="D701" s="272" t="s">
        <v>2323</v>
      </c>
      <c r="E701" s="348">
        <v>202.38</v>
      </c>
      <c r="F701" s="226">
        <f t="shared" si="78"/>
        <v>0.1</v>
      </c>
      <c r="G701" s="67">
        <f t="shared" si="75"/>
        <v>182.142</v>
      </c>
      <c r="H701" s="93"/>
      <c r="I701" s="224"/>
      <c r="J701" s="288" t="s">
        <v>1099</v>
      </c>
      <c r="K701" s="89" t="s">
        <v>433</v>
      </c>
      <c r="L701" s="114" t="s">
        <v>1047</v>
      </c>
      <c r="M701" s="241" t="s">
        <v>2444</v>
      </c>
      <c r="N701" s="248" t="s">
        <v>2445</v>
      </c>
      <c r="O701" s="249">
        <v>1</v>
      </c>
      <c r="P701" s="272" t="s">
        <v>2323</v>
      </c>
      <c r="Q701" s="348">
        <v>202.38</v>
      </c>
      <c r="R701" s="226">
        <v>0.1</v>
      </c>
      <c r="S701" s="67">
        <v>182.142</v>
      </c>
      <c r="T701" s="93"/>
      <c r="U701" s="224"/>
      <c r="V701" s="288" t="s">
        <v>1099</v>
      </c>
      <c r="W701" s="89" t="s">
        <v>433</v>
      </c>
      <c r="X701" s="114" t="s">
        <v>1047</v>
      </c>
    </row>
    <row r="702" spans="1:24" s="1" customFormat="1">
      <c r="A702" s="263" t="s">
        <v>2422</v>
      </c>
      <c r="B702" s="248" t="s">
        <v>2423</v>
      </c>
      <c r="C702" s="249">
        <v>1</v>
      </c>
      <c r="D702" s="272" t="s">
        <v>2323</v>
      </c>
      <c r="E702" s="348">
        <v>26.98</v>
      </c>
      <c r="F702" s="226">
        <f t="shared" si="78"/>
        <v>0.1</v>
      </c>
      <c r="G702" s="67">
        <f t="shared" si="75"/>
        <v>24.282</v>
      </c>
      <c r="H702" s="93"/>
      <c r="I702" s="224"/>
      <c r="J702" s="288" t="s">
        <v>1099</v>
      </c>
      <c r="K702" s="89" t="s">
        <v>433</v>
      </c>
      <c r="L702" s="114" t="s">
        <v>1047</v>
      </c>
      <c r="M702" s="241" t="s">
        <v>2422</v>
      </c>
      <c r="N702" s="248" t="s">
        <v>2423</v>
      </c>
      <c r="O702" s="249">
        <v>1</v>
      </c>
      <c r="P702" s="272" t="s">
        <v>2323</v>
      </c>
      <c r="Q702" s="348">
        <v>26.98</v>
      </c>
      <c r="R702" s="226">
        <v>0.1</v>
      </c>
      <c r="S702" s="67">
        <v>24.282</v>
      </c>
      <c r="T702" s="93"/>
      <c r="U702" s="224"/>
      <c r="V702" s="288" t="s">
        <v>1099</v>
      </c>
      <c r="W702" s="89" t="s">
        <v>433</v>
      </c>
      <c r="X702" s="114" t="s">
        <v>1047</v>
      </c>
    </row>
    <row r="703" spans="1:24" s="1" customFormat="1">
      <c r="A703" s="263" t="s">
        <v>2410</v>
      </c>
      <c r="B703" s="248" t="s">
        <v>2411</v>
      </c>
      <c r="C703" s="249">
        <v>1</v>
      </c>
      <c r="D703" s="272" t="s">
        <v>2323</v>
      </c>
      <c r="E703" s="348">
        <v>0</v>
      </c>
      <c r="F703" s="226"/>
      <c r="G703" s="67">
        <f t="shared" si="75"/>
        <v>0</v>
      </c>
      <c r="H703" s="93"/>
      <c r="I703" s="224"/>
      <c r="J703" s="288" t="s">
        <v>1099</v>
      </c>
      <c r="K703" s="89" t="s">
        <v>433</v>
      </c>
      <c r="L703" s="114" t="s">
        <v>1047</v>
      </c>
      <c r="M703" s="241" t="s">
        <v>2410</v>
      </c>
      <c r="N703" s="248" t="s">
        <v>2411</v>
      </c>
      <c r="O703" s="249">
        <v>1</v>
      </c>
      <c r="P703" s="272" t="s">
        <v>2323</v>
      </c>
      <c r="Q703" s="348">
        <v>0</v>
      </c>
      <c r="R703" s="226"/>
      <c r="S703" s="67">
        <v>0</v>
      </c>
      <c r="T703" s="93"/>
      <c r="U703" s="224"/>
      <c r="V703" s="288" t="s">
        <v>1099</v>
      </c>
      <c r="W703" s="89" t="s">
        <v>433</v>
      </c>
      <c r="X703" s="114" t="s">
        <v>1047</v>
      </c>
    </row>
    <row r="704" spans="1:24" s="1" customFormat="1">
      <c r="A704" s="263" t="s">
        <v>2412</v>
      </c>
      <c r="B704" s="248" t="s">
        <v>2413</v>
      </c>
      <c r="C704" s="249">
        <v>1</v>
      </c>
      <c r="D704" s="272" t="s">
        <v>2323</v>
      </c>
      <c r="E704" s="348">
        <v>431.75</v>
      </c>
      <c r="F704" s="226">
        <f t="shared" si="66"/>
        <v>0.1</v>
      </c>
      <c r="G704" s="67">
        <f t="shared" si="75"/>
        <v>388.57499999999999</v>
      </c>
      <c r="H704" s="93"/>
      <c r="I704" s="224"/>
      <c r="J704" s="288" t="s">
        <v>1099</v>
      </c>
      <c r="K704" s="89" t="s">
        <v>433</v>
      </c>
      <c r="L704" s="114" t="s">
        <v>1047</v>
      </c>
      <c r="M704" s="241" t="s">
        <v>2412</v>
      </c>
      <c r="N704" s="248" t="s">
        <v>2413</v>
      </c>
      <c r="O704" s="249">
        <v>1</v>
      </c>
      <c r="P704" s="272" t="s">
        <v>2323</v>
      </c>
      <c r="Q704" s="348">
        <v>431.75</v>
      </c>
      <c r="R704" s="226">
        <v>0.1</v>
      </c>
      <c r="S704" s="67">
        <v>388.57499999999999</v>
      </c>
      <c r="T704" s="93"/>
      <c r="U704" s="224"/>
      <c r="V704" s="288" t="s">
        <v>1099</v>
      </c>
      <c r="W704" s="89" t="s">
        <v>433</v>
      </c>
      <c r="X704" s="114" t="s">
        <v>1047</v>
      </c>
    </row>
    <row r="705" spans="1:24" s="1" customFormat="1">
      <c r="A705" s="263" t="s">
        <v>2414</v>
      </c>
      <c r="B705" s="248" t="s">
        <v>2415</v>
      </c>
      <c r="C705" s="249">
        <v>1</v>
      </c>
      <c r="D705" s="272" t="s">
        <v>2323</v>
      </c>
      <c r="E705" s="348">
        <v>1015.87</v>
      </c>
      <c r="F705" s="226">
        <f t="shared" si="66"/>
        <v>0.1</v>
      </c>
      <c r="G705" s="67">
        <f t="shared" si="75"/>
        <v>914.28300000000002</v>
      </c>
      <c r="H705" s="93"/>
      <c r="I705" s="224"/>
      <c r="J705" s="288" t="s">
        <v>1099</v>
      </c>
      <c r="K705" s="89" t="s">
        <v>433</v>
      </c>
      <c r="L705" s="114" t="s">
        <v>1047</v>
      </c>
      <c r="M705" s="241" t="s">
        <v>2414</v>
      </c>
      <c r="N705" s="248" t="s">
        <v>2415</v>
      </c>
      <c r="O705" s="249">
        <v>1</v>
      </c>
      <c r="P705" s="272" t="s">
        <v>2323</v>
      </c>
      <c r="Q705" s="348">
        <v>1015.87</v>
      </c>
      <c r="R705" s="226">
        <v>0.1</v>
      </c>
      <c r="S705" s="67">
        <v>914.28300000000002</v>
      </c>
      <c r="T705" s="93"/>
      <c r="U705" s="224"/>
      <c r="V705" s="288" t="s">
        <v>1099</v>
      </c>
      <c r="W705" s="89" t="s">
        <v>433</v>
      </c>
      <c r="X705" s="114" t="s">
        <v>1047</v>
      </c>
    </row>
    <row r="706" spans="1:24" s="1" customFormat="1">
      <c r="A706" s="263" t="s">
        <v>2416</v>
      </c>
      <c r="B706" s="248" t="s">
        <v>2417</v>
      </c>
      <c r="C706" s="249">
        <v>1</v>
      </c>
      <c r="D706" s="272" t="s">
        <v>2323</v>
      </c>
      <c r="E706" s="348">
        <v>1600</v>
      </c>
      <c r="F706" s="226">
        <f t="shared" si="66"/>
        <v>0.1</v>
      </c>
      <c r="G706" s="67">
        <f t="shared" si="75"/>
        <v>1440</v>
      </c>
      <c r="H706" s="93"/>
      <c r="I706" s="224"/>
      <c r="J706" s="288" t="s">
        <v>1099</v>
      </c>
      <c r="K706" s="89" t="s">
        <v>433</v>
      </c>
      <c r="L706" s="114" t="s">
        <v>1047</v>
      </c>
      <c r="M706" s="241" t="s">
        <v>2416</v>
      </c>
      <c r="N706" s="248" t="s">
        <v>2417</v>
      </c>
      <c r="O706" s="249">
        <v>1</v>
      </c>
      <c r="P706" s="272" t="s">
        <v>2323</v>
      </c>
      <c r="Q706" s="348">
        <v>1600</v>
      </c>
      <c r="R706" s="226">
        <v>0.1</v>
      </c>
      <c r="S706" s="67">
        <v>1440</v>
      </c>
      <c r="T706" s="93"/>
      <c r="U706" s="224"/>
      <c r="V706" s="288" t="s">
        <v>1099</v>
      </c>
      <c r="W706" s="89" t="s">
        <v>433</v>
      </c>
      <c r="X706" s="114" t="s">
        <v>1047</v>
      </c>
    </row>
    <row r="707" spans="1:24" s="1" customFormat="1">
      <c r="A707" s="263" t="s">
        <v>2418</v>
      </c>
      <c r="B707" s="248" t="s">
        <v>2419</v>
      </c>
      <c r="C707" s="249">
        <v>1</v>
      </c>
      <c r="D707" s="272" t="s">
        <v>2323</v>
      </c>
      <c r="E707" s="348">
        <v>2679.37</v>
      </c>
      <c r="F707" s="226">
        <f t="shared" si="66"/>
        <v>0.1</v>
      </c>
      <c r="G707" s="67">
        <f t="shared" si="75"/>
        <v>2411.433</v>
      </c>
      <c r="H707" s="93"/>
      <c r="I707" s="224"/>
      <c r="J707" s="288" t="s">
        <v>1099</v>
      </c>
      <c r="K707" s="89" t="s">
        <v>433</v>
      </c>
      <c r="L707" s="114" t="s">
        <v>1047</v>
      </c>
      <c r="M707" s="241" t="s">
        <v>2418</v>
      </c>
      <c r="N707" s="248" t="s">
        <v>2419</v>
      </c>
      <c r="O707" s="249">
        <v>1</v>
      </c>
      <c r="P707" s="272" t="s">
        <v>2323</v>
      </c>
      <c r="Q707" s="348">
        <v>2679.37</v>
      </c>
      <c r="R707" s="226">
        <v>0.1</v>
      </c>
      <c r="S707" s="67">
        <v>2411.433</v>
      </c>
      <c r="T707" s="93"/>
      <c r="U707" s="224"/>
      <c r="V707" s="288" t="s">
        <v>1099</v>
      </c>
      <c r="W707" s="89" t="s">
        <v>433</v>
      </c>
      <c r="X707" s="114" t="s">
        <v>1047</v>
      </c>
    </row>
    <row r="708" spans="1:24" s="1" customFormat="1">
      <c r="A708" s="263" t="s">
        <v>2420</v>
      </c>
      <c r="B708" s="248" t="s">
        <v>2421</v>
      </c>
      <c r="C708" s="249">
        <v>1</v>
      </c>
      <c r="D708" s="272" t="s">
        <v>2323</v>
      </c>
      <c r="E708" s="348">
        <v>609.52</v>
      </c>
      <c r="F708" s="226">
        <f t="shared" si="66"/>
        <v>0.1</v>
      </c>
      <c r="G708" s="67">
        <f t="shared" si="75"/>
        <v>548.56799999999998</v>
      </c>
      <c r="H708" s="93"/>
      <c r="I708" s="224"/>
      <c r="J708" s="288" t="s">
        <v>1099</v>
      </c>
      <c r="K708" s="89" t="s">
        <v>433</v>
      </c>
      <c r="L708" s="114" t="s">
        <v>1047</v>
      </c>
      <c r="M708" s="241" t="s">
        <v>2420</v>
      </c>
      <c r="N708" s="248" t="s">
        <v>2421</v>
      </c>
      <c r="O708" s="249">
        <v>1</v>
      </c>
      <c r="P708" s="272" t="s">
        <v>2323</v>
      </c>
      <c r="Q708" s="348">
        <v>609.52</v>
      </c>
      <c r="R708" s="226">
        <v>0.1</v>
      </c>
      <c r="S708" s="67">
        <v>548.56799999999998</v>
      </c>
      <c r="T708" s="93"/>
      <c r="U708" s="224"/>
      <c r="V708" s="288" t="s">
        <v>1099</v>
      </c>
      <c r="W708" s="89" t="s">
        <v>433</v>
      </c>
      <c r="X708" s="114" t="s">
        <v>1047</v>
      </c>
    </row>
    <row r="709" spans="1:24" s="1" customFormat="1">
      <c r="A709" s="688" t="s">
        <v>2446</v>
      </c>
      <c r="B709" s="268" t="s">
        <v>2447</v>
      </c>
      <c r="C709" s="269">
        <v>1</v>
      </c>
      <c r="D709" s="110" t="s">
        <v>2323</v>
      </c>
      <c r="E709" s="427">
        <v>1257.1400000000001</v>
      </c>
      <c r="F709" s="270">
        <f t="shared" si="66"/>
        <v>0.1</v>
      </c>
      <c r="G709" s="111">
        <f t="shared" si="75"/>
        <v>1131.4260000000002</v>
      </c>
      <c r="H709" s="93"/>
      <c r="I709" s="224"/>
      <c r="J709" s="288" t="s">
        <v>1099</v>
      </c>
      <c r="K709" s="89" t="s">
        <v>433</v>
      </c>
      <c r="L709" s="114" t="s">
        <v>1047</v>
      </c>
      <c r="M709" s="234" t="s">
        <v>2446</v>
      </c>
      <c r="N709" s="268" t="s">
        <v>2447</v>
      </c>
      <c r="O709" s="269">
        <v>1</v>
      </c>
      <c r="P709" s="110" t="s">
        <v>2323</v>
      </c>
      <c r="Q709" s="427">
        <v>1257.1400000000001</v>
      </c>
      <c r="R709" s="270">
        <v>0.1</v>
      </c>
      <c r="S709" s="111">
        <v>1131.4260000000002</v>
      </c>
      <c r="T709" s="93"/>
      <c r="U709" s="224"/>
      <c r="V709" s="288" t="s">
        <v>1099</v>
      </c>
      <c r="W709" s="89" t="s">
        <v>433</v>
      </c>
      <c r="X709" s="114" t="s">
        <v>1047</v>
      </c>
    </row>
    <row r="710" spans="1:24" s="1" customFormat="1">
      <c r="A710" s="263" t="s">
        <v>2448</v>
      </c>
      <c r="B710" s="248" t="s">
        <v>2449</v>
      </c>
      <c r="C710" s="249">
        <v>1</v>
      </c>
      <c r="D710" s="272" t="s">
        <v>2323</v>
      </c>
      <c r="E710" s="348">
        <v>825.4</v>
      </c>
      <c r="F710" s="226">
        <f t="shared" si="66"/>
        <v>0.1</v>
      </c>
      <c r="G710" s="67">
        <f t="shared" si="75"/>
        <v>742.86</v>
      </c>
      <c r="H710" s="93"/>
      <c r="I710" s="224"/>
      <c r="J710" s="288" t="s">
        <v>1099</v>
      </c>
      <c r="K710" s="89" t="s">
        <v>433</v>
      </c>
      <c r="L710" s="114" t="s">
        <v>1047</v>
      </c>
      <c r="M710" s="241" t="s">
        <v>2448</v>
      </c>
      <c r="N710" s="248" t="s">
        <v>2449</v>
      </c>
      <c r="O710" s="249">
        <v>1</v>
      </c>
      <c r="P710" s="272" t="s">
        <v>2323</v>
      </c>
      <c r="Q710" s="348">
        <v>825.4</v>
      </c>
      <c r="R710" s="226">
        <v>0.1</v>
      </c>
      <c r="S710" s="67">
        <v>742.86</v>
      </c>
      <c r="T710" s="93"/>
      <c r="U710" s="224"/>
      <c r="V710" s="288" t="s">
        <v>1099</v>
      </c>
      <c r="W710" s="89" t="s">
        <v>433</v>
      </c>
      <c r="X710" s="114" t="s">
        <v>1047</v>
      </c>
    </row>
    <row r="711" spans="1:24" s="1" customFormat="1">
      <c r="A711" s="263" t="s">
        <v>2450</v>
      </c>
      <c r="B711" s="248" t="s">
        <v>2451</v>
      </c>
      <c r="C711" s="249">
        <v>1</v>
      </c>
      <c r="D711" s="272" t="s">
        <v>2323</v>
      </c>
      <c r="E711" s="348">
        <v>152.38</v>
      </c>
      <c r="F711" s="226">
        <f t="shared" si="66"/>
        <v>0.1</v>
      </c>
      <c r="G711" s="67">
        <f t="shared" si="75"/>
        <v>137.142</v>
      </c>
      <c r="H711" s="93"/>
      <c r="I711" s="224"/>
      <c r="J711" s="288" t="s">
        <v>1099</v>
      </c>
      <c r="K711" s="89" t="s">
        <v>433</v>
      </c>
      <c r="L711" s="114" t="s">
        <v>1047</v>
      </c>
      <c r="M711" s="241" t="s">
        <v>2450</v>
      </c>
      <c r="N711" s="248" t="s">
        <v>2451</v>
      </c>
      <c r="O711" s="249">
        <v>1</v>
      </c>
      <c r="P711" s="272" t="s">
        <v>2323</v>
      </c>
      <c r="Q711" s="348">
        <v>152.38</v>
      </c>
      <c r="R711" s="226">
        <v>0.1</v>
      </c>
      <c r="S711" s="67">
        <v>137.142</v>
      </c>
      <c r="T711" s="93"/>
      <c r="U711" s="224"/>
      <c r="V711" s="288" t="s">
        <v>1099</v>
      </c>
      <c r="W711" s="89" t="s">
        <v>433</v>
      </c>
      <c r="X711" s="114" t="s">
        <v>1047</v>
      </c>
    </row>
    <row r="712" spans="1:24" s="1" customFormat="1">
      <c r="A712" s="263" t="s">
        <v>2348</v>
      </c>
      <c r="B712" s="248" t="s">
        <v>2452</v>
      </c>
      <c r="C712" s="249">
        <v>1</v>
      </c>
      <c r="D712" s="272" t="s">
        <v>2323</v>
      </c>
      <c r="E712" s="348">
        <v>251.43</v>
      </c>
      <c r="F712" s="226">
        <f t="shared" si="66"/>
        <v>0.1</v>
      </c>
      <c r="G712" s="67">
        <f t="shared" si="75"/>
        <v>226.28700000000001</v>
      </c>
      <c r="H712" s="93"/>
      <c r="I712" s="224"/>
      <c r="J712" s="288" t="s">
        <v>1099</v>
      </c>
      <c r="K712" s="89" t="s">
        <v>433</v>
      </c>
      <c r="L712" s="114" t="s">
        <v>1047</v>
      </c>
      <c r="M712" s="241" t="s">
        <v>2348</v>
      </c>
      <c r="N712" s="248" t="s">
        <v>2452</v>
      </c>
      <c r="O712" s="249">
        <v>1</v>
      </c>
      <c r="P712" s="272" t="s">
        <v>2323</v>
      </c>
      <c r="Q712" s="348">
        <v>251.43</v>
      </c>
      <c r="R712" s="226">
        <v>0.1</v>
      </c>
      <c r="S712" s="67">
        <v>226.28700000000001</v>
      </c>
      <c r="T712" s="93"/>
      <c r="U712" s="224"/>
      <c r="V712" s="288" t="s">
        <v>1099</v>
      </c>
      <c r="W712" s="89" t="s">
        <v>433</v>
      </c>
      <c r="X712" s="114" t="s">
        <v>1047</v>
      </c>
    </row>
    <row r="713" spans="1:24" s="1" customFormat="1">
      <c r="A713" s="263" t="s">
        <v>2453</v>
      </c>
      <c r="B713" s="248" t="s">
        <v>2454</v>
      </c>
      <c r="C713" s="249">
        <v>1</v>
      </c>
      <c r="D713" s="272" t="s">
        <v>2323</v>
      </c>
      <c r="E713" s="348">
        <v>1253.4100000000001</v>
      </c>
      <c r="F713" s="226">
        <f t="shared" si="66"/>
        <v>0.1</v>
      </c>
      <c r="G713" s="67">
        <f t="shared" si="75"/>
        <v>1128.069</v>
      </c>
      <c r="H713" s="93"/>
      <c r="I713" s="224"/>
      <c r="J713" s="288" t="s">
        <v>1099</v>
      </c>
      <c r="K713" s="89" t="s">
        <v>433</v>
      </c>
      <c r="L713" s="114" t="s">
        <v>1047</v>
      </c>
      <c r="M713" s="241" t="s">
        <v>2453</v>
      </c>
      <c r="N713" s="248" t="s">
        <v>2454</v>
      </c>
      <c r="O713" s="249">
        <v>1</v>
      </c>
      <c r="P713" s="272" t="s">
        <v>2323</v>
      </c>
      <c r="Q713" s="348">
        <v>1253.4100000000001</v>
      </c>
      <c r="R713" s="226">
        <v>0.1</v>
      </c>
      <c r="S713" s="67">
        <v>1128.069</v>
      </c>
      <c r="T713" s="93"/>
      <c r="U713" s="224"/>
      <c r="V713" s="288" t="s">
        <v>1099</v>
      </c>
      <c r="W713" s="89" t="s">
        <v>433</v>
      </c>
      <c r="X713" s="114" t="s">
        <v>1047</v>
      </c>
    </row>
    <row r="714" spans="1:24" s="1" customFormat="1">
      <c r="A714" s="688" t="s">
        <v>2455</v>
      </c>
      <c r="B714" s="268" t="s">
        <v>2456</v>
      </c>
      <c r="C714" s="269">
        <v>1</v>
      </c>
      <c r="D714" s="110" t="s">
        <v>2323</v>
      </c>
      <c r="E714" s="427">
        <v>1511.11</v>
      </c>
      <c r="F714" s="270">
        <f t="shared" si="66"/>
        <v>0.1</v>
      </c>
      <c r="G714" s="111">
        <f t="shared" si="75"/>
        <v>1359.9989999999998</v>
      </c>
      <c r="H714" s="93"/>
      <c r="I714" s="224"/>
      <c r="J714" s="288" t="s">
        <v>1099</v>
      </c>
      <c r="K714" s="89" t="s">
        <v>433</v>
      </c>
      <c r="L714" s="114" t="s">
        <v>1047</v>
      </c>
      <c r="M714" s="234" t="s">
        <v>2455</v>
      </c>
      <c r="N714" s="268" t="s">
        <v>2456</v>
      </c>
      <c r="O714" s="269">
        <v>1</v>
      </c>
      <c r="P714" s="110" t="s">
        <v>2323</v>
      </c>
      <c r="Q714" s="427">
        <v>1511.11</v>
      </c>
      <c r="R714" s="270">
        <v>0.1</v>
      </c>
      <c r="S714" s="111">
        <v>1359.9989999999998</v>
      </c>
      <c r="T714" s="93"/>
      <c r="U714" s="224"/>
      <c r="V714" s="288" t="s">
        <v>1099</v>
      </c>
      <c r="W714" s="89" t="s">
        <v>433</v>
      </c>
      <c r="X714" s="114" t="s">
        <v>1047</v>
      </c>
    </row>
    <row r="715" spans="1:24" s="1" customFormat="1">
      <c r="A715" s="263" t="s">
        <v>2457</v>
      </c>
      <c r="B715" s="248" t="s">
        <v>2458</v>
      </c>
      <c r="C715" s="249">
        <v>1</v>
      </c>
      <c r="D715" s="272" t="s">
        <v>2323</v>
      </c>
      <c r="E715" s="348">
        <v>863.49</v>
      </c>
      <c r="F715" s="226">
        <f t="shared" si="66"/>
        <v>0.1</v>
      </c>
      <c r="G715" s="67">
        <f t="shared" si="75"/>
        <v>777.14099999999996</v>
      </c>
      <c r="H715" s="93"/>
      <c r="I715" s="224"/>
      <c r="J715" s="288" t="s">
        <v>1099</v>
      </c>
      <c r="K715" s="89" t="s">
        <v>433</v>
      </c>
      <c r="L715" s="114" t="s">
        <v>1047</v>
      </c>
      <c r="M715" s="241" t="s">
        <v>2457</v>
      </c>
      <c r="N715" s="248" t="s">
        <v>2458</v>
      </c>
      <c r="O715" s="249">
        <v>1</v>
      </c>
      <c r="P715" s="272" t="s">
        <v>2323</v>
      </c>
      <c r="Q715" s="348">
        <v>863.49</v>
      </c>
      <c r="R715" s="226">
        <v>0.1</v>
      </c>
      <c r="S715" s="67">
        <v>777.14099999999996</v>
      </c>
      <c r="T715" s="93"/>
      <c r="U715" s="224"/>
      <c r="V715" s="288" t="s">
        <v>1099</v>
      </c>
      <c r="W715" s="89" t="s">
        <v>433</v>
      </c>
      <c r="X715" s="114" t="s">
        <v>1047</v>
      </c>
    </row>
    <row r="716" spans="1:24" s="1" customFormat="1">
      <c r="A716" s="263" t="s">
        <v>2459</v>
      </c>
      <c r="B716" s="248" t="s">
        <v>2460</v>
      </c>
      <c r="C716" s="249">
        <v>1</v>
      </c>
      <c r="D716" s="272" t="s">
        <v>2323</v>
      </c>
      <c r="E716" s="348">
        <v>152.38</v>
      </c>
      <c r="F716" s="226">
        <f t="shared" si="66"/>
        <v>0.1</v>
      </c>
      <c r="G716" s="67">
        <f t="shared" si="75"/>
        <v>137.142</v>
      </c>
      <c r="H716" s="93"/>
      <c r="I716" s="224"/>
      <c r="J716" s="288" t="s">
        <v>1099</v>
      </c>
      <c r="K716" s="89" t="s">
        <v>433</v>
      </c>
      <c r="L716" s="114" t="s">
        <v>1047</v>
      </c>
      <c r="M716" s="241" t="s">
        <v>2459</v>
      </c>
      <c r="N716" s="248" t="s">
        <v>2460</v>
      </c>
      <c r="O716" s="249">
        <v>1</v>
      </c>
      <c r="P716" s="272" t="s">
        <v>2323</v>
      </c>
      <c r="Q716" s="348">
        <v>152.38</v>
      </c>
      <c r="R716" s="226">
        <v>0.1</v>
      </c>
      <c r="S716" s="67">
        <v>137.142</v>
      </c>
      <c r="T716" s="93"/>
      <c r="U716" s="224"/>
      <c r="V716" s="288" t="s">
        <v>1099</v>
      </c>
      <c r="W716" s="89" t="s">
        <v>433</v>
      </c>
      <c r="X716" s="114" t="s">
        <v>1047</v>
      </c>
    </row>
    <row r="717" spans="1:24" s="1" customFormat="1">
      <c r="A717" s="263" t="s">
        <v>2348</v>
      </c>
      <c r="B717" s="248" t="s">
        <v>2452</v>
      </c>
      <c r="C717" s="249">
        <v>1</v>
      </c>
      <c r="D717" s="272" t="s">
        <v>2323</v>
      </c>
      <c r="E717" s="348">
        <v>251.43</v>
      </c>
      <c r="F717" s="226">
        <f t="shared" si="66"/>
        <v>0.1</v>
      </c>
      <c r="G717" s="67">
        <f t="shared" si="75"/>
        <v>226.28700000000001</v>
      </c>
      <c r="H717" s="93"/>
      <c r="I717" s="224"/>
      <c r="J717" s="288" t="s">
        <v>1099</v>
      </c>
      <c r="K717" s="89" t="s">
        <v>433</v>
      </c>
      <c r="L717" s="114" t="s">
        <v>1047</v>
      </c>
      <c r="M717" s="241" t="s">
        <v>2348</v>
      </c>
      <c r="N717" s="248" t="s">
        <v>2452</v>
      </c>
      <c r="O717" s="249">
        <v>1</v>
      </c>
      <c r="P717" s="272" t="s">
        <v>2323</v>
      </c>
      <c r="Q717" s="348">
        <v>251.43</v>
      </c>
      <c r="R717" s="226">
        <v>0.1</v>
      </c>
      <c r="S717" s="67">
        <v>226.28700000000001</v>
      </c>
      <c r="T717" s="93"/>
      <c r="U717" s="224"/>
      <c r="V717" s="288" t="s">
        <v>1099</v>
      </c>
      <c r="W717" s="89" t="s">
        <v>433</v>
      </c>
      <c r="X717" s="114" t="s">
        <v>1047</v>
      </c>
    </row>
    <row r="718" spans="1:24" s="1" customFormat="1">
      <c r="A718" s="263" t="s">
        <v>2461</v>
      </c>
      <c r="B718" s="248" t="s">
        <v>2462</v>
      </c>
      <c r="C718" s="249">
        <v>1</v>
      </c>
      <c r="D718" s="272" t="s">
        <v>2323</v>
      </c>
      <c r="E718" s="348">
        <v>2506.83</v>
      </c>
      <c r="F718" s="226">
        <f t="shared" si="66"/>
        <v>0.1</v>
      </c>
      <c r="G718" s="67">
        <f t="shared" si="75"/>
        <v>2256.1469999999999</v>
      </c>
      <c r="H718" s="93"/>
      <c r="I718" s="224"/>
      <c r="J718" s="288" t="s">
        <v>1099</v>
      </c>
      <c r="K718" s="89" t="s">
        <v>433</v>
      </c>
      <c r="L718" s="114" t="s">
        <v>1047</v>
      </c>
      <c r="M718" s="241" t="s">
        <v>2461</v>
      </c>
      <c r="N718" s="248" t="s">
        <v>2462</v>
      </c>
      <c r="O718" s="249">
        <v>1</v>
      </c>
      <c r="P718" s="272" t="s">
        <v>2323</v>
      </c>
      <c r="Q718" s="348">
        <v>2506.83</v>
      </c>
      <c r="R718" s="226">
        <v>0.1</v>
      </c>
      <c r="S718" s="67">
        <v>2256.1469999999999</v>
      </c>
      <c r="T718" s="93"/>
      <c r="U718" s="224"/>
      <c r="V718" s="288" t="s">
        <v>1099</v>
      </c>
      <c r="W718" s="89" t="s">
        <v>433</v>
      </c>
      <c r="X718" s="114" t="s">
        <v>1047</v>
      </c>
    </row>
    <row r="719" spans="1:24" s="1" customFormat="1">
      <c r="A719" s="688" t="s">
        <v>2463</v>
      </c>
      <c r="B719" s="268" t="s">
        <v>2464</v>
      </c>
      <c r="C719" s="269">
        <v>1</v>
      </c>
      <c r="D719" s="110" t="s">
        <v>2323</v>
      </c>
      <c r="E719" s="427">
        <v>1140.32</v>
      </c>
      <c r="F719" s="270">
        <f t="shared" si="66"/>
        <v>0.1</v>
      </c>
      <c r="G719" s="111">
        <f t="shared" si="75"/>
        <v>1026.288</v>
      </c>
      <c r="H719" s="93"/>
      <c r="I719" s="224"/>
      <c r="J719" s="288" t="s">
        <v>1099</v>
      </c>
      <c r="K719" s="89" t="s">
        <v>433</v>
      </c>
      <c r="L719" s="114" t="s">
        <v>1047</v>
      </c>
      <c r="M719" s="234" t="s">
        <v>2463</v>
      </c>
      <c r="N719" s="268" t="s">
        <v>2464</v>
      </c>
      <c r="O719" s="269">
        <v>1</v>
      </c>
      <c r="P719" s="110" t="s">
        <v>2323</v>
      </c>
      <c r="Q719" s="427">
        <v>1140.32</v>
      </c>
      <c r="R719" s="270">
        <v>0.1</v>
      </c>
      <c r="S719" s="111">
        <v>1026.288</v>
      </c>
      <c r="T719" s="93"/>
      <c r="U719" s="224"/>
      <c r="V719" s="288" t="s">
        <v>1099</v>
      </c>
      <c r="W719" s="89" t="s">
        <v>433</v>
      </c>
      <c r="X719" s="114" t="s">
        <v>1047</v>
      </c>
    </row>
    <row r="720" spans="1:24" s="1" customFormat="1">
      <c r="A720" s="263" t="s">
        <v>2465</v>
      </c>
      <c r="B720" s="248" t="s">
        <v>2466</v>
      </c>
      <c r="C720" s="249">
        <v>1</v>
      </c>
      <c r="D720" s="272" t="s">
        <v>2323</v>
      </c>
      <c r="E720" s="348">
        <v>323.81</v>
      </c>
      <c r="F720" s="226">
        <f t="shared" si="66"/>
        <v>0.1</v>
      </c>
      <c r="G720" s="67">
        <f t="shared" si="75"/>
        <v>291.42899999999997</v>
      </c>
      <c r="H720" s="93"/>
      <c r="I720" s="224"/>
      <c r="J720" s="288" t="s">
        <v>1099</v>
      </c>
      <c r="K720" s="89" t="s">
        <v>433</v>
      </c>
      <c r="L720" s="114" t="s">
        <v>1047</v>
      </c>
      <c r="M720" s="241" t="s">
        <v>2465</v>
      </c>
      <c r="N720" s="248" t="s">
        <v>2466</v>
      </c>
      <c r="O720" s="249">
        <v>1</v>
      </c>
      <c r="P720" s="272" t="s">
        <v>2323</v>
      </c>
      <c r="Q720" s="348">
        <v>323.81</v>
      </c>
      <c r="R720" s="226">
        <v>0.1</v>
      </c>
      <c r="S720" s="67">
        <v>291.42899999999997</v>
      </c>
      <c r="T720" s="93"/>
      <c r="U720" s="224"/>
      <c r="V720" s="288" t="s">
        <v>1099</v>
      </c>
      <c r="W720" s="89" t="s">
        <v>433</v>
      </c>
      <c r="X720" s="114" t="s">
        <v>1047</v>
      </c>
    </row>
    <row r="721" spans="1:24" s="1" customFormat="1">
      <c r="A721" s="263" t="s">
        <v>2467</v>
      </c>
      <c r="B721" s="248" t="s">
        <v>2468</v>
      </c>
      <c r="C721" s="249">
        <v>1</v>
      </c>
      <c r="D721" s="272" t="s">
        <v>2323</v>
      </c>
      <c r="E721" s="348">
        <v>1079.3699999999999</v>
      </c>
      <c r="F721" s="226">
        <f t="shared" si="66"/>
        <v>0.1</v>
      </c>
      <c r="G721" s="67">
        <f t="shared" si="75"/>
        <v>971.43299999999988</v>
      </c>
      <c r="H721" s="93"/>
      <c r="I721" s="224"/>
      <c r="J721" s="288" t="s">
        <v>1099</v>
      </c>
      <c r="K721" s="89" t="s">
        <v>433</v>
      </c>
      <c r="L721" s="114" t="s">
        <v>1047</v>
      </c>
      <c r="M721" s="241" t="s">
        <v>2467</v>
      </c>
      <c r="N721" s="248" t="s">
        <v>2468</v>
      </c>
      <c r="O721" s="249">
        <v>1</v>
      </c>
      <c r="P721" s="272" t="s">
        <v>2323</v>
      </c>
      <c r="Q721" s="348">
        <v>1079.3699999999999</v>
      </c>
      <c r="R721" s="226">
        <v>0.1</v>
      </c>
      <c r="S721" s="67">
        <v>971.43299999999988</v>
      </c>
      <c r="T721" s="93"/>
      <c r="U721" s="224"/>
      <c r="V721" s="288" t="s">
        <v>1099</v>
      </c>
      <c r="W721" s="89" t="s">
        <v>433</v>
      </c>
      <c r="X721" s="114" t="s">
        <v>1047</v>
      </c>
    </row>
    <row r="722" spans="1:24" s="1" customFormat="1">
      <c r="A722" s="263" t="s">
        <v>2469</v>
      </c>
      <c r="B722" s="248" t="s">
        <v>2470</v>
      </c>
      <c r="C722" s="249">
        <v>1</v>
      </c>
      <c r="D722" s="272" t="s">
        <v>2323</v>
      </c>
      <c r="E722" s="348">
        <v>914.29</v>
      </c>
      <c r="F722" s="226">
        <f t="shared" si="66"/>
        <v>0.1</v>
      </c>
      <c r="G722" s="67">
        <f t="shared" si="75"/>
        <v>822.86099999999999</v>
      </c>
      <c r="H722" s="93"/>
      <c r="I722" s="224"/>
      <c r="J722" s="288" t="s">
        <v>1099</v>
      </c>
      <c r="K722" s="89" t="s">
        <v>433</v>
      </c>
      <c r="L722" s="114" t="s">
        <v>1047</v>
      </c>
      <c r="M722" s="241" t="s">
        <v>2469</v>
      </c>
      <c r="N722" s="248" t="s">
        <v>2470</v>
      </c>
      <c r="O722" s="249">
        <v>1</v>
      </c>
      <c r="P722" s="272" t="s">
        <v>2323</v>
      </c>
      <c r="Q722" s="348">
        <v>914.29</v>
      </c>
      <c r="R722" s="226">
        <v>0.1</v>
      </c>
      <c r="S722" s="67">
        <v>822.86099999999999</v>
      </c>
      <c r="T722" s="93"/>
      <c r="U722" s="224"/>
      <c r="V722" s="288" t="s">
        <v>1099</v>
      </c>
      <c r="W722" s="89" t="s">
        <v>433</v>
      </c>
      <c r="X722" s="114" t="s">
        <v>1047</v>
      </c>
    </row>
    <row r="723" spans="1:24" s="1" customFormat="1">
      <c r="A723" s="263" t="s">
        <v>2471</v>
      </c>
      <c r="B723" s="248" t="s">
        <v>2472</v>
      </c>
      <c r="C723" s="249">
        <v>1</v>
      </c>
      <c r="D723" s="272" t="s">
        <v>2473</v>
      </c>
      <c r="E723" s="348">
        <v>1441</v>
      </c>
      <c r="F723" s="226">
        <f t="shared" si="66"/>
        <v>0.1</v>
      </c>
      <c r="G723" s="67">
        <f t="shared" ref="G723:G753" si="80">E723-(E723*F723)</f>
        <v>1296.9000000000001</v>
      </c>
      <c r="H723" s="93"/>
      <c r="I723" s="224">
        <v>4.17</v>
      </c>
      <c r="J723" s="288" t="s">
        <v>1099</v>
      </c>
      <c r="K723" s="89" t="s">
        <v>433</v>
      </c>
      <c r="L723" s="114" t="s">
        <v>1047</v>
      </c>
      <c r="M723" s="241" t="s">
        <v>2471</v>
      </c>
      <c r="N723" s="248" t="s">
        <v>2472</v>
      </c>
      <c r="O723" s="249">
        <v>1</v>
      </c>
      <c r="P723" s="272" t="s">
        <v>2473</v>
      </c>
      <c r="Q723" s="348">
        <v>1441</v>
      </c>
      <c r="R723" s="226">
        <v>0.1</v>
      </c>
      <c r="S723" s="67">
        <v>1296.9000000000001</v>
      </c>
      <c r="T723" s="93"/>
      <c r="U723" s="224">
        <v>4.17</v>
      </c>
      <c r="V723" s="288" t="s">
        <v>1099</v>
      </c>
      <c r="W723" s="89" t="s">
        <v>433</v>
      </c>
      <c r="X723" s="114" t="s">
        <v>1047</v>
      </c>
    </row>
    <row r="724" spans="1:24" s="1" customFormat="1">
      <c r="A724" s="263" t="s">
        <v>2474</v>
      </c>
      <c r="B724" s="248" t="s">
        <v>2475</v>
      </c>
      <c r="C724" s="249">
        <v>1</v>
      </c>
      <c r="D724" s="272" t="s">
        <v>2473</v>
      </c>
      <c r="E724" s="348">
        <v>609.89</v>
      </c>
      <c r="F724" s="226">
        <f t="shared" si="66"/>
        <v>0.1</v>
      </c>
      <c r="G724" s="67">
        <f t="shared" si="80"/>
        <v>548.90099999999995</v>
      </c>
      <c r="H724" s="93"/>
      <c r="I724" s="224">
        <v>2.5</v>
      </c>
      <c r="J724" s="288" t="s">
        <v>1099</v>
      </c>
      <c r="K724" s="89" t="s">
        <v>433</v>
      </c>
      <c r="L724" s="114" t="s">
        <v>1047</v>
      </c>
      <c r="M724" s="241" t="s">
        <v>2474</v>
      </c>
      <c r="N724" s="248" t="s">
        <v>2475</v>
      </c>
      <c r="O724" s="249">
        <v>1</v>
      </c>
      <c r="P724" s="272" t="s">
        <v>2473</v>
      </c>
      <c r="Q724" s="348">
        <v>609.89</v>
      </c>
      <c r="R724" s="226">
        <v>0.1</v>
      </c>
      <c r="S724" s="67">
        <v>548.90099999999995</v>
      </c>
      <c r="T724" s="93"/>
      <c r="U724" s="224">
        <v>2.5</v>
      </c>
      <c r="V724" s="288" t="s">
        <v>1099</v>
      </c>
      <c r="W724" s="89" t="s">
        <v>433</v>
      </c>
      <c r="X724" s="114" t="s">
        <v>1047</v>
      </c>
    </row>
    <row r="725" spans="1:24" s="1" customFormat="1">
      <c r="A725" s="263" t="s">
        <v>2476</v>
      </c>
      <c r="B725" s="248" t="s">
        <v>2477</v>
      </c>
      <c r="C725" s="249">
        <v>1</v>
      </c>
      <c r="D725" s="272" t="s">
        <v>2473</v>
      </c>
      <c r="E725" s="348">
        <v>1159.8900000000001</v>
      </c>
      <c r="F725" s="226">
        <f t="shared" si="66"/>
        <v>0.1</v>
      </c>
      <c r="G725" s="67">
        <f t="shared" ref="G725" si="81">E725-(E725*F725)</f>
        <v>1043.9010000000001</v>
      </c>
      <c r="H725" s="93"/>
      <c r="I725" s="224">
        <v>0</v>
      </c>
      <c r="J725" s="288" t="s">
        <v>1099</v>
      </c>
      <c r="K725" s="89" t="s">
        <v>433</v>
      </c>
      <c r="L725" s="114" t="s">
        <v>1047</v>
      </c>
      <c r="M725" s="241" t="s">
        <v>2476</v>
      </c>
      <c r="N725" s="248" t="s">
        <v>2477</v>
      </c>
      <c r="O725" s="249">
        <v>1</v>
      </c>
      <c r="P725" s="272" t="s">
        <v>2473</v>
      </c>
      <c r="Q725" s="348">
        <v>1159.8900000000001</v>
      </c>
      <c r="R725" s="226">
        <v>0.1</v>
      </c>
      <c r="S725" s="67">
        <v>1043.9010000000001</v>
      </c>
      <c r="T725" s="93"/>
      <c r="U725" s="224">
        <v>0</v>
      </c>
      <c r="V725" s="288" t="s">
        <v>1099</v>
      </c>
      <c r="W725" s="89" t="s">
        <v>433</v>
      </c>
      <c r="X725" s="114" t="s">
        <v>1047</v>
      </c>
    </row>
    <row r="726" spans="1:24" s="1" customFormat="1">
      <c r="A726" s="263" t="s">
        <v>2478</v>
      </c>
      <c r="B726" s="248" t="s">
        <v>2479</v>
      </c>
      <c r="C726" s="249">
        <v>1</v>
      </c>
      <c r="D726" s="272" t="s">
        <v>2473</v>
      </c>
      <c r="E726" s="348">
        <v>7332.11</v>
      </c>
      <c r="F726" s="226">
        <f t="shared" si="66"/>
        <v>0.1</v>
      </c>
      <c r="G726" s="67">
        <f t="shared" si="80"/>
        <v>6598.8989999999994</v>
      </c>
      <c r="H726" s="93"/>
      <c r="I726" s="224">
        <v>4.17</v>
      </c>
      <c r="J726" s="288" t="s">
        <v>1099</v>
      </c>
      <c r="K726" s="89" t="s">
        <v>433</v>
      </c>
      <c r="L726" s="114" t="s">
        <v>1047</v>
      </c>
      <c r="M726" s="241" t="s">
        <v>2478</v>
      </c>
      <c r="N726" s="248" t="s">
        <v>2479</v>
      </c>
      <c r="O726" s="249">
        <v>1</v>
      </c>
      <c r="P726" s="272" t="s">
        <v>2473</v>
      </c>
      <c r="Q726" s="348">
        <v>7332.11</v>
      </c>
      <c r="R726" s="226">
        <v>0.1</v>
      </c>
      <c r="S726" s="67">
        <v>6598.8989999999994</v>
      </c>
      <c r="T726" s="93"/>
      <c r="U726" s="224">
        <v>4.17</v>
      </c>
      <c r="V726" s="288" t="s">
        <v>1099</v>
      </c>
      <c r="W726" s="89" t="s">
        <v>433</v>
      </c>
      <c r="X726" s="114" t="s">
        <v>1047</v>
      </c>
    </row>
    <row r="727" spans="1:24" s="1" customFormat="1">
      <c r="A727" s="263" t="s">
        <v>2480</v>
      </c>
      <c r="B727" s="248" t="s">
        <v>2481</v>
      </c>
      <c r="C727" s="249">
        <v>1</v>
      </c>
      <c r="D727" s="272" t="s">
        <v>2473</v>
      </c>
      <c r="E727" s="348">
        <v>4887.67</v>
      </c>
      <c r="F727" s="226">
        <f t="shared" si="66"/>
        <v>0.1</v>
      </c>
      <c r="G727" s="67">
        <f t="shared" si="80"/>
        <v>4398.9030000000002</v>
      </c>
      <c r="H727" s="93"/>
      <c r="I727" s="224">
        <v>4.17</v>
      </c>
      <c r="J727" s="288" t="s">
        <v>1099</v>
      </c>
      <c r="K727" s="89" t="s">
        <v>433</v>
      </c>
      <c r="L727" s="114" t="s">
        <v>1047</v>
      </c>
      <c r="M727" s="241" t="s">
        <v>2480</v>
      </c>
      <c r="N727" s="248" t="s">
        <v>2481</v>
      </c>
      <c r="O727" s="249">
        <v>1</v>
      </c>
      <c r="P727" s="272" t="s">
        <v>2473</v>
      </c>
      <c r="Q727" s="348">
        <v>4887.67</v>
      </c>
      <c r="R727" s="226">
        <v>0.1</v>
      </c>
      <c r="S727" s="67">
        <v>4398.9030000000002</v>
      </c>
      <c r="T727" s="93"/>
      <c r="U727" s="224">
        <v>4.17</v>
      </c>
      <c r="V727" s="288" t="s">
        <v>1099</v>
      </c>
      <c r="W727" s="89" t="s">
        <v>433</v>
      </c>
      <c r="X727" s="114" t="s">
        <v>1047</v>
      </c>
    </row>
    <row r="728" spans="1:24" s="1" customFormat="1">
      <c r="A728" s="263" t="s">
        <v>2482</v>
      </c>
      <c r="B728" s="248" t="s">
        <v>2483</v>
      </c>
      <c r="C728" s="249">
        <v>1</v>
      </c>
      <c r="D728" s="272" t="s">
        <v>2473</v>
      </c>
      <c r="E728" s="348">
        <v>426.56</v>
      </c>
      <c r="F728" s="226">
        <f t="shared" si="66"/>
        <v>0.1</v>
      </c>
      <c r="G728" s="67">
        <f t="shared" si="80"/>
        <v>383.904</v>
      </c>
      <c r="H728" s="93"/>
      <c r="I728" s="224">
        <v>0.38</v>
      </c>
      <c r="J728" s="288" t="s">
        <v>1099</v>
      </c>
      <c r="K728" s="89" t="s">
        <v>433</v>
      </c>
      <c r="L728" s="114" t="s">
        <v>1047</v>
      </c>
      <c r="M728" s="241" t="s">
        <v>2482</v>
      </c>
      <c r="N728" s="248" t="s">
        <v>2483</v>
      </c>
      <c r="O728" s="249">
        <v>1</v>
      </c>
      <c r="P728" s="272" t="s">
        <v>2473</v>
      </c>
      <c r="Q728" s="348">
        <v>426.56</v>
      </c>
      <c r="R728" s="226">
        <v>0.1</v>
      </c>
      <c r="S728" s="67">
        <v>383.904</v>
      </c>
      <c r="T728" s="93"/>
      <c r="U728" s="224">
        <v>0.38</v>
      </c>
      <c r="V728" s="288" t="s">
        <v>1099</v>
      </c>
      <c r="W728" s="89" t="s">
        <v>433</v>
      </c>
      <c r="X728" s="114" t="s">
        <v>1047</v>
      </c>
    </row>
    <row r="729" spans="1:24" s="1" customFormat="1">
      <c r="A729" s="263" t="s">
        <v>2484</v>
      </c>
      <c r="B729" s="248" t="s">
        <v>2485</v>
      </c>
      <c r="C729" s="249">
        <v>1</v>
      </c>
      <c r="D729" s="272" t="s">
        <v>2473</v>
      </c>
      <c r="E729" s="348">
        <v>1404.33</v>
      </c>
      <c r="F729" s="226">
        <f t="shared" si="66"/>
        <v>0.1</v>
      </c>
      <c r="G729" s="67">
        <f t="shared" si="80"/>
        <v>1263.8969999999999</v>
      </c>
      <c r="H729" s="93"/>
      <c r="I729" s="224">
        <v>4.17</v>
      </c>
      <c r="J729" s="288" t="s">
        <v>1099</v>
      </c>
      <c r="K729" s="89" t="s">
        <v>433</v>
      </c>
      <c r="L729" s="114" t="s">
        <v>1047</v>
      </c>
      <c r="M729" s="241" t="s">
        <v>2484</v>
      </c>
      <c r="N729" s="248" t="s">
        <v>2485</v>
      </c>
      <c r="O729" s="249">
        <v>1</v>
      </c>
      <c r="P729" s="272" t="s">
        <v>2473</v>
      </c>
      <c r="Q729" s="348">
        <v>1404.33</v>
      </c>
      <c r="R729" s="226">
        <v>0.1</v>
      </c>
      <c r="S729" s="67">
        <v>1263.8969999999999</v>
      </c>
      <c r="T729" s="93"/>
      <c r="U729" s="224">
        <v>4.17</v>
      </c>
      <c r="V729" s="288" t="s">
        <v>1099</v>
      </c>
      <c r="W729" s="89" t="s">
        <v>433</v>
      </c>
      <c r="X729" s="114" t="s">
        <v>1047</v>
      </c>
    </row>
    <row r="730" spans="1:24" s="1" customFormat="1">
      <c r="A730" s="263" t="s">
        <v>2486</v>
      </c>
      <c r="B730" s="248" t="s">
        <v>2487</v>
      </c>
      <c r="C730" s="249">
        <v>1</v>
      </c>
      <c r="D730" s="272" t="s">
        <v>2473</v>
      </c>
      <c r="E730" s="348">
        <v>1001.92</v>
      </c>
      <c r="F730" s="226">
        <f t="shared" si="66"/>
        <v>0.1</v>
      </c>
      <c r="G730" s="67">
        <f t="shared" si="80"/>
        <v>901.72799999999995</v>
      </c>
      <c r="H730" s="93"/>
      <c r="I730" s="224">
        <v>1.67</v>
      </c>
      <c r="J730" s="288" t="s">
        <v>1099</v>
      </c>
      <c r="K730" s="89" t="s">
        <v>433</v>
      </c>
      <c r="L730" s="114" t="s">
        <v>1047</v>
      </c>
      <c r="M730" s="241" t="s">
        <v>2486</v>
      </c>
      <c r="N730" s="248" t="s">
        <v>2487</v>
      </c>
      <c r="O730" s="249">
        <v>1</v>
      </c>
      <c r="P730" s="272" t="s">
        <v>2473</v>
      </c>
      <c r="Q730" s="348">
        <v>1001.92</v>
      </c>
      <c r="R730" s="226">
        <v>0.1</v>
      </c>
      <c r="S730" s="67">
        <v>901.72799999999995</v>
      </c>
      <c r="T730" s="93"/>
      <c r="U730" s="224">
        <v>1.67</v>
      </c>
      <c r="V730" s="288" t="s">
        <v>1099</v>
      </c>
      <c r="W730" s="89" t="s">
        <v>433</v>
      </c>
      <c r="X730" s="114" t="s">
        <v>1047</v>
      </c>
    </row>
    <row r="731" spans="1:24" s="1" customFormat="1">
      <c r="A731" s="263" t="s">
        <v>2488</v>
      </c>
      <c r="B731" s="248" t="s">
        <v>2489</v>
      </c>
      <c r="C731" s="249">
        <v>1</v>
      </c>
      <c r="D731" s="272" t="s">
        <v>2473</v>
      </c>
      <c r="E731" s="348">
        <v>779</v>
      </c>
      <c r="F731" s="226">
        <f t="shared" si="66"/>
        <v>0.1</v>
      </c>
      <c r="G731" s="67">
        <f t="shared" si="80"/>
        <v>701.1</v>
      </c>
      <c r="H731" s="93"/>
      <c r="I731" s="224">
        <v>4.17</v>
      </c>
      <c r="J731" s="288" t="s">
        <v>1099</v>
      </c>
      <c r="K731" s="89" t="s">
        <v>433</v>
      </c>
      <c r="L731" s="114" t="s">
        <v>1047</v>
      </c>
      <c r="M731" s="241" t="s">
        <v>2488</v>
      </c>
      <c r="N731" s="248" t="s">
        <v>2489</v>
      </c>
      <c r="O731" s="249">
        <v>1</v>
      </c>
      <c r="P731" s="272" t="s">
        <v>2473</v>
      </c>
      <c r="Q731" s="348">
        <v>779</v>
      </c>
      <c r="R731" s="226">
        <v>0.1</v>
      </c>
      <c r="S731" s="67">
        <v>701.1</v>
      </c>
      <c r="T731" s="93"/>
      <c r="U731" s="224">
        <v>4.17</v>
      </c>
      <c r="V731" s="288" t="s">
        <v>1099</v>
      </c>
      <c r="W731" s="89" t="s">
        <v>433</v>
      </c>
      <c r="X731" s="114" t="s">
        <v>1047</v>
      </c>
    </row>
    <row r="732" spans="1:24" s="1" customFormat="1">
      <c r="A732" s="263" t="s">
        <v>2490</v>
      </c>
      <c r="B732" s="248" t="s">
        <v>2491</v>
      </c>
      <c r="C732" s="249">
        <v>1</v>
      </c>
      <c r="D732" s="272" t="s">
        <v>2473</v>
      </c>
      <c r="E732" s="348">
        <v>1449</v>
      </c>
      <c r="F732" s="226">
        <f t="shared" si="66"/>
        <v>0.1</v>
      </c>
      <c r="G732" s="67">
        <f t="shared" si="80"/>
        <v>1304.0999999999999</v>
      </c>
      <c r="H732" s="93"/>
      <c r="I732" s="224">
        <v>4.17</v>
      </c>
      <c r="J732" s="288" t="s">
        <v>1099</v>
      </c>
      <c r="K732" s="89" t="s">
        <v>433</v>
      </c>
      <c r="L732" s="114" t="s">
        <v>1047</v>
      </c>
      <c r="M732" s="241" t="s">
        <v>2490</v>
      </c>
      <c r="N732" s="248" t="s">
        <v>2491</v>
      </c>
      <c r="O732" s="249">
        <v>1</v>
      </c>
      <c r="P732" s="272" t="s">
        <v>2473</v>
      </c>
      <c r="Q732" s="348">
        <v>1449</v>
      </c>
      <c r="R732" s="226">
        <v>0.1</v>
      </c>
      <c r="S732" s="67">
        <v>1304.0999999999999</v>
      </c>
      <c r="T732" s="93"/>
      <c r="U732" s="224">
        <v>4.17</v>
      </c>
      <c r="V732" s="288" t="s">
        <v>1099</v>
      </c>
      <c r="W732" s="89" t="s">
        <v>433</v>
      </c>
      <c r="X732" s="114" t="s">
        <v>1047</v>
      </c>
    </row>
    <row r="733" spans="1:24" s="1" customFormat="1">
      <c r="A733" s="263" t="s">
        <v>2492</v>
      </c>
      <c r="B733" s="248" t="s">
        <v>2493</v>
      </c>
      <c r="C733" s="249">
        <v>1</v>
      </c>
      <c r="D733" s="272" t="s">
        <v>2473</v>
      </c>
      <c r="E733" s="348">
        <v>1699</v>
      </c>
      <c r="F733" s="226">
        <f t="shared" si="66"/>
        <v>0.1</v>
      </c>
      <c r="G733" s="67">
        <f t="shared" si="80"/>
        <v>1529.1</v>
      </c>
      <c r="H733" s="93"/>
      <c r="I733" s="224">
        <v>4.17</v>
      </c>
      <c r="J733" s="288" t="s">
        <v>1099</v>
      </c>
      <c r="K733" s="89" t="s">
        <v>433</v>
      </c>
      <c r="L733" s="114" t="s">
        <v>1047</v>
      </c>
      <c r="M733" s="241" t="s">
        <v>2492</v>
      </c>
      <c r="N733" s="248" t="s">
        <v>2493</v>
      </c>
      <c r="O733" s="249">
        <v>1</v>
      </c>
      <c r="P733" s="272" t="s">
        <v>2473</v>
      </c>
      <c r="Q733" s="348">
        <v>1699</v>
      </c>
      <c r="R733" s="226">
        <v>0.1</v>
      </c>
      <c r="S733" s="67">
        <v>1529.1</v>
      </c>
      <c r="T733" s="93"/>
      <c r="U733" s="224">
        <v>4.17</v>
      </c>
      <c r="V733" s="288" t="s">
        <v>1099</v>
      </c>
      <c r="W733" s="89" t="s">
        <v>433</v>
      </c>
      <c r="X733" s="114" t="s">
        <v>1047</v>
      </c>
    </row>
    <row r="734" spans="1:24" s="1" customFormat="1">
      <c r="A734" s="263" t="s">
        <v>2494</v>
      </c>
      <c r="B734" s="248" t="s">
        <v>2495</v>
      </c>
      <c r="C734" s="249">
        <v>1</v>
      </c>
      <c r="D734" s="272" t="s">
        <v>2473</v>
      </c>
      <c r="E734" s="348">
        <v>1999</v>
      </c>
      <c r="F734" s="226">
        <f t="shared" si="66"/>
        <v>0.1</v>
      </c>
      <c r="G734" s="67">
        <f t="shared" si="80"/>
        <v>1799.1</v>
      </c>
      <c r="H734" s="93"/>
      <c r="I734" s="224">
        <v>4.17</v>
      </c>
      <c r="J734" s="288" t="s">
        <v>1099</v>
      </c>
      <c r="K734" s="89" t="s">
        <v>433</v>
      </c>
      <c r="L734" s="114" t="s">
        <v>1047</v>
      </c>
      <c r="M734" s="241" t="s">
        <v>2494</v>
      </c>
      <c r="N734" s="248" t="s">
        <v>2495</v>
      </c>
      <c r="O734" s="249">
        <v>1</v>
      </c>
      <c r="P734" s="272" t="s">
        <v>2473</v>
      </c>
      <c r="Q734" s="348">
        <v>1999</v>
      </c>
      <c r="R734" s="226">
        <v>0.1</v>
      </c>
      <c r="S734" s="67">
        <v>1799.1</v>
      </c>
      <c r="T734" s="93"/>
      <c r="U734" s="224">
        <v>4.17</v>
      </c>
      <c r="V734" s="288" t="s">
        <v>1099</v>
      </c>
      <c r="W734" s="89" t="s">
        <v>433</v>
      </c>
      <c r="X734" s="114" t="s">
        <v>1047</v>
      </c>
    </row>
    <row r="735" spans="1:24" s="1" customFormat="1">
      <c r="A735" s="263" t="s">
        <v>2496</v>
      </c>
      <c r="B735" s="248" t="s">
        <v>2497</v>
      </c>
      <c r="C735" s="249">
        <v>1</v>
      </c>
      <c r="D735" s="272" t="s">
        <v>2473</v>
      </c>
      <c r="E735" s="348">
        <v>29</v>
      </c>
      <c r="F735" s="226">
        <f t="shared" si="66"/>
        <v>0.1</v>
      </c>
      <c r="G735" s="67">
        <f t="shared" si="80"/>
        <v>26.1</v>
      </c>
      <c r="H735" s="93"/>
      <c r="I735" s="224">
        <v>0</v>
      </c>
      <c r="J735" s="288" t="s">
        <v>1099</v>
      </c>
      <c r="K735" s="89" t="s">
        <v>433</v>
      </c>
      <c r="L735" s="114" t="s">
        <v>1047</v>
      </c>
      <c r="M735" s="241" t="s">
        <v>2496</v>
      </c>
      <c r="N735" s="248" t="s">
        <v>2497</v>
      </c>
      <c r="O735" s="249">
        <v>1</v>
      </c>
      <c r="P735" s="272" t="s">
        <v>2473</v>
      </c>
      <c r="Q735" s="348">
        <v>29</v>
      </c>
      <c r="R735" s="226">
        <v>0.1</v>
      </c>
      <c r="S735" s="67">
        <v>26.1</v>
      </c>
      <c r="T735" s="93"/>
      <c r="U735" s="224">
        <v>0</v>
      </c>
      <c r="V735" s="288" t="s">
        <v>1099</v>
      </c>
      <c r="W735" s="89" t="s">
        <v>433</v>
      </c>
      <c r="X735" s="114" t="s">
        <v>1047</v>
      </c>
    </row>
    <row r="736" spans="1:24" s="1" customFormat="1">
      <c r="A736" s="263" t="s">
        <v>2498</v>
      </c>
      <c r="B736" s="248" t="s">
        <v>2499</v>
      </c>
      <c r="C736" s="249">
        <v>1</v>
      </c>
      <c r="D736" s="272" t="s">
        <v>2473</v>
      </c>
      <c r="E736" s="348">
        <v>39.99</v>
      </c>
      <c r="F736" s="226">
        <f t="shared" si="66"/>
        <v>0.1</v>
      </c>
      <c r="G736" s="67">
        <f t="shared" si="80"/>
        <v>35.991</v>
      </c>
      <c r="H736" s="93"/>
      <c r="I736" s="224">
        <v>0</v>
      </c>
      <c r="J736" s="288" t="s">
        <v>1099</v>
      </c>
      <c r="K736" s="89" t="s">
        <v>433</v>
      </c>
      <c r="L736" s="114" t="s">
        <v>1047</v>
      </c>
      <c r="M736" s="241" t="s">
        <v>2498</v>
      </c>
      <c r="N736" s="248" t="s">
        <v>2499</v>
      </c>
      <c r="O736" s="249">
        <v>1</v>
      </c>
      <c r="P736" s="272" t="s">
        <v>2473</v>
      </c>
      <c r="Q736" s="348">
        <v>39.99</v>
      </c>
      <c r="R736" s="226">
        <v>0.1</v>
      </c>
      <c r="S736" s="67">
        <v>35.991</v>
      </c>
      <c r="T736" s="93"/>
      <c r="U736" s="224">
        <v>0</v>
      </c>
      <c r="V736" s="288" t="s">
        <v>1099</v>
      </c>
      <c r="W736" s="89" t="s">
        <v>433</v>
      </c>
      <c r="X736" s="114" t="s">
        <v>1047</v>
      </c>
    </row>
    <row r="737" spans="1:24" s="1" customFormat="1">
      <c r="A737" s="263" t="s">
        <v>2500</v>
      </c>
      <c r="B737" s="248" t="s">
        <v>2501</v>
      </c>
      <c r="C737" s="249">
        <v>1</v>
      </c>
      <c r="D737" s="272" t="s">
        <v>2473</v>
      </c>
      <c r="E737" s="348">
        <v>52.79</v>
      </c>
      <c r="F737" s="226">
        <f t="shared" si="66"/>
        <v>0.1</v>
      </c>
      <c r="G737" s="67">
        <f t="shared" si="80"/>
        <v>47.510999999999996</v>
      </c>
      <c r="H737" s="93"/>
      <c r="I737" s="224">
        <v>0</v>
      </c>
      <c r="J737" s="288" t="s">
        <v>1099</v>
      </c>
      <c r="K737" s="89" t="s">
        <v>433</v>
      </c>
      <c r="L737" s="114" t="s">
        <v>1047</v>
      </c>
      <c r="M737" s="241" t="s">
        <v>2500</v>
      </c>
      <c r="N737" s="248" t="s">
        <v>2501</v>
      </c>
      <c r="O737" s="249">
        <v>1</v>
      </c>
      <c r="P737" s="272" t="s">
        <v>2473</v>
      </c>
      <c r="Q737" s="348">
        <v>52.79</v>
      </c>
      <c r="R737" s="226">
        <v>0.1</v>
      </c>
      <c r="S737" s="67">
        <v>47.510999999999996</v>
      </c>
      <c r="T737" s="93"/>
      <c r="U737" s="224">
        <v>0</v>
      </c>
      <c r="V737" s="288" t="s">
        <v>1099</v>
      </c>
      <c r="W737" s="89" t="s">
        <v>433</v>
      </c>
      <c r="X737" s="114" t="s">
        <v>1047</v>
      </c>
    </row>
    <row r="738" spans="1:24" s="1" customFormat="1">
      <c r="A738" s="678" t="s">
        <v>2502</v>
      </c>
      <c r="B738" s="473" t="s">
        <v>2503</v>
      </c>
      <c r="C738" s="253">
        <v>1</v>
      </c>
      <c r="D738" s="274" t="s">
        <v>2473</v>
      </c>
      <c r="E738" s="349">
        <v>79.37</v>
      </c>
      <c r="F738" s="251">
        <f t="shared" si="66"/>
        <v>0.1</v>
      </c>
      <c r="G738" s="99">
        <f t="shared" si="80"/>
        <v>71.433000000000007</v>
      </c>
      <c r="H738" s="254"/>
      <c r="I738" s="247">
        <v>0</v>
      </c>
      <c r="J738" s="288" t="s">
        <v>1099</v>
      </c>
      <c r="K738" s="89" t="s">
        <v>433</v>
      </c>
      <c r="L738" s="114" t="s">
        <v>1047</v>
      </c>
      <c r="M738" s="266" t="s">
        <v>2502</v>
      </c>
      <c r="N738" s="473" t="s">
        <v>2503</v>
      </c>
      <c r="O738" s="253">
        <v>1</v>
      </c>
      <c r="P738" s="274" t="s">
        <v>2473</v>
      </c>
      <c r="Q738" s="349">
        <v>79.37</v>
      </c>
      <c r="R738" s="251">
        <v>0.1</v>
      </c>
      <c r="S738" s="99">
        <v>71.433000000000007</v>
      </c>
      <c r="T738" s="254"/>
      <c r="U738" s="247">
        <v>0</v>
      </c>
      <c r="V738" s="288" t="s">
        <v>1099</v>
      </c>
      <c r="W738" s="89" t="s">
        <v>433</v>
      </c>
      <c r="X738" s="114" t="s">
        <v>1047</v>
      </c>
    </row>
    <row r="739" spans="1:24" s="1" customFormat="1">
      <c r="A739" s="263" t="s">
        <v>2504</v>
      </c>
      <c r="B739" s="248" t="s">
        <v>2505</v>
      </c>
      <c r="C739" s="249">
        <v>1</v>
      </c>
      <c r="D739" s="272" t="s">
        <v>2506</v>
      </c>
      <c r="E739" s="348">
        <v>1500</v>
      </c>
      <c r="F739" s="226">
        <f t="shared" si="66"/>
        <v>0.1</v>
      </c>
      <c r="G739" s="67">
        <f t="shared" si="80"/>
        <v>1350</v>
      </c>
      <c r="H739" s="93"/>
      <c r="I739" s="224">
        <v>0</v>
      </c>
      <c r="J739" s="288" t="s">
        <v>1099</v>
      </c>
      <c r="K739" s="89" t="s">
        <v>433</v>
      </c>
      <c r="L739" s="114" t="s">
        <v>1047</v>
      </c>
      <c r="M739" s="241" t="s">
        <v>2504</v>
      </c>
      <c r="N739" s="248" t="s">
        <v>2505</v>
      </c>
      <c r="O739" s="249">
        <v>1</v>
      </c>
      <c r="P739" s="272" t="s">
        <v>2506</v>
      </c>
      <c r="Q739" s="348">
        <v>1500</v>
      </c>
      <c r="R739" s="226">
        <v>0.1</v>
      </c>
      <c r="S739" s="67">
        <v>1350</v>
      </c>
      <c r="T739" s="93"/>
      <c r="U739" s="224">
        <v>0</v>
      </c>
      <c r="V739" s="288" t="s">
        <v>1099</v>
      </c>
      <c r="W739" s="89" t="s">
        <v>433</v>
      </c>
      <c r="X739" s="114" t="s">
        <v>1047</v>
      </c>
    </row>
    <row r="740" spans="1:24" s="75" customFormat="1">
      <c r="A740" s="263" t="s">
        <v>2507</v>
      </c>
      <c r="B740" s="248" t="s">
        <v>2508</v>
      </c>
      <c r="C740" s="249">
        <v>1</v>
      </c>
      <c r="D740" s="272" t="s">
        <v>2506</v>
      </c>
      <c r="E740" s="348">
        <v>1740</v>
      </c>
      <c r="F740" s="226">
        <f t="shared" si="66"/>
        <v>0.1</v>
      </c>
      <c r="G740" s="67">
        <f t="shared" si="80"/>
        <v>1566</v>
      </c>
      <c r="H740" s="93"/>
      <c r="I740" s="224">
        <v>0</v>
      </c>
      <c r="J740" s="288" t="s">
        <v>1099</v>
      </c>
      <c r="K740" s="89" t="s">
        <v>433</v>
      </c>
      <c r="L740" s="114" t="s">
        <v>1047</v>
      </c>
      <c r="M740" s="241" t="s">
        <v>2507</v>
      </c>
      <c r="N740" s="248" t="s">
        <v>2508</v>
      </c>
      <c r="O740" s="249">
        <v>1</v>
      </c>
      <c r="P740" s="272" t="s">
        <v>2506</v>
      </c>
      <c r="Q740" s="348">
        <v>1740</v>
      </c>
      <c r="R740" s="226">
        <v>0.1</v>
      </c>
      <c r="S740" s="67">
        <v>1566</v>
      </c>
      <c r="T740" s="93"/>
      <c r="U740" s="224">
        <v>0</v>
      </c>
      <c r="V740" s="288" t="s">
        <v>1099</v>
      </c>
      <c r="W740" s="89" t="s">
        <v>433</v>
      </c>
      <c r="X740" s="114" t="s">
        <v>1047</v>
      </c>
    </row>
    <row r="741" spans="1:24" s="1" customFormat="1">
      <c r="A741" s="263" t="s">
        <v>2509</v>
      </c>
      <c r="B741" s="248" t="s">
        <v>2510</v>
      </c>
      <c r="C741" s="249">
        <v>1</v>
      </c>
      <c r="D741" s="272" t="s">
        <v>2506</v>
      </c>
      <c r="E741" s="348">
        <v>2040</v>
      </c>
      <c r="F741" s="226">
        <f t="shared" si="66"/>
        <v>0.1</v>
      </c>
      <c r="G741" s="67">
        <f t="shared" si="80"/>
        <v>1836</v>
      </c>
      <c r="H741" s="93"/>
      <c r="I741" s="224">
        <v>0</v>
      </c>
      <c r="J741" s="288" t="s">
        <v>1099</v>
      </c>
      <c r="K741" s="89" t="s">
        <v>433</v>
      </c>
      <c r="L741" s="114" t="s">
        <v>1047</v>
      </c>
      <c r="M741" s="241" t="s">
        <v>2509</v>
      </c>
      <c r="N741" s="248" t="s">
        <v>2510</v>
      </c>
      <c r="O741" s="249">
        <v>1</v>
      </c>
      <c r="P741" s="272" t="s">
        <v>2506</v>
      </c>
      <c r="Q741" s="348">
        <v>2040</v>
      </c>
      <c r="R741" s="226">
        <v>0.1</v>
      </c>
      <c r="S741" s="67">
        <v>1836</v>
      </c>
      <c r="T741" s="93"/>
      <c r="U741" s="224">
        <v>0</v>
      </c>
      <c r="V741" s="288" t="s">
        <v>1099</v>
      </c>
      <c r="W741" s="89" t="s">
        <v>433</v>
      </c>
      <c r="X741" s="114" t="s">
        <v>1047</v>
      </c>
    </row>
    <row r="742" spans="1:24" s="1" customFormat="1">
      <c r="A742" s="263" t="s">
        <v>2511</v>
      </c>
      <c r="B742" s="248" t="s">
        <v>2512</v>
      </c>
      <c r="C742" s="249">
        <v>1</v>
      </c>
      <c r="D742" s="272" t="s">
        <v>2513</v>
      </c>
      <c r="E742" s="348">
        <v>933.25</v>
      </c>
      <c r="F742" s="226">
        <f t="shared" si="66"/>
        <v>0.1</v>
      </c>
      <c r="G742" s="67">
        <f t="shared" si="80"/>
        <v>839.92499999999995</v>
      </c>
      <c r="H742" s="93"/>
      <c r="I742" s="224">
        <v>0</v>
      </c>
      <c r="J742" s="288" t="s">
        <v>1099</v>
      </c>
      <c r="K742" s="89" t="s">
        <v>433</v>
      </c>
      <c r="L742" s="114" t="s">
        <v>1047</v>
      </c>
      <c r="M742" s="241" t="s">
        <v>2511</v>
      </c>
      <c r="N742" s="248" t="s">
        <v>2512</v>
      </c>
      <c r="O742" s="249">
        <v>1</v>
      </c>
      <c r="P742" s="272" t="s">
        <v>2513</v>
      </c>
      <c r="Q742" s="348">
        <v>933.25</v>
      </c>
      <c r="R742" s="226">
        <v>0.1</v>
      </c>
      <c r="S742" s="67">
        <v>839.92499999999995</v>
      </c>
      <c r="T742" s="93"/>
      <c r="U742" s="224">
        <v>0</v>
      </c>
      <c r="V742" s="288" t="s">
        <v>1099</v>
      </c>
      <c r="W742" s="89" t="s">
        <v>433</v>
      </c>
      <c r="X742" s="114" t="s">
        <v>1047</v>
      </c>
    </row>
    <row r="743" spans="1:24" s="1" customFormat="1">
      <c r="A743" s="263" t="s">
        <v>2514</v>
      </c>
      <c r="B743" s="248" t="s">
        <v>2515</v>
      </c>
      <c r="C743" s="249">
        <v>1</v>
      </c>
      <c r="D743" s="272" t="s">
        <v>2513</v>
      </c>
      <c r="E743" s="348">
        <v>57.14</v>
      </c>
      <c r="F743" s="226">
        <f t="shared" si="66"/>
        <v>0.1</v>
      </c>
      <c r="G743" s="67">
        <f t="shared" si="80"/>
        <v>51.426000000000002</v>
      </c>
      <c r="H743" s="93"/>
      <c r="I743" s="224">
        <v>0</v>
      </c>
      <c r="J743" s="288" t="s">
        <v>1099</v>
      </c>
      <c r="K743" s="89" t="s">
        <v>433</v>
      </c>
      <c r="L743" s="114" t="s">
        <v>1047</v>
      </c>
      <c r="M743" s="241" t="s">
        <v>2514</v>
      </c>
      <c r="N743" s="248" t="s">
        <v>2515</v>
      </c>
      <c r="O743" s="249">
        <v>1</v>
      </c>
      <c r="P743" s="272" t="s">
        <v>2513</v>
      </c>
      <c r="Q743" s="348">
        <v>57.14</v>
      </c>
      <c r="R743" s="226">
        <v>0.1</v>
      </c>
      <c r="S743" s="67">
        <v>51.426000000000002</v>
      </c>
      <c r="T743" s="93"/>
      <c r="U743" s="224">
        <v>0</v>
      </c>
      <c r="V743" s="288" t="s">
        <v>1099</v>
      </c>
      <c r="W743" s="89" t="s">
        <v>433</v>
      </c>
      <c r="X743" s="114" t="s">
        <v>1047</v>
      </c>
    </row>
    <row r="744" spans="1:24" s="1" customFormat="1">
      <c r="A744" s="263" t="s">
        <v>2516</v>
      </c>
      <c r="B744" s="248" t="s">
        <v>2517</v>
      </c>
      <c r="C744" s="249">
        <v>1</v>
      </c>
      <c r="D744" s="272" t="s">
        <v>2513</v>
      </c>
      <c r="E744" s="348">
        <v>46.19</v>
      </c>
      <c r="F744" s="226">
        <f t="shared" si="66"/>
        <v>0.1</v>
      </c>
      <c r="G744" s="67">
        <f t="shared" si="80"/>
        <v>41.570999999999998</v>
      </c>
      <c r="H744" s="93"/>
      <c r="I744" s="224">
        <v>0</v>
      </c>
      <c r="J744" s="288" t="s">
        <v>1099</v>
      </c>
      <c r="K744" s="89" t="s">
        <v>433</v>
      </c>
      <c r="L744" s="114" t="s">
        <v>1047</v>
      </c>
      <c r="M744" s="241" t="s">
        <v>2516</v>
      </c>
      <c r="N744" s="248" t="s">
        <v>2517</v>
      </c>
      <c r="O744" s="249">
        <v>1</v>
      </c>
      <c r="P744" s="272" t="s">
        <v>2513</v>
      </c>
      <c r="Q744" s="348">
        <v>46.19</v>
      </c>
      <c r="R744" s="226">
        <v>0.1</v>
      </c>
      <c r="S744" s="67">
        <v>41.570999999999998</v>
      </c>
      <c r="T744" s="93"/>
      <c r="U744" s="224">
        <v>0</v>
      </c>
      <c r="V744" s="288" t="s">
        <v>1099</v>
      </c>
      <c r="W744" s="89" t="s">
        <v>433</v>
      </c>
      <c r="X744" s="114" t="s">
        <v>1047</v>
      </c>
    </row>
    <row r="745" spans="1:24" s="1" customFormat="1">
      <c r="A745" s="263" t="s">
        <v>2518</v>
      </c>
      <c r="B745" s="248" t="s">
        <v>2519</v>
      </c>
      <c r="C745" s="249">
        <v>1</v>
      </c>
      <c r="D745" s="272" t="s">
        <v>2513</v>
      </c>
      <c r="E745" s="348">
        <v>30.16</v>
      </c>
      <c r="F745" s="226">
        <f t="shared" si="66"/>
        <v>0.1</v>
      </c>
      <c r="G745" s="67">
        <f t="shared" si="80"/>
        <v>27.143999999999998</v>
      </c>
      <c r="H745" s="93"/>
      <c r="I745" s="224">
        <v>0</v>
      </c>
      <c r="J745" s="288" t="s">
        <v>1099</v>
      </c>
      <c r="K745" s="89" t="s">
        <v>433</v>
      </c>
      <c r="L745" s="114" t="s">
        <v>1047</v>
      </c>
      <c r="M745" s="241" t="s">
        <v>2518</v>
      </c>
      <c r="N745" s="248" t="s">
        <v>2519</v>
      </c>
      <c r="O745" s="249">
        <v>1</v>
      </c>
      <c r="P745" s="272" t="s">
        <v>2513</v>
      </c>
      <c r="Q745" s="348">
        <v>30.16</v>
      </c>
      <c r="R745" s="226">
        <v>0.1</v>
      </c>
      <c r="S745" s="67">
        <v>27.143999999999998</v>
      </c>
      <c r="T745" s="93"/>
      <c r="U745" s="224">
        <v>0</v>
      </c>
      <c r="V745" s="288" t="s">
        <v>1099</v>
      </c>
      <c r="W745" s="89" t="s">
        <v>433</v>
      </c>
      <c r="X745" s="114" t="s">
        <v>1047</v>
      </c>
    </row>
    <row r="746" spans="1:24" s="1" customFormat="1">
      <c r="A746" s="263" t="s">
        <v>2520</v>
      </c>
      <c r="B746" s="248" t="s">
        <v>2521</v>
      </c>
      <c r="C746" s="249">
        <v>1</v>
      </c>
      <c r="D746" s="272" t="s">
        <v>2513</v>
      </c>
      <c r="E746" s="348">
        <v>626.19000000000005</v>
      </c>
      <c r="F746" s="226">
        <f t="shared" si="66"/>
        <v>0.1</v>
      </c>
      <c r="G746" s="67">
        <f t="shared" si="80"/>
        <v>563.57100000000003</v>
      </c>
      <c r="H746" s="93"/>
      <c r="I746" s="224">
        <v>3.62</v>
      </c>
      <c r="J746" s="288" t="s">
        <v>1099</v>
      </c>
      <c r="K746" s="89" t="s">
        <v>433</v>
      </c>
      <c r="L746" s="114" t="s">
        <v>1047</v>
      </c>
      <c r="M746" s="241" t="s">
        <v>2520</v>
      </c>
      <c r="N746" s="248" t="s">
        <v>2521</v>
      </c>
      <c r="O746" s="249">
        <v>1</v>
      </c>
      <c r="P746" s="272" t="s">
        <v>2513</v>
      </c>
      <c r="Q746" s="348">
        <v>626.19000000000005</v>
      </c>
      <c r="R746" s="226">
        <v>0.1</v>
      </c>
      <c r="S746" s="67">
        <v>563.57100000000003</v>
      </c>
      <c r="T746" s="93"/>
      <c r="U746" s="224">
        <v>3.62</v>
      </c>
      <c r="V746" s="288" t="s">
        <v>1099</v>
      </c>
      <c r="W746" s="89" t="s">
        <v>433</v>
      </c>
      <c r="X746" s="114" t="s">
        <v>1047</v>
      </c>
    </row>
    <row r="747" spans="1:24" s="1" customFormat="1">
      <c r="A747" s="263" t="s">
        <v>2522</v>
      </c>
      <c r="B747" s="248" t="s">
        <v>2523</v>
      </c>
      <c r="C747" s="249">
        <v>1</v>
      </c>
      <c r="D747" s="272" t="s">
        <v>2513</v>
      </c>
      <c r="E747" s="348">
        <v>72.22</v>
      </c>
      <c r="F747" s="226">
        <f t="shared" si="66"/>
        <v>0.1</v>
      </c>
      <c r="G747" s="67">
        <f t="shared" si="80"/>
        <v>64.998000000000005</v>
      </c>
      <c r="H747" s="93"/>
      <c r="I747" s="224">
        <v>0</v>
      </c>
      <c r="J747" s="288" t="s">
        <v>1099</v>
      </c>
      <c r="K747" s="89" t="s">
        <v>433</v>
      </c>
      <c r="L747" s="114" t="s">
        <v>1047</v>
      </c>
      <c r="M747" s="241" t="s">
        <v>2522</v>
      </c>
      <c r="N747" s="248" t="s">
        <v>2523</v>
      </c>
      <c r="O747" s="249">
        <v>1</v>
      </c>
      <c r="P747" s="272" t="s">
        <v>2513</v>
      </c>
      <c r="Q747" s="348">
        <v>72.22</v>
      </c>
      <c r="R747" s="226">
        <v>0.1</v>
      </c>
      <c r="S747" s="67">
        <v>64.998000000000005</v>
      </c>
      <c r="T747" s="93"/>
      <c r="U747" s="224">
        <v>0</v>
      </c>
      <c r="V747" s="288" t="s">
        <v>1099</v>
      </c>
      <c r="W747" s="89" t="s">
        <v>433</v>
      </c>
      <c r="X747" s="114" t="s">
        <v>1047</v>
      </c>
    </row>
    <row r="748" spans="1:24" s="1" customFormat="1">
      <c r="A748" s="263" t="s">
        <v>2524</v>
      </c>
      <c r="B748" s="248" t="s">
        <v>2525</v>
      </c>
      <c r="C748" s="249">
        <v>1</v>
      </c>
      <c r="D748" s="272" t="s">
        <v>2513</v>
      </c>
      <c r="E748" s="348">
        <v>3.17</v>
      </c>
      <c r="F748" s="226">
        <f t="shared" si="66"/>
        <v>0.1</v>
      </c>
      <c r="G748" s="67">
        <f t="shared" si="80"/>
        <v>2.8529999999999998</v>
      </c>
      <c r="H748" s="93"/>
      <c r="I748" s="224">
        <v>0</v>
      </c>
      <c r="J748" s="288" t="s">
        <v>1099</v>
      </c>
      <c r="K748" s="89" t="s">
        <v>433</v>
      </c>
      <c r="L748" s="114" t="s">
        <v>1047</v>
      </c>
      <c r="M748" s="241" t="s">
        <v>2524</v>
      </c>
      <c r="N748" s="248" t="s">
        <v>2525</v>
      </c>
      <c r="O748" s="249">
        <v>1</v>
      </c>
      <c r="P748" s="272" t="s">
        <v>2513</v>
      </c>
      <c r="Q748" s="348">
        <v>3.17</v>
      </c>
      <c r="R748" s="226">
        <v>0.1</v>
      </c>
      <c r="S748" s="67">
        <v>2.8529999999999998</v>
      </c>
      <c r="T748" s="93"/>
      <c r="U748" s="224">
        <v>0</v>
      </c>
      <c r="V748" s="288" t="s">
        <v>1099</v>
      </c>
      <c r="W748" s="89" t="s">
        <v>433</v>
      </c>
      <c r="X748" s="114" t="s">
        <v>1047</v>
      </c>
    </row>
    <row r="749" spans="1:24" s="1" customFormat="1">
      <c r="A749" s="263" t="s">
        <v>2526</v>
      </c>
      <c r="B749" s="248" t="s">
        <v>2527</v>
      </c>
      <c r="C749" s="249">
        <v>1</v>
      </c>
      <c r="D749" s="272" t="s">
        <v>2513</v>
      </c>
      <c r="E749" s="348">
        <v>857.94</v>
      </c>
      <c r="F749" s="226">
        <f t="shared" si="66"/>
        <v>0.1</v>
      </c>
      <c r="G749" s="67">
        <f t="shared" si="80"/>
        <v>772.14600000000007</v>
      </c>
      <c r="H749" s="93"/>
      <c r="I749" s="224">
        <v>0</v>
      </c>
      <c r="J749" s="288" t="s">
        <v>1099</v>
      </c>
      <c r="K749" s="89" t="s">
        <v>433</v>
      </c>
      <c r="L749" s="114" t="s">
        <v>1047</v>
      </c>
      <c r="M749" s="241" t="s">
        <v>2526</v>
      </c>
      <c r="N749" s="248" t="s">
        <v>2527</v>
      </c>
      <c r="O749" s="249">
        <v>1</v>
      </c>
      <c r="P749" s="272" t="s">
        <v>2513</v>
      </c>
      <c r="Q749" s="348">
        <v>857.94</v>
      </c>
      <c r="R749" s="226">
        <v>0.1</v>
      </c>
      <c r="S749" s="67">
        <v>772.14600000000007</v>
      </c>
      <c r="T749" s="93"/>
      <c r="U749" s="224">
        <v>0</v>
      </c>
      <c r="V749" s="288" t="s">
        <v>1099</v>
      </c>
      <c r="W749" s="89" t="s">
        <v>433</v>
      </c>
      <c r="X749" s="114" t="s">
        <v>1047</v>
      </c>
    </row>
    <row r="750" spans="1:24" s="1" customFormat="1">
      <c r="A750" s="263" t="s">
        <v>2528</v>
      </c>
      <c r="B750" s="248" t="s">
        <v>2529</v>
      </c>
      <c r="C750" s="249">
        <v>1</v>
      </c>
      <c r="D750" s="272" t="s">
        <v>2513</v>
      </c>
      <c r="E750" s="348">
        <v>36.11</v>
      </c>
      <c r="F750" s="226">
        <f t="shared" si="66"/>
        <v>0.1</v>
      </c>
      <c r="G750" s="67">
        <f t="shared" si="80"/>
        <v>32.499000000000002</v>
      </c>
      <c r="H750" s="93"/>
      <c r="I750" s="224">
        <v>0</v>
      </c>
      <c r="J750" s="288" t="s">
        <v>1099</v>
      </c>
      <c r="K750" s="89" t="s">
        <v>433</v>
      </c>
      <c r="L750" s="114" t="s">
        <v>1047</v>
      </c>
      <c r="M750" s="241" t="s">
        <v>2528</v>
      </c>
      <c r="N750" s="248" t="s">
        <v>2529</v>
      </c>
      <c r="O750" s="249">
        <v>1</v>
      </c>
      <c r="P750" s="272" t="s">
        <v>2513</v>
      </c>
      <c r="Q750" s="348">
        <v>36.11</v>
      </c>
      <c r="R750" s="226">
        <v>0.1</v>
      </c>
      <c r="S750" s="67">
        <v>32.499000000000002</v>
      </c>
      <c r="T750" s="93"/>
      <c r="U750" s="224">
        <v>0</v>
      </c>
      <c r="V750" s="288" t="s">
        <v>1099</v>
      </c>
      <c r="W750" s="89" t="s">
        <v>433</v>
      </c>
      <c r="X750" s="114" t="s">
        <v>1047</v>
      </c>
    </row>
    <row r="751" spans="1:24" s="1" customFormat="1">
      <c r="A751" s="263" t="s">
        <v>2530</v>
      </c>
      <c r="B751" s="248" t="s">
        <v>2531</v>
      </c>
      <c r="C751" s="249">
        <v>1</v>
      </c>
      <c r="D751" s="272" t="s">
        <v>2513</v>
      </c>
      <c r="E751" s="348">
        <v>600</v>
      </c>
      <c r="F751" s="226">
        <f t="shared" si="66"/>
        <v>0.1</v>
      </c>
      <c r="G751" s="67">
        <f t="shared" si="80"/>
        <v>540</v>
      </c>
      <c r="H751" s="93"/>
      <c r="I751" s="224">
        <v>0</v>
      </c>
      <c r="J751" s="288" t="s">
        <v>1099</v>
      </c>
      <c r="K751" s="89" t="s">
        <v>433</v>
      </c>
      <c r="L751" s="114" t="s">
        <v>1047</v>
      </c>
      <c r="M751" s="241" t="s">
        <v>2530</v>
      </c>
      <c r="N751" s="248" t="s">
        <v>2531</v>
      </c>
      <c r="O751" s="249">
        <v>1</v>
      </c>
      <c r="P751" s="272" t="s">
        <v>2513</v>
      </c>
      <c r="Q751" s="348">
        <v>600</v>
      </c>
      <c r="R751" s="226">
        <v>0.1</v>
      </c>
      <c r="S751" s="67">
        <v>540</v>
      </c>
      <c r="T751" s="93"/>
      <c r="U751" s="224">
        <v>0</v>
      </c>
      <c r="V751" s="288" t="s">
        <v>1099</v>
      </c>
      <c r="W751" s="89" t="s">
        <v>433</v>
      </c>
      <c r="X751" s="114" t="s">
        <v>1047</v>
      </c>
    </row>
    <row r="752" spans="1:24" s="1" customFormat="1">
      <c r="A752" s="263" t="s">
        <v>2532</v>
      </c>
      <c r="B752" s="248" t="s">
        <v>2533</v>
      </c>
      <c r="C752" s="249">
        <v>1</v>
      </c>
      <c r="D752" s="272" t="s">
        <v>2513</v>
      </c>
      <c r="E752" s="348">
        <v>1533.89</v>
      </c>
      <c r="F752" s="226">
        <f t="shared" si="66"/>
        <v>0.1</v>
      </c>
      <c r="G752" s="67">
        <f t="shared" si="80"/>
        <v>1380.5010000000002</v>
      </c>
      <c r="H752" s="93"/>
      <c r="I752" s="224">
        <v>7.8</v>
      </c>
      <c r="J752" s="288" t="s">
        <v>1099</v>
      </c>
      <c r="K752" s="89" t="s">
        <v>433</v>
      </c>
      <c r="L752" s="114" t="s">
        <v>1047</v>
      </c>
      <c r="M752" s="241" t="s">
        <v>2532</v>
      </c>
      <c r="N752" s="248" t="s">
        <v>2533</v>
      </c>
      <c r="O752" s="249">
        <v>1</v>
      </c>
      <c r="P752" s="272" t="s">
        <v>2513</v>
      </c>
      <c r="Q752" s="348">
        <v>1533.89</v>
      </c>
      <c r="R752" s="226">
        <v>0.1</v>
      </c>
      <c r="S752" s="67">
        <v>1380.5010000000002</v>
      </c>
      <c r="T752" s="93"/>
      <c r="U752" s="224">
        <v>7.8</v>
      </c>
      <c r="V752" s="288" t="s">
        <v>1099</v>
      </c>
      <c r="W752" s="89" t="s">
        <v>433</v>
      </c>
      <c r="X752" s="114" t="s">
        <v>1047</v>
      </c>
    </row>
    <row r="753" spans="1:24" s="1" customFormat="1">
      <c r="A753" s="263" t="s">
        <v>2534</v>
      </c>
      <c r="B753" s="248" t="s">
        <v>2535</v>
      </c>
      <c r="C753" s="249">
        <v>1</v>
      </c>
      <c r="D753" s="272" t="s">
        <v>2513</v>
      </c>
      <c r="E753" s="348">
        <v>33.020000000000003</v>
      </c>
      <c r="F753" s="226">
        <f t="shared" si="66"/>
        <v>0.1</v>
      </c>
      <c r="G753" s="67">
        <f t="shared" si="80"/>
        <v>29.718000000000004</v>
      </c>
      <c r="H753" s="93"/>
      <c r="I753" s="224">
        <v>0</v>
      </c>
      <c r="J753" s="288" t="s">
        <v>1099</v>
      </c>
      <c r="K753" s="89" t="s">
        <v>433</v>
      </c>
      <c r="L753" s="114" t="s">
        <v>1047</v>
      </c>
      <c r="M753" s="241" t="s">
        <v>2534</v>
      </c>
      <c r="N753" s="248" t="s">
        <v>2535</v>
      </c>
      <c r="O753" s="249">
        <v>1</v>
      </c>
      <c r="P753" s="272" t="s">
        <v>2513</v>
      </c>
      <c r="Q753" s="348">
        <v>33.020000000000003</v>
      </c>
      <c r="R753" s="226">
        <v>0.1</v>
      </c>
      <c r="S753" s="67">
        <v>29.718000000000004</v>
      </c>
      <c r="T753" s="93"/>
      <c r="U753" s="224">
        <v>0</v>
      </c>
      <c r="V753" s="288" t="s">
        <v>1099</v>
      </c>
      <c r="W753" s="89" t="s">
        <v>433</v>
      </c>
      <c r="X753" s="114" t="s">
        <v>1047</v>
      </c>
    </row>
    <row r="754" spans="1:24" s="1" customFormat="1">
      <c r="A754" s="689"/>
      <c r="B754" s="271"/>
      <c r="C754" s="273"/>
      <c r="D754" s="272"/>
      <c r="E754" s="272"/>
      <c r="F754" s="480"/>
      <c r="G754" s="272"/>
      <c r="H754" s="94"/>
      <c r="I754" s="272"/>
      <c r="J754" s="481"/>
      <c r="K754" s="374"/>
      <c r="L754" s="374"/>
      <c r="M754" s="271"/>
      <c r="N754" s="271"/>
      <c r="O754" s="273"/>
      <c r="P754" s="272"/>
      <c r="Q754" s="272"/>
      <c r="R754" s="480"/>
      <c r="S754" s="272"/>
      <c r="T754" s="94"/>
      <c r="U754" s="272"/>
      <c r="V754" s="481"/>
      <c r="W754" s="374"/>
      <c r="X754" s="374"/>
    </row>
    <row r="755" spans="1:24" s="1" customFormat="1">
      <c r="A755" s="690"/>
      <c r="B755" s="375"/>
      <c r="C755" s="375"/>
      <c r="D755" s="375"/>
      <c r="E755" s="375"/>
      <c r="F755" s="375"/>
      <c r="G755" s="375"/>
      <c r="H755" s="375"/>
      <c r="I755" s="375"/>
      <c r="J755" s="439"/>
      <c r="K755" s="375"/>
      <c r="L755" s="375"/>
      <c r="M755" s="86"/>
      <c r="N755" s="86"/>
      <c r="O755" s="86"/>
      <c r="P755" s="86"/>
      <c r="Q755" s="86"/>
      <c r="R755" s="86"/>
      <c r="S755" s="86"/>
      <c r="T755" s="86"/>
      <c r="U755" s="86"/>
      <c r="V755" s="439"/>
      <c r="W755" s="86"/>
      <c r="X755" s="86"/>
    </row>
    <row r="756" spans="1:24" s="1" customFormat="1">
      <c r="A756" s="690"/>
      <c r="B756" s="375"/>
      <c r="C756" s="375"/>
      <c r="D756" s="375"/>
      <c r="E756" s="375"/>
      <c r="F756" s="375"/>
      <c r="G756" s="375"/>
      <c r="H756" s="375"/>
      <c r="I756" s="375"/>
      <c r="J756" s="439"/>
      <c r="K756" s="375"/>
      <c r="L756" s="375"/>
      <c r="M756" s="86"/>
      <c r="N756" s="86"/>
      <c r="O756" s="86"/>
      <c r="P756" s="86"/>
      <c r="Q756" s="86"/>
      <c r="R756" s="86"/>
      <c r="S756" s="86"/>
      <c r="T756" s="86"/>
      <c r="U756" s="86"/>
      <c r="V756" s="439"/>
      <c r="W756" s="86"/>
      <c r="X756" s="86"/>
    </row>
    <row r="776" spans="2:2">
      <c r="B776" s="375" t="s">
        <v>2536</v>
      </c>
    </row>
  </sheetData>
  <autoFilter ref="A3:X774" xr:uid="{81C5FD08-E3CE-7241-9F1D-BE345CEC27B9}"/>
  <mergeCells count="8">
    <mergeCell ref="A2:I2"/>
    <mergeCell ref="M2:U2"/>
    <mergeCell ref="J2:J3"/>
    <mergeCell ref="W2:W3"/>
    <mergeCell ref="X2:X3"/>
    <mergeCell ref="K2:K3"/>
    <mergeCell ref="L2:L3"/>
    <mergeCell ref="V2:V3"/>
  </mergeCells>
  <phoneticPr fontId="60" type="noConversion"/>
  <conditionalFormatting sqref="A770:A773">
    <cfRule type="colorScale" priority="5">
      <colorScale>
        <cfvo type="formula" val="$A$761&lt;AUJOURDHUI"/>
        <cfvo type="formula" val="$A$761&gt; AUJOURDHUI"/>
        <color rgb="FFFF7128"/>
        <color rgb="FF92D050"/>
      </colorScale>
    </cfRule>
  </conditionalFormatting>
  <conditionalFormatting sqref="A770:A774">
    <cfRule type="colorScale" priority="6">
      <colorScale>
        <cfvo type="formula" val="$A$761&lt;AUJOURDHUI"/>
        <cfvo type="formula" val="$A$761&gt; AUJOURDHUI"/>
        <color rgb="FF00B050"/>
        <color rgb="FFFF0000"/>
      </colorScale>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tabColor rgb="FF92D050"/>
  </sheetPr>
  <dimension ref="A1:AK84"/>
  <sheetViews>
    <sheetView zoomScaleNormal="100" workbookViewId="0">
      <pane xSplit="1" topLeftCell="B1" activePane="topRight" state="frozen"/>
      <selection pane="topRight"/>
    </sheetView>
  </sheetViews>
  <sheetFormatPr baseColWidth="10" defaultColWidth="11.42578125" defaultRowHeight="12.75"/>
  <cols>
    <col min="1" max="1" width="40.140625" style="86" customWidth="1"/>
    <col min="2" max="2" width="119.42578125" style="86" customWidth="1"/>
    <col min="3" max="3" width="11.42578125" style="86"/>
    <col min="4" max="4" width="13.5703125" style="535" customWidth="1"/>
    <col min="5" max="5" width="11.42578125" style="535"/>
    <col min="6" max="9" width="11.42578125" style="86"/>
    <col min="10" max="10" width="35" style="439" customWidth="1"/>
    <col min="11" max="12" width="11.42578125" style="86"/>
    <col min="13" max="13" width="38.7109375" style="86" bestFit="1" customWidth="1"/>
    <col min="14" max="14" width="87" style="86" customWidth="1"/>
    <col min="15" max="15" width="11.42578125" style="86"/>
    <col min="16" max="16" width="13.5703125" style="86" customWidth="1"/>
    <col min="17" max="17" width="24.140625" style="86" customWidth="1"/>
    <col min="18" max="21" width="11.42578125" style="86"/>
    <col min="22" max="22" width="35" style="439" customWidth="1"/>
    <col min="23" max="16384" width="11.42578125" style="86"/>
  </cols>
  <sheetData>
    <row r="1" spans="1:37" s="1" customFormat="1" ht="24" customHeight="1">
      <c r="A1" s="10" t="s">
        <v>93</v>
      </c>
      <c r="B1" s="526" t="s">
        <v>1039</v>
      </c>
      <c r="C1" s="340"/>
      <c r="D1" s="343"/>
      <c r="E1" s="337"/>
      <c r="F1" s="26"/>
      <c r="G1" s="22"/>
      <c r="H1" s="20"/>
      <c r="I1" s="31"/>
      <c r="J1" s="287"/>
      <c r="K1" s="93"/>
      <c r="L1" s="93"/>
      <c r="M1" s="10" t="s">
        <v>93</v>
      </c>
      <c r="N1" s="526" t="s">
        <v>94</v>
      </c>
      <c r="O1" s="340"/>
      <c r="P1" s="343"/>
      <c r="Q1" s="337"/>
      <c r="R1" s="26"/>
      <c r="S1" s="22"/>
      <c r="T1" s="20"/>
      <c r="U1" s="31"/>
      <c r="V1" s="287"/>
      <c r="W1" s="93"/>
      <c r="X1" s="434"/>
    </row>
    <row r="2" spans="1:37" s="1" customFormat="1" ht="15">
      <c r="A2" s="12"/>
      <c r="C2" s="341"/>
      <c r="D2" s="344"/>
      <c r="E2" s="338"/>
      <c r="F2" s="27"/>
      <c r="G2" s="82"/>
      <c r="H2" s="83"/>
      <c r="I2" s="84"/>
      <c r="J2" s="287"/>
      <c r="K2" s="20"/>
      <c r="L2" s="20"/>
      <c r="M2" s="12"/>
      <c r="O2" s="341"/>
      <c r="P2" s="344"/>
      <c r="Q2" s="338"/>
      <c r="R2" s="27"/>
      <c r="S2" s="82"/>
      <c r="T2" s="83"/>
      <c r="U2" s="84"/>
      <c r="V2" s="287"/>
      <c r="W2" s="20"/>
      <c r="X2" s="620"/>
    </row>
    <row r="3" spans="1:37" s="106" customFormat="1" ht="30" customHeight="1">
      <c r="A3" s="835" t="s">
        <v>2984</v>
      </c>
      <c r="B3" s="836"/>
      <c r="C3" s="836"/>
      <c r="D3" s="836"/>
      <c r="E3" s="836"/>
      <c r="F3" s="836"/>
      <c r="G3" s="836"/>
      <c r="H3" s="836"/>
      <c r="I3" s="836"/>
      <c r="J3" s="829" t="s">
        <v>1040</v>
      </c>
      <c r="K3" s="844" t="s">
        <v>96</v>
      </c>
      <c r="L3" s="844" t="s">
        <v>97</v>
      </c>
      <c r="M3" s="835" t="s">
        <v>99</v>
      </c>
      <c r="N3" s="836"/>
      <c r="O3" s="836"/>
      <c r="P3" s="836"/>
      <c r="Q3" s="836"/>
      <c r="R3" s="836"/>
      <c r="S3" s="836"/>
      <c r="T3" s="836"/>
      <c r="U3" s="836"/>
      <c r="V3" s="829" t="s">
        <v>1040</v>
      </c>
      <c r="W3" s="844" t="s">
        <v>96</v>
      </c>
      <c r="X3" s="846" t="s">
        <v>97</v>
      </c>
    </row>
    <row r="4" spans="1:37" s="1" customFormat="1" ht="63.75">
      <c r="A4" s="306" t="s">
        <v>100</v>
      </c>
      <c r="B4" s="307" t="s">
        <v>101</v>
      </c>
      <c r="C4" s="342" t="s">
        <v>102</v>
      </c>
      <c r="D4" s="345" t="s">
        <v>103</v>
      </c>
      <c r="E4" s="339" t="s">
        <v>104</v>
      </c>
      <c r="F4" s="309" t="s">
        <v>105</v>
      </c>
      <c r="G4" s="308" t="s">
        <v>106</v>
      </c>
      <c r="H4" s="476" t="s">
        <v>110</v>
      </c>
      <c r="I4" s="476" t="s">
        <v>111</v>
      </c>
      <c r="J4" s="830"/>
      <c r="K4" s="845"/>
      <c r="L4" s="845"/>
      <c r="M4" s="306" t="s">
        <v>100</v>
      </c>
      <c r="N4" s="307" t="s">
        <v>101</v>
      </c>
      <c r="O4" s="342" t="s">
        <v>102</v>
      </c>
      <c r="P4" s="345" t="s">
        <v>103</v>
      </c>
      <c r="Q4" s="339" t="s">
        <v>104</v>
      </c>
      <c r="R4" s="309" t="s">
        <v>105</v>
      </c>
      <c r="S4" s="308" t="s">
        <v>106</v>
      </c>
      <c r="T4" s="476" t="s">
        <v>110</v>
      </c>
      <c r="U4" s="476" t="s">
        <v>111</v>
      </c>
      <c r="V4" s="830"/>
      <c r="W4" s="845"/>
      <c r="X4" s="847"/>
    </row>
    <row r="5" spans="1:37" s="188" customFormat="1">
      <c r="A5" s="507" t="s">
        <v>2537</v>
      </c>
      <c r="B5" s="510" t="s">
        <v>2538</v>
      </c>
      <c r="C5" s="511">
        <v>1</v>
      </c>
      <c r="D5" s="512" t="s">
        <v>140</v>
      </c>
      <c r="E5" s="513" t="s">
        <v>120</v>
      </c>
      <c r="F5" s="514"/>
      <c r="G5" s="513" t="s">
        <v>2539</v>
      </c>
      <c r="H5" s="515"/>
      <c r="I5" s="516"/>
      <c r="J5" s="637" t="s">
        <v>2540</v>
      </c>
      <c r="K5" s="508" t="s">
        <v>2541</v>
      </c>
      <c r="L5" s="509" t="s">
        <v>2542</v>
      </c>
      <c r="M5" s="507" t="s">
        <v>2537</v>
      </c>
      <c r="N5" s="510" t="s">
        <v>2538</v>
      </c>
      <c r="O5" s="511">
        <v>1</v>
      </c>
      <c r="P5" s="512" t="s">
        <v>140</v>
      </c>
      <c r="Q5" s="513" t="s">
        <v>120</v>
      </c>
      <c r="R5" s="514"/>
      <c r="S5" s="513" t="s">
        <v>2539</v>
      </c>
      <c r="T5" s="515"/>
      <c r="U5" s="516"/>
      <c r="V5" s="637" t="s">
        <v>2540</v>
      </c>
      <c r="W5" s="508" t="s">
        <v>2541</v>
      </c>
      <c r="X5" s="509" t="s">
        <v>2542</v>
      </c>
      <c r="Y5" s="1" t="s">
        <v>126</v>
      </c>
      <c r="Z5" s="1" t="s">
        <v>126</v>
      </c>
      <c r="AA5" s="1" t="s">
        <v>126</v>
      </c>
      <c r="AB5" s="1" t="s">
        <v>126</v>
      </c>
    </row>
    <row r="6" spans="1:37" s="188" customFormat="1">
      <c r="A6" s="612" t="s">
        <v>2543</v>
      </c>
      <c r="B6" s="621" t="s">
        <v>2544</v>
      </c>
      <c r="C6" s="614">
        <v>1</v>
      </c>
      <c r="D6" s="622" t="s">
        <v>140</v>
      </c>
      <c r="E6" s="623" t="s">
        <v>120</v>
      </c>
      <c r="F6" s="624"/>
      <c r="G6" s="623" t="s">
        <v>2539</v>
      </c>
      <c r="H6" s="625"/>
      <c r="I6" s="626"/>
      <c r="J6" s="288" t="s">
        <v>2540</v>
      </c>
      <c r="K6" s="13" t="s">
        <v>2541</v>
      </c>
      <c r="L6" s="13" t="s">
        <v>2542</v>
      </c>
      <c r="M6" s="612" t="s">
        <v>2543</v>
      </c>
      <c r="N6" s="621" t="s">
        <v>2544</v>
      </c>
      <c r="O6" s="614">
        <v>1</v>
      </c>
      <c r="P6" s="622" t="s">
        <v>140</v>
      </c>
      <c r="Q6" s="623" t="s">
        <v>120</v>
      </c>
      <c r="R6" s="624"/>
      <c r="S6" s="623" t="s">
        <v>2539</v>
      </c>
      <c r="T6" s="625"/>
      <c r="U6" s="626"/>
      <c r="V6" s="288" t="s">
        <v>2540</v>
      </c>
      <c r="W6" s="13" t="s">
        <v>2541</v>
      </c>
      <c r="X6" s="13" t="s">
        <v>2542</v>
      </c>
      <c r="Y6" s="1"/>
      <c r="Z6" s="1"/>
      <c r="AA6" s="1"/>
      <c r="AB6" s="1"/>
    </row>
    <row r="7" spans="1:37" s="188" customFormat="1">
      <c r="A7" s="612" t="s">
        <v>2545</v>
      </c>
      <c r="B7" s="613" t="s">
        <v>2546</v>
      </c>
      <c r="C7" s="614">
        <v>1</v>
      </c>
      <c r="D7" s="615" t="s">
        <v>140</v>
      </c>
      <c r="E7" s="616" t="s">
        <v>120</v>
      </c>
      <c r="F7" s="617"/>
      <c r="G7" s="616" t="s">
        <v>2539</v>
      </c>
      <c r="H7" s="505"/>
      <c r="I7" s="506"/>
      <c r="J7" s="288" t="s">
        <v>2540</v>
      </c>
      <c r="K7" s="13" t="s">
        <v>2541</v>
      </c>
      <c r="L7" s="13" t="s">
        <v>2542</v>
      </c>
      <c r="M7" s="612" t="s">
        <v>2545</v>
      </c>
      <c r="N7" s="613" t="s">
        <v>2546</v>
      </c>
      <c r="O7" s="614">
        <v>1</v>
      </c>
      <c r="P7" s="615" t="s">
        <v>140</v>
      </c>
      <c r="Q7" s="616" t="s">
        <v>120</v>
      </c>
      <c r="R7" s="617"/>
      <c r="S7" s="616" t="s">
        <v>2539</v>
      </c>
      <c r="T7" s="505"/>
      <c r="U7" s="506"/>
      <c r="V7" s="288" t="s">
        <v>2540</v>
      </c>
      <c r="W7" s="13" t="s">
        <v>2541</v>
      </c>
      <c r="X7" s="13" t="s">
        <v>2542</v>
      </c>
      <c r="Y7" s="1"/>
      <c r="Z7" s="1"/>
      <c r="AA7" s="1"/>
      <c r="AB7" s="1"/>
    </row>
    <row r="8" spans="1:37" s="335" customFormat="1" ht="21" customHeight="1">
      <c r="A8" s="547" t="s">
        <v>2547</v>
      </c>
      <c r="B8" s="618" t="s">
        <v>2548</v>
      </c>
      <c r="C8" s="518"/>
      <c r="D8" s="519"/>
      <c r="E8" s="619"/>
      <c r="F8" s="521"/>
      <c r="G8" s="522"/>
      <c r="H8" s="523"/>
      <c r="I8" s="524"/>
      <c r="J8" s="638"/>
      <c r="K8" s="525"/>
      <c r="L8" s="536"/>
      <c r="M8" s="547" t="s">
        <v>2547</v>
      </c>
      <c r="N8" s="618" t="s">
        <v>2548</v>
      </c>
      <c r="O8" s="518"/>
      <c r="P8" s="519"/>
      <c r="Q8" s="619"/>
      <c r="R8" s="521"/>
      <c r="S8" s="522"/>
      <c r="T8" s="523"/>
      <c r="U8" s="524"/>
      <c r="V8" s="638"/>
      <c r="W8" s="525"/>
      <c r="X8" s="536"/>
      <c r="Y8" s="1"/>
      <c r="Z8" s="1"/>
      <c r="AA8" s="1"/>
      <c r="AB8" s="1"/>
      <c r="AC8" s="1"/>
      <c r="AD8" s="1"/>
      <c r="AE8" s="1"/>
      <c r="AF8" s="1"/>
      <c r="AG8" s="1"/>
      <c r="AH8" s="1"/>
      <c r="AI8" s="1"/>
      <c r="AJ8" s="1"/>
      <c r="AK8" s="1"/>
    </row>
    <row r="9" spans="1:37" s="1" customFormat="1">
      <c r="A9" s="237" t="s">
        <v>2549</v>
      </c>
      <c r="B9" s="248" t="s">
        <v>2550</v>
      </c>
      <c r="C9" s="436">
        <v>1</v>
      </c>
      <c r="D9" s="475" t="s">
        <v>140</v>
      </c>
      <c r="E9" s="348">
        <v>7</v>
      </c>
      <c r="F9" s="244"/>
      <c r="G9" s="67">
        <f>E9-(E9*F9)</f>
        <v>7</v>
      </c>
      <c r="H9" s="93"/>
      <c r="I9" s="224"/>
      <c r="J9" s="288" t="s">
        <v>2540</v>
      </c>
      <c r="K9" s="13" t="s">
        <v>2541</v>
      </c>
      <c r="L9" s="13" t="s">
        <v>2542</v>
      </c>
      <c r="M9" s="237" t="s">
        <v>2549</v>
      </c>
      <c r="N9" s="248" t="s">
        <v>2550</v>
      </c>
      <c r="O9" s="436">
        <v>1</v>
      </c>
      <c r="P9" s="475" t="s">
        <v>140</v>
      </c>
      <c r="Q9" s="348">
        <v>7</v>
      </c>
      <c r="R9" s="244"/>
      <c r="S9" s="67">
        <v>7</v>
      </c>
      <c r="T9" s="93"/>
      <c r="U9" s="224"/>
      <c r="V9" s="288" t="s">
        <v>2540</v>
      </c>
      <c r="W9" s="13" t="s">
        <v>2541</v>
      </c>
      <c r="X9" s="13" t="s">
        <v>2542</v>
      </c>
    </row>
    <row r="10" spans="1:37" s="1" customFormat="1">
      <c r="A10" s="237" t="s">
        <v>2551</v>
      </c>
      <c r="B10" s="248" t="s">
        <v>2552</v>
      </c>
      <c r="C10" s="436">
        <v>1</v>
      </c>
      <c r="D10" s="475" t="s">
        <v>140</v>
      </c>
      <c r="E10" s="348">
        <v>7</v>
      </c>
      <c r="F10" s="244"/>
      <c r="G10" s="67">
        <f t="shared" ref="G10:G23" si="0">E10-(E10*F10)</f>
        <v>7</v>
      </c>
      <c r="H10" s="93"/>
      <c r="I10" s="224"/>
      <c r="J10" s="288" t="s">
        <v>2540</v>
      </c>
      <c r="K10" s="13" t="s">
        <v>2541</v>
      </c>
      <c r="L10" s="13" t="s">
        <v>2542</v>
      </c>
      <c r="M10" s="237" t="s">
        <v>2551</v>
      </c>
      <c r="N10" s="248" t="s">
        <v>2552</v>
      </c>
      <c r="O10" s="436">
        <v>1</v>
      </c>
      <c r="P10" s="475" t="s">
        <v>140</v>
      </c>
      <c r="Q10" s="348">
        <v>7</v>
      </c>
      <c r="R10" s="244"/>
      <c r="S10" s="67">
        <v>7</v>
      </c>
      <c r="T10" s="93"/>
      <c r="U10" s="224"/>
      <c r="V10" s="288" t="s">
        <v>2540</v>
      </c>
      <c r="W10" s="13" t="s">
        <v>2541</v>
      </c>
      <c r="X10" s="13" t="s">
        <v>2542</v>
      </c>
    </row>
    <row r="11" spans="1:37" s="1" customFormat="1">
      <c r="A11" s="237" t="s">
        <v>2553</v>
      </c>
      <c r="B11" s="248" t="s">
        <v>2554</v>
      </c>
      <c r="C11" s="436">
        <v>1</v>
      </c>
      <c r="D11" s="475" t="s">
        <v>140</v>
      </c>
      <c r="E11" s="348">
        <v>7</v>
      </c>
      <c r="F11" s="244"/>
      <c r="G11" s="67">
        <f t="shared" si="0"/>
        <v>7</v>
      </c>
      <c r="H11" s="93"/>
      <c r="I11" s="224"/>
      <c r="J11" s="288" t="s">
        <v>2540</v>
      </c>
      <c r="K11" s="13" t="s">
        <v>2541</v>
      </c>
      <c r="L11" s="13" t="s">
        <v>2542</v>
      </c>
      <c r="M11" s="237" t="s">
        <v>2553</v>
      </c>
      <c r="N11" s="248" t="s">
        <v>2554</v>
      </c>
      <c r="O11" s="436">
        <v>1</v>
      </c>
      <c r="P11" s="475" t="s">
        <v>140</v>
      </c>
      <c r="Q11" s="348">
        <v>7</v>
      </c>
      <c r="R11" s="244"/>
      <c r="S11" s="67">
        <v>7</v>
      </c>
      <c r="T11" s="93"/>
      <c r="U11" s="224"/>
      <c r="V11" s="288" t="s">
        <v>2540</v>
      </c>
      <c r="W11" s="13" t="s">
        <v>2541</v>
      </c>
      <c r="X11" s="13" t="s">
        <v>2542</v>
      </c>
    </row>
    <row r="12" spans="1:37" s="1" customFormat="1">
      <c r="A12" s="237" t="s">
        <v>2555</v>
      </c>
      <c r="B12" s="248" t="s">
        <v>2556</v>
      </c>
      <c r="C12" s="436">
        <v>1</v>
      </c>
      <c r="D12" s="475" t="s">
        <v>140</v>
      </c>
      <c r="E12" s="348">
        <v>7</v>
      </c>
      <c r="F12" s="244"/>
      <c r="G12" s="67">
        <f t="shared" si="0"/>
        <v>7</v>
      </c>
      <c r="H12" s="93"/>
      <c r="I12" s="224"/>
      <c r="J12" s="288" t="s">
        <v>2540</v>
      </c>
      <c r="K12" s="13" t="s">
        <v>2541</v>
      </c>
      <c r="L12" s="13" t="s">
        <v>2542</v>
      </c>
      <c r="M12" s="237" t="s">
        <v>2555</v>
      </c>
      <c r="N12" s="248" t="s">
        <v>2556</v>
      </c>
      <c r="O12" s="436">
        <v>1</v>
      </c>
      <c r="P12" s="475" t="s">
        <v>140</v>
      </c>
      <c r="Q12" s="348">
        <v>7</v>
      </c>
      <c r="R12" s="244"/>
      <c r="S12" s="67">
        <v>7</v>
      </c>
      <c r="T12" s="93"/>
      <c r="U12" s="224"/>
      <c r="V12" s="288" t="s">
        <v>2540</v>
      </c>
      <c r="W12" s="13" t="s">
        <v>2541</v>
      </c>
      <c r="X12" s="13" t="s">
        <v>2542</v>
      </c>
    </row>
    <row r="13" spans="1:37" s="1" customFormat="1">
      <c r="A13" s="237" t="s">
        <v>2557</v>
      </c>
      <c r="B13" s="248" t="s">
        <v>2558</v>
      </c>
      <c r="C13" s="436">
        <v>1</v>
      </c>
      <c r="D13" s="475" t="s">
        <v>140</v>
      </c>
      <c r="E13" s="348">
        <v>15</v>
      </c>
      <c r="F13" s="244"/>
      <c r="G13" s="67">
        <f t="shared" si="0"/>
        <v>15</v>
      </c>
      <c r="H13" s="93"/>
      <c r="I13" s="224"/>
      <c r="J13" s="288" t="s">
        <v>2540</v>
      </c>
      <c r="K13" s="13" t="s">
        <v>2541</v>
      </c>
      <c r="L13" s="13" t="s">
        <v>2542</v>
      </c>
      <c r="M13" s="237" t="s">
        <v>2557</v>
      </c>
      <c r="N13" s="248" t="s">
        <v>2558</v>
      </c>
      <c r="O13" s="436">
        <v>1</v>
      </c>
      <c r="P13" s="475" t="s">
        <v>140</v>
      </c>
      <c r="Q13" s="348">
        <v>15</v>
      </c>
      <c r="R13" s="244"/>
      <c r="S13" s="67">
        <v>15</v>
      </c>
      <c r="T13" s="93"/>
      <c r="U13" s="224"/>
      <c r="V13" s="288" t="s">
        <v>2540</v>
      </c>
      <c r="W13" s="13" t="s">
        <v>2541</v>
      </c>
      <c r="X13" s="13" t="s">
        <v>2542</v>
      </c>
    </row>
    <row r="14" spans="1:37" s="1" customFormat="1">
      <c r="A14" s="237" t="s">
        <v>2559</v>
      </c>
      <c r="B14" s="248" t="s">
        <v>2560</v>
      </c>
      <c r="C14" s="436">
        <v>1</v>
      </c>
      <c r="D14" s="475" t="s">
        <v>140</v>
      </c>
      <c r="E14" s="348">
        <v>7</v>
      </c>
      <c r="F14" s="244"/>
      <c r="G14" s="67">
        <f t="shared" si="0"/>
        <v>7</v>
      </c>
      <c r="H14" s="93"/>
      <c r="I14" s="224"/>
      <c r="J14" s="288" t="s">
        <v>2540</v>
      </c>
      <c r="K14" s="13" t="s">
        <v>2541</v>
      </c>
      <c r="L14" s="13" t="s">
        <v>2542</v>
      </c>
      <c r="M14" s="237" t="s">
        <v>2559</v>
      </c>
      <c r="N14" s="248" t="s">
        <v>2560</v>
      </c>
      <c r="O14" s="436">
        <v>1</v>
      </c>
      <c r="P14" s="475" t="s">
        <v>140</v>
      </c>
      <c r="Q14" s="348">
        <v>7</v>
      </c>
      <c r="R14" s="244"/>
      <c r="S14" s="67">
        <v>7</v>
      </c>
      <c r="T14" s="93"/>
      <c r="U14" s="224"/>
      <c r="V14" s="288" t="s">
        <v>2540</v>
      </c>
      <c r="W14" s="13" t="s">
        <v>2541</v>
      </c>
      <c r="X14" s="13" t="s">
        <v>2542</v>
      </c>
    </row>
    <row r="15" spans="1:37" s="1" customFormat="1">
      <c r="A15" s="237" t="s">
        <v>2561</v>
      </c>
      <c r="B15" s="248" t="s">
        <v>2562</v>
      </c>
      <c r="C15" s="436">
        <v>1</v>
      </c>
      <c r="D15" s="475" t="s">
        <v>2563</v>
      </c>
      <c r="E15" s="348">
        <v>16</v>
      </c>
      <c r="F15" s="244"/>
      <c r="G15" s="67">
        <f t="shared" si="0"/>
        <v>16</v>
      </c>
      <c r="H15" s="93"/>
      <c r="I15" s="224"/>
      <c r="J15" s="288" t="s">
        <v>2540</v>
      </c>
      <c r="K15" s="13" t="s">
        <v>2541</v>
      </c>
      <c r="L15" s="13" t="s">
        <v>2542</v>
      </c>
      <c r="M15" s="237" t="s">
        <v>2561</v>
      </c>
      <c r="N15" s="248" t="s">
        <v>2562</v>
      </c>
      <c r="O15" s="436">
        <v>1</v>
      </c>
      <c r="P15" s="475" t="s">
        <v>2563</v>
      </c>
      <c r="Q15" s="348">
        <v>16</v>
      </c>
      <c r="R15" s="244"/>
      <c r="S15" s="67">
        <v>16</v>
      </c>
      <c r="T15" s="93"/>
      <c r="U15" s="224"/>
      <c r="V15" s="288" t="s">
        <v>2540</v>
      </c>
      <c r="W15" s="13" t="s">
        <v>2541</v>
      </c>
      <c r="X15" s="13" t="s">
        <v>2542</v>
      </c>
    </row>
    <row r="16" spans="1:37" s="611" customFormat="1" ht="21.95" customHeight="1">
      <c r="A16" s="547" t="s">
        <v>2564</v>
      </c>
      <c r="B16" s="548" t="s">
        <v>2565</v>
      </c>
      <c r="C16" s="518"/>
      <c r="D16" s="519"/>
      <c r="E16" s="520"/>
      <c r="F16" s="521"/>
      <c r="G16" s="522"/>
      <c r="H16" s="523"/>
      <c r="I16" s="524"/>
      <c r="J16" s="638"/>
      <c r="K16" s="525"/>
      <c r="L16" s="525"/>
      <c r="M16" s="547" t="s">
        <v>2564</v>
      </c>
      <c r="N16" s="548" t="s">
        <v>2565</v>
      </c>
      <c r="O16" s="518"/>
      <c r="P16" s="519"/>
      <c r="Q16" s="520"/>
      <c r="R16" s="521"/>
      <c r="S16" s="522"/>
      <c r="T16" s="523"/>
      <c r="U16" s="524"/>
      <c r="V16" s="638"/>
      <c r="W16" s="525"/>
      <c r="X16" s="525"/>
    </row>
    <row r="17" spans="1:24" s="1" customFormat="1">
      <c r="A17" s="237" t="s">
        <v>2566</v>
      </c>
      <c r="B17" s="248" t="s">
        <v>2567</v>
      </c>
      <c r="C17" s="436">
        <v>1</v>
      </c>
      <c r="D17" s="475" t="s">
        <v>2568</v>
      </c>
      <c r="E17" s="348">
        <v>232</v>
      </c>
      <c r="F17" s="244"/>
      <c r="G17" s="67">
        <f>E17-(E17*F17)</f>
        <v>232</v>
      </c>
      <c r="H17" s="93"/>
      <c r="I17" s="224"/>
      <c r="J17" s="288" t="s">
        <v>2540</v>
      </c>
      <c r="K17" s="13" t="s">
        <v>2541</v>
      </c>
      <c r="L17" s="13" t="s">
        <v>2542</v>
      </c>
      <c r="M17" s="237" t="s">
        <v>2566</v>
      </c>
      <c r="N17" s="248" t="s">
        <v>2567</v>
      </c>
      <c r="O17" s="436">
        <v>1</v>
      </c>
      <c r="P17" s="475" t="s">
        <v>2568</v>
      </c>
      <c r="Q17" s="348">
        <v>232</v>
      </c>
      <c r="R17" s="244"/>
      <c r="S17" s="67">
        <v>232</v>
      </c>
      <c r="T17" s="93"/>
      <c r="U17" s="224"/>
      <c r="V17" s="288" t="s">
        <v>2540</v>
      </c>
      <c r="W17" s="13" t="s">
        <v>2541</v>
      </c>
      <c r="X17" s="13" t="s">
        <v>2542</v>
      </c>
    </row>
    <row r="18" spans="1:24" s="1" customFormat="1">
      <c r="A18" s="237" t="s">
        <v>2569</v>
      </c>
      <c r="B18" s="248" t="s">
        <v>2570</v>
      </c>
      <c r="C18" s="436">
        <v>1</v>
      </c>
      <c r="D18" s="475" t="s">
        <v>2568</v>
      </c>
      <c r="E18" s="348">
        <v>90</v>
      </c>
      <c r="F18" s="244"/>
      <c r="G18" s="67">
        <f>E18-(E18*F18)</f>
        <v>90</v>
      </c>
      <c r="H18" s="93"/>
      <c r="I18" s="517"/>
      <c r="J18" s="288" t="s">
        <v>2540</v>
      </c>
      <c r="K18" s="13" t="s">
        <v>2541</v>
      </c>
      <c r="L18" s="13" t="s">
        <v>2542</v>
      </c>
      <c r="M18" s="237" t="s">
        <v>2569</v>
      </c>
      <c r="N18" s="248" t="s">
        <v>2570</v>
      </c>
      <c r="O18" s="436">
        <v>1</v>
      </c>
      <c r="P18" s="475" t="s">
        <v>2568</v>
      </c>
      <c r="Q18" s="348">
        <v>90</v>
      </c>
      <c r="R18" s="244"/>
      <c r="S18" s="67">
        <v>90</v>
      </c>
      <c r="T18" s="93"/>
      <c r="U18" s="517"/>
      <c r="V18" s="288" t="s">
        <v>2540</v>
      </c>
      <c r="W18" s="13" t="s">
        <v>2541</v>
      </c>
      <c r="X18" s="13" t="s">
        <v>2542</v>
      </c>
    </row>
    <row r="19" spans="1:24" s="1" customFormat="1">
      <c r="A19" s="237" t="s">
        <v>2571</v>
      </c>
      <c r="B19" s="248" t="s">
        <v>2572</v>
      </c>
      <c r="C19" s="436">
        <v>1</v>
      </c>
      <c r="D19" s="475" t="s">
        <v>2568</v>
      </c>
      <c r="E19" s="348">
        <v>332</v>
      </c>
      <c r="F19" s="244"/>
      <c r="G19" s="67">
        <f t="shared" si="0"/>
        <v>332</v>
      </c>
      <c r="H19" s="482"/>
      <c r="I19" s="224"/>
      <c r="J19" s="288" t="s">
        <v>2540</v>
      </c>
      <c r="K19" s="13" t="s">
        <v>2541</v>
      </c>
      <c r="L19" s="13" t="s">
        <v>2542</v>
      </c>
      <c r="M19" s="237" t="s">
        <v>2571</v>
      </c>
      <c r="N19" s="248" t="s">
        <v>2572</v>
      </c>
      <c r="O19" s="436">
        <v>1</v>
      </c>
      <c r="P19" s="475" t="s">
        <v>2568</v>
      </c>
      <c r="Q19" s="348">
        <v>332</v>
      </c>
      <c r="R19" s="244"/>
      <c r="S19" s="67">
        <v>332</v>
      </c>
      <c r="T19" s="482"/>
      <c r="U19" s="224"/>
      <c r="V19" s="288" t="s">
        <v>2540</v>
      </c>
      <c r="W19" s="13" t="s">
        <v>2541</v>
      </c>
      <c r="X19" s="13" t="s">
        <v>2542</v>
      </c>
    </row>
    <row r="20" spans="1:24" s="1" customFormat="1">
      <c r="A20" s="237" t="s">
        <v>2573</v>
      </c>
      <c r="B20" s="248" t="s">
        <v>2574</v>
      </c>
      <c r="C20" s="436">
        <v>1</v>
      </c>
      <c r="D20" s="475" t="s">
        <v>2568</v>
      </c>
      <c r="E20" s="348">
        <v>190</v>
      </c>
      <c r="F20" s="244"/>
      <c r="G20" s="67">
        <f>E20-(E20*F20)</f>
        <v>190</v>
      </c>
      <c r="H20" s="93"/>
      <c r="I20" s="224"/>
      <c r="J20" s="288" t="s">
        <v>2540</v>
      </c>
      <c r="K20" s="13" t="s">
        <v>2541</v>
      </c>
      <c r="L20" s="13" t="s">
        <v>2542</v>
      </c>
      <c r="M20" s="237" t="s">
        <v>2573</v>
      </c>
      <c r="N20" s="248" t="s">
        <v>2574</v>
      </c>
      <c r="O20" s="436">
        <v>1</v>
      </c>
      <c r="P20" s="475" t="s">
        <v>2568</v>
      </c>
      <c r="Q20" s="348">
        <v>190</v>
      </c>
      <c r="R20" s="244"/>
      <c r="S20" s="67">
        <v>190</v>
      </c>
      <c r="T20" s="93"/>
      <c r="U20" s="224"/>
      <c r="V20" s="288" t="s">
        <v>2540</v>
      </c>
      <c r="W20" s="13" t="s">
        <v>2541</v>
      </c>
      <c r="X20" s="13" t="s">
        <v>2542</v>
      </c>
    </row>
    <row r="21" spans="1:24" s="1" customFormat="1">
      <c r="A21" s="237" t="s">
        <v>2575</v>
      </c>
      <c r="B21" s="248" t="s">
        <v>2576</v>
      </c>
      <c r="C21" s="436">
        <v>1</v>
      </c>
      <c r="D21" s="475" t="s">
        <v>2568</v>
      </c>
      <c r="E21" s="348">
        <v>210</v>
      </c>
      <c r="F21" s="244"/>
      <c r="G21" s="67">
        <f t="shared" si="0"/>
        <v>210</v>
      </c>
      <c r="H21" s="93"/>
      <c r="I21" s="224"/>
      <c r="J21" s="288" t="s">
        <v>2540</v>
      </c>
      <c r="K21" s="13" t="s">
        <v>2541</v>
      </c>
      <c r="L21" s="13" t="s">
        <v>2542</v>
      </c>
      <c r="M21" s="237" t="s">
        <v>2575</v>
      </c>
      <c r="N21" s="248" t="s">
        <v>2576</v>
      </c>
      <c r="O21" s="436">
        <v>1</v>
      </c>
      <c r="P21" s="475" t="s">
        <v>2568</v>
      </c>
      <c r="Q21" s="348">
        <v>210</v>
      </c>
      <c r="R21" s="244"/>
      <c r="S21" s="67">
        <v>210</v>
      </c>
      <c r="T21" s="93"/>
      <c r="U21" s="224"/>
      <c r="V21" s="288" t="s">
        <v>2540</v>
      </c>
      <c r="W21" s="13" t="s">
        <v>2541</v>
      </c>
      <c r="X21" s="13" t="s">
        <v>2542</v>
      </c>
    </row>
    <row r="22" spans="1:24" s="1" customFormat="1">
      <c r="A22" s="237" t="s">
        <v>2577</v>
      </c>
      <c r="B22" s="248" t="s">
        <v>2578</v>
      </c>
      <c r="C22" s="436">
        <v>1</v>
      </c>
      <c r="D22" s="475" t="s">
        <v>2568</v>
      </c>
      <c r="E22" s="348">
        <v>60</v>
      </c>
      <c r="F22" s="244"/>
      <c r="G22" s="67">
        <f>E22-(E22*F22)</f>
        <v>60</v>
      </c>
      <c r="H22" s="93"/>
      <c r="I22" s="224"/>
      <c r="J22" s="288" t="s">
        <v>2540</v>
      </c>
      <c r="K22" s="13" t="s">
        <v>2541</v>
      </c>
      <c r="L22" s="13" t="s">
        <v>2542</v>
      </c>
      <c r="M22" s="237" t="s">
        <v>2577</v>
      </c>
      <c r="N22" s="248" t="s">
        <v>2578</v>
      </c>
      <c r="O22" s="436">
        <v>1</v>
      </c>
      <c r="P22" s="475" t="s">
        <v>2568</v>
      </c>
      <c r="Q22" s="348">
        <v>60</v>
      </c>
      <c r="R22" s="244"/>
      <c r="S22" s="67">
        <v>60</v>
      </c>
      <c r="T22" s="93"/>
      <c r="U22" s="224"/>
      <c r="V22" s="288" t="s">
        <v>2540</v>
      </c>
      <c r="W22" s="13" t="s">
        <v>2541</v>
      </c>
      <c r="X22" s="13" t="s">
        <v>2542</v>
      </c>
    </row>
    <row r="23" spans="1:24" s="1" customFormat="1">
      <c r="A23" s="237" t="s">
        <v>2579</v>
      </c>
      <c r="B23" s="248" t="s">
        <v>2580</v>
      </c>
      <c r="C23" s="436">
        <v>1</v>
      </c>
      <c r="D23" s="475" t="s">
        <v>2568</v>
      </c>
      <c r="E23" s="348">
        <v>392</v>
      </c>
      <c r="F23" s="244"/>
      <c r="G23" s="67">
        <f t="shared" si="0"/>
        <v>392</v>
      </c>
      <c r="H23" s="93"/>
      <c r="I23" s="224"/>
      <c r="J23" s="288" t="s">
        <v>2540</v>
      </c>
      <c r="K23" s="13" t="s">
        <v>2541</v>
      </c>
      <c r="L23" s="13" t="s">
        <v>2542</v>
      </c>
      <c r="M23" s="237" t="s">
        <v>2579</v>
      </c>
      <c r="N23" s="248" t="s">
        <v>2580</v>
      </c>
      <c r="O23" s="436">
        <v>1</v>
      </c>
      <c r="P23" s="475" t="s">
        <v>2568</v>
      </c>
      <c r="Q23" s="348">
        <v>392</v>
      </c>
      <c r="R23" s="244"/>
      <c r="S23" s="67">
        <v>392</v>
      </c>
      <c r="T23" s="93"/>
      <c r="U23" s="224"/>
      <c r="V23" s="288" t="s">
        <v>2540</v>
      </c>
      <c r="W23" s="13" t="s">
        <v>2541</v>
      </c>
      <c r="X23" s="13" t="s">
        <v>2542</v>
      </c>
    </row>
    <row r="24" spans="1:24" s="1" customFormat="1">
      <c r="A24" s="237" t="s">
        <v>2581</v>
      </c>
      <c r="B24" s="248" t="s">
        <v>2582</v>
      </c>
      <c r="C24" s="436">
        <v>1</v>
      </c>
      <c r="D24" s="475" t="s">
        <v>2568</v>
      </c>
      <c r="E24" s="348">
        <v>240</v>
      </c>
      <c r="F24" s="244"/>
      <c r="G24" s="67">
        <f>E24-(E24*F24)</f>
        <v>240</v>
      </c>
      <c r="H24" s="93"/>
      <c r="I24" s="224"/>
      <c r="J24" s="288" t="s">
        <v>2540</v>
      </c>
      <c r="K24" s="13" t="s">
        <v>2541</v>
      </c>
      <c r="L24" s="13" t="s">
        <v>2542</v>
      </c>
      <c r="M24" s="237" t="s">
        <v>2581</v>
      </c>
      <c r="N24" s="248" t="s">
        <v>2582</v>
      </c>
      <c r="O24" s="436">
        <v>1</v>
      </c>
      <c r="P24" s="475" t="s">
        <v>2568</v>
      </c>
      <c r="Q24" s="348">
        <v>240</v>
      </c>
      <c r="R24" s="244"/>
      <c r="S24" s="67">
        <v>240</v>
      </c>
      <c r="T24" s="93"/>
      <c r="U24" s="224"/>
      <c r="V24" s="288" t="s">
        <v>2540</v>
      </c>
      <c r="W24" s="13" t="s">
        <v>2541</v>
      </c>
      <c r="X24" s="13" t="s">
        <v>2542</v>
      </c>
    </row>
    <row r="25" spans="1:24" s="1" customFormat="1">
      <c r="A25" s="237" t="s">
        <v>2583</v>
      </c>
      <c r="B25" s="248" t="s">
        <v>2584</v>
      </c>
      <c r="C25" s="436">
        <v>1</v>
      </c>
      <c r="D25" s="475" t="s">
        <v>2568</v>
      </c>
      <c r="E25" s="348">
        <v>298</v>
      </c>
      <c r="F25" s="244"/>
      <c r="G25" s="67">
        <f>E25-(E25*F25)</f>
        <v>298</v>
      </c>
      <c r="H25" s="93"/>
      <c r="I25" s="224"/>
      <c r="J25" s="288" t="s">
        <v>2540</v>
      </c>
      <c r="K25" s="13" t="s">
        <v>2541</v>
      </c>
      <c r="L25" s="13" t="s">
        <v>2542</v>
      </c>
      <c r="M25" s="237" t="s">
        <v>2583</v>
      </c>
      <c r="N25" s="248" t="s">
        <v>2584</v>
      </c>
      <c r="O25" s="436">
        <v>1</v>
      </c>
      <c r="P25" s="475" t="s">
        <v>2568</v>
      </c>
      <c r="Q25" s="348">
        <v>298</v>
      </c>
      <c r="R25" s="244"/>
      <c r="S25" s="67">
        <v>298</v>
      </c>
      <c r="T25" s="93"/>
      <c r="U25" s="224"/>
      <c r="V25" s="288" t="s">
        <v>2540</v>
      </c>
      <c r="W25" s="13" t="s">
        <v>2541</v>
      </c>
      <c r="X25" s="13" t="s">
        <v>2542</v>
      </c>
    </row>
    <row r="26" spans="1:24" s="1" customFormat="1">
      <c r="A26" s="237" t="s">
        <v>2585</v>
      </c>
      <c r="B26" s="248" t="s">
        <v>2586</v>
      </c>
      <c r="C26" s="436">
        <v>1</v>
      </c>
      <c r="D26" s="475" t="s">
        <v>2568</v>
      </c>
      <c r="E26" s="348">
        <v>135</v>
      </c>
      <c r="F26" s="244"/>
      <c r="G26" s="67">
        <f>E26-(E26*F26)</f>
        <v>135</v>
      </c>
      <c r="H26" s="93"/>
      <c r="I26" s="224"/>
      <c r="J26" s="288" t="s">
        <v>2540</v>
      </c>
      <c r="K26" s="13" t="s">
        <v>2541</v>
      </c>
      <c r="L26" s="13" t="s">
        <v>2542</v>
      </c>
      <c r="M26" s="237" t="s">
        <v>2585</v>
      </c>
      <c r="N26" s="248" t="s">
        <v>2586</v>
      </c>
      <c r="O26" s="436">
        <v>1</v>
      </c>
      <c r="P26" s="475" t="s">
        <v>2568</v>
      </c>
      <c r="Q26" s="348">
        <v>135</v>
      </c>
      <c r="R26" s="244"/>
      <c r="S26" s="67">
        <v>135</v>
      </c>
      <c r="T26" s="93"/>
      <c r="U26" s="224"/>
      <c r="V26" s="288" t="s">
        <v>2540</v>
      </c>
      <c r="W26" s="13" t="s">
        <v>2541</v>
      </c>
      <c r="X26" s="13" t="s">
        <v>2542</v>
      </c>
    </row>
    <row r="27" spans="1:24" s="1" customFormat="1">
      <c r="A27" s="237" t="s">
        <v>2587</v>
      </c>
      <c r="B27" s="248" t="s">
        <v>2588</v>
      </c>
      <c r="C27" s="436">
        <v>1</v>
      </c>
      <c r="D27" s="475" t="s">
        <v>2568</v>
      </c>
      <c r="E27" s="348">
        <v>224</v>
      </c>
      <c r="F27" s="244"/>
      <c r="G27" s="67">
        <f>E27-(E27*F27)</f>
        <v>224</v>
      </c>
      <c r="H27" s="93"/>
      <c r="I27" s="224"/>
      <c r="J27" s="288" t="s">
        <v>2540</v>
      </c>
      <c r="K27" s="13" t="s">
        <v>2541</v>
      </c>
      <c r="L27" s="13" t="s">
        <v>2542</v>
      </c>
      <c r="M27" s="237" t="s">
        <v>2587</v>
      </c>
      <c r="N27" s="248" t="s">
        <v>2588</v>
      </c>
      <c r="O27" s="436">
        <v>1</v>
      </c>
      <c r="P27" s="475" t="s">
        <v>2568</v>
      </c>
      <c r="Q27" s="348">
        <v>224</v>
      </c>
      <c r="R27" s="244"/>
      <c r="S27" s="67">
        <v>224</v>
      </c>
      <c r="T27" s="93"/>
      <c r="U27" s="224"/>
      <c r="V27" s="288" t="s">
        <v>2540</v>
      </c>
      <c r="W27" s="13" t="s">
        <v>2541</v>
      </c>
      <c r="X27" s="13" t="s">
        <v>2542</v>
      </c>
    </row>
    <row r="28" spans="1:24" s="1" customFormat="1">
      <c r="A28" s="237" t="s">
        <v>2589</v>
      </c>
      <c r="B28" s="248" t="s">
        <v>2590</v>
      </c>
      <c r="C28" s="436">
        <v>1</v>
      </c>
      <c r="D28" s="475" t="s">
        <v>2568</v>
      </c>
      <c r="E28" s="348">
        <v>360</v>
      </c>
      <c r="F28" s="244"/>
      <c r="G28" s="67">
        <f t="shared" ref="G28:G55" si="1">E28-(E28*F28)</f>
        <v>360</v>
      </c>
      <c r="H28" s="93"/>
      <c r="I28" s="224"/>
      <c r="J28" s="288" t="s">
        <v>2540</v>
      </c>
      <c r="K28" s="13" t="s">
        <v>2541</v>
      </c>
      <c r="L28" s="13" t="s">
        <v>2542</v>
      </c>
      <c r="M28" s="237" t="s">
        <v>2589</v>
      </c>
      <c r="N28" s="248" t="s">
        <v>2590</v>
      </c>
      <c r="O28" s="436">
        <v>1</v>
      </c>
      <c r="P28" s="475" t="s">
        <v>2568</v>
      </c>
      <c r="Q28" s="348">
        <v>360</v>
      </c>
      <c r="R28" s="244"/>
      <c r="S28" s="67">
        <v>360</v>
      </c>
      <c r="T28" s="93"/>
      <c r="U28" s="224"/>
      <c r="V28" s="288" t="s">
        <v>2540</v>
      </c>
      <c r="W28" s="13" t="s">
        <v>2541</v>
      </c>
      <c r="X28" s="13" t="s">
        <v>2542</v>
      </c>
    </row>
    <row r="29" spans="1:24" s="1" customFormat="1">
      <c r="A29" s="237" t="s">
        <v>2591</v>
      </c>
      <c r="B29" s="248" t="s">
        <v>2592</v>
      </c>
      <c r="C29" s="436">
        <v>1</v>
      </c>
      <c r="D29" s="475" t="s">
        <v>2568</v>
      </c>
      <c r="E29" s="348">
        <v>550</v>
      </c>
      <c r="F29" s="244"/>
      <c r="G29" s="67">
        <f t="shared" ref="G29" si="2">E29-(E29*F29)</f>
        <v>550</v>
      </c>
      <c r="H29" s="93"/>
      <c r="I29" s="224"/>
      <c r="J29" s="288" t="s">
        <v>2540</v>
      </c>
      <c r="K29" s="13" t="s">
        <v>2541</v>
      </c>
      <c r="L29" s="13" t="s">
        <v>2542</v>
      </c>
      <c r="M29" s="237" t="s">
        <v>2591</v>
      </c>
      <c r="N29" s="248" t="s">
        <v>2592</v>
      </c>
      <c r="O29" s="436">
        <v>1</v>
      </c>
      <c r="P29" s="475" t="s">
        <v>2568</v>
      </c>
      <c r="Q29" s="348">
        <v>550</v>
      </c>
      <c r="R29" s="244"/>
      <c r="S29" s="67">
        <v>550</v>
      </c>
      <c r="T29" s="93"/>
      <c r="U29" s="224"/>
      <c r="V29" s="288" t="s">
        <v>2540</v>
      </c>
      <c r="W29" s="13" t="s">
        <v>2541</v>
      </c>
      <c r="X29" s="13" t="s">
        <v>2542</v>
      </c>
    </row>
    <row r="30" spans="1:24" s="1" customFormat="1">
      <c r="A30" s="237" t="s">
        <v>2593</v>
      </c>
      <c r="B30" s="248" t="s">
        <v>2594</v>
      </c>
      <c r="C30" s="436">
        <v>1</v>
      </c>
      <c r="D30" s="475" t="s">
        <v>2568</v>
      </c>
      <c r="E30" s="348">
        <v>840</v>
      </c>
      <c r="F30" s="244"/>
      <c r="G30" s="67">
        <f t="shared" si="1"/>
        <v>840</v>
      </c>
      <c r="H30" s="93"/>
      <c r="I30" s="224"/>
      <c r="J30" s="288" t="s">
        <v>2540</v>
      </c>
      <c r="K30" s="13" t="s">
        <v>2541</v>
      </c>
      <c r="L30" s="13" t="s">
        <v>2542</v>
      </c>
      <c r="M30" s="237" t="s">
        <v>2593</v>
      </c>
      <c r="N30" s="248" t="s">
        <v>2594</v>
      </c>
      <c r="O30" s="436">
        <v>1</v>
      </c>
      <c r="P30" s="475" t="s">
        <v>2568</v>
      </c>
      <c r="Q30" s="348">
        <v>840</v>
      </c>
      <c r="R30" s="244"/>
      <c r="S30" s="67">
        <v>840</v>
      </c>
      <c r="T30" s="93"/>
      <c r="U30" s="224"/>
      <c r="V30" s="288" t="s">
        <v>2540</v>
      </c>
      <c r="W30" s="13" t="s">
        <v>2541</v>
      </c>
      <c r="X30" s="13" t="s">
        <v>2542</v>
      </c>
    </row>
    <row r="31" spans="1:24" s="1" customFormat="1">
      <c r="A31" s="237" t="s">
        <v>2595</v>
      </c>
      <c r="B31" s="248" t="s">
        <v>2596</v>
      </c>
      <c r="C31" s="436">
        <v>1</v>
      </c>
      <c r="D31" s="475" t="s">
        <v>2568</v>
      </c>
      <c r="E31" s="348">
        <v>360</v>
      </c>
      <c r="F31" s="244"/>
      <c r="G31" s="67">
        <f t="shared" si="1"/>
        <v>360</v>
      </c>
      <c r="H31" s="93"/>
      <c r="I31" s="224"/>
      <c r="J31" s="288" t="s">
        <v>2540</v>
      </c>
      <c r="K31" s="13" t="s">
        <v>2541</v>
      </c>
      <c r="L31" s="13" t="s">
        <v>2542</v>
      </c>
      <c r="M31" s="237" t="s">
        <v>2595</v>
      </c>
      <c r="N31" s="248" t="s">
        <v>2596</v>
      </c>
      <c r="O31" s="436">
        <v>1</v>
      </c>
      <c r="P31" s="475" t="s">
        <v>2568</v>
      </c>
      <c r="Q31" s="348">
        <v>360</v>
      </c>
      <c r="R31" s="244"/>
      <c r="S31" s="67">
        <v>360</v>
      </c>
      <c r="T31" s="93"/>
      <c r="U31" s="224"/>
      <c r="V31" s="288" t="s">
        <v>2540</v>
      </c>
      <c r="W31" s="13" t="s">
        <v>2541</v>
      </c>
      <c r="X31" s="13" t="s">
        <v>2542</v>
      </c>
    </row>
    <row r="32" spans="1:24" s="1" customFormat="1">
      <c r="A32" s="237" t="s">
        <v>2597</v>
      </c>
      <c r="B32" s="248" t="s">
        <v>2598</v>
      </c>
      <c r="C32" s="436">
        <v>1</v>
      </c>
      <c r="D32" s="475" t="s">
        <v>2568</v>
      </c>
      <c r="E32" s="348">
        <v>550</v>
      </c>
      <c r="F32" s="244"/>
      <c r="G32" s="67">
        <f t="shared" si="1"/>
        <v>550</v>
      </c>
      <c r="H32" s="93"/>
      <c r="I32" s="224"/>
      <c r="J32" s="288" t="s">
        <v>2540</v>
      </c>
      <c r="K32" s="13" t="s">
        <v>2541</v>
      </c>
      <c r="L32" s="13" t="s">
        <v>2542</v>
      </c>
      <c r="M32" s="237" t="s">
        <v>2597</v>
      </c>
      <c r="N32" s="248" t="s">
        <v>2598</v>
      </c>
      <c r="O32" s="436">
        <v>1</v>
      </c>
      <c r="P32" s="475" t="s">
        <v>2568</v>
      </c>
      <c r="Q32" s="348">
        <v>550</v>
      </c>
      <c r="R32" s="244"/>
      <c r="S32" s="67">
        <v>550</v>
      </c>
      <c r="T32" s="93"/>
      <c r="U32" s="224"/>
      <c r="V32" s="288" t="s">
        <v>2540</v>
      </c>
      <c r="W32" s="13" t="s">
        <v>2541</v>
      </c>
      <c r="X32" s="13" t="s">
        <v>2542</v>
      </c>
    </row>
    <row r="33" spans="1:24" s="1" customFormat="1">
      <c r="A33" s="237" t="s">
        <v>2599</v>
      </c>
      <c r="B33" s="248" t="s">
        <v>2600</v>
      </c>
      <c r="C33" s="436">
        <v>1</v>
      </c>
      <c r="D33" s="475" t="s">
        <v>2568</v>
      </c>
      <c r="E33" s="348">
        <v>840</v>
      </c>
      <c r="F33" s="244"/>
      <c r="G33" s="67">
        <f t="shared" si="1"/>
        <v>840</v>
      </c>
      <c r="H33" s="93"/>
      <c r="I33" s="224"/>
      <c r="J33" s="288" t="s">
        <v>2540</v>
      </c>
      <c r="K33" s="13" t="s">
        <v>2541</v>
      </c>
      <c r="L33" s="13" t="s">
        <v>2542</v>
      </c>
      <c r="M33" s="237" t="s">
        <v>2599</v>
      </c>
      <c r="N33" s="248" t="s">
        <v>2600</v>
      </c>
      <c r="O33" s="436">
        <v>1</v>
      </c>
      <c r="P33" s="475" t="s">
        <v>2568</v>
      </c>
      <c r="Q33" s="348">
        <v>840</v>
      </c>
      <c r="R33" s="244"/>
      <c r="S33" s="67">
        <v>840</v>
      </c>
      <c r="T33" s="93"/>
      <c r="U33" s="224"/>
      <c r="V33" s="288" t="s">
        <v>2540</v>
      </c>
      <c r="W33" s="13" t="s">
        <v>2541</v>
      </c>
      <c r="X33" s="13" t="s">
        <v>2542</v>
      </c>
    </row>
    <row r="34" spans="1:24" s="1" customFormat="1">
      <c r="A34" s="241" t="s">
        <v>2601</v>
      </c>
      <c r="B34" s="248" t="s">
        <v>2602</v>
      </c>
      <c r="C34" s="249">
        <v>1</v>
      </c>
      <c r="D34" s="272" t="s">
        <v>140</v>
      </c>
      <c r="E34" s="348">
        <v>1948</v>
      </c>
      <c r="F34" s="226"/>
      <c r="G34" s="67">
        <v>1948</v>
      </c>
      <c r="H34" s="93"/>
      <c r="I34" s="224"/>
      <c r="J34" s="288" t="s">
        <v>2540</v>
      </c>
      <c r="K34" s="13" t="s">
        <v>2541</v>
      </c>
      <c r="L34" s="13" t="s">
        <v>2542</v>
      </c>
      <c r="M34" s="241" t="s">
        <v>2601</v>
      </c>
      <c r="N34" s="248" t="s">
        <v>2602</v>
      </c>
      <c r="O34" s="249">
        <v>1</v>
      </c>
      <c r="P34" s="272" t="s">
        <v>140</v>
      </c>
      <c r="Q34" s="348">
        <v>1948</v>
      </c>
      <c r="R34" s="226"/>
      <c r="S34" s="67">
        <v>1948</v>
      </c>
      <c r="T34" s="93"/>
      <c r="U34" s="224"/>
      <c r="V34" s="288" t="s">
        <v>2540</v>
      </c>
      <c r="W34" s="13" t="s">
        <v>2541</v>
      </c>
      <c r="X34" s="13" t="s">
        <v>2542</v>
      </c>
    </row>
    <row r="35" spans="1:24" s="1" customFormat="1">
      <c r="A35" s="241" t="s">
        <v>2603</v>
      </c>
      <c r="B35" s="248" t="s">
        <v>2604</v>
      </c>
      <c r="C35" s="249">
        <v>1</v>
      </c>
      <c r="D35" s="272" t="s">
        <v>140</v>
      </c>
      <c r="E35" s="348">
        <v>650</v>
      </c>
      <c r="F35" s="226"/>
      <c r="G35" s="67">
        <v>650</v>
      </c>
      <c r="H35" s="93"/>
      <c r="I35" s="224"/>
      <c r="J35" s="288" t="s">
        <v>2540</v>
      </c>
      <c r="K35" s="13" t="s">
        <v>2541</v>
      </c>
      <c r="L35" s="13" t="s">
        <v>2542</v>
      </c>
      <c r="M35" s="241" t="s">
        <v>2603</v>
      </c>
      <c r="N35" s="248" t="s">
        <v>2604</v>
      </c>
      <c r="O35" s="249">
        <v>1</v>
      </c>
      <c r="P35" s="272" t="s">
        <v>140</v>
      </c>
      <c r="Q35" s="348">
        <v>650</v>
      </c>
      <c r="R35" s="226"/>
      <c r="S35" s="67">
        <v>650</v>
      </c>
      <c r="T35" s="93"/>
      <c r="U35" s="224"/>
      <c r="V35" s="288" t="s">
        <v>2540</v>
      </c>
      <c r="W35" s="13" t="s">
        <v>2541</v>
      </c>
      <c r="X35" s="13" t="s">
        <v>2542</v>
      </c>
    </row>
    <row r="36" spans="1:24" s="1" customFormat="1">
      <c r="A36" s="241" t="s">
        <v>2605</v>
      </c>
      <c r="B36" s="248" t="s">
        <v>2606</v>
      </c>
      <c r="C36" s="249">
        <v>1</v>
      </c>
      <c r="D36" s="272" t="s">
        <v>140</v>
      </c>
      <c r="E36" s="348">
        <v>325</v>
      </c>
      <c r="F36" s="226"/>
      <c r="G36" s="67">
        <v>325</v>
      </c>
      <c r="H36" s="93"/>
      <c r="I36" s="224"/>
      <c r="J36" s="288" t="s">
        <v>2540</v>
      </c>
      <c r="K36" s="13" t="s">
        <v>2541</v>
      </c>
      <c r="L36" s="13" t="s">
        <v>2542</v>
      </c>
      <c r="M36" s="241" t="s">
        <v>2605</v>
      </c>
      <c r="N36" s="248" t="s">
        <v>2606</v>
      </c>
      <c r="O36" s="249">
        <v>1</v>
      </c>
      <c r="P36" s="272" t="s">
        <v>140</v>
      </c>
      <c r="Q36" s="348">
        <v>325</v>
      </c>
      <c r="R36" s="226"/>
      <c r="S36" s="67">
        <v>325</v>
      </c>
      <c r="T36" s="93"/>
      <c r="U36" s="224"/>
      <c r="V36" s="288" t="s">
        <v>2540</v>
      </c>
      <c r="W36" s="13" t="s">
        <v>2541</v>
      </c>
      <c r="X36" s="13" t="s">
        <v>2542</v>
      </c>
    </row>
    <row r="37" spans="1:24" s="1" customFormat="1">
      <c r="A37" s="241" t="s">
        <v>2607</v>
      </c>
      <c r="B37" s="248" t="s">
        <v>2608</v>
      </c>
      <c r="C37" s="249">
        <v>1</v>
      </c>
      <c r="D37" s="272" t="s">
        <v>140</v>
      </c>
      <c r="E37" s="348">
        <v>1250</v>
      </c>
      <c r="F37" s="244"/>
      <c r="G37" s="67">
        <v>1250</v>
      </c>
      <c r="H37" s="93"/>
      <c r="I37" s="224"/>
      <c r="J37" s="288" t="s">
        <v>2540</v>
      </c>
      <c r="K37" s="13" t="s">
        <v>2541</v>
      </c>
      <c r="L37" s="13" t="s">
        <v>2542</v>
      </c>
      <c r="M37" s="241" t="s">
        <v>2607</v>
      </c>
      <c r="N37" s="248" t="s">
        <v>2608</v>
      </c>
      <c r="O37" s="249">
        <v>1</v>
      </c>
      <c r="P37" s="272" t="s">
        <v>140</v>
      </c>
      <c r="Q37" s="348">
        <v>1250</v>
      </c>
      <c r="R37" s="244"/>
      <c r="S37" s="67">
        <v>1250</v>
      </c>
      <c r="T37" s="93"/>
      <c r="U37" s="224"/>
      <c r="V37" s="288" t="s">
        <v>2540</v>
      </c>
      <c r="W37" s="13" t="s">
        <v>2541</v>
      </c>
      <c r="X37" s="13" t="s">
        <v>2542</v>
      </c>
    </row>
    <row r="38" spans="1:24" s="1" customFormat="1">
      <c r="A38" s="241" t="s">
        <v>2609</v>
      </c>
      <c r="B38" s="248" t="s">
        <v>2610</v>
      </c>
      <c r="C38" s="249">
        <v>1</v>
      </c>
      <c r="D38" s="272" t="s">
        <v>140</v>
      </c>
      <c r="E38" s="348">
        <v>650</v>
      </c>
      <c r="F38" s="244"/>
      <c r="G38" s="67">
        <v>650</v>
      </c>
      <c r="H38" s="93"/>
      <c r="I38" s="224"/>
      <c r="J38" s="288" t="s">
        <v>2540</v>
      </c>
      <c r="K38" s="13" t="s">
        <v>2541</v>
      </c>
      <c r="L38" s="13" t="s">
        <v>2542</v>
      </c>
      <c r="M38" s="241" t="s">
        <v>2609</v>
      </c>
      <c r="N38" s="248" t="s">
        <v>2610</v>
      </c>
      <c r="O38" s="249">
        <v>1</v>
      </c>
      <c r="P38" s="272" t="s">
        <v>140</v>
      </c>
      <c r="Q38" s="348">
        <v>650</v>
      </c>
      <c r="R38" s="244"/>
      <c r="S38" s="67">
        <v>650</v>
      </c>
      <c r="T38" s="93"/>
      <c r="U38" s="224"/>
      <c r="V38" s="288" t="s">
        <v>2540</v>
      </c>
      <c r="W38" s="13" t="s">
        <v>2541</v>
      </c>
      <c r="X38" s="13" t="s">
        <v>2542</v>
      </c>
    </row>
    <row r="39" spans="1:24" s="1" customFormat="1">
      <c r="A39" s="241" t="s">
        <v>2611</v>
      </c>
      <c r="B39" s="248" t="s">
        <v>2612</v>
      </c>
      <c r="C39" s="249">
        <v>1</v>
      </c>
      <c r="D39" s="272" t="s">
        <v>140</v>
      </c>
      <c r="E39" s="348">
        <v>2200</v>
      </c>
      <c r="F39" s="244"/>
      <c r="G39" s="67">
        <v>2200</v>
      </c>
      <c r="H39" s="93"/>
      <c r="I39" s="224"/>
      <c r="J39" s="288" t="s">
        <v>2540</v>
      </c>
      <c r="K39" s="13" t="s">
        <v>2541</v>
      </c>
      <c r="L39" s="13" t="s">
        <v>2542</v>
      </c>
      <c r="M39" s="241" t="s">
        <v>2611</v>
      </c>
      <c r="N39" s="248" t="s">
        <v>2612</v>
      </c>
      <c r="O39" s="249">
        <v>1</v>
      </c>
      <c r="P39" s="272" t="s">
        <v>140</v>
      </c>
      <c r="Q39" s="348">
        <v>2200</v>
      </c>
      <c r="R39" s="244"/>
      <c r="S39" s="67">
        <v>2200</v>
      </c>
      <c r="T39" s="93"/>
      <c r="U39" s="224"/>
      <c r="V39" s="288" t="s">
        <v>2540</v>
      </c>
      <c r="W39" s="13" t="s">
        <v>2541</v>
      </c>
      <c r="X39" s="13" t="s">
        <v>2542</v>
      </c>
    </row>
    <row r="40" spans="1:24" s="1" customFormat="1">
      <c r="A40" s="241" t="s">
        <v>2613</v>
      </c>
      <c r="B40" s="248" t="s">
        <v>2614</v>
      </c>
      <c r="C40" s="249">
        <v>1</v>
      </c>
      <c r="D40" s="272" t="s">
        <v>140</v>
      </c>
      <c r="E40" s="348">
        <v>3200</v>
      </c>
      <c r="F40" s="244"/>
      <c r="G40" s="67">
        <v>3200</v>
      </c>
      <c r="H40" s="93"/>
      <c r="I40" s="224"/>
      <c r="J40" s="288" t="s">
        <v>2540</v>
      </c>
      <c r="K40" s="13" t="s">
        <v>2541</v>
      </c>
      <c r="L40" s="13" t="s">
        <v>2542</v>
      </c>
      <c r="M40" s="241" t="s">
        <v>2613</v>
      </c>
      <c r="N40" s="248" t="s">
        <v>2614</v>
      </c>
      <c r="O40" s="249">
        <v>1</v>
      </c>
      <c r="P40" s="272" t="s">
        <v>140</v>
      </c>
      <c r="Q40" s="348">
        <v>3200</v>
      </c>
      <c r="R40" s="244"/>
      <c r="S40" s="67">
        <v>3200</v>
      </c>
      <c r="T40" s="93"/>
      <c r="U40" s="224"/>
      <c r="V40" s="288" t="s">
        <v>2540</v>
      </c>
      <c r="W40" s="13" t="s">
        <v>2541</v>
      </c>
      <c r="X40" s="13" t="s">
        <v>2542</v>
      </c>
    </row>
    <row r="41" spans="1:24" s="1" customFormat="1">
      <c r="A41" s="241" t="s">
        <v>2615</v>
      </c>
      <c r="B41" s="248" t="s">
        <v>2616</v>
      </c>
      <c r="C41" s="249">
        <v>1</v>
      </c>
      <c r="D41" s="272" t="s">
        <v>140</v>
      </c>
      <c r="E41" s="348">
        <v>1250</v>
      </c>
      <c r="F41" s="244"/>
      <c r="G41" s="67">
        <v>1250</v>
      </c>
      <c r="H41" s="93"/>
      <c r="I41" s="224"/>
      <c r="J41" s="288" t="s">
        <v>2540</v>
      </c>
      <c r="K41" s="13" t="s">
        <v>2541</v>
      </c>
      <c r="L41" s="13" t="s">
        <v>2542</v>
      </c>
      <c r="M41" s="241" t="s">
        <v>2615</v>
      </c>
      <c r="N41" s="248" t="s">
        <v>2616</v>
      </c>
      <c r="O41" s="249">
        <v>1</v>
      </c>
      <c r="P41" s="272" t="s">
        <v>140</v>
      </c>
      <c r="Q41" s="348">
        <v>1250</v>
      </c>
      <c r="R41" s="244"/>
      <c r="S41" s="67">
        <v>1250</v>
      </c>
      <c r="T41" s="93"/>
      <c r="U41" s="224"/>
      <c r="V41" s="288" t="s">
        <v>2540</v>
      </c>
      <c r="W41" s="13" t="s">
        <v>2541</v>
      </c>
      <c r="X41" s="13" t="s">
        <v>2542</v>
      </c>
    </row>
    <row r="42" spans="1:24" s="1" customFormat="1">
      <c r="A42" s="241">
        <v>2821202120</v>
      </c>
      <c r="B42" s="248" t="s">
        <v>2617</v>
      </c>
      <c r="C42" s="249">
        <v>1</v>
      </c>
      <c r="D42" s="272" t="s">
        <v>2015</v>
      </c>
      <c r="E42" s="348">
        <v>1600</v>
      </c>
      <c r="F42" s="226"/>
      <c r="G42" s="67">
        <f t="shared" ref="G42" si="3">E42-(E42*F42)</f>
        <v>1600</v>
      </c>
      <c r="H42" s="93"/>
      <c r="I42" s="224"/>
      <c r="J42" s="288" t="s">
        <v>2540</v>
      </c>
      <c r="K42" s="13" t="s">
        <v>2541</v>
      </c>
      <c r="L42" s="13" t="s">
        <v>2542</v>
      </c>
      <c r="M42" s="241">
        <v>2821202120</v>
      </c>
      <c r="N42" s="248" t="s">
        <v>2617</v>
      </c>
      <c r="O42" s="249">
        <v>1</v>
      </c>
      <c r="P42" s="272" t="s">
        <v>2015</v>
      </c>
      <c r="Q42" s="348">
        <v>1600</v>
      </c>
      <c r="R42" s="226">
        <v>0.2</v>
      </c>
      <c r="S42" s="67">
        <v>1280</v>
      </c>
      <c r="T42" s="93"/>
      <c r="U42" s="224"/>
      <c r="V42" s="288" t="s">
        <v>2540</v>
      </c>
      <c r="W42" s="13" t="s">
        <v>2541</v>
      </c>
      <c r="X42" s="13" t="s">
        <v>2542</v>
      </c>
    </row>
    <row r="43" spans="1:24" s="1" customFormat="1">
      <c r="A43" s="527" t="s">
        <v>2618</v>
      </c>
      <c r="B43" s="528" t="s">
        <v>2619</v>
      </c>
      <c r="C43" s="529">
        <v>1</v>
      </c>
      <c r="D43" s="530" t="s">
        <v>140</v>
      </c>
      <c r="E43" s="531">
        <v>782.67</v>
      </c>
      <c r="F43" s="532"/>
      <c r="G43" s="483">
        <f t="shared" si="1"/>
        <v>782.67</v>
      </c>
      <c r="H43" s="482"/>
      <c r="I43" s="483"/>
      <c r="J43" s="639" t="s">
        <v>2540</v>
      </c>
      <c r="K43" s="484" t="s">
        <v>2541</v>
      </c>
      <c r="L43" s="485" t="s">
        <v>2542</v>
      </c>
      <c r="M43" s="527" t="s">
        <v>2618</v>
      </c>
      <c r="N43" s="528" t="s">
        <v>2619</v>
      </c>
      <c r="O43" s="529">
        <v>1</v>
      </c>
      <c r="P43" s="530" t="s">
        <v>140</v>
      </c>
      <c r="Q43" s="531">
        <v>782.67</v>
      </c>
      <c r="R43" s="532"/>
      <c r="S43" s="483">
        <v>782.67</v>
      </c>
      <c r="T43" s="482"/>
      <c r="U43" s="483"/>
      <c r="V43" s="639" t="s">
        <v>2540</v>
      </c>
      <c r="W43" s="484" t="s">
        <v>2541</v>
      </c>
      <c r="X43" s="485" t="s">
        <v>2542</v>
      </c>
    </row>
    <row r="44" spans="1:24" s="1" customFormat="1" ht="15">
      <c r="A44" s="237" t="s">
        <v>2620</v>
      </c>
      <c r="B44" s="248" t="s">
        <v>2621</v>
      </c>
      <c r="C44" s="533">
        <v>1</v>
      </c>
      <c r="D44" s="475" t="s">
        <v>140</v>
      </c>
      <c r="E44" s="348">
        <v>391.3</v>
      </c>
      <c r="F44" s="534"/>
      <c r="G44" s="224">
        <f t="shared" ref="G44" si="4">E44-(E44*F44)</f>
        <v>391.3</v>
      </c>
      <c r="H44" s="93"/>
      <c r="I44" s="224"/>
      <c r="J44" s="288" t="s">
        <v>2540</v>
      </c>
      <c r="K44" s="13" t="s">
        <v>2541</v>
      </c>
      <c r="L44" s="13" t="s">
        <v>2542</v>
      </c>
      <c r="M44" s="237" t="s">
        <v>2620</v>
      </c>
      <c r="N44" s="248" t="s">
        <v>2621</v>
      </c>
      <c r="O44" s="533">
        <v>1</v>
      </c>
      <c r="P44" s="475" t="s">
        <v>140</v>
      </c>
      <c r="Q44" s="348">
        <v>391.3</v>
      </c>
      <c r="R44" s="534"/>
      <c r="S44" s="224">
        <v>391.3</v>
      </c>
      <c r="T44" s="93"/>
      <c r="U44" s="224"/>
      <c r="V44" s="288" t="s">
        <v>2540</v>
      </c>
      <c r="W44" s="13" t="s">
        <v>2541</v>
      </c>
      <c r="X44" s="13" t="s">
        <v>2542</v>
      </c>
    </row>
    <row r="45" spans="1:24" s="1" customFormat="1">
      <c r="A45" s="237" t="s">
        <v>2622</v>
      </c>
      <c r="B45" s="248" t="s">
        <v>2623</v>
      </c>
      <c r="C45" s="436">
        <v>1</v>
      </c>
      <c r="D45" s="475" t="s">
        <v>140</v>
      </c>
      <c r="E45" s="348">
        <v>86.67</v>
      </c>
      <c r="F45" s="244"/>
      <c r="G45" s="67">
        <f t="shared" si="1"/>
        <v>86.67</v>
      </c>
      <c r="H45" s="93"/>
      <c r="I45" s="224"/>
      <c r="J45" s="288" t="s">
        <v>2540</v>
      </c>
      <c r="K45" s="13" t="s">
        <v>2541</v>
      </c>
      <c r="L45" s="13" t="s">
        <v>2542</v>
      </c>
      <c r="M45" s="237" t="s">
        <v>2622</v>
      </c>
      <c r="N45" s="248" t="s">
        <v>2623</v>
      </c>
      <c r="O45" s="436">
        <v>1</v>
      </c>
      <c r="P45" s="475" t="s">
        <v>140</v>
      </c>
      <c r="Q45" s="348">
        <v>86.67</v>
      </c>
      <c r="R45" s="244"/>
      <c r="S45" s="67">
        <v>86.67</v>
      </c>
      <c r="T45" s="93"/>
      <c r="U45" s="224"/>
      <c r="V45" s="288" t="s">
        <v>2540</v>
      </c>
      <c r="W45" s="13" t="s">
        <v>2541</v>
      </c>
      <c r="X45" s="13" t="s">
        <v>2542</v>
      </c>
    </row>
    <row r="46" spans="1:24" s="1" customFormat="1">
      <c r="A46" s="237" t="s">
        <v>2624</v>
      </c>
      <c r="B46" s="248" t="s">
        <v>2625</v>
      </c>
      <c r="C46" s="436">
        <v>1</v>
      </c>
      <c r="D46" s="475" t="s">
        <v>140</v>
      </c>
      <c r="E46" s="348">
        <v>326.67</v>
      </c>
      <c r="F46" s="244"/>
      <c r="G46" s="67">
        <f t="shared" si="1"/>
        <v>326.67</v>
      </c>
      <c r="H46" s="93"/>
      <c r="I46" s="224"/>
      <c r="J46" s="288" t="s">
        <v>2540</v>
      </c>
      <c r="K46" s="13" t="s">
        <v>2541</v>
      </c>
      <c r="L46" s="13" t="s">
        <v>2542</v>
      </c>
      <c r="M46" s="237" t="s">
        <v>2624</v>
      </c>
      <c r="N46" s="248" t="s">
        <v>2625</v>
      </c>
      <c r="O46" s="436">
        <v>1</v>
      </c>
      <c r="P46" s="475" t="s">
        <v>140</v>
      </c>
      <c r="Q46" s="348">
        <v>326.67</v>
      </c>
      <c r="R46" s="244"/>
      <c r="S46" s="67">
        <v>326.67</v>
      </c>
      <c r="T46" s="93"/>
      <c r="U46" s="224"/>
      <c r="V46" s="288" t="s">
        <v>2540</v>
      </c>
      <c r="W46" s="13" t="s">
        <v>2541</v>
      </c>
      <c r="X46" s="13" t="s">
        <v>2542</v>
      </c>
    </row>
    <row r="47" spans="1:24" s="1" customFormat="1">
      <c r="A47" s="237" t="s">
        <v>2626</v>
      </c>
      <c r="B47" s="248" t="s">
        <v>2627</v>
      </c>
      <c r="C47" s="436">
        <v>1</v>
      </c>
      <c r="D47" s="475" t="s">
        <v>140</v>
      </c>
      <c r="E47" s="348">
        <v>649.33000000000004</v>
      </c>
      <c r="F47" s="244"/>
      <c r="G47" s="67">
        <f t="shared" si="1"/>
        <v>649.33000000000004</v>
      </c>
      <c r="H47" s="93"/>
      <c r="I47" s="224"/>
      <c r="J47" s="288" t="s">
        <v>2540</v>
      </c>
      <c r="K47" s="13" t="s">
        <v>2541</v>
      </c>
      <c r="L47" s="13" t="s">
        <v>2542</v>
      </c>
      <c r="M47" s="237" t="s">
        <v>2626</v>
      </c>
      <c r="N47" s="248" t="s">
        <v>2627</v>
      </c>
      <c r="O47" s="436">
        <v>1</v>
      </c>
      <c r="P47" s="475" t="s">
        <v>140</v>
      </c>
      <c r="Q47" s="348">
        <v>649.33000000000004</v>
      </c>
      <c r="R47" s="244"/>
      <c r="S47" s="67">
        <v>649.33000000000004</v>
      </c>
      <c r="T47" s="93"/>
      <c r="U47" s="224"/>
      <c r="V47" s="288" t="s">
        <v>2540</v>
      </c>
      <c r="W47" s="13" t="s">
        <v>2541</v>
      </c>
      <c r="X47" s="13" t="s">
        <v>2542</v>
      </c>
    </row>
    <row r="48" spans="1:24" s="1" customFormat="1">
      <c r="A48" s="237" t="s">
        <v>2628</v>
      </c>
      <c r="B48" s="248" t="s">
        <v>2629</v>
      </c>
      <c r="C48" s="436">
        <v>1</v>
      </c>
      <c r="D48" s="475" t="s">
        <v>140</v>
      </c>
      <c r="E48" s="348">
        <v>173.33</v>
      </c>
      <c r="F48" s="244"/>
      <c r="G48" s="67">
        <f t="shared" si="1"/>
        <v>173.33</v>
      </c>
      <c r="H48" s="93"/>
      <c r="I48" s="224"/>
      <c r="J48" s="288" t="s">
        <v>2540</v>
      </c>
      <c r="K48" s="13" t="s">
        <v>2541</v>
      </c>
      <c r="L48" s="13" t="s">
        <v>2542</v>
      </c>
      <c r="M48" s="237" t="s">
        <v>2628</v>
      </c>
      <c r="N48" s="248" t="s">
        <v>2629</v>
      </c>
      <c r="O48" s="436">
        <v>1</v>
      </c>
      <c r="P48" s="475" t="s">
        <v>140</v>
      </c>
      <c r="Q48" s="348">
        <v>173.33</v>
      </c>
      <c r="R48" s="244"/>
      <c r="S48" s="67">
        <v>173.33</v>
      </c>
      <c r="T48" s="93"/>
      <c r="U48" s="224"/>
      <c r="V48" s="288" t="s">
        <v>2540</v>
      </c>
      <c r="W48" s="13" t="s">
        <v>2541</v>
      </c>
      <c r="X48" s="13" t="s">
        <v>2542</v>
      </c>
    </row>
    <row r="49" spans="1:24" s="1" customFormat="1">
      <c r="A49" s="237" t="s">
        <v>2630</v>
      </c>
      <c r="B49" s="248" t="s">
        <v>2631</v>
      </c>
      <c r="C49" s="436">
        <v>1</v>
      </c>
      <c r="D49" s="475" t="s">
        <v>140</v>
      </c>
      <c r="E49" s="348">
        <v>11072</v>
      </c>
      <c r="F49" s="244"/>
      <c r="G49" s="67">
        <f t="shared" si="1"/>
        <v>11072</v>
      </c>
      <c r="H49" s="93"/>
      <c r="I49" s="224"/>
      <c r="J49" s="288" t="s">
        <v>2540</v>
      </c>
      <c r="K49" s="13" t="s">
        <v>2541</v>
      </c>
      <c r="L49" s="13" t="s">
        <v>2542</v>
      </c>
      <c r="M49" s="237" t="s">
        <v>2630</v>
      </c>
      <c r="N49" s="248" t="s">
        <v>2631</v>
      </c>
      <c r="O49" s="436">
        <v>1</v>
      </c>
      <c r="P49" s="475" t="s">
        <v>140</v>
      </c>
      <c r="Q49" s="348">
        <v>11072</v>
      </c>
      <c r="R49" s="244"/>
      <c r="S49" s="67">
        <v>11072</v>
      </c>
      <c r="T49" s="93"/>
      <c r="U49" s="224"/>
      <c r="V49" s="288" t="s">
        <v>2540</v>
      </c>
      <c r="W49" s="13" t="s">
        <v>2541</v>
      </c>
      <c r="X49" s="13" t="s">
        <v>2542</v>
      </c>
    </row>
    <row r="50" spans="1:24" s="1" customFormat="1">
      <c r="A50" s="237" t="s">
        <v>2632</v>
      </c>
      <c r="B50" s="248" t="s">
        <v>2633</v>
      </c>
      <c r="C50" s="436">
        <v>1</v>
      </c>
      <c r="D50" s="475" t="s">
        <v>2634</v>
      </c>
      <c r="E50" s="348">
        <v>6.67</v>
      </c>
      <c r="F50" s="244"/>
      <c r="G50" s="67">
        <f t="shared" si="1"/>
        <v>6.67</v>
      </c>
      <c r="H50" s="93"/>
      <c r="I50" s="224"/>
      <c r="J50" s="288" t="s">
        <v>2540</v>
      </c>
      <c r="K50" s="13" t="s">
        <v>2541</v>
      </c>
      <c r="L50" s="13" t="s">
        <v>2542</v>
      </c>
      <c r="M50" s="237" t="s">
        <v>2632</v>
      </c>
      <c r="N50" s="248" t="s">
        <v>2633</v>
      </c>
      <c r="O50" s="436">
        <v>1</v>
      </c>
      <c r="P50" s="475" t="s">
        <v>2634</v>
      </c>
      <c r="Q50" s="348">
        <v>6.67</v>
      </c>
      <c r="R50" s="244"/>
      <c r="S50" s="67">
        <v>6.67</v>
      </c>
      <c r="T50" s="93"/>
      <c r="U50" s="224"/>
      <c r="V50" s="288" t="s">
        <v>2540</v>
      </c>
      <c r="W50" s="13" t="s">
        <v>2541</v>
      </c>
      <c r="X50" s="13" t="s">
        <v>2542</v>
      </c>
    </row>
    <row r="51" spans="1:24" s="1" customFormat="1">
      <c r="A51" s="237" t="s">
        <v>2635</v>
      </c>
      <c r="B51" s="248" t="s">
        <v>2636</v>
      </c>
      <c r="C51" s="436">
        <v>1</v>
      </c>
      <c r="D51" s="475" t="s">
        <v>2634</v>
      </c>
      <c r="E51" s="348">
        <v>440</v>
      </c>
      <c r="F51" s="244"/>
      <c r="G51" s="67">
        <f t="shared" si="1"/>
        <v>440</v>
      </c>
      <c r="H51" s="93"/>
      <c r="I51" s="224"/>
      <c r="J51" s="288" t="s">
        <v>2540</v>
      </c>
      <c r="K51" s="13" t="s">
        <v>2541</v>
      </c>
      <c r="L51" s="13" t="s">
        <v>2542</v>
      </c>
      <c r="M51" s="237" t="s">
        <v>2635</v>
      </c>
      <c r="N51" s="248" t="s">
        <v>2636</v>
      </c>
      <c r="O51" s="436">
        <v>1</v>
      </c>
      <c r="P51" s="475" t="s">
        <v>2634</v>
      </c>
      <c r="Q51" s="348">
        <v>440</v>
      </c>
      <c r="R51" s="244"/>
      <c r="S51" s="67">
        <v>440</v>
      </c>
      <c r="T51" s="93"/>
      <c r="U51" s="224"/>
      <c r="V51" s="288" t="s">
        <v>2540</v>
      </c>
      <c r="W51" s="13" t="s">
        <v>2541</v>
      </c>
      <c r="X51" s="13" t="s">
        <v>2542</v>
      </c>
    </row>
    <row r="52" spans="1:24" s="1" customFormat="1">
      <c r="A52" s="237" t="s">
        <v>2637</v>
      </c>
      <c r="B52" s="248" t="s">
        <v>2638</v>
      </c>
      <c r="C52" s="436">
        <v>1</v>
      </c>
      <c r="D52" s="475" t="s">
        <v>2634</v>
      </c>
      <c r="E52" s="348">
        <v>600</v>
      </c>
      <c r="F52" s="244"/>
      <c r="G52" s="67">
        <f t="shared" si="1"/>
        <v>600</v>
      </c>
      <c r="H52" s="93"/>
      <c r="I52" s="224"/>
      <c r="J52" s="288" t="s">
        <v>2540</v>
      </c>
      <c r="K52" s="13" t="s">
        <v>2541</v>
      </c>
      <c r="L52" s="13" t="s">
        <v>2542</v>
      </c>
      <c r="M52" s="237" t="s">
        <v>2637</v>
      </c>
      <c r="N52" s="248" t="s">
        <v>2638</v>
      </c>
      <c r="O52" s="436">
        <v>1</v>
      </c>
      <c r="P52" s="475" t="s">
        <v>2634</v>
      </c>
      <c r="Q52" s="348">
        <v>600</v>
      </c>
      <c r="R52" s="244"/>
      <c r="S52" s="67">
        <v>600</v>
      </c>
      <c r="T52" s="93"/>
      <c r="U52" s="224"/>
      <c r="V52" s="288" t="s">
        <v>2540</v>
      </c>
      <c r="W52" s="13" t="s">
        <v>2541</v>
      </c>
      <c r="X52" s="13" t="s">
        <v>2542</v>
      </c>
    </row>
    <row r="53" spans="1:24" s="1" customFormat="1">
      <c r="A53" s="237" t="s">
        <v>2639</v>
      </c>
      <c r="B53" s="248" t="s">
        <v>2640</v>
      </c>
      <c r="C53" s="436">
        <v>1</v>
      </c>
      <c r="D53" s="475" t="s">
        <v>2634</v>
      </c>
      <c r="E53" s="348">
        <v>520</v>
      </c>
      <c r="F53" s="244"/>
      <c r="G53" s="67">
        <f t="shared" si="1"/>
        <v>520</v>
      </c>
      <c r="H53" s="93"/>
      <c r="I53" s="224"/>
      <c r="J53" s="288" t="s">
        <v>2540</v>
      </c>
      <c r="K53" s="13" t="s">
        <v>2541</v>
      </c>
      <c r="L53" s="13" t="s">
        <v>2542</v>
      </c>
      <c r="M53" s="237" t="s">
        <v>2639</v>
      </c>
      <c r="N53" s="248" t="s">
        <v>2640</v>
      </c>
      <c r="O53" s="436">
        <v>1</v>
      </c>
      <c r="P53" s="475" t="s">
        <v>2634</v>
      </c>
      <c r="Q53" s="348">
        <v>520</v>
      </c>
      <c r="R53" s="244"/>
      <c r="S53" s="67">
        <v>520</v>
      </c>
      <c r="T53" s="93"/>
      <c r="U53" s="224"/>
      <c r="V53" s="288" t="s">
        <v>2540</v>
      </c>
      <c r="W53" s="13" t="s">
        <v>2541</v>
      </c>
      <c r="X53" s="13" t="s">
        <v>2542</v>
      </c>
    </row>
    <row r="54" spans="1:24" s="1" customFormat="1">
      <c r="A54" s="237" t="s">
        <v>2641</v>
      </c>
      <c r="B54" s="248" t="s">
        <v>2642</v>
      </c>
      <c r="C54" s="436">
        <v>1</v>
      </c>
      <c r="D54" s="475" t="s">
        <v>2634</v>
      </c>
      <c r="E54" s="348">
        <v>1106.67</v>
      </c>
      <c r="F54" s="244"/>
      <c r="G54" s="67">
        <f t="shared" si="1"/>
        <v>1106.67</v>
      </c>
      <c r="H54" s="93"/>
      <c r="I54" s="224"/>
      <c r="J54" s="288" t="s">
        <v>2540</v>
      </c>
      <c r="K54" s="13" t="s">
        <v>2541</v>
      </c>
      <c r="L54" s="13" t="s">
        <v>2542</v>
      </c>
      <c r="M54" s="237" t="s">
        <v>2641</v>
      </c>
      <c r="N54" s="248" t="s">
        <v>2642</v>
      </c>
      <c r="O54" s="436">
        <v>1</v>
      </c>
      <c r="P54" s="475" t="s">
        <v>2634</v>
      </c>
      <c r="Q54" s="348">
        <v>1106.67</v>
      </c>
      <c r="R54" s="244"/>
      <c r="S54" s="67">
        <v>1106.67</v>
      </c>
      <c r="T54" s="93"/>
      <c r="U54" s="224"/>
      <c r="V54" s="288" t="s">
        <v>2540</v>
      </c>
      <c r="W54" s="13" t="s">
        <v>2541</v>
      </c>
      <c r="X54" s="13" t="s">
        <v>2542</v>
      </c>
    </row>
    <row r="55" spans="1:24" s="1" customFormat="1">
      <c r="A55" s="237" t="s">
        <v>2643</v>
      </c>
      <c r="B55" s="248" t="s">
        <v>2644</v>
      </c>
      <c r="C55" s="436">
        <v>1</v>
      </c>
      <c r="D55" s="475" t="s">
        <v>2634</v>
      </c>
      <c r="E55" s="348">
        <v>333.33</v>
      </c>
      <c r="F55" s="244"/>
      <c r="G55" s="67">
        <f t="shared" si="1"/>
        <v>333.33</v>
      </c>
      <c r="H55" s="93"/>
      <c r="I55" s="224"/>
      <c r="J55" s="288" t="s">
        <v>2540</v>
      </c>
      <c r="K55" s="13" t="s">
        <v>2541</v>
      </c>
      <c r="L55" s="13" t="s">
        <v>2542</v>
      </c>
      <c r="M55" s="237" t="s">
        <v>2643</v>
      </c>
      <c r="N55" s="248" t="s">
        <v>2644</v>
      </c>
      <c r="O55" s="436">
        <v>1</v>
      </c>
      <c r="P55" s="475" t="s">
        <v>2634</v>
      </c>
      <c r="Q55" s="348">
        <v>333.33</v>
      </c>
      <c r="R55" s="244"/>
      <c r="S55" s="67">
        <v>333.33</v>
      </c>
      <c r="T55" s="93"/>
      <c r="U55" s="224"/>
      <c r="V55" s="288" t="s">
        <v>2540</v>
      </c>
      <c r="W55" s="13" t="s">
        <v>2541</v>
      </c>
      <c r="X55" s="13" t="s">
        <v>2542</v>
      </c>
    </row>
    <row r="56" spans="1:24" s="1" customFormat="1">
      <c r="A56" s="237" t="s">
        <v>2645</v>
      </c>
      <c r="B56" s="248" t="s">
        <v>2646</v>
      </c>
      <c r="C56" s="436">
        <v>1</v>
      </c>
      <c r="D56" s="475" t="s">
        <v>2634</v>
      </c>
      <c r="E56" s="348">
        <v>326.67</v>
      </c>
      <c r="F56" s="244"/>
      <c r="G56" s="67">
        <f t="shared" ref="G56:G71" si="5">E56-(E56*F56)</f>
        <v>326.67</v>
      </c>
      <c r="H56" s="93"/>
      <c r="I56" s="224"/>
      <c r="J56" s="288" t="s">
        <v>2540</v>
      </c>
      <c r="K56" s="13" t="s">
        <v>2541</v>
      </c>
      <c r="L56" s="13" t="s">
        <v>2542</v>
      </c>
      <c r="M56" s="237" t="s">
        <v>2645</v>
      </c>
      <c r="N56" s="248" t="s">
        <v>2646</v>
      </c>
      <c r="O56" s="436">
        <v>1</v>
      </c>
      <c r="P56" s="475" t="s">
        <v>2634</v>
      </c>
      <c r="Q56" s="348">
        <v>326.67</v>
      </c>
      <c r="R56" s="244"/>
      <c r="S56" s="67">
        <v>326.67</v>
      </c>
      <c r="T56" s="93"/>
      <c r="U56" s="224"/>
      <c r="V56" s="288" t="s">
        <v>2540</v>
      </c>
      <c r="W56" s="13" t="s">
        <v>2541</v>
      </c>
      <c r="X56" s="13" t="s">
        <v>2542</v>
      </c>
    </row>
    <row r="57" spans="1:24" s="1" customFormat="1">
      <c r="A57" s="237" t="s">
        <v>2647</v>
      </c>
      <c r="B57" s="248" t="s">
        <v>2648</v>
      </c>
      <c r="C57" s="436">
        <v>1</v>
      </c>
      <c r="D57" s="475" t="s">
        <v>2634</v>
      </c>
      <c r="E57" s="348">
        <v>126.67</v>
      </c>
      <c r="F57" s="244"/>
      <c r="G57" s="67">
        <f t="shared" si="5"/>
        <v>126.67</v>
      </c>
      <c r="H57" s="93"/>
      <c r="I57" s="224"/>
      <c r="J57" s="288" t="s">
        <v>2540</v>
      </c>
      <c r="K57" s="13" t="s">
        <v>2541</v>
      </c>
      <c r="L57" s="13" t="s">
        <v>2542</v>
      </c>
      <c r="M57" s="237" t="s">
        <v>2647</v>
      </c>
      <c r="N57" s="248" t="s">
        <v>2648</v>
      </c>
      <c r="O57" s="436">
        <v>1</v>
      </c>
      <c r="P57" s="475" t="s">
        <v>2634</v>
      </c>
      <c r="Q57" s="348">
        <v>126.67</v>
      </c>
      <c r="R57" s="244"/>
      <c r="S57" s="67">
        <v>126.67</v>
      </c>
      <c r="T57" s="93"/>
      <c r="U57" s="224"/>
      <c r="V57" s="288" t="s">
        <v>2540</v>
      </c>
      <c r="W57" s="13" t="s">
        <v>2541</v>
      </c>
      <c r="X57" s="13" t="s">
        <v>2542</v>
      </c>
    </row>
    <row r="58" spans="1:24" s="1" customFormat="1">
      <c r="A58" s="237" t="s">
        <v>2649</v>
      </c>
      <c r="B58" s="248" t="s">
        <v>2650</v>
      </c>
      <c r="C58" s="436">
        <v>1</v>
      </c>
      <c r="D58" s="475" t="s">
        <v>2634</v>
      </c>
      <c r="E58" s="348">
        <v>126.67</v>
      </c>
      <c r="F58" s="244"/>
      <c r="G58" s="67">
        <f t="shared" si="5"/>
        <v>126.67</v>
      </c>
      <c r="H58" s="93"/>
      <c r="I58" s="224"/>
      <c r="J58" s="288" t="s">
        <v>2540</v>
      </c>
      <c r="K58" s="13" t="s">
        <v>2541</v>
      </c>
      <c r="L58" s="13" t="s">
        <v>2542</v>
      </c>
      <c r="M58" s="237" t="s">
        <v>2649</v>
      </c>
      <c r="N58" s="248" t="s">
        <v>2650</v>
      </c>
      <c r="O58" s="436">
        <v>1</v>
      </c>
      <c r="P58" s="475" t="s">
        <v>2634</v>
      </c>
      <c r="Q58" s="348">
        <v>126.67</v>
      </c>
      <c r="R58" s="244"/>
      <c r="S58" s="67">
        <v>126.67</v>
      </c>
      <c r="T58" s="93"/>
      <c r="U58" s="224"/>
      <c r="V58" s="288" t="s">
        <v>2540</v>
      </c>
      <c r="W58" s="13" t="s">
        <v>2541</v>
      </c>
      <c r="X58" s="13" t="s">
        <v>2542</v>
      </c>
    </row>
    <row r="59" spans="1:24" s="1" customFormat="1">
      <c r="A59" s="237" t="s">
        <v>2651</v>
      </c>
      <c r="B59" s="248" t="s">
        <v>2652</v>
      </c>
      <c r="C59" s="436">
        <v>1</v>
      </c>
      <c r="D59" s="475" t="s">
        <v>2634</v>
      </c>
      <c r="E59" s="348">
        <v>126.67</v>
      </c>
      <c r="F59" s="244"/>
      <c r="G59" s="67">
        <f t="shared" si="5"/>
        <v>126.67</v>
      </c>
      <c r="H59" s="93"/>
      <c r="I59" s="224"/>
      <c r="J59" s="288" t="s">
        <v>2540</v>
      </c>
      <c r="K59" s="13" t="s">
        <v>2541</v>
      </c>
      <c r="L59" s="13" t="s">
        <v>2542</v>
      </c>
      <c r="M59" s="237" t="s">
        <v>2651</v>
      </c>
      <c r="N59" s="248" t="s">
        <v>2652</v>
      </c>
      <c r="O59" s="436">
        <v>1</v>
      </c>
      <c r="P59" s="475" t="s">
        <v>2634</v>
      </c>
      <c r="Q59" s="348">
        <v>126.67</v>
      </c>
      <c r="R59" s="244"/>
      <c r="S59" s="67">
        <v>126.67</v>
      </c>
      <c r="T59" s="93"/>
      <c r="U59" s="224"/>
      <c r="V59" s="288" t="s">
        <v>2540</v>
      </c>
      <c r="W59" s="13" t="s">
        <v>2541</v>
      </c>
      <c r="X59" s="13" t="s">
        <v>2542</v>
      </c>
    </row>
    <row r="60" spans="1:24" s="1" customFormat="1">
      <c r="A60" s="237" t="s">
        <v>2653</v>
      </c>
      <c r="B60" s="248" t="s">
        <v>2654</v>
      </c>
      <c r="C60" s="436">
        <v>1</v>
      </c>
      <c r="D60" s="475" t="s">
        <v>2634</v>
      </c>
      <c r="E60" s="348">
        <v>3</v>
      </c>
      <c r="F60" s="244"/>
      <c r="G60" s="67">
        <f t="shared" si="5"/>
        <v>3</v>
      </c>
      <c r="H60" s="93"/>
      <c r="I60" s="224"/>
      <c r="J60" s="288" t="s">
        <v>2540</v>
      </c>
      <c r="K60" s="13" t="s">
        <v>2541</v>
      </c>
      <c r="L60" s="13" t="s">
        <v>2542</v>
      </c>
      <c r="M60" s="237" t="s">
        <v>2653</v>
      </c>
      <c r="N60" s="248" t="s">
        <v>2654</v>
      </c>
      <c r="O60" s="436">
        <v>1</v>
      </c>
      <c r="P60" s="475" t="s">
        <v>2634</v>
      </c>
      <c r="Q60" s="348">
        <v>3</v>
      </c>
      <c r="R60" s="244"/>
      <c r="S60" s="67">
        <v>3</v>
      </c>
      <c r="T60" s="93"/>
      <c r="U60" s="224"/>
      <c r="V60" s="288" t="s">
        <v>2540</v>
      </c>
      <c r="W60" s="13" t="s">
        <v>2541</v>
      </c>
      <c r="X60" s="13" t="s">
        <v>2542</v>
      </c>
    </row>
    <row r="61" spans="1:24" s="1" customFormat="1">
      <c r="A61" s="237" t="s">
        <v>2655</v>
      </c>
      <c r="B61" s="248" t="s">
        <v>2656</v>
      </c>
      <c r="C61" s="436">
        <v>1</v>
      </c>
      <c r="D61" s="475" t="s">
        <v>2634</v>
      </c>
      <c r="E61" s="348">
        <v>600</v>
      </c>
      <c r="F61" s="244"/>
      <c r="G61" s="67">
        <f t="shared" si="5"/>
        <v>600</v>
      </c>
      <c r="H61" s="93"/>
      <c r="I61" s="224"/>
      <c r="J61" s="288" t="s">
        <v>2540</v>
      </c>
      <c r="K61" s="13" t="s">
        <v>2541</v>
      </c>
      <c r="L61" s="13" t="s">
        <v>2542</v>
      </c>
      <c r="M61" s="237" t="s">
        <v>2655</v>
      </c>
      <c r="N61" s="248" t="s">
        <v>2656</v>
      </c>
      <c r="O61" s="436">
        <v>1</v>
      </c>
      <c r="P61" s="475" t="s">
        <v>2634</v>
      </c>
      <c r="Q61" s="348">
        <v>600</v>
      </c>
      <c r="R61" s="244"/>
      <c r="S61" s="67">
        <v>600</v>
      </c>
      <c r="T61" s="93"/>
      <c r="U61" s="224"/>
      <c r="V61" s="288" t="s">
        <v>2540</v>
      </c>
      <c r="W61" s="13" t="s">
        <v>2541</v>
      </c>
      <c r="X61" s="13" t="s">
        <v>2542</v>
      </c>
    </row>
    <row r="62" spans="1:24" s="1" customFormat="1">
      <c r="A62" s="237" t="s">
        <v>2657</v>
      </c>
      <c r="B62" s="248" t="s">
        <v>2658</v>
      </c>
      <c r="C62" s="436">
        <v>1</v>
      </c>
      <c r="D62" s="475" t="s">
        <v>2634</v>
      </c>
      <c r="E62" s="348">
        <v>2666.67</v>
      </c>
      <c r="F62" s="244"/>
      <c r="G62" s="67">
        <f t="shared" si="5"/>
        <v>2666.67</v>
      </c>
      <c r="H62" s="93"/>
      <c r="I62" s="224"/>
      <c r="J62" s="288" t="s">
        <v>2540</v>
      </c>
      <c r="K62" s="13" t="s">
        <v>2541</v>
      </c>
      <c r="L62" s="13" t="s">
        <v>2542</v>
      </c>
      <c r="M62" s="237" t="s">
        <v>2657</v>
      </c>
      <c r="N62" s="248" t="s">
        <v>2658</v>
      </c>
      <c r="O62" s="436">
        <v>1</v>
      </c>
      <c r="P62" s="475" t="s">
        <v>2634</v>
      </c>
      <c r="Q62" s="348">
        <v>2666.67</v>
      </c>
      <c r="R62" s="244"/>
      <c r="S62" s="67">
        <v>2666.67</v>
      </c>
      <c r="T62" s="93"/>
      <c r="U62" s="224"/>
      <c r="V62" s="288" t="s">
        <v>2540</v>
      </c>
      <c r="W62" s="13" t="s">
        <v>2541</v>
      </c>
      <c r="X62" s="13" t="s">
        <v>2542</v>
      </c>
    </row>
    <row r="63" spans="1:24" s="1" customFormat="1">
      <c r="A63" s="237" t="s">
        <v>2659</v>
      </c>
      <c r="B63" s="248" t="s">
        <v>2660</v>
      </c>
      <c r="C63" s="436">
        <v>1</v>
      </c>
      <c r="D63" s="475" t="s">
        <v>2634</v>
      </c>
      <c r="E63" s="348">
        <v>4000</v>
      </c>
      <c r="F63" s="244"/>
      <c r="G63" s="67">
        <f t="shared" si="5"/>
        <v>4000</v>
      </c>
      <c r="H63" s="93"/>
      <c r="I63" s="224"/>
      <c r="J63" s="288" t="s">
        <v>2540</v>
      </c>
      <c r="K63" s="13" t="s">
        <v>2541</v>
      </c>
      <c r="L63" s="13" t="s">
        <v>2542</v>
      </c>
      <c r="M63" s="237" t="s">
        <v>2659</v>
      </c>
      <c r="N63" s="248" t="s">
        <v>2660</v>
      </c>
      <c r="O63" s="436">
        <v>1</v>
      </c>
      <c r="P63" s="475" t="s">
        <v>2634</v>
      </c>
      <c r="Q63" s="348">
        <v>4000</v>
      </c>
      <c r="R63" s="244"/>
      <c r="S63" s="67">
        <v>4000</v>
      </c>
      <c r="T63" s="93"/>
      <c r="U63" s="224"/>
      <c r="V63" s="288" t="s">
        <v>2540</v>
      </c>
      <c r="W63" s="13" t="s">
        <v>2541</v>
      </c>
      <c r="X63" s="13" t="s">
        <v>2542</v>
      </c>
    </row>
    <row r="64" spans="1:24" s="1" customFormat="1">
      <c r="A64" s="237" t="s">
        <v>2661</v>
      </c>
      <c r="B64" s="248" t="s">
        <v>2662</v>
      </c>
      <c r="C64" s="436">
        <v>1</v>
      </c>
      <c r="D64" s="475" t="s">
        <v>2634</v>
      </c>
      <c r="E64" s="348">
        <v>5866.67</v>
      </c>
      <c r="F64" s="244"/>
      <c r="G64" s="67">
        <f t="shared" si="5"/>
        <v>5866.67</v>
      </c>
      <c r="H64" s="93"/>
      <c r="I64" s="224"/>
      <c r="J64" s="288" t="s">
        <v>2540</v>
      </c>
      <c r="K64" s="13" t="s">
        <v>2541</v>
      </c>
      <c r="L64" s="13" t="s">
        <v>2542</v>
      </c>
      <c r="M64" s="237" t="s">
        <v>2661</v>
      </c>
      <c r="N64" s="248" t="s">
        <v>2662</v>
      </c>
      <c r="O64" s="436">
        <v>1</v>
      </c>
      <c r="P64" s="475" t="s">
        <v>2634</v>
      </c>
      <c r="Q64" s="348">
        <v>5866.67</v>
      </c>
      <c r="R64" s="244"/>
      <c r="S64" s="67">
        <v>5866.67</v>
      </c>
      <c r="T64" s="93"/>
      <c r="U64" s="224"/>
      <c r="V64" s="288" t="s">
        <v>2540</v>
      </c>
      <c r="W64" s="13" t="s">
        <v>2541</v>
      </c>
      <c r="X64" s="13" t="s">
        <v>2542</v>
      </c>
    </row>
    <row r="65" spans="1:24" s="1" customFormat="1">
      <c r="A65" s="237" t="s">
        <v>2663</v>
      </c>
      <c r="B65" s="248" t="s">
        <v>2664</v>
      </c>
      <c r="C65" s="436">
        <v>1</v>
      </c>
      <c r="D65" s="475" t="s">
        <v>140</v>
      </c>
      <c r="E65" s="348">
        <v>6666.67</v>
      </c>
      <c r="F65" s="244"/>
      <c r="G65" s="67">
        <f t="shared" si="5"/>
        <v>6666.67</v>
      </c>
      <c r="H65" s="93"/>
      <c r="I65" s="224"/>
      <c r="J65" s="288" t="s">
        <v>2540</v>
      </c>
      <c r="K65" s="13" t="s">
        <v>2541</v>
      </c>
      <c r="L65" s="13" t="s">
        <v>2542</v>
      </c>
      <c r="M65" s="237" t="s">
        <v>2663</v>
      </c>
      <c r="N65" s="248" t="s">
        <v>2664</v>
      </c>
      <c r="O65" s="436">
        <v>1</v>
      </c>
      <c r="P65" s="475" t="s">
        <v>140</v>
      </c>
      <c r="Q65" s="348">
        <v>6666.67</v>
      </c>
      <c r="R65" s="244"/>
      <c r="S65" s="67">
        <v>6666.67</v>
      </c>
      <c r="T65" s="93"/>
      <c r="U65" s="224"/>
      <c r="V65" s="288" t="s">
        <v>2540</v>
      </c>
      <c r="W65" s="13" t="s">
        <v>2541</v>
      </c>
      <c r="X65" s="13" t="s">
        <v>2542</v>
      </c>
    </row>
    <row r="66" spans="1:24" s="1" customFormat="1">
      <c r="A66" s="237" t="s">
        <v>2665</v>
      </c>
      <c r="B66" s="248" t="s">
        <v>2666</v>
      </c>
      <c r="C66" s="436">
        <v>1</v>
      </c>
      <c r="D66" s="475" t="s">
        <v>140</v>
      </c>
      <c r="E66" s="348">
        <v>10666.67</v>
      </c>
      <c r="F66" s="244"/>
      <c r="G66" s="67">
        <f t="shared" si="5"/>
        <v>10666.67</v>
      </c>
      <c r="H66" s="93"/>
      <c r="I66" s="224"/>
      <c r="J66" s="288" t="s">
        <v>2540</v>
      </c>
      <c r="K66" s="13" t="s">
        <v>2541</v>
      </c>
      <c r="L66" s="13" t="s">
        <v>2542</v>
      </c>
      <c r="M66" s="237" t="s">
        <v>2665</v>
      </c>
      <c r="N66" s="248" t="s">
        <v>2666</v>
      </c>
      <c r="O66" s="436">
        <v>1</v>
      </c>
      <c r="P66" s="475" t="s">
        <v>140</v>
      </c>
      <c r="Q66" s="348">
        <v>10666.67</v>
      </c>
      <c r="R66" s="244"/>
      <c r="S66" s="67">
        <v>10666.67</v>
      </c>
      <c r="T66" s="93"/>
      <c r="U66" s="224"/>
      <c r="V66" s="288" t="s">
        <v>2540</v>
      </c>
      <c r="W66" s="13" t="s">
        <v>2541</v>
      </c>
      <c r="X66" s="13" t="s">
        <v>2542</v>
      </c>
    </row>
    <row r="67" spans="1:24" s="1" customFormat="1">
      <c r="A67" s="237" t="s">
        <v>2667</v>
      </c>
      <c r="B67" s="248" t="s">
        <v>2668</v>
      </c>
      <c r="C67" s="436">
        <v>1</v>
      </c>
      <c r="D67" s="475" t="s">
        <v>140</v>
      </c>
      <c r="E67" s="348">
        <v>16000</v>
      </c>
      <c r="F67" s="244"/>
      <c r="G67" s="67">
        <f t="shared" si="5"/>
        <v>16000</v>
      </c>
      <c r="H67" s="93"/>
      <c r="I67" s="224"/>
      <c r="J67" s="288" t="s">
        <v>2540</v>
      </c>
      <c r="K67" s="13" t="s">
        <v>2541</v>
      </c>
      <c r="L67" s="13" t="s">
        <v>2542</v>
      </c>
      <c r="M67" s="237" t="s">
        <v>2667</v>
      </c>
      <c r="N67" s="248" t="s">
        <v>2668</v>
      </c>
      <c r="O67" s="436">
        <v>1</v>
      </c>
      <c r="P67" s="475" t="s">
        <v>140</v>
      </c>
      <c r="Q67" s="348">
        <v>16000</v>
      </c>
      <c r="R67" s="244"/>
      <c r="S67" s="67">
        <v>16000</v>
      </c>
      <c r="T67" s="93"/>
      <c r="U67" s="224"/>
      <c r="V67" s="288" t="s">
        <v>2540</v>
      </c>
      <c r="W67" s="13" t="s">
        <v>2541</v>
      </c>
      <c r="X67" s="13" t="s">
        <v>2542</v>
      </c>
    </row>
    <row r="68" spans="1:24" s="1" customFormat="1">
      <c r="A68" s="237" t="s">
        <v>2669</v>
      </c>
      <c r="B68" s="248" t="s">
        <v>2670</v>
      </c>
      <c r="C68" s="436">
        <v>1</v>
      </c>
      <c r="D68" s="475" t="s">
        <v>140</v>
      </c>
      <c r="E68" s="348">
        <v>20000</v>
      </c>
      <c r="F68" s="244"/>
      <c r="G68" s="67">
        <f t="shared" si="5"/>
        <v>20000</v>
      </c>
      <c r="H68" s="93"/>
      <c r="I68" s="224"/>
      <c r="J68" s="288" t="s">
        <v>2540</v>
      </c>
      <c r="K68" s="13" t="s">
        <v>2541</v>
      </c>
      <c r="L68" s="13" t="s">
        <v>2542</v>
      </c>
      <c r="M68" s="237" t="s">
        <v>2669</v>
      </c>
      <c r="N68" s="248" t="s">
        <v>2670</v>
      </c>
      <c r="O68" s="436">
        <v>1</v>
      </c>
      <c r="P68" s="475" t="s">
        <v>140</v>
      </c>
      <c r="Q68" s="348">
        <v>20000</v>
      </c>
      <c r="R68" s="244"/>
      <c r="S68" s="67">
        <v>20000</v>
      </c>
      <c r="T68" s="93"/>
      <c r="U68" s="224"/>
      <c r="V68" s="288" t="s">
        <v>2540</v>
      </c>
      <c r="W68" s="13" t="s">
        <v>2541</v>
      </c>
      <c r="X68" s="13" t="s">
        <v>2542</v>
      </c>
    </row>
    <row r="69" spans="1:24" s="1" customFormat="1">
      <c r="A69" s="237" t="s">
        <v>2671</v>
      </c>
      <c r="B69" s="248" t="s">
        <v>2672</v>
      </c>
      <c r="C69" s="436">
        <v>1</v>
      </c>
      <c r="D69" s="475" t="s">
        <v>140</v>
      </c>
      <c r="E69" s="348">
        <v>26666.67</v>
      </c>
      <c r="F69" s="244"/>
      <c r="G69" s="67">
        <f t="shared" si="5"/>
        <v>26666.67</v>
      </c>
      <c r="H69" s="93"/>
      <c r="I69" s="224"/>
      <c r="J69" s="288" t="s">
        <v>2540</v>
      </c>
      <c r="K69" s="13" t="s">
        <v>2541</v>
      </c>
      <c r="L69" s="13" t="s">
        <v>2542</v>
      </c>
      <c r="M69" s="237" t="s">
        <v>2671</v>
      </c>
      <c r="N69" s="248" t="s">
        <v>2672</v>
      </c>
      <c r="O69" s="436">
        <v>1</v>
      </c>
      <c r="P69" s="475" t="s">
        <v>140</v>
      </c>
      <c r="Q69" s="348">
        <v>26666.67</v>
      </c>
      <c r="R69" s="244"/>
      <c r="S69" s="67">
        <v>26666.67</v>
      </c>
      <c r="T69" s="93"/>
      <c r="U69" s="224"/>
      <c r="V69" s="288" t="s">
        <v>2540</v>
      </c>
      <c r="W69" s="13" t="s">
        <v>2541</v>
      </c>
      <c r="X69" s="13" t="s">
        <v>2542</v>
      </c>
    </row>
    <row r="70" spans="1:24" s="1" customFormat="1">
      <c r="A70" s="237" t="s">
        <v>2673</v>
      </c>
      <c r="B70" s="248" t="s">
        <v>2674</v>
      </c>
      <c r="C70" s="436">
        <v>1</v>
      </c>
      <c r="D70" s="475" t="s">
        <v>140</v>
      </c>
      <c r="E70" s="348">
        <v>1600</v>
      </c>
      <c r="F70" s="244"/>
      <c r="G70" s="67">
        <f t="shared" si="5"/>
        <v>1600</v>
      </c>
      <c r="H70" s="93"/>
      <c r="I70" s="224"/>
      <c r="J70" s="288" t="s">
        <v>2540</v>
      </c>
      <c r="K70" s="13" t="s">
        <v>2541</v>
      </c>
      <c r="L70" s="13" t="s">
        <v>2542</v>
      </c>
      <c r="M70" s="237" t="s">
        <v>2673</v>
      </c>
      <c r="N70" s="248" t="s">
        <v>2674</v>
      </c>
      <c r="O70" s="436">
        <v>1</v>
      </c>
      <c r="P70" s="475" t="s">
        <v>140</v>
      </c>
      <c r="Q70" s="348">
        <v>1600</v>
      </c>
      <c r="R70" s="244"/>
      <c r="S70" s="67">
        <v>1600</v>
      </c>
      <c r="T70" s="93"/>
      <c r="U70" s="224"/>
      <c r="V70" s="288" t="s">
        <v>2540</v>
      </c>
      <c r="W70" s="13" t="s">
        <v>2541</v>
      </c>
      <c r="X70" s="13" t="s">
        <v>2542</v>
      </c>
    </row>
    <row r="71" spans="1:24" s="1" customFormat="1">
      <c r="A71" s="237" t="s">
        <v>2675</v>
      </c>
      <c r="B71" s="248" t="s">
        <v>2676</v>
      </c>
      <c r="C71" s="436">
        <v>1</v>
      </c>
      <c r="D71" s="475" t="s">
        <v>140</v>
      </c>
      <c r="E71" s="348">
        <v>3866.67</v>
      </c>
      <c r="F71" s="244"/>
      <c r="G71" s="67">
        <f t="shared" si="5"/>
        <v>3866.67</v>
      </c>
      <c r="H71" s="93"/>
      <c r="I71" s="224"/>
      <c r="J71" s="288" t="s">
        <v>2540</v>
      </c>
      <c r="K71" s="13" t="s">
        <v>2541</v>
      </c>
      <c r="L71" s="13" t="s">
        <v>2542</v>
      </c>
      <c r="M71" s="237" t="s">
        <v>2675</v>
      </c>
      <c r="N71" s="248" t="s">
        <v>2676</v>
      </c>
      <c r="O71" s="436">
        <v>1</v>
      </c>
      <c r="P71" s="475" t="s">
        <v>140</v>
      </c>
      <c r="Q71" s="348">
        <v>3866.67</v>
      </c>
      <c r="R71" s="244"/>
      <c r="S71" s="67">
        <v>3866.67</v>
      </c>
      <c r="T71" s="93"/>
      <c r="U71" s="224"/>
      <c r="V71" s="288" t="s">
        <v>2540</v>
      </c>
      <c r="W71" s="13" t="s">
        <v>2541</v>
      </c>
      <c r="X71" s="13" t="s">
        <v>2542</v>
      </c>
    </row>
    <row r="72" spans="1:24" s="1" customFormat="1" ht="21.95" customHeight="1">
      <c r="A72" s="537" t="s">
        <v>2677</v>
      </c>
      <c r="B72" s="538"/>
      <c r="C72" s="539"/>
      <c r="D72" s="540"/>
      <c r="E72" s="541"/>
      <c r="F72" s="542"/>
      <c r="G72" s="543"/>
      <c r="H72" s="544"/>
      <c r="I72" s="545"/>
      <c r="J72" s="640"/>
      <c r="K72" s="546"/>
      <c r="L72" s="546"/>
      <c r="M72" s="537" t="s">
        <v>2677</v>
      </c>
      <c r="N72" s="538"/>
      <c r="O72" s="539"/>
      <c r="P72" s="540"/>
      <c r="Q72" s="541"/>
      <c r="R72" s="542"/>
      <c r="S72" s="543"/>
      <c r="T72" s="544"/>
      <c r="U72" s="545"/>
      <c r="V72" s="640"/>
      <c r="W72" s="546"/>
      <c r="X72" s="546"/>
    </row>
    <row r="73" spans="1:24" s="1" customFormat="1">
      <c r="A73" s="237" t="s">
        <v>2678</v>
      </c>
      <c r="B73" s="248" t="s">
        <v>2679</v>
      </c>
      <c r="C73" s="436">
        <v>1</v>
      </c>
      <c r="D73" s="475" t="s">
        <v>118</v>
      </c>
      <c r="E73" s="349">
        <v>17665.830000000002</v>
      </c>
      <c r="F73" s="226">
        <f>rv_30</f>
        <v>0.3</v>
      </c>
      <c r="G73" s="99">
        <f t="shared" ref="G73:G84" si="6">E73-(E73*F73)</f>
        <v>12366.081000000002</v>
      </c>
      <c r="H73" s="93"/>
      <c r="I73" s="224">
        <v>0</v>
      </c>
      <c r="J73" s="288" t="s">
        <v>2680</v>
      </c>
      <c r="K73" s="13" t="s">
        <v>2541</v>
      </c>
      <c r="L73" s="13" t="s">
        <v>2542</v>
      </c>
      <c r="M73" s="237" t="s">
        <v>2678</v>
      </c>
      <c r="N73" s="248" t="s">
        <v>2679</v>
      </c>
      <c r="O73" s="436">
        <v>1</v>
      </c>
      <c r="P73" s="475" t="s">
        <v>118</v>
      </c>
      <c r="Q73" s="349">
        <v>17665.830000000002</v>
      </c>
      <c r="R73" s="226">
        <v>0.3</v>
      </c>
      <c r="S73" s="99">
        <v>12366.081000000002</v>
      </c>
      <c r="T73" s="93"/>
      <c r="U73" s="224">
        <v>0</v>
      </c>
      <c r="V73" s="288" t="s">
        <v>2680</v>
      </c>
      <c r="W73" s="13" t="s">
        <v>2541</v>
      </c>
      <c r="X73" s="13" t="s">
        <v>2542</v>
      </c>
    </row>
    <row r="74" spans="1:24" s="1" customFormat="1">
      <c r="A74" s="237" t="s">
        <v>2681</v>
      </c>
      <c r="B74" s="248" t="s">
        <v>2682</v>
      </c>
      <c r="C74" s="436">
        <v>1</v>
      </c>
      <c r="D74" s="475" t="s">
        <v>118</v>
      </c>
      <c r="E74" s="349">
        <v>35331.67</v>
      </c>
      <c r="F74" s="226">
        <f t="shared" ref="F74:F84" si="7">rv_30</f>
        <v>0.3</v>
      </c>
      <c r="G74" s="99">
        <f t="shared" si="6"/>
        <v>24732.169000000002</v>
      </c>
      <c r="H74" s="93"/>
      <c r="I74" s="224">
        <v>0</v>
      </c>
      <c r="J74" s="288" t="s">
        <v>1099</v>
      </c>
      <c r="K74" s="13" t="s">
        <v>2541</v>
      </c>
      <c r="L74" s="13" t="s">
        <v>2542</v>
      </c>
      <c r="M74" s="237" t="s">
        <v>2681</v>
      </c>
      <c r="N74" s="248" t="s">
        <v>2682</v>
      </c>
      <c r="O74" s="436">
        <v>1</v>
      </c>
      <c r="P74" s="475" t="s">
        <v>118</v>
      </c>
      <c r="Q74" s="349">
        <v>35331.67</v>
      </c>
      <c r="R74" s="226">
        <v>0.3</v>
      </c>
      <c r="S74" s="99">
        <v>24732.169000000002</v>
      </c>
      <c r="T74" s="93"/>
      <c r="U74" s="224">
        <v>0</v>
      </c>
      <c r="V74" s="288" t="s">
        <v>1099</v>
      </c>
      <c r="W74" s="13" t="s">
        <v>2541</v>
      </c>
      <c r="X74" s="13" t="s">
        <v>2542</v>
      </c>
    </row>
    <row r="75" spans="1:24" s="1" customFormat="1">
      <c r="A75" s="237" t="s">
        <v>2683</v>
      </c>
      <c r="B75" s="248" t="s">
        <v>2684</v>
      </c>
      <c r="C75" s="436">
        <v>1</v>
      </c>
      <c r="D75" s="475" t="s">
        <v>118</v>
      </c>
      <c r="E75" s="349">
        <v>52997.5</v>
      </c>
      <c r="F75" s="226">
        <f t="shared" si="7"/>
        <v>0.3</v>
      </c>
      <c r="G75" s="99">
        <f t="shared" si="6"/>
        <v>37098.25</v>
      </c>
      <c r="H75" s="93"/>
      <c r="I75" s="224">
        <v>0</v>
      </c>
      <c r="J75" s="288" t="s">
        <v>1099</v>
      </c>
      <c r="K75" s="13" t="s">
        <v>2541</v>
      </c>
      <c r="L75" s="13" t="s">
        <v>2542</v>
      </c>
      <c r="M75" s="237" t="s">
        <v>2683</v>
      </c>
      <c r="N75" s="248" t="s">
        <v>2684</v>
      </c>
      <c r="O75" s="436">
        <v>1</v>
      </c>
      <c r="P75" s="475" t="s">
        <v>118</v>
      </c>
      <c r="Q75" s="349">
        <v>52997.5</v>
      </c>
      <c r="R75" s="226">
        <v>0.3</v>
      </c>
      <c r="S75" s="99">
        <v>37098.25</v>
      </c>
      <c r="T75" s="93"/>
      <c r="U75" s="224">
        <v>0</v>
      </c>
      <c r="V75" s="288" t="s">
        <v>1099</v>
      </c>
      <c r="W75" s="13" t="s">
        <v>2541</v>
      </c>
      <c r="X75" s="13" t="s">
        <v>2542</v>
      </c>
    </row>
    <row r="76" spans="1:24" s="1" customFormat="1">
      <c r="A76" s="237" t="s">
        <v>2685</v>
      </c>
      <c r="B76" s="248" t="s">
        <v>2686</v>
      </c>
      <c r="C76" s="436">
        <v>1</v>
      </c>
      <c r="D76" s="475" t="s">
        <v>118</v>
      </c>
      <c r="E76" s="349">
        <v>5332.5</v>
      </c>
      <c r="F76" s="226">
        <f t="shared" si="7"/>
        <v>0.3</v>
      </c>
      <c r="G76" s="99">
        <f t="shared" si="6"/>
        <v>3732.75</v>
      </c>
      <c r="H76" s="93"/>
      <c r="I76" s="224">
        <v>0</v>
      </c>
      <c r="J76" s="288" t="s">
        <v>1099</v>
      </c>
      <c r="K76" s="13" t="s">
        <v>2541</v>
      </c>
      <c r="L76" s="13" t="s">
        <v>2542</v>
      </c>
      <c r="M76" s="237" t="s">
        <v>2685</v>
      </c>
      <c r="N76" s="248" t="s">
        <v>2686</v>
      </c>
      <c r="O76" s="436">
        <v>1</v>
      </c>
      <c r="P76" s="475" t="s">
        <v>118</v>
      </c>
      <c r="Q76" s="349">
        <v>5332.5</v>
      </c>
      <c r="R76" s="226">
        <v>0.3</v>
      </c>
      <c r="S76" s="99">
        <v>3732.75</v>
      </c>
      <c r="T76" s="93"/>
      <c r="U76" s="224">
        <v>0</v>
      </c>
      <c r="V76" s="288" t="s">
        <v>1099</v>
      </c>
      <c r="W76" s="13" t="s">
        <v>2541</v>
      </c>
      <c r="X76" s="13" t="s">
        <v>2542</v>
      </c>
    </row>
    <row r="77" spans="1:24" s="1" customFormat="1">
      <c r="A77" s="237" t="s">
        <v>2687</v>
      </c>
      <c r="B77" s="248" t="s">
        <v>2688</v>
      </c>
      <c r="C77" s="436">
        <v>1</v>
      </c>
      <c r="D77" s="475" t="s">
        <v>118</v>
      </c>
      <c r="E77" s="349">
        <v>10665</v>
      </c>
      <c r="F77" s="226">
        <f t="shared" si="7"/>
        <v>0.3</v>
      </c>
      <c r="G77" s="99">
        <f t="shared" si="6"/>
        <v>7465.5</v>
      </c>
      <c r="H77" s="93"/>
      <c r="I77" s="224">
        <v>0</v>
      </c>
      <c r="J77" s="288" t="s">
        <v>1099</v>
      </c>
      <c r="K77" s="13" t="s">
        <v>2541</v>
      </c>
      <c r="L77" s="13" t="s">
        <v>2542</v>
      </c>
      <c r="M77" s="237" t="s">
        <v>2687</v>
      </c>
      <c r="N77" s="248" t="s">
        <v>2688</v>
      </c>
      <c r="O77" s="436">
        <v>1</v>
      </c>
      <c r="P77" s="475" t="s">
        <v>118</v>
      </c>
      <c r="Q77" s="349">
        <v>10665</v>
      </c>
      <c r="R77" s="226">
        <v>0.3</v>
      </c>
      <c r="S77" s="99">
        <v>7465.5</v>
      </c>
      <c r="T77" s="93"/>
      <c r="U77" s="224">
        <v>0</v>
      </c>
      <c r="V77" s="288" t="s">
        <v>1099</v>
      </c>
      <c r="W77" s="13" t="s">
        <v>2541</v>
      </c>
      <c r="X77" s="13" t="s">
        <v>2542</v>
      </c>
    </row>
    <row r="78" spans="1:24" s="1" customFormat="1">
      <c r="A78" s="237" t="s">
        <v>2689</v>
      </c>
      <c r="B78" s="248" t="s">
        <v>2690</v>
      </c>
      <c r="C78" s="436">
        <v>1</v>
      </c>
      <c r="D78" s="475" t="s">
        <v>118</v>
      </c>
      <c r="E78" s="349">
        <v>15997.5</v>
      </c>
      <c r="F78" s="226">
        <f t="shared" si="7"/>
        <v>0.3</v>
      </c>
      <c r="G78" s="99">
        <f t="shared" si="6"/>
        <v>11198.25</v>
      </c>
      <c r="H78" s="93"/>
      <c r="I78" s="224">
        <v>0</v>
      </c>
      <c r="J78" s="288" t="s">
        <v>1099</v>
      </c>
      <c r="K78" s="13" t="s">
        <v>2541</v>
      </c>
      <c r="L78" s="13" t="s">
        <v>2542</v>
      </c>
      <c r="M78" s="237" t="s">
        <v>2689</v>
      </c>
      <c r="N78" s="248" t="s">
        <v>2690</v>
      </c>
      <c r="O78" s="436">
        <v>1</v>
      </c>
      <c r="P78" s="475" t="s">
        <v>118</v>
      </c>
      <c r="Q78" s="349">
        <v>15997.5</v>
      </c>
      <c r="R78" s="226">
        <v>0.3</v>
      </c>
      <c r="S78" s="99">
        <v>11198.25</v>
      </c>
      <c r="T78" s="93"/>
      <c r="U78" s="224">
        <v>0</v>
      </c>
      <c r="V78" s="288" t="s">
        <v>1099</v>
      </c>
      <c r="W78" s="13" t="s">
        <v>2541</v>
      </c>
      <c r="X78" s="13" t="s">
        <v>2542</v>
      </c>
    </row>
    <row r="79" spans="1:24" s="1" customFormat="1">
      <c r="A79" s="237" t="s">
        <v>2691</v>
      </c>
      <c r="B79" s="248" t="s">
        <v>2692</v>
      </c>
      <c r="C79" s="436">
        <v>1</v>
      </c>
      <c r="D79" s="475" t="s">
        <v>118</v>
      </c>
      <c r="E79" s="349">
        <v>44165.83</v>
      </c>
      <c r="F79" s="226">
        <f t="shared" si="7"/>
        <v>0.3</v>
      </c>
      <c r="G79" s="99">
        <f t="shared" si="6"/>
        <v>30916.081000000002</v>
      </c>
      <c r="H79" s="93"/>
      <c r="I79" s="224">
        <v>0</v>
      </c>
      <c r="J79" s="288" t="s">
        <v>1099</v>
      </c>
      <c r="K79" s="13" t="s">
        <v>2541</v>
      </c>
      <c r="L79" s="13" t="s">
        <v>2542</v>
      </c>
      <c r="M79" s="237" t="s">
        <v>2691</v>
      </c>
      <c r="N79" s="248" t="s">
        <v>2692</v>
      </c>
      <c r="O79" s="436">
        <v>1</v>
      </c>
      <c r="P79" s="475" t="s">
        <v>118</v>
      </c>
      <c r="Q79" s="349">
        <v>44165.83</v>
      </c>
      <c r="R79" s="226">
        <v>0.3</v>
      </c>
      <c r="S79" s="99">
        <v>30916.081000000002</v>
      </c>
      <c r="T79" s="93"/>
      <c r="U79" s="224">
        <v>0</v>
      </c>
      <c r="V79" s="288" t="s">
        <v>1099</v>
      </c>
      <c r="W79" s="13" t="s">
        <v>2541</v>
      </c>
      <c r="X79" s="13" t="s">
        <v>2542</v>
      </c>
    </row>
    <row r="80" spans="1:24" s="1" customFormat="1">
      <c r="A80" s="237" t="s">
        <v>2693</v>
      </c>
      <c r="B80" s="248" t="s">
        <v>2694</v>
      </c>
      <c r="C80" s="436">
        <v>1</v>
      </c>
      <c r="D80" s="475" t="s">
        <v>118</v>
      </c>
      <c r="E80" s="349">
        <v>88331.67</v>
      </c>
      <c r="F80" s="226">
        <f t="shared" si="7"/>
        <v>0.3</v>
      </c>
      <c r="G80" s="99">
        <f t="shared" si="6"/>
        <v>61832.168999999994</v>
      </c>
      <c r="H80" s="93"/>
      <c r="I80" s="224">
        <v>0</v>
      </c>
      <c r="J80" s="288" t="s">
        <v>1099</v>
      </c>
      <c r="K80" s="13" t="s">
        <v>2541</v>
      </c>
      <c r="L80" s="13" t="s">
        <v>2542</v>
      </c>
      <c r="M80" s="237" t="s">
        <v>2693</v>
      </c>
      <c r="N80" s="248" t="s">
        <v>2694</v>
      </c>
      <c r="O80" s="436">
        <v>1</v>
      </c>
      <c r="P80" s="475" t="s">
        <v>118</v>
      </c>
      <c r="Q80" s="349">
        <v>88331.67</v>
      </c>
      <c r="R80" s="226">
        <v>0.3</v>
      </c>
      <c r="S80" s="99">
        <v>61832.168999999994</v>
      </c>
      <c r="T80" s="93"/>
      <c r="U80" s="224">
        <v>0</v>
      </c>
      <c r="V80" s="288" t="s">
        <v>1099</v>
      </c>
      <c r="W80" s="13" t="s">
        <v>2541</v>
      </c>
      <c r="X80" s="13" t="s">
        <v>2542</v>
      </c>
    </row>
    <row r="81" spans="1:24" s="1" customFormat="1">
      <c r="A81" s="237" t="s">
        <v>2695</v>
      </c>
      <c r="B81" s="248" t="s">
        <v>2696</v>
      </c>
      <c r="C81" s="436">
        <v>1</v>
      </c>
      <c r="D81" s="475" t="s">
        <v>118</v>
      </c>
      <c r="E81" s="349">
        <v>132497.5</v>
      </c>
      <c r="F81" s="226">
        <f t="shared" si="7"/>
        <v>0.3</v>
      </c>
      <c r="G81" s="99">
        <f t="shared" si="6"/>
        <v>92748.25</v>
      </c>
      <c r="H81" s="93"/>
      <c r="I81" s="224">
        <v>0</v>
      </c>
      <c r="J81" s="288" t="s">
        <v>1099</v>
      </c>
      <c r="K81" s="13" t="s">
        <v>2541</v>
      </c>
      <c r="L81" s="13" t="s">
        <v>2542</v>
      </c>
      <c r="M81" s="237" t="s">
        <v>2695</v>
      </c>
      <c r="N81" s="248" t="s">
        <v>2696</v>
      </c>
      <c r="O81" s="436">
        <v>1</v>
      </c>
      <c r="P81" s="475" t="s">
        <v>118</v>
      </c>
      <c r="Q81" s="349">
        <v>132497.5</v>
      </c>
      <c r="R81" s="226">
        <v>0.3</v>
      </c>
      <c r="S81" s="99">
        <v>92748.25</v>
      </c>
      <c r="T81" s="93"/>
      <c r="U81" s="224">
        <v>0</v>
      </c>
      <c r="V81" s="288" t="s">
        <v>1099</v>
      </c>
      <c r="W81" s="13" t="s">
        <v>2541</v>
      </c>
      <c r="X81" s="13" t="s">
        <v>2542</v>
      </c>
    </row>
    <row r="82" spans="1:24" s="1" customFormat="1">
      <c r="A82" s="237" t="s">
        <v>2697</v>
      </c>
      <c r="B82" s="248" t="s">
        <v>2698</v>
      </c>
      <c r="C82" s="436">
        <v>1</v>
      </c>
      <c r="D82" s="475" t="s">
        <v>118</v>
      </c>
      <c r="E82" s="349">
        <v>440.83</v>
      </c>
      <c r="F82" s="226">
        <f t="shared" si="7"/>
        <v>0.3</v>
      </c>
      <c r="G82" s="99">
        <f t="shared" si="6"/>
        <v>308.58100000000002</v>
      </c>
      <c r="H82" s="93"/>
      <c r="I82" s="224">
        <v>0</v>
      </c>
      <c r="J82" s="288" t="s">
        <v>1099</v>
      </c>
      <c r="K82" s="13" t="s">
        <v>2541</v>
      </c>
      <c r="L82" s="13" t="s">
        <v>2542</v>
      </c>
      <c r="M82" s="237" t="s">
        <v>2697</v>
      </c>
      <c r="N82" s="248" t="s">
        <v>2698</v>
      </c>
      <c r="O82" s="436">
        <v>1</v>
      </c>
      <c r="P82" s="475" t="s">
        <v>118</v>
      </c>
      <c r="Q82" s="349">
        <v>440.83</v>
      </c>
      <c r="R82" s="226">
        <v>0.3</v>
      </c>
      <c r="S82" s="99">
        <v>308.58100000000002</v>
      </c>
      <c r="T82" s="93"/>
      <c r="U82" s="224">
        <v>0</v>
      </c>
      <c r="V82" s="288" t="s">
        <v>1099</v>
      </c>
      <c r="W82" s="13" t="s">
        <v>2541</v>
      </c>
      <c r="X82" s="13" t="s">
        <v>2542</v>
      </c>
    </row>
    <row r="83" spans="1:24" s="1" customFormat="1">
      <c r="A83" s="237" t="s">
        <v>2699</v>
      </c>
      <c r="B83" s="248" t="s">
        <v>2700</v>
      </c>
      <c r="C83" s="436">
        <v>1</v>
      </c>
      <c r="D83" s="475" t="s">
        <v>118</v>
      </c>
      <c r="E83" s="349">
        <v>881.67</v>
      </c>
      <c r="F83" s="226">
        <f t="shared" si="7"/>
        <v>0.3</v>
      </c>
      <c r="G83" s="99">
        <f t="shared" si="6"/>
        <v>617.16899999999998</v>
      </c>
      <c r="H83" s="93"/>
      <c r="I83" s="224">
        <v>0</v>
      </c>
      <c r="J83" s="288" t="s">
        <v>1099</v>
      </c>
      <c r="K83" s="13" t="s">
        <v>2541</v>
      </c>
      <c r="L83" s="13" t="s">
        <v>2542</v>
      </c>
      <c r="M83" s="237" t="s">
        <v>2699</v>
      </c>
      <c r="N83" s="248" t="s">
        <v>2700</v>
      </c>
      <c r="O83" s="436">
        <v>1</v>
      </c>
      <c r="P83" s="475" t="s">
        <v>118</v>
      </c>
      <c r="Q83" s="349">
        <v>881.67</v>
      </c>
      <c r="R83" s="226">
        <v>0.3</v>
      </c>
      <c r="S83" s="99">
        <v>617.16899999999998</v>
      </c>
      <c r="T83" s="93"/>
      <c r="U83" s="224">
        <v>0</v>
      </c>
      <c r="V83" s="288" t="s">
        <v>1099</v>
      </c>
      <c r="W83" s="13" t="s">
        <v>2541</v>
      </c>
      <c r="X83" s="13" t="s">
        <v>2542</v>
      </c>
    </row>
    <row r="84" spans="1:24" s="1" customFormat="1">
      <c r="A84" s="237" t="s">
        <v>2701</v>
      </c>
      <c r="B84" s="248" t="s">
        <v>2702</v>
      </c>
      <c r="C84" s="436">
        <v>1</v>
      </c>
      <c r="D84" s="475" t="s">
        <v>118</v>
      </c>
      <c r="E84" s="349">
        <v>1322.5</v>
      </c>
      <c r="F84" s="226">
        <f t="shared" si="7"/>
        <v>0.3</v>
      </c>
      <c r="G84" s="99">
        <f t="shared" si="6"/>
        <v>925.75</v>
      </c>
      <c r="H84" s="93"/>
      <c r="I84" s="224">
        <v>0</v>
      </c>
      <c r="J84" s="288" t="s">
        <v>1099</v>
      </c>
      <c r="K84" s="13" t="s">
        <v>2541</v>
      </c>
      <c r="L84" s="13" t="s">
        <v>2542</v>
      </c>
      <c r="M84" s="237" t="s">
        <v>2701</v>
      </c>
      <c r="N84" s="248" t="s">
        <v>2702</v>
      </c>
      <c r="O84" s="436">
        <v>1</v>
      </c>
      <c r="P84" s="475" t="s">
        <v>118</v>
      </c>
      <c r="Q84" s="349">
        <v>1322.5</v>
      </c>
      <c r="R84" s="226">
        <v>0.3</v>
      </c>
      <c r="S84" s="99">
        <v>925.75</v>
      </c>
      <c r="T84" s="93"/>
      <c r="U84" s="224">
        <v>0</v>
      </c>
      <c r="V84" s="288" t="s">
        <v>1099</v>
      </c>
      <c r="W84" s="13" t="s">
        <v>2541</v>
      </c>
      <c r="X84" s="13" t="s">
        <v>2542</v>
      </c>
    </row>
  </sheetData>
  <mergeCells count="8">
    <mergeCell ref="A3:I3"/>
    <mergeCell ref="M3:U3"/>
    <mergeCell ref="W3:W4"/>
    <mergeCell ref="X3:X4"/>
    <mergeCell ref="K3:K4"/>
    <mergeCell ref="L3:L4"/>
    <mergeCell ref="J3:J4"/>
    <mergeCell ref="V3:V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tabColor rgb="FFD7B3FF"/>
  </sheetPr>
  <dimension ref="A1:V75"/>
  <sheetViews>
    <sheetView zoomScaleNormal="100" workbookViewId="0">
      <selection activeCell="I56" sqref="I56"/>
    </sheetView>
  </sheetViews>
  <sheetFormatPr baseColWidth="10" defaultColWidth="10.7109375" defaultRowHeight="15.75"/>
  <cols>
    <col min="1" max="1" width="39.42578125" style="133" customWidth="1"/>
    <col min="2" max="2" width="44.28515625" style="133" bestFit="1" customWidth="1"/>
    <col min="3" max="3" width="22.7109375" style="133" bestFit="1" customWidth="1"/>
    <col min="4" max="4" width="13.5703125" style="133" customWidth="1"/>
    <col min="5" max="11" width="10.7109375" style="133" bestFit="1"/>
    <col min="12" max="12" width="10.7109375" style="132" bestFit="1"/>
    <col min="13" max="13" width="10.7109375" style="116" bestFit="1"/>
    <col min="14" max="14" width="34.5703125" style="116" customWidth="1"/>
    <col min="15" max="16384" width="10.7109375" style="116"/>
  </cols>
  <sheetData>
    <row r="1" spans="1:22" s="117" customFormat="1" ht="24" customHeight="1">
      <c r="A1" s="131" t="s">
        <v>93</v>
      </c>
      <c r="B1" s="141"/>
      <c r="C1" s="130"/>
      <c r="D1" s="129"/>
      <c r="E1" s="128"/>
      <c r="F1" s="120"/>
      <c r="G1" s="121"/>
      <c r="H1" s="120"/>
      <c r="I1" s="127"/>
      <c r="J1" s="119"/>
      <c r="K1" s="119"/>
      <c r="L1" s="119"/>
      <c r="M1" s="118"/>
      <c r="N1" s="119"/>
      <c r="O1" s="119"/>
      <c r="P1" s="119"/>
      <c r="Q1" s="119"/>
      <c r="R1" s="140"/>
      <c r="S1" s="119"/>
      <c r="T1" s="139"/>
      <c r="U1" s="139"/>
      <c r="V1" s="139"/>
    </row>
    <row r="2" spans="1:22" ht="18.75">
      <c r="C2" s="858" t="s">
        <v>2703</v>
      </c>
      <c r="D2" s="859"/>
      <c r="E2" s="859"/>
      <c r="F2" s="859"/>
      <c r="M2" s="242"/>
      <c r="N2" s="242"/>
      <c r="O2" s="242"/>
      <c r="P2" s="242"/>
      <c r="Q2" s="242"/>
      <c r="R2" s="242"/>
      <c r="S2" s="242"/>
      <c r="T2" s="242"/>
      <c r="U2" s="242"/>
      <c r="V2" s="242"/>
    </row>
    <row r="4" spans="1:22" ht="27" customHeight="1">
      <c r="A4" s="856" t="s">
        <v>2704</v>
      </c>
      <c r="B4" s="856"/>
      <c r="C4" s="856"/>
      <c r="D4" s="856"/>
      <c r="E4" s="856"/>
      <c r="F4" s="857"/>
      <c r="G4" s="857"/>
      <c r="H4" s="857"/>
      <c r="I4" s="857"/>
      <c r="J4" s="857"/>
      <c r="K4" s="857"/>
      <c r="M4" s="242"/>
      <c r="N4" s="242"/>
      <c r="O4" s="242"/>
      <c r="P4" s="242"/>
      <c r="Q4" s="242"/>
      <c r="R4" s="242"/>
      <c r="S4" s="242"/>
      <c r="T4" s="242"/>
      <c r="U4" s="242"/>
      <c r="V4" s="242"/>
    </row>
    <row r="7" spans="1:22" ht="30.95" customHeight="1">
      <c r="A7" s="138"/>
      <c r="B7" s="138"/>
      <c r="D7" s="850" t="s">
        <v>2705</v>
      </c>
      <c r="E7" s="851"/>
      <c r="F7" s="851"/>
      <c r="G7" s="852"/>
      <c r="H7" s="853" t="s">
        <v>2706</v>
      </c>
      <c r="I7" s="854"/>
      <c r="J7" s="854"/>
      <c r="K7" s="855"/>
      <c r="L7" s="138"/>
      <c r="M7" s="137"/>
      <c r="N7" s="242"/>
      <c r="O7" s="242"/>
      <c r="P7" s="242"/>
      <c r="Q7" s="242"/>
      <c r="R7" s="242"/>
      <c r="S7" s="242"/>
      <c r="T7" s="242"/>
      <c r="U7" s="242"/>
      <c r="V7" s="242"/>
    </row>
    <row r="8" spans="1:22" ht="24.95" customHeight="1">
      <c r="C8" s="135" t="s">
        <v>2707</v>
      </c>
      <c r="D8" s="243">
        <v>0.20130874728773931</v>
      </c>
      <c r="E8" s="243">
        <v>0.10462145617787387</v>
      </c>
      <c r="F8" s="243">
        <v>7.5983449177791346E-2</v>
      </c>
      <c r="G8" s="243">
        <v>6.5568882698771341E-2</v>
      </c>
      <c r="H8" s="126">
        <v>0.309</v>
      </c>
      <c r="I8" s="126">
        <v>0.309</v>
      </c>
      <c r="J8" s="126">
        <v>0.26399999999999996</v>
      </c>
      <c r="K8" s="126">
        <v>0.1515</v>
      </c>
      <c r="M8" s="242"/>
      <c r="N8" s="242"/>
      <c r="O8" s="242"/>
      <c r="P8" s="242"/>
      <c r="Q8" s="242"/>
      <c r="R8" s="242"/>
      <c r="S8" s="242"/>
      <c r="T8" s="242"/>
      <c r="U8" s="242"/>
      <c r="V8" s="242"/>
    </row>
    <row r="9" spans="1:22" ht="39.950000000000003" customHeight="1">
      <c r="A9" s="136" t="s">
        <v>2708</v>
      </c>
      <c r="B9" s="135" t="s">
        <v>2709</v>
      </c>
      <c r="C9" s="134" t="s">
        <v>2710</v>
      </c>
      <c r="D9" s="125" t="s">
        <v>2711</v>
      </c>
      <c r="E9" s="124" t="s">
        <v>2712</v>
      </c>
      <c r="F9" s="123" t="s">
        <v>2713</v>
      </c>
      <c r="G9" s="122" t="s">
        <v>2714</v>
      </c>
      <c r="H9" s="125" t="s">
        <v>2711</v>
      </c>
      <c r="I9" s="124" t="s">
        <v>2712</v>
      </c>
      <c r="J9" s="123" t="s">
        <v>2713</v>
      </c>
      <c r="K9" s="122" t="s">
        <v>2714</v>
      </c>
      <c r="M9" s="242"/>
      <c r="N9" s="242"/>
      <c r="O9" s="242"/>
      <c r="P9" s="242"/>
      <c r="Q9" s="242"/>
      <c r="R9" s="242"/>
      <c r="S9" s="242"/>
      <c r="T9" s="242"/>
      <c r="U9" s="242"/>
      <c r="V9" s="242"/>
    </row>
    <row r="10" spans="1:22" ht="27" customHeight="1">
      <c r="A10" s="156" t="s">
        <v>2715</v>
      </c>
      <c r="B10" s="135" t="s">
        <v>116</v>
      </c>
      <c r="C10" s="160">
        <v>880.67</v>
      </c>
      <c r="D10" s="159">
        <f>D$8*$C10</f>
        <v>177.28657447389338</v>
      </c>
      <c r="E10" s="159">
        <f t="shared" ref="E10:K10" si="0">E$8*$C10</f>
        <v>92.136977812168183</v>
      </c>
      <c r="F10" s="159">
        <f t="shared" si="0"/>
        <v>66.9163441874055</v>
      </c>
      <c r="G10" s="159">
        <f t="shared" si="0"/>
        <v>57.744547926326952</v>
      </c>
      <c r="H10" s="159">
        <f t="shared" si="0"/>
        <v>272.12702999999999</v>
      </c>
      <c r="I10" s="159">
        <f t="shared" si="0"/>
        <v>272.12702999999999</v>
      </c>
      <c r="J10" s="159">
        <f t="shared" si="0"/>
        <v>232.49687999999995</v>
      </c>
      <c r="K10" s="159">
        <f t="shared" si="0"/>
        <v>133.421505</v>
      </c>
      <c r="M10" s="242"/>
      <c r="N10" s="242"/>
      <c r="O10" s="242"/>
      <c r="P10" s="242"/>
      <c r="Q10" s="242"/>
      <c r="R10" s="242"/>
      <c r="S10" s="242"/>
      <c r="T10" s="242"/>
      <c r="U10" s="242"/>
      <c r="V10" s="242"/>
    </row>
    <row r="11" spans="1:22" ht="27" customHeight="1">
      <c r="A11" s="157"/>
      <c r="B11" s="754" t="s">
        <v>2716</v>
      </c>
      <c r="C11" s="755"/>
      <c r="D11" s="755">
        <v>29.140454243230806</v>
      </c>
      <c r="E11" s="755"/>
      <c r="F11" s="755"/>
      <c r="G11" s="755"/>
      <c r="H11" s="755" t="s">
        <v>120</v>
      </c>
      <c r="I11" s="755" t="s">
        <v>120</v>
      </c>
      <c r="J11" s="755" t="s">
        <v>120</v>
      </c>
      <c r="K11" s="755" t="s">
        <v>120</v>
      </c>
      <c r="M11" s="242"/>
      <c r="N11" s="242"/>
      <c r="O11" s="242"/>
      <c r="P11" s="242"/>
      <c r="Q11" s="242"/>
      <c r="R11" s="242"/>
      <c r="S11" s="242"/>
      <c r="T11" s="242"/>
      <c r="U11" s="242"/>
      <c r="V11" s="242"/>
    </row>
    <row r="12" spans="1:22" ht="27" customHeight="1">
      <c r="A12" s="157"/>
      <c r="B12" s="754" t="s">
        <v>2717</v>
      </c>
      <c r="C12" s="755"/>
      <c r="D12" s="755"/>
      <c r="E12" s="755">
        <v>14.570227121615403</v>
      </c>
      <c r="F12" s="755"/>
      <c r="G12" s="755"/>
      <c r="H12" s="755" t="s">
        <v>120</v>
      </c>
      <c r="I12" s="755" t="s">
        <v>120</v>
      </c>
      <c r="J12" s="755" t="s">
        <v>120</v>
      </c>
      <c r="K12" s="755" t="s">
        <v>120</v>
      </c>
      <c r="M12" s="242"/>
      <c r="N12" s="242"/>
      <c r="O12" s="242"/>
      <c r="P12" s="242"/>
      <c r="Q12" s="242"/>
      <c r="R12" s="242"/>
      <c r="S12" s="242"/>
      <c r="T12" s="242"/>
      <c r="U12" s="242"/>
      <c r="V12" s="242"/>
    </row>
    <row r="13" spans="1:22" ht="27" customHeight="1">
      <c r="A13" s="157"/>
      <c r="B13" s="754" t="s">
        <v>2718</v>
      </c>
      <c r="C13" s="755"/>
      <c r="D13" s="755"/>
      <c r="E13" s="755"/>
      <c r="F13" s="755">
        <v>10.691444783321872</v>
      </c>
      <c r="G13" s="755"/>
      <c r="H13" s="755" t="s">
        <v>120</v>
      </c>
      <c r="I13" s="755" t="s">
        <v>120</v>
      </c>
      <c r="J13" s="755" t="s">
        <v>120</v>
      </c>
      <c r="K13" s="755" t="s">
        <v>120</v>
      </c>
      <c r="M13" s="242"/>
      <c r="N13" s="242"/>
      <c r="O13" s="242"/>
      <c r="P13" s="242"/>
      <c r="Q13" s="242"/>
      <c r="R13" s="242"/>
      <c r="S13" s="242"/>
      <c r="T13" s="242"/>
      <c r="U13" s="242"/>
      <c r="V13" s="242"/>
    </row>
    <row r="14" spans="1:22" ht="27" customHeight="1">
      <c r="A14" s="158"/>
      <c r="B14" s="754" t="s">
        <v>2719</v>
      </c>
      <c r="C14" s="755"/>
      <c r="D14" s="755"/>
      <c r="E14" s="755"/>
      <c r="F14" s="755"/>
      <c r="G14" s="755">
        <v>8.7424117546694049</v>
      </c>
      <c r="H14" s="755" t="s">
        <v>120</v>
      </c>
      <c r="I14" s="755" t="s">
        <v>120</v>
      </c>
      <c r="J14" s="755" t="s">
        <v>120</v>
      </c>
      <c r="K14" s="755" t="s">
        <v>120</v>
      </c>
      <c r="M14" s="242"/>
      <c r="N14" s="242"/>
      <c r="O14" s="242"/>
      <c r="P14" s="242"/>
      <c r="Q14" s="242"/>
      <c r="R14" s="242"/>
      <c r="S14" s="242"/>
      <c r="T14" s="242"/>
      <c r="U14" s="242"/>
      <c r="V14" s="242"/>
    </row>
    <row r="15" spans="1:22" ht="27.95" customHeight="1">
      <c r="A15" s="752" t="s">
        <v>2720</v>
      </c>
      <c r="B15" s="136" t="s">
        <v>178</v>
      </c>
      <c r="C15" s="160">
        <v>949.33</v>
      </c>
      <c r="D15" s="160">
        <f>D$8*$C15</f>
        <v>191.10843306266958</v>
      </c>
      <c r="E15" s="160">
        <f t="shared" ref="E15:K15" si="1">E$8*$C15</f>
        <v>99.320286993341</v>
      </c>
      <c r="F15" s="160">
        <f t="shared" si="1"/>
        <v>72.133367807952666</v>
      </c>
      <c r="G15" s="160">
        <f t="shared" si="1"/>
        <v>62.246507412424599</v>
      </c>
      <c r="H15" s="160">
        <f t="shared" si="1"/>
        <v>293.34297000000004</v>
      </c>
      <c r="I15" s="160">
        <f t="shared" si="1"/>
        <v>293.34297000000004</v>
      </c>
      <c r="J15" s="160">
        <f t="shared" si="1"/>
        <v>250.62311999999997</v>
      </c>
      <c r="K15" s="160">
        <f t="shared" si="1"/>
        <v>143.82349500000001</v>
      </c>
      <c r="M15" s="242"/>
      <c r="N15" s="242"/>
      <c r="O15" s="242"/>
      <c r="P15" s="242"/>
      <c r="Q15" s="242"/>
      <c r="R15" s="242"/>
      <c r="S15" s="242"/>
      <c r="T15" s="242"/>
      <c r="U15" s="242"/>
      <c r="V15" s="242"/>
    </row>
    <row r="16" spans="1:22" ht="27.95" customHeight="1">
      <c r="A16" s="753"/>
      <c r="B16" s="754" t="s">
        <v>2716</v>
      </c>
      <c r="C16" s="755"/>
      <c r="D16" s="755">
        <v>29.140454243230806</v>
      </c>
      <c r="E16" s="755"/>
      <c r="F16" s="755"/>
      <c r="G16" s="755"/>
      <c r="H16" s="755" t="s">
        <v>120</v>
      </c>
      <c r="I16" s="755" t="s">
        <v>120</v>
      </c>
      <c r="J16" s="755" t="s">
        <v>120</v>
      </c>
      <c r="K16" s="755" t="s">
        <v>120</v>
      </c>
      <c r="M16" s="242"/>
      <c r="N16" s="242"/>
      <c r="O16" s="242"/>
      <c r="P16" s="242"/>
      <c r="Q16" s="242"/>
      <c r="R16" s="242"/>
      <c r="S16" s="242"/>
      <c r="T16" s="242"/>
      <c r="U16" s="242"/>
      <c r="V16" s="242"/>
    </row>
    <row r="17" spans="1:12" ht="27.95" customHeight="1">
      <c r="A17" s="753"/>
      <c r="B17" s="754" t="s">
        <v>2717</v>
      </c>
      <c r="C17" s="755"/>
      <c r="D17" s="755"/>
      <c r="E17" s="755">
        <v>14.570227121615403</v>
      </c>
      <c r="F17" s="755"/>
      <c r="G17" s="755"/>
      <c r="H17" s="755" t="s">
        <v>120</v>
      </c>
      <c r="I17" s="755" t="s">
        <v>120</v>
      </c>
      <c r="J17" s="755" t="s">
        <v>120</v>
      </c>
      <c r="K17" s="755" t="s">
        <v>120</v>
      </c>
    </row>
    <row r="18" spans="1:12" ht="27.95" customHeight="1">
      <c r="A18" s="753"/>
      <c r="B18" s="754" t="s">
        <v>2718</v>
      </c>
      <c r="C18" s="755"/>
      <c r="D18" s="755"/>
      <c r="E18" s="755"/>
      <c r="F18" s="755">
        <v>10.691444783321872</v>
      </c>
      <c r="G18" s="755"/>
      <c r="H18" s="755" t="s">
        <v>120</v>
      </c>
      <c r="I18" s="755" t="s">
        <v>120</v>
      </c>
      <c r="J18" s="755" t="s">
        <v>120</v>
      </c>
      <c r="K18" s="755" t="s">
        <v>120</v>
      </c>
    </row>
    <row r="19" spans="1:12" ht="27.95" customHeight="1">
      <c r="A19" s="756"/>
      <c r="B19" s="754" t="s">
        <v>2719</v>
      </c>
      <c r="C19" s="755"/>
      <c r="D19" s="755"/>
      <c r="E19" s="755"/>
      <c r="F19" s="755"/>
      <c r="G19" s="755">
        <v>8.7424117546694049</v>
      </c>
      <c r="H19" s="755" t="s">
        <v>120</v>
      </c>
      <c r="I19" s="755" t="s">
        <v>120</v>
      </c>
      <c r="J19" s="755" t="s">
        <v>120</v>
      </c>
      <c r="K19" s="755" t="s">
        <v>120</v>
      </c>
    </row>
    <row r="20" spans="1:12" s="783" customFormat="1" ht="27.95" customHeight="1">
      <c r="A20" s="781" t="s">
        <v>2721</v>
      </c>
      <c r="B20" s="136" t="s">
        <v>298</v>
      </c>
      <c r="C20" s="160">
        <v>1446.47</v>
      </c>
      <c r="D20" s="160">
        <f t="shared" ref="D20:K20" si="2">D$8*$C20</f>
        <v>291.18706368929628</v>
      </c>
      <c r="E20" s="160">
        <f t="shared" si="2"/>
        <v>151.33179771760922</v>
      </c>
      <c r="F20" s="160">
        <f t="shared" si="2"/>
        <v>109.90777973219986</v>
      </c>
      <c r="G20" s="160">
        <f t="shared" si="2"/>
        <v>94.843421757291779</v>
      </c>
      <c r="H20" s="160">
        <f t="shared" si="2"/>
        <v>446.95922999999999</v>
      </c>
      <c r="I20" s="160">
        <f t="shared" si="2"/>
        <v>446.95922999999999</v>
      </c>
      <c r="J20" s="160">
        <f t="shared" si="2"/>
        <v>381.86807999999996</v>
      </c>
      <c r="K20" s="160">
        <f t="shared" si="2"/>
        <v>219.14020500000001</v>
      </c>
      <c r="L20" s="782"/>
    </row>
    <row r="21" spans="1:12" s="783" customFormat="1" ht="27.95" customHeight="1">
      <c r="A21" s="784"/>
      <c r="B21" s="785" t="s">
        <v>2722</v>
      </c>
      <c r="C21" s="786"/>
      <c r="D21" s="786">
        <v>75.291903471520243</v>
      </c>
      <c r="E21" s="786"/>
      <c r="F21" s="786"/>
      <c r="G21" s="786"/>
      <c r="H21" s="786" t="s">
        <v>120</v>
      </c>
      <c r="I21" s="786" t="s">
        <v>120</v>
      </c>
      <c r="J21" s="786" t="s">
        <v>120</v>
      </c>
      <c r="K21" s="786" t="s">
        <v>120</v>
      </c>
      <c r="L21" s="782"/>
    </row>
    <row r="22" spans="1:12" s="783" customFormat="1" ht="27.95" customHeight="1">
      <c r="A22" s="784"/>
      <c r="B22" s="785" t="s">
        <v>2723</v>
      </c>
      <c r="C22" s="786"/>
      <c r="D22" s="786"/>
      <c r="E22" s="786">
        <v>37.645951735760121</v>
      </c>
      <c r="F22" s="786"/>
      <c r="G22" s="786"/>
      <c r="H22" s="786" t="s">
        <v>120</v>
      </c>
      <c r="I22" s="786" t="s">
        <v>120</v>
      </c>
      <c r="J22" s="786" t="s">
        <v>120</v>
      </c>
      <c r="K22" s="786" t="s">
        <v>120</v>
      </c>
      <c r="L22" s="782"/>
    </row>
    <row r="23" spans="1:12" s="783" customFormat="1" ht="27.95" customHeight="1">
      <c r="A23" s="784"/>
      <c r="B23" s="785" t="s">
        <v>2724</v>
      </c>
      <c r="C23" s="786"/>
      <c r="D23" s="786"/>
      <c r="E23" s="786"/>
      <c r="F23" s="786">
        <v>27.624386620001019</v>
      </c>
      <c r="G23" s="786"/>
      <c r="H23" s="786" t="s">
        <v>120</v>
      </c>
      <c r="I23" s="786" t="s">
        <v>120</v>
      </c>
      <c r="J23" s="786" t="s">
        <v>120</v>
      </c>
      <c r="K23" s="786" t="s">
        <v>120</v>
      </c>
      <c r="L23" s="782"/>
    </row>
    <row r="24" spans="1:12" s="783" customFormat="1" ht="27.95" customHeight="1">
      <c r="A24" s="787"/>
      <c r="B24" s="785" t="s">
        <v>2725</v>
      </c>
      <c r="C24" s="786"/>
      <c r="D24" s="786"/>
      <c r="E24" s="786"/>
      <c r="F24" s="786"/>
      <c r="G24" s="786">
        <v>22.587433300605994</v>
      </c>
      <c r="H24" s="786" t="s">
        <v>120</v>
      </c>
      <c r="I24" s="786" t="s">
        <v>120</v>
      </c>
      <c r="J24" s="786" t="s">
        <v>120</v>
      </c>
      <c r="K24" s="786" t="s">
        <v>120</v>
      </c>
      <c r="L24" s="782"/>
    </row>
    <row r="25" spans="1:12" s="783" customFormat="1" ht="27.95" customHeight="1">
      <c r="A25" s="781" t="s">
        <v>2726</v>
      </c>
      <c r="B25" s="136" t="s">
        <v>352</v>
      </c>
      <c r="C25" s="160">
        <v>1789.81</v>
      </c>
      <c r="D25" s="160">
        <f t="shared" ref="D25:K25" si="3">D$8*$C25</f>
        <v>360.3044089830687</v>
      </c>
      <c r="E25" s="160">
        <f t="shared" si="3"/>
        <v>187.25252848172042</v>
      </c>
      <c r="F25" s="160">
        <f t="shared" si="3"/>
        <v>135.99593717290273</v>
      </c>
      <c r="G25" s="160">
        <f t="shared" si="3"/>
        <v>117.35584194308792</v>
      </c>
      <c r="H25" s="160">
        <f t="shared" si="3"/>
        <v>553.05128999999999</v>
      </c>
      <c r="I25" s="160">
        <f t="shared" si="3"/>
        <v>553.05128999999999</v>
      </c>
      <c r="J25" s="160">
        <f t="shared" si="3"/>
        <v>472.50983999999988</v>
      </c>
      <c r="K25" s="160">
        <f t="shared" si="3"/>
        <v>271.15621499999997</v>
      </c>
      <c r="L25" s="782"/>
    </row>
    <row r="26" spans="1:12" s="783" customFormat="1" ht="27.95" customHeight="1">
      <c r="A26" s="784"/>
      <c r="B26" s="785" t="s">
        <v>2722</v>
      </c>
      <c r="C26" s="786"/>
      <c r="D26" s="786">
        <v>75.291903471520243</v>
      </c>
      <c r="E26" s="786"/>
      <c r="F26" s="786"/>
      <c r="G26" s="786"/>
      <c r="H26" s="786" t="s">
        <v>120</v>
      </c>
      <c r="I26" s="786" t="s">
        <v>120</v>
      </c>
      <c r="J26" s="786" t="s">
        <v>120</v>
      </c>
      <c r="K26" s="786" t="s">
        <v>120</v>
      </c>
      <c r="L26" s="782"/>
    </row>
    <row r="27" spans="1:12" s="783" customFormat="1" ht="27.95" customHeight="1">
      <c r="A27" s="784"/>
      <c r="B27" s="785" t="s">
        <v>2723</v>
      </c>
      <c r="C27" s="786"/>
      <c r="D27" s="786"/>
      <c r="E27" s="786">
        <v>37.645951735760121</v>
      </c>
      <c r="F27" s="786"/>
      <c r="G27" s="786"/>
      <c r="H27" s="786" t="s">
        <v>120</v>
      </c>
      <c r="I27" s="786" t="s">
        <v>120</v>
      </c>
      <c r="J27" s="786" t="s">
        <v>120</v>
      </c>
      <c r="K27" s="786" t="s">
        <v>120</v>
      </c>
      <c r="L27" s="782"/>
    </row>
    <row r="28" spans="1:12" s="783" customFormat="1" ht="27.95" customHeight="1">
      <c r="A28" s="784"/>
      <c r="B28" s="785" t="s">
        <v>2724</v>
      </c>
      <c r="C28" s="786"/>
      <c r="D28" s="786"/>
      <c r="E28" s="786"/>
      <c r="F28" s="786">
        <v>27.624386620001019</v>
      </c>
      <c r="G28" s="786"/>
      <c r="H28" s="786" t="s">
        <v>120</v>
      </c>
      <c r="I28" s="786" t="s">
        <v>120</v>
      </c>
      <c r="J28" s="786" t="s">
        <v>120</v>
      </c>
      <c r="K28" s="786" t="s">
        <v>120</v>
      </c>
      <c r="L28" s="782"/>
    </row>
    <row r="29" spans="1:12" s="783" customFormat="1" ht="27.95" customHeight="1">
      <c r="A29" s="787"/>
      <c r="B29" s="785" t="s">
        <v>2725</v>
      </c>
      <c r="C29" s="786"/>
      <c r="D29" s="786"/>
      <c r="E29" s="786"/>
      <c r="F29" s="786"/>
      <c r="G29" s="786">
        <v>22.587433300605994</v>
      </c>
      <c r="H29" s="786" t="s">
        <v>120</v>
      </c>
      <c r="I29" s="786" t="s">
        <v>120</v>
      </c>
      <c r="J29" s="786" t="s">
        <v>120</v>
      </c>
      <c r="K29" s="786" t="s">
        <v>120</v>
      </c>
      <c r="L29" s="782"/>
    </row>
    <row r="30" spans="1:12" s="783" customFormat="1" ht="29.1" customHeight="1">
      <c r="A30" s="781" t="s">
        <v>2727</v>
      </c>
      <c r="B30" s="136" t="s">
        <v>429</v>
      </c>
      <c r="C30" s="160">
        <v>2141.29</v>
      </c>
      <c r="D30" s="160">
        <f t="shared" ref="D30:K30" si="4">D$8*$C30</f>
        <v>431.06040747976328</v>
      </c>
      <c r="E30" s="160">
        <f t="shared" si="4"/>
        <v>224.02487789911953</v>
      </c>
      <c r="F30" s="160">
        <f t="shared" si="4"/>
        <v>162.70259988991282</v>
      </c>
      <c r="G30" s="160">
        <f t="shared" si="4"/>
        <v>140.40199283405209</v>
      </c>
      <c r="H30" s="160">
        <f t="shared" si="4"/>
        <v>661.65860999999995</v>
      </c>
      <c r="I30" s="160">
        <f t="shared" si="4"/>
        <v>661.65860999999995</v>
      </c>
      <c r="J30" s="160">
        <f t="shared" si="4"/>
        <v>565.3005599999999</v>
      </c>
      <c r="K30" s="160">
        <f t="shared" si="4"/>
        <v>324.40543500000001</v>
      </c>
      <c r="L30" s="782"/>
    </row>
    <row r="31" spans="1:12" s="783" customFormat="1" ht="29.1" customHeight="1">
      <c r="A31" s="784"/>
      <c r="B31" s="785" t="s">
        <v>2728</v>
      </c>
      <c r="C31" s="786"/>
      <c r="D31" s="786">
        <v>81.038451736918191</v>
      </c>
      <c r="E31" s="786"/>
      <c r="F31" s="786"/>
      <c r="G31" s="786"/>
      <c r="H31" s="786" t="s">
        <v>120</v>
      </c>
      <c r="I31" s="786" t="s">
        <v>120</v>
      </c>
      <c r="J31" s="786" t="s">
        <v>120</v>
      </c>
      <c r="K31" s="786" t="s">
        <v>120</v>
      </c>
      <c r="L31" s="782"/>
    </row>
    <row r="32" spans="1:12" s="783" customFormat="1" ht="29.1" customHeight="1">
      <c r="A32" s="784"/>
      <c r="B32" s="785" t="s">
        <v>2729</v>
      </c>
      <c r="C32" s="786"/>
      <c r="D32" s="786"/>
      <c r="E32" s="786">
        <v>40.519225868459095</v>
      </c>
      <c r="F32" s="786"/>
      <c r="G32" s="786"/>
      <c r="H32" s="786" t="s">
        <v>120</v>
      </c>
      <c r="I32" s="786" t="s">
        <v>120</v>
      </c>
      <c r="J32" s="786" t="s">
        <v>120</v>
      </c>
      <c r="K32" s="786" t="s">
        <v>120</v>
      </c>
      <c r="L32" s="782"/>
    </row>
    <row r="33" spans="1:12" s="783" customFormat="1" ht="29.1" customHeight="1">
      <c r="A33" s="784"/>
      <c r="B33" s="785" t="s">
        <v>2730</v>
      </c>
      <c r="C33" s="786"/>
      <c r="D33" s="786"/>
      <c r="E33" s="786"/>
      <c r="F33" s="786">
        <v>29.732739898581031</v>
      </c>
      <c r="G33" s="786"/>
      <c r="H33" s="786" t="s">
        <v>120</v>
      </c>
      <c r="I33" s="786" t="s">
        <v>120</v>
      </c>
      <c r="J33" s="786" t="s">
        <v>120</v>
      </c>
      <c r="K33" s="786" t="s">
        <v>120</v>
      </c>
      <c r="L33" s="782"/>
    </row>
    <row r="34" spans="1:12" s="783" customFormat="1" ht="29.1" customHeight="1">
      <c r="A34" s="787"/>
      <c r="B34" s="785" t="s">
        <v>2731</v>
      </c>
      <c r="C34" s="786"/>
      <c r="D34" s="786"/>
      <c r="E34" s="786"/>
      <c r="F34" s="786"/>
      <c r="G34" s="786">
        <v>24.311260039375295</v>
      </c>
      <c r="H34" s="786" t="s">
        <v>120</v>
      </c>
      <c r="I34" s="786" t="s">
        <v>120</v>
      </c>
      <c r="J34" s="786" t="s">
        <v>120</v>
      </c>
      <c r="K34" s="786" t="s">
        <v>120</v>
      </c>
      <c r="L34" s="782"/>
    </row>
    <row r="35" spans="1:12" s="783" customFormat="1" ht="24" customHeight="1">
      <c r="A35" s="781" t="s">
        <v>2732</v>
      </c>
      <c r="B35" s="136" t="s">
        <v>522</v>
      </c>
      <c r="C35" s="160">
        <v>543.49</v>
      </c>
      <c r="D35" s="160">
        <f t="shared" ref="D35:K35" si="5">D$8*$C35</f>
        <v>109.40929106341345</v>
      </c>
      <c r="E35" s="160">
        <f t="shared" si="5"/>
        <v>56.860715218112674</v>
      </c>
      <c r="F35" s="160">
        <f t="shared" si="5"/>
        <v>41.296244793637818</v>
      </c>
      <c r="G35" s="160">
        <f t="shared" si="5"/>
        <v>35.636032057955234</v>
      </c>
      <c r="H35" s="160">
        <f t="shared" si="5"/>
        <v>167.93841</v>
      </c>
      <c r="I35" s="160">
        <f t="shared" si="5"/>
        <v>167.93841</v>
      </c>
      <c r="J35" s="160">
        <f t="shared" si="5"/>
        <v>143.48135999999997</v>
      </c>
      <c r="K35" s="160">
        <f t="shared" si="5"/>
        <v>82.338735</v>
      </c>
      <c r="L35" s="782"/>
    </row>
    <row r="36" spans="1:12" s="783" customFormat="1" ht="24" customHeight="1">
      <c r="A36" s="784"/>
      <c r="B36" s="785" t="s">
        <v>2733</v>
      </c>
      <c r="C36" s="786"/>
      <c r="D36" s="786">
        <v>36.402151859524658</v>
      </c>
      <c r="E36" s="786"/>
      <c r="F36" s="786"/>
      <c r="G36" s="786"/>
      <c r="H36" s="786" t="s">
        <v>120</v>
      </c>
      <c r="I36" s="786" t="s">
        <v>120</v>
      </c>
      <c r="J36" s="786" t="s">
        <v>120</v>
      </c>
      <c r="K36" s="786" t="s">
        <v>120</v>
      </c>
      <c r="L36" s="782"/>
    </row>
    <row r="37" spans="1:12" s="783" customFormat="1" ht="24" customHeight="1">
      <c r="A37" s="784"/>
      <c r="B37" s="785" t="s">
        <v>2734</v>
      </c>
      <c r="C37" s="786"/>
      <c r="D37" s="786"/>
      <c r="E37" s="786">
        <v>18.201075929762329</v>
      </c>
      <c r="F37" s="786"/>
      <c r="G37" s="786"/>
      <c r="H37" s="786" t="s">
        <v>120</v>
      </c>
      <c r="I37" s="786" t="s">
        <v>120</v>
      </c>
      <c r="J37" s="786" t="s">
        <v>120</v>
      </c>
      <c r="K37" s="786" t="s">
        <v>120</v>
      </c>
      <c r="L37" s="782"/>
    </row>
    <row r="38" spans="1:12" s="783" customFormat="1" ht="24" customHeight="1">
      <c r="A38" s="784"/>
      <c r="B38" s="785" t="s">
        <v>2735</v>
      </c>
      <c r="C38" s="786"/>
      <c r="D38" s="786"/>
      <c r="E38" s="786"/>
      <c r="F38" s="786">
        <v>13.356271096230921</v>
      </c>
      <c r="G38" s="786"/>
      <c r="H38" s="786" t="s">
        <v>120</v>
      </c>
      <c r="I38" s="786" t="s">
        <v>120</v>
      </c>
      <c r="J38" s="786" t="s">
        <v>120</v>
      </c>
      <c r="K38" s="786" t="s">
        <v>120</v>
      </c>
      <c r="L38" s="782"/>
    </row>
    <row r="39" spans="1:12" s="783" customFormat="1" ht="24" customHeight="1">
      <c r="A39" s="787"/>
      <c r="B39" s="785" t="s">
        <v>2736</v>
      </c>
      <c r="C39" s="786"/>
      <c r="D39" s="786"/>
      <c r="E39" s="786"/>
      <c r="F39" s="786"/>
      <c r="G39" s="786">
        <v>10.92078329870748</v>
      </c>
      <c r="H39" s="786" t="s">
        <v>120</v>
      </c>
      <c r="I39" s="786" t="s">
        <v>120</v>
      </c>
      <c r="J39" s="786" t="s">
        <v>120</v>
      </c>
      <c r="K39" s="786" t="s">
        <v>120</v>
      </c>
      <c r="L39" s="782"/>
    </row>
    <row r="40" spans="1:12" s="783" customFormat="1" ht="24" customHeight="1">
      <c r="A40" s="781" t="s">
        <v>2737</v>
      </c>
      <c r="B40" s="136" t="s">
        <v>591</v>
      </c>
      <c r="C40" s="160">
        <v>1168.01</v>
      </c>
      <c r="D40" s="160">
        <f t="shared" ref="D40:K40" si="6">D$8*$C40</f>
        <v>235.1306299195524</v>
      </c>
      <c r="E40" s="160">
        <f t="shared" si="6"/>
        <v>122.19890703031845</v>
      </c>
      <c r="F40" s="160">
        <f t="shared" si="6"/>
        <v>88.749428474152069</v>
      </c>
      <c r="G40" s="160">
        <f t="shared" si="6"/>
        <v>76.585110680991917</v>
      </c>
      <c r="H40" s="160">
        <f t="shared" si="6"/>
        <v>360.91509000000002</v>
      </c>
      <c r="I40" s="160">
        <f t="shared" si="6"/>
        <v>360.91509000000002</v>
      </c>
      <c r="J40" s="160">
        <f t="shared" si="6"/>
        <v>308.35463999999996</v>
      </c>
      <c r="K40" s="160">
        <f t="shared" si="6"/>
        <v>176.95351499999998</v>
      </c>
      <c r="L40" s="782"/>
    </row>
    <row r="41" spans="1:12" s="783" customFormat="1" ht="21.95" customHeight="1">
      <c r="A41" s="784"/>
      <c r="B41" s="788" t="s">
        <v>2738</v>
      </c>
      <c r="C41" s="786"/>
      <c r="D41" s="786">
        <v>37.300222202055693</v>
      </c>
      <c r="E41" s="786"/>
      <c r="F41" s="786"/>
      <c r="G41" s="786"/>
      <c r="H41" s="786" t="s">
        <v>120</v>
      </c>
      <c r="I41" s="786" t="s">
        <v>120</v>
      </c>
      <c r="J41" s="786" t="s">
        <v>120</v>
      </c>
      <c r="K41" s="786" t="s">
        <v>120</v>
      </c>
      <c r="L41" s="782"/>
    </row>
    <row r="42" spans="1:12" s="783" customFormat="1" ht="23.1" customHeight="1">
      <c r="A42" s="784"/>
      <c r="B42" s="788" t="s">
        <v>2739</v>
      </c>
      <c r="C42" s="786"/>
      <c r="D42" s="786"/>
      <c r="E42" s="786">
        <v>18.650111101027846</v>
      </c>
      <c r="F42" s="786"/>
      <c r="G42" s="786"/>
      <c r="H42" s="786" t="s">
        <v>120</v>
      </c>
      <c r="I42" s="786" t="s">
        <v>120</v>
      </c>
      <c r="J42" s="786" t="s">
        <v>120</v>
      </c>
      <c r="K42" s="786" t="s">
        <v>120</v>
      </c>
      <c r="L42" s="782"/>
    </row>
    <row r="43" spans="1:12" s="783" customFormat="1" ht="21.95" customHeight="1">
      <c r="A43" s="784"/>
      <c r="B43" s="788" t="s">
        <v>2740</v>
      </c>
      <c r="C43" s="786"/>
      <c r="D43" s="786"/>
      <c r="E43" s="786"/>
      <c r="F43" s="786">
        <v>13.685930864092517</v>
      </c>
      <c r="G43" s="786"/>
      <c r="H43" s="786" t="s">
        <v>120</v>
      </c>
      <c r="I43" s="786" t="s">
        <v>120</v>
      </c>
      <c r="J43" s="786" t="s">
        <v>120</v>
      </c>
      <c r="K43" s="786" t="s">
        <v>120</v>
      </c>
      <c r="L43" s="782"/>
    </row>
    <row r="44" spans="1:12" s="783" customFormat="1" ht="21.95" customHeight="1">
      <c r="A44" s="787"/>
      <c r="B44" s="788" t="s">
        <v>2741</v>
      </c>
      <c r="C44" s="786"/>
      <c r="D44" s="786"/>
      <c r="E44" s="786"/>
      <c r="F44" s="786"/>
      <c r="G44" s="786">
        <v>11.190066660616708</v>
      </c>
      <c r="H44" s="786" t="s">
        <v>120</v>
      </c>
      <c r="I44" s="786" t="s">
        <v>120</v>
      </c>
      <c r="J44" s="786" t="s">
        <v>120</v>
      </c>
      <c r="K44" s="786" t="s">
        <v>120</v>
      </c>
      <c r="L44" s="782"/>
    </row>
    <row r="45" spans="1:12" s="783" customFormat="1" ht="21.95" customHeight="1">
      <c r="A45" s="781" t="s">
        <v>2742</v>
      </c>
      <c r="B45" s="136" t="s">
        <v>798</v>
      </c>
      <c r="C45" s="160">
        <v>5838.66</v>
      </c>
      <c r="D45" s="160">
        <f t="shared" ref="D45:K45" si="7">D$8*$C45</f>
        <v>1175.3733304390321</v>
      </c>
      <c r="E45" s="160">
        <f t="shared" si="7"/>
        <v>610.84911132750506</v>
      </c>
      <c r="F45" s="160">
        <f t="shared" si="7"/>
        <v>443.64152537640319</v>
      </c>
      <c r="G45" s="160">
        <f t="shared" si="7"/>
        <v>382.83441265800826</v>
      </c>
      <c r="H45" s="160">
        <f t="shared" si="7"/>
        <v>1804.1459399999999</v>
      </c>
      <c r="I45" s="160">
        <f t="shared" si="7"/>
        <v>1804.1459399999999</v>
      </c>
      <c r="J45" s="160">
        <f t="shared" si="7"/>
        <v>1541.4062399999998</v>
      </c>
      <c r="K45" s="160">
        <f t="shared" si="7"/>
        <v>884.55698999999993</v>
      </c>
      <c r="L45" s="782"/>
    </row>
    <row r="46" spans="1:12" s="783" customFormat="1" ht="21.95" customHeight="1">
      <c r="A46" s="784"/>
      <c r="B46" s="785" t="s">
        <v>2743</v>
      </c>
      <c r="C46" s="786"/>
      <c r="D46" s="786">
        <v>209.07132670462425</v>
      </c>
      <c r="E46" s="786"/>
      <c r="F46" s="786"/>
      <c r="G46" s="786"/>
      <c r="H46" s="786" t="s">
        <v>120</v>
      </c>
      <c r="I46" s="786" t="s">
        <v>120</v>
      </c>
      <c r="J46" s="786" t="s">
        <v>120</v>
      </c>
      <c r="K46" s="786" t="s">
        <v>120</v>
      </c>
      <c r="L46" s="782"/>
    </row>
    <row r="47" spans="1:12" s="783" customFormat="1" ht="21.95" customHeight="1">
      <c r="A47" s="784"/>
      <c r="B47" s="785" t="s">
        <v>2744</v>
      </c>
      <c r="C47" s="786"/>
      <c r="D47" s="786"/>
      <c r="E47" s="786">
        <v>104.53566335231213</v>
      </c>
      <c r="F47" s="786"/>
      <c r="G47" s="786"/>
      <c r="H47" s="786" t="s">
        <v>120</v>
      </c>
      <c r="I47" s="786" t="s">
        <v>120</v>
      </c>
      <c r="J47" s="786" t="s">
        <v>120</v>
      </c>
      <c r="K47" s="786" t="s">
        <v>120</v>
      </c>
      <c r="L47" s="782"/>
    </row>
    <row r="48" spans="1:12" s="783" customFormat="1" ht="21.95" customHeight="1">
      <c r="A48" s="784"/>
      <c r="B48" s="785" t="s">
        <v>2745</v>
      </c>
      <c r="C48" s="786"/>
      <c r="D48" s="786"/>
      <c r="E48" s="786"/>
      <c r="F48" s="786">
        <v>76.707879410357521</v>
      </c>
      <c r="G48" s="786"/>
      <c r="H48" s="786" t="s">
        <v>120</v>
      </c>
      <c r="I48" s="786" t="s">
        <v>120</v>
      </c>
      <c r="J48" s="786" t="s">
        <v>120</v>
      </c>
      <c r="K48" s="786" t="s">
        <v>120</v>
      </c>
      <c r="L48" s="782"/>
    </row>
    <row r="49" spans="1:12" s="783" customFormat="1" ht="21.95" customHeight="1">
      <c r="A49" s="787"/>
      <c r="B49" s="785" t="s">
        <v>2746</v>
      </c>
      <c r="C49" s="786"/>
      <c r="D49" s="786"/>
      <c r="E49" s="786"/>
      <c r="F49" s="786"/>
      <c r="G49" s="786">
        <v>62.720984788837043</v>
      </c>
      <c r="H49" s="786" t="s">
        <v>120</v>
      </c>
      <c r="I49" s="786" t="s">
        <v>120</v>
      </c>
      <c r="J49" s="786" t="s">
        <v>120</v>
      </c>
      <c r="K49" s="786" t="s">
        <v>120</v>
      </c>
      <c r="L49" s="782"/>
    </row>
    <row r="50" spans="1:12" s="783" customFormat="1" ht="21.95" customHeight="1">
      <c r="A50" s="781" t="s">
        <v>2747</v>
      </c>
      <c r="B50" s="336" t="s">
        <v>2748</v>
      </c>
      <c r="C50" s="160">
        <v>504.73801999999995</v>
      </c>
      <c r="D50" s="160">
        <f t="shared" ref="D50:K50" si="8">D$8*$C50</f>
        <v>101.6081785146939</v>
      </c>
      <c r="E50" s="160">
        <f t="shared" si="8"/>
        <v>52.806426640736817</v>
      </c>
      <c r="F50" s="160">
        <f t="shared" si="8"/>
        <v>38.351735690769026</v>
      </c>
      <c r="G50" s="160">
        <f t="shared" si="8"/>
        <v>33.095108026990097</v>
      </c>
      <c r="H50" s="160">
        <f t="shared" si="8"/>
        <v>155.96404817999999</v>
      </c>
      <c r="I50" s="160">
        <f t="shared" si="8"/>
        <v>155.96404817999999</v>
      </c>
      <c r="J50" s="160">
        <f t="shared" si="8"/>
        <v>133.25083727999996</v>
      </c>
      <c r="K50" s="160">
        <f t="shared" si="8"/>
        <v>76.467810029999995</v>
      </c>
      <c r="L50" s="782"/>
    </row>
    <row r="51" spans="1:12" s="783" customFormat="1" ht="21.95" customHeight="1">
      <c r="A51" s="784"/>
      <c r="B51" s="785" t="s">
        <v>2749</v>
      </c>
      <c r="C51" s="786"/>
      <c r="D51" s="786">
        <v>20.041293686850455</v>
      </c>
      <c r="E51" s="786"/>
      <c r="F51" s="786"/>
      <c r="G51" s="786"/>
      <c r="H51" s="786" t="s">
        <v>120</v>
      </c>
      <c r="I51" s="786" t="s">
        <v>120</v>
      </c>
      <c r="J51" s="786" t="s">
        <v>120</v>
      </c>
      <c r="K51" s="786" t="s">
        <v>120</v>
      </c>
      <c r="L51" s="782"/>
    </row>
    <row r="52" spans="1:12" s="783" customFormat="1" ht="20.100000000000001" customHeight="1">
      <c r="A52" s="784"/>
      <c r="B52" s="785" t="s">
        <v>2750</v>
      </c>
      <c r="C52" s="786"/>
      <c r="D52" s="786"/>
      <c r="E52" s="786">
        <v>10.020646843425228</v>
      </c>
      <c r="F52" s="786"/>
      <c r="G52" s="786"/>
      <c r="H52" s="786" t="s">
        <v>120</v>
      </c>
      <c r="I52" s="786" t="s">
        <v>120</v>
      </c>
      <c r="J52" s="786" t="s">
        <v>120</v>
      </c>
      <c r="K52" s="786" t="s">
        <v>120</v>
      </c>
      <c r="L52" s="782"/>
    </row>
    <row r="53" spans="1:12" s="783" customFormat="1">
      <c r="A53" s="784"/>
      <c r="B53" s="785" t="s">
        <v>2751</v>
      </c>
      <c r="C53" s="786"/>
      <c r="D53" s="786"/>
      <c r="E53" s="786"/>
      <c r="F53" s="786">
        <v>7.3535248496814871</v>
      </c>
      <c r="G53" s="786"/>
      <c r="H53" s="786" t="s">
        <v>120</v>
      </c>
      <c r="I53" s="786" t="s">
        <v>120</v>
      </c>
      <c r="J53" s="786" t="s">
        <v>120</v>
      </c>
      <c r="K53" s="786" t="s">
        <v>120</v>
      </c>
      <c r="L53" s="782"/>
    </row>
    <row r="54" spans="1:12" s="783" customFormat="1" ht="56.45" customHeight="1">
      <c r="A54" s="787"/>
      <c r="B54" s="785" t="s">
        <v>2752</v>
      </c>
      <c r="C54" s="786"/>
      <c r="D54" s="786"/>
      <c r="E54" s="786"/>
      <c r="F54" s="786"/>
      <c r="G54" s="786">
        <v>6.0123881060551367</v>
      </c>
      <c r="H54" s="786" t="s">
        <v>120</v>
      </c>
      <c r="I54" s="786" t="s">
        <v>120</v>
      </c>
      <c r="J54" s="786" t="s">
        <v>120</v>
      </c>
      <c r="K54" s="786" t="s">
        <v>120</v>
      </c>
      <c r="L54" s="782"/>
    </row>
    <row r="55" spans="1:12" s="783" customFormat="1">
      <c r="A55" s="781" t="s">
        <v>2753</v>
      </c>
      <c r="B55" s="160" t="s">
        <v>2754</v>
      </c>
      <c r="C55" s="160">
        <v>340.92372999999998</v>
      </c>
      <c r="D55" s="160">
        <f t="shared" ref="D55:K55" si="9">D$8*$C55</f>
        <v>68.63092900696347</v>
      </c>
      <c r="E55" s="160">
        <f t="shared" si="9"/>
        <v>35.667937078192303</v>
      </c>
      <c r="F55" s="160">
        <f t="shared" si="9"/>
        <v>25.904560911958058</v>
      </c>
      <c r="G55" s="160">
        <f t="shared" si="9"/>
        <v>22.35398806159759</v>
      </c>
      <c r="H55" s="160">
        <f t="shared" si="9"/>
        <v>105.34543256999999</v>
      </c>
      <c r="I55" s="160">
        <f t="shared" si="9"/>
        <v>105.34543256999999</v>
      </c>
      <c r="J55" s="160">
        <f t="shared" si="9"/>
        <v>90.003864719999982</v>
      </c>
      <c r="K55" s="160">
        <f t="shared" si="9"/>
        <v>51.649945094999993</v>
      </c>
      <c r="L55" s="782"/>
    </row>
    <row r="56" spans="1:12" s="783" customFormat="1">
      <c r="A56" s="784"/>
      <c r="B56" s="785" t="s">
        <v>2755</v>
      </c>
      <c r="C56" s="786"/>
      <c r="D56" s="786">
        <v>20.041293686850455</v>
      </c>
      <c r="E56" s="786"/>
      <c r="F56" s="786"/>
      <c r="G56" s="786"/>
      <c r="H56" s="786" t="s">
        <v>120</v>
      </c>
      <c r="I56" s="786" t="s">
        <v>120</v>
      </c>
      <c r="J56" s="786" t="s">
        <v>120</v>
      </c>
      <c r="K56" s="786" t="s">
        <v>120</v>
      </c>
      <c r="L56" s="782"/>
    </row>
    <row r="57" spans="1:12" s="783" customFormat="1">
      <c r="A57" s="784"/>
      <c r="B57" s="785" t="s">
        <v>2756</v>
      </c>
      <c r="C57" s="786"/>
      <c r="D57" s="786"/>
      <c r="E57" s="786">
        <v>10.020646843425228</v>
      </c>
      <c r="F57" s="786"/>
      <c r="G57" s="786"/>
      <c r="H57" s="786" t="s">
        <v>120</v>
      </c>
      <c r="I57" s="786" t="s">
        <v>120</v>
      </c>
      <c r="J57" s="786" t="s">
        <v>120</v>
      </c>
      <c r="K57" s="786" t="s">
        <v>120</v>
      </c>
      <c r="L57" s="782"/>
    </row>
    <row r="58" spans="1:12" s="783" customFormat="1">
      <c r="A58" s="784"/>
      <c r="B58" s="785" t="s">
        <v>2757</v>
      </c>
      <c r="C58" s="786"/>
      <c r="D58" s="786"/>
      <c r="E58" s="786"/>
      <c r="F58" s="786">
        <v>7.3535248496814871</v>
      </c>
      <c r="G58" s="786"/>
      <c r="H58" s="786" t="s">
        <v>120</v>
      </c>
      <c r="I58" s="786" t="s">
        <v>120</v>
      </c>
      <c r="J58" s="786" t="s">
        <v>120</v>
      </c>
      <c r="K58" s="786" t="s">
        <v>120</v>
      </c>
      <c r="L58" s="782"/>
    </row>
    <row r="59" spans="1:12" s="783" customFormat="1">
      <c r="A59" s="787"/>
      <c r="B59" s="785" t="s">
        <v>2758</v>
      </c>
      <c r="C59" s="786"/>
      <c r="D59" s="786"/>
      <c r="E59" s="786"/>
      <c r="F59" s="786"/>
      <c r="G59" s="786">
        <v>6.0123881060551367</v>
      </c>
      <c r="H59" s="786" t="s">
        <v>120</v>
      </c>
      <c r="I59" s="786" t="s">
        <v>120</v>
      </c>
      <c r="J59" s="786" t="s">
        <v>120</v>
      </c>
      <c r="K59" s="786" t="s">
        <v>120</v>
      </c>
      <c r="L59" s="782"/>
    </row>
    <row r="60" spans="1:12" s="783" customFormat="1">
      <c r="A60" s="781" t="s">
        <v>2759</v>
      </c>
      <c r="B60" s="336" t="s">
        <v>2760</v>
      </c>
      <c r="C60" s="160">
        <v>808.22</v>
      </c>
      <c r="D60" s="160">
        <f t="shared" ref="D60:K60" si="10">D$8*$C60</f>
        <v>162.70175573289669</v>
      </c>
      <c r="E60" s="160">
        <f t="shared" si="10"/>
        <v>84.557153312081226</v>
      </c>
      <c r="F60" s="160">
        <f t="shared" si="10"/>
        <v>61.411343294474527</v>
      </c>
      <c r="G60" s="160">
        <f t="shared" si="10"/>
        <v>52.994082374800975</v>
      </c>
      <c r="H60" s="160">
        <f t="shared" si="10"/>
        <v>249.73998</v>
      </c>
      <c r="I60" s="160">
        <f t="shared" si="10"/>
        <v>249.73998</v>
      </c>
      <c r="J60" s="160">
        <f t="shared" si="10"/>
        <v>213.37007999999997</v>
      </c>
      <c r="K60" s="160">
        <f t="shared" si="10"/>
        <v>122.44533</v>
      </c>
      <c r="L60" s="782"/>
    </row>
    <row r="61" spans="1:12" s="783" customFormat="1">
      <c r="A61" s="784"/>
      <c r="B61" s="785" t="s">
        <v>2761</v>
      </c>
      <c r="C61" s="786"/>
      <c r="D61" s="786">
        <v>20.041293686850455</v>
      </c>
      <c r="E61" s="786"/>
      <c r="F61" s="786"/>
      <c r="G61" s="786"/>
      <c r="H61" s="786" t="s">
        <v>120</v>
      </c>
      <c r="I61" s="786" t="s">
        <v>120</v>
      </c>
      <c r="J61" s="786" t="s">
        <v>120</v>
      </c>
      <c r="K61" s="786" t="s">
        <v>120</v>
      </c>
      <c r="L61" s="782"/>
    </row>
    <row r="62" spans="1:12" s="783" customFormat="1">
      <c r="A62" s="784"/>
      <c r="B62" s="785" t="s">
        <v>2762</v>
      </c>
      <c r="C62" s="786"/>
      <c r="D62" s="786"/>
      <c r="E62" s="786">
        <v>10.020646843425228</v>
      </c>
      <c r="F62" s="786"/>
      <c r="G62" s="786"/>
      <c r="H62" s="786" t="s">
        <v>120</v>
      </c>
      <c r="I62" s="786" t="s">
        <v>120</v>
      </c>
      <c r="J62" s="786" t="s">
        <v>120</v>
      </c>
      <c r="K62" s="786" t="s">
        <v>120</v>
      </c>
      <c r="L62" s="782"/>
    </row>
    <row r="63" spans="1:12" s="783" customFormat="1">
      <c r="A63" s="784"/>
      <c r="B63" s="785" t="s">
        <v>2763</v>
      </c>
      <c r="C63" s="786"/>
      <c r="D63" s="786"/>
      <c r="E63" s="786"/>
      <c r="F63" s="786">
        <v>7.3535248496814871</v>
      </c>
      <c r="G63" s="786"/>
      <c r="H63" s="786" t="s">
        <v>120</v>
      </c>
      <c r="I63" s="786" t="s">
        <v>120</v>
      </c>
      <c r="J63" s="786" t="s">
        <v>120</v>
      </c>
      <c r="K63" s="786" t="s">
        <v>120</v>
      </c>
      <c r="L63" s="782"/>
    </row>
    <row r="64" spans="1:12" s="783" customFormat="1">
      <c r="A64" s="787"/>
      <c r="B64" s="785" t="s">
        <v>2764</v>
      </c>
      <c r="C64" s="786"/>
      <c r="D64" s="786"/>
      <c r="E64" s="786"/>
      <c r="F64" s="786"/>
      <c r="G64" s="786">
        <v>6.0123881060551367</v>
      </c>
      <c r="H64" s="786" t="s">
        <v>120</v>
      </c>
      <c r="I64" s="786" t="s">
        <v>120</v>
      </c>
      <c r="J64" s="786" t="s">
        <v>120</v>
      </c>
      <c r="K64" s="786" t="s">
        <v>120</v>
      </c>
      <c r="L64" s="782"/>
    </row>
    <row r="65" spans="1:12" s="783" customFormat="1">
      <c r="A65" s="781" t="s">
        <v>2765</v>
      </c>
      <c r="B65" s="136" t="s">
        <v>2766</v>
      </c>
      <c r="C65" s="160">
        <v>1747.41</v>
      </c>
      <c r="D65" s="160">
        <f t="shared" ref="D65:K65" si="11">D$8*$C65</f>
        <v>351.76891809806858</v>
      </c>
      <c r="E65" s="160">
        <f t="shared" si="11"/>
        <v>182.81657873977858</v>
      </c>
      <c r="F65" s="160">
        <f t="shared" si="11"/>
        <v>132.77423892776437</v>
      </c>
      <c r="G65" s="160">
        <f t="shared" si="11"/>
        <v>114.57572131666004</v>
      </c>
      <c r="H65" s="160">
        <f t="shared" si="11"/>
        <v>539.94969000000003</v>
      </c>
      <c r="I65" s="160">
        <f t="shared" si="11"/>
        <v>539.94969000000003</v>
      </c>
      <c r="J65" s="160">
        <f t="shared" si="11"/>
        <v>461.31623999999994</v>
      </c>
      <c r="K65" s="160">
        <f t="shared" si="11"/>
        <v>264.73261500000001</v>
      </c>
      <c r="L65" s="782"/>
    </row>
    <row r="66" spans="1:12" s="783" customFormat="1">
      <c r="A66" s="789"/>
      <c r="B66" s="785" t="s">
        <v>2767</v>
      </c>
      <c r="C66" s="786"/>
      <c r="D66" s="786">
        <v>89.757447547073753</v>
      </c>
      <c r="E66" s="786"/>
      <c r="F66" s="786"/>
      <c r="G66" s="786"/>
      <c r="H66" s="786" t="s">
        <v>120</v>
      </c>
      <c r="I66" s="786" t="s">
        <v>120</v>
      </c>
      <c r="J66" s="786" t="s">
        <v>120</v>
      </c>
      <c r="K66" s="786" t="s">
        <v>120</v>
      </c>
      <c r="L66" s="782"/>
    </row>
    <row r="67" spans="1:12">
      <c r="A67" s="161"/>
      <c r="B67" s="754" t="s">
        <v>2768</v>
      </c>
      <c r="C67" s="755"/>
      <c r="D67" s="755"/>
      <c r="E67" s="755">
        <v>44.878723773536876</v>
      </c>
      <c r="F67" s="755"/>
      <c r="G67" s="755"/>
      <c r="H67" s="755" t="s">
        <v>120</v>
      </c>
      <c r="I67" s="755" t="s">
        <v>120</v>
      </c>
      <c r="J67" s="755" t="s">
        <v>120</v>
      </c>
      <c r="K67" s="755" t="s">
        <v>120</v>
      </c>
    </row>
    <row r="68" spans="1:12">
      <c r="A68" s="161"/>
      <c r="B68" s="754" t="s">
        <v>2769</v>
      </c>
      <c r="C68" s="755"/>
      <c r="D68" s="755"/>
      <c r="E68" s="755"/>
      <c r="F68" s="755">
        <v>32.93200070980609</v>
      </c>
      <c r="G68" s="755"/>
      <c r="H68" s="755" t="s">
        <v>120</v>
      </c>
      <c r="I68" s="755" t="s">
        <v>120</v>
      </c>
      <c r="J68" s="755" t="s">
        <v>120</v>
      </c>
      <c r="K68" s="755" t="s">
        <v>120</v>
      </c>
    </row>
    <row r="69" spans="1:12">
      <c r="A69" s="162"/>
      <c r="B69" s="754" t="s">
        <v>2770</v>
      </c>
      <c r="C69" s="755"/>
      <c r="D69" s="755"/>
      <c r="E69" s="755"/>
      <c r="F69" s="755"/>
      <c r="G69" s="755">
        <v>26.926958782421963</v>
      </c>
      <c r="H69" s="755" t="s">
        <v>120</v>
      </c>
      <c r="I69" s="755" t="s">
        <v>120</v>
      </c>
      <c r="J69" s="755" t="s">
        <v>120</v>
      </c>
      <c r="K69" s="755" t="s">
        <v>120</v>
      </c>
    </row>
    <row r="71" spans="1:12">
      <c r="A71" s="790" t="s">
        <v>2771</v>
      </c>
      <c r="B71" s="791"/>
      <c r="C71" s="791"/>
    </row>
    <row r="72" spans="1:12" ht="16.5" thickBot="1">
      <c r="A72" s="791"/>
      <c r="B72" s="791"/>
      <c r="C72" s="791"/>
    </row>
    <row r="73" spans="1:12" ht="17.25" thickTop="1" thickBot="1">
      <c r="A73" s="792" t="s">
        <v>2772</v>
      </c>
      <c r="B73" s="793"/>
      <c r="C73" s="794" t="s">
        <v>2773</v>
      </c>
    </row>
    <row r="74" spans="1:12" ht="17.25" thickTop="1" thickBot="1">
      <c r="A74" s="848" t="s">
        <v>2774</v>
      </c>
      <c r="B74" s="849"/>
      <c r="C74" s="795">
        <v>4.95</v>
      </c>
      <c r="D74" s="155"/>
      <c r="E74" s="155"/>
      <c r="F74" s="155"/>
      <c r="G74" s="155"/>
      <c r="H74" s="155"/>
      <c r="I74" s="155"/>
      <c r="J74" s="155"/>
      <c r="K74" s="155"/>
    </row>
    <row r="75" spans="1:12" ht="16.5" thickTop="1"/>
  </sheetData>
  <mergeCells count="5">
    <mergeCell ref="A74:B74"/>
    <mergeCell ref="D7:G7"/>
    <mergeCell ref="H7:K7"/>
    <mergeCell ref="A4:K4"/>
    <mergeCell ref="C2:F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tabColor rgb="FF4F81BD"/>
  </sheetPr>
  <dimension ref="A1:AD82"/>
  <sheetViews>
    <sheetView zoomScaleNormal="130" workbookViewId="0">
      <selection activeCell="B21" sqref="B21"/>
    </sheetView>
  </sheetViews>
  <sheetFormatPr baseColWidth="10" defaultColWidth="11.42578125" defaultRowHeight="12.75"/>
  <cols>
    <col min="1" max="1" width="29" style="116" customWidth="1"/>
    <col min="2" max="2" width="62.5703125" style="116" customWidth="1"/>
    <col min="3" max="3" width="10.7109375" style="116"/>
    <col min="4" max="4" width="13.5703125" style="116" customWidth="1"/>
    <col min="5" max="5" width="24.140625" style="116" customWidth="1"/>
    <col min="6" max="9" width="10.7109375" style="116"/>
    <col min="10" max="10" width="7.42578125" style="116" customWidth="1"/>
    <col min="11" max="11" width="33.28515625" style="116" bestFit="1" customWidth="1"/>
    <col min="12" max="13" width="10.7109375" style="116"/>
    <col min="14" max="14" width="22.7109375" style="116" customWidth="1"/>
    <col min="15" max="15" width="60.28515625" style="116" customWidth="1"/>
    <col min="16" max="17" width="10.7109375" style="116"/>
    <col min="18" max="18" width="21" style="116" customWidth="1"/>
    <col min="19" max="23" width="10.7109375" style="116"/>
    <col min="24" max="24" width="34.85546875" style="116" customWidth="1"/>
    <col min="25" max="26" width="10.7109375" style="116"/>
  </cols>
  <sheetData>
    <row r="1" spans="1:30" ht="30.95" customHeight="1">
      <c r="A1" s="131" t="s">
        <v>93</v>
      </c>
      <c r="B1" s="185"/>
      <c r="C1" s="130"/>
      <c r="D1" s="129"/>
      <c r="E1" s="128"/>
      <c r="F1" s="120"/>
      <c r="G1" s="121"/>
      <c r="H1" s="120"/>
      <c r="I1" s="119"/>
      <c r="J1" s="118"/>
      <c r="K1" s="119"/>
      <c r="L1" s="139"/>
      <c r="M1" s="139"/>
      <c r="N1" s="131" t="s">
        <v>93</v>
      </c>
      <c r="O1" s="185"/>
      <c r="P1" s="130"/>
      <c r="Q1" s="129"/>
      <c r="R1" s="128"/>
      <c r="S1" s="120"/>
      <c r="T1" s="121"/>
      <c r="U1" s="120"/>
      <c r="V1" s="119"/>
      <c r="W1" s="118"/>
      <c r="X1" s="119"/>
      <c r="Y1" s="139"/>
      <c r="Z1" s="139"/>
    </row>
    <row r="2" spans="1:30" ht="18.75">
      <c r="A2" s="184"/>
      <c r="B2" s="189" t="s">
        <v>2703</v>
      </c>
      <c r="C2" s="183"/>
      <c r="D2" s="182"/>
      <c r="E2" s="181"/>
      <c r="F2" s="179"/>
      <c r="G2" s="180"/>
      <c r="H2" s="179"/>
      <c r="I2" s="198"/>
      <c r="J2" s="197"/>
      <c r="K2" s="119"/>
      <c r="L2" s="119"/>
      <c r="M2" s="119"/>
      <c r="N2" s="184"/>
      <c r="O2" s="189" t="s">
        <v>2703</v>
      </c>
      <c r="P2" s="183"/>
      <c r="Q2" s="182"/>
      <c r="R2" s="181"/>
      <c r="S2" s="179"/>
      <c r="T2" s="180"/>
      <c r="U2" s="179"/>
      <c r="V2" s="198"/>
      <c r="W2" s="197"/>
      <c r="X2" s="119"/>
      <c r="Y2" s="119"/>
      <c r="Z2" s="119"/>
    </row>
    <row r="3" spans="1:30" ht="30.95" customHeight="1">
      <c r="A3" s="835" t="s">
        <v>2984</v>
      </c>
      <c r="B3" s="836"/>
      <c r="C3" s="836"/>
      <c r="D3" s="836"/>
      <c r="E3" s="836"/>
      <c r="F3" s="836"/>
      <c r="G3" s="836"/>
      <c r="H3" s="836"/>
      <c r="I3" s="836"/>
      <c r="J3" s="836"/>
      <c r="K3" s="178" t="s">
        <v>2775</v>
      </c>
      <c r="L3" s="860" t="s">
        <v>96</v>
      </c>
      <c r="M3" s="860" t="s">
        <v>97</v>
      </c>
      <c r="N3" s="835" t="s">
        <v>99</v>
      </c>
      <c r="O3" s="836"/>
      <c r="P3" s="836"/>
      <c r="Q3" s="836"/>
      <c r="R3" s="836"/>
      <c r="S3" s="836"/>
      <c r="T3" s="836"/>
      <c r="U3" s="836"/>
      <c r="V3" s="836"/>
      <c r="W3" s="836"/>
      <c r="X3" s="178" t="s">
        <v>2775</v>
      </c>
      <c r="Y3" s="860" t="s">
        <v>96</v>
      </c>
      <c r="Z3" s="860" t="s">
        <v>97</v>
      </c>
    </row>
    <row r="4" spans="1:30" ht="63.75">
      <c r="A4" s="313" t="s">
        <v>100</v>
      </c>
      <c r="B4" s="314" t="s">
        <v>2776</v>
      </c>
      <c r="C4" s="315" t="s">
        <v>102</v>
      </c>
      <c r="D4" s="316" t="s">
        <v>103</v>
      </c>
      <c r="E4" s="316" t="s">
        <v>2777</v>
      </c>
      <c r="F4" s="317" t="s">
        <v>104</v>
      </c>
      <c r="G4" s="318" t="s">
        <v>105</v>
      </c>
      <c r="H4" s="317" t="s">
        <v>106</v>
      </c>
      <c r="I4" s="319" t="s">
        <v>110</v>
      </c>
      <c r="J4" s="320" t="s">
        <v>111</v>
      </c>
      <c r="K4" s="303" t="s">
        <v>2778</v>
      </c>
      <c r="L4" s="861"/>
      <c r="M4" s="861"/>
      <c r="N4" s="313" t="s">
        <v>100</v>
      </c>
      <c r="O4" s="314" t="s">
        <v>2776</v>
      </c>
      <c r="P4" s="315" t="s">
        <v>102</v>
      </c>
      <c r="Q4" s="316" t="s">
        <v>103</v>
      </c>
      <c r="R4" s="316" t="s">
        <v>2777</v>
      </c>
      <c r="S4" s="317" t="s">
        <v>104</v>
      </c>
      <c r="T4" s="318" t="s">
        <v>105</v>
      </c>
      <c r="U4" s="317" t="s">
        <v>106</v>
      </c>
      <c r="V4" s="319" t="s">
        <v>110</v>
      </c>
      <c r="W4" s="320" t="s">
        <v>111</v>
      </c>
      <c r="X4" s="303" t="s">
        <v>2778</v>
      </c>
      <c r="Y4" s="861"/>
      <c r="Z4" s="861"/>
    </row>
    <row r="5" spans="1:30" s="188" customFormat="1" ht="17.100000000000001" customHeight="1">
      <c r="A5" s="322" t="s">
        <v>2779</v>
      </c>
      <c r="B5" s="322" t="s">
        <v>2780</v>
      </c>
      <c r="C5" s="323">
        <v>1</v>
      </c>
      <c r="D5" s="324" t="s">
        <v>140</v>
      </c>
      <c r="E5" s="325" t="s">
        <v>2779</v>
      </c>
      <c r="F5" s="325" t="s">
        <v>120</v>
      </c>
      <c r="G5" s="326">
        <v>0</v>
      </c>
      <c r="H5" s="312" t="s">
        <v>2539</v>
      </c>
      <c r="I5" s="311"/>
      <c r="J5" s="310"/>
      <c r="K5" s="311"/>
      <c r="L5" s="311"/>
      <c r="M5" s="311"/>
      <c r="N5" s="322" t="s">
        <v>2779</v>
      </c>
      <c r="O5" s="322" t="s">
        <v>2780</v>
      </c>
      <c r="P5" s="323">
        <v>1</v>
      </c>
      <c r="Q5" s="324" t="s">
        <v>140</v>
      </c>
      <c r="R5" s="325" t="s">
        <v>2779</v>
      </c>
      <c r="S5" s="325" t="s">
        <v>120</v>
      </c>
      <c r="T5" s="326">
        <v>0</v>
      </c>
      <c r="U5" s="312" t="s">
        <v>2539</v>
      </c>
      <c r="V5" s="311"/>
      <c r="W5" s="310"/>
      <c r="X5" s="311"/>
      <c r="Y5" s="311"/>
      <c r="Z5" s="311"/>
      <c r="AA5" s="1" t="s">
        <v>126</v>
      </c>
      <c r="AB5" s="1" t="s">
        <v>126</v>
      </c>
      <c r="AC5" s="1" t="s">
        <v>126</v>
      </c>
      <c r="AD5" s="1" t="s">
        <v>126</v>
      </c>
    </row>
    <row r="6" spans="1:30" ht="63.75">
      <c r="A6" s="321" t="s">
        <v>2781</v>
      </c>
      <c r="B6" s="117"/>
      <c r="C6" s="143"/>
      <c r="D6" s="144"/>
      <c r="E6" s="120"/>
      <c r="F6" s="120"/>
      <c r="G6" s="121"/>
      <c r="H6" s="144"/>
      <c r="I6" s="186"/>
      <c r="J6" s="171"/>
      <c r="K6" s="165"/>
      <c r="L6" s="166" t="s">
        <v>2541</v>
      </c>
      <c r="M6" s="220" t="s">
        <v>2542</v>
      </c>
      <c r="N6" s="321" t="s">
        <v>2781</v>
      </c>
      <c r="O6" s="117"/>
      <c r="P6" s="143"/>
      <c r="Q6" s="144"/>
      <c r="R6" s="120"/>
      <c r="S6" s="120"/>
      <c r="T6" s="121"/>
      <c r="U6" s="144"/>
      <c r="V6" s="186"/>
      <c r="W6" s="171"/>
      <c r="X6" s="165"/>
      <c r="Y6" s="166" t="s">
        <v>2541</v>
      </c>
      <c r="Z6" s="220" t="s">
        <v>2542</v>
      </c>
    </row>
    <row r="7" spans="1:30">
      <c r="A7" s="175" t="s">
        <v>2549</v>
      </c>
      <c r="B7" s="142" t="s">
        <v>2550</v>
      </c>
      <c r="C7" s="143">
        <v>1</v>
      </c>
      <c r="D7" s="163" t="s">
        <v>140</v>
      </c>
      <c r="E7" s="145" t="s">
        <v>2549</v>
      </c>
      <c r="F7" s="144">
        <v>5</v>
      </c>
      <c r="G7" s="121"/>
      <c r="H7" s="144">
        <f t="shared" ref="H7:H20" si="0">F7-(F7*G7)</f>
        <v>5</v>
      </c>
      <c r="I7" s="186"/>
      <c r="J7" s="171"/>
      <c r="K7" s="165" t="s">
        <v>2540</v>
      </c>
      <c r="L7" s="166" t="s">
        <v>2541</v>
      </c>
      <c r="M7" s="166" t="s">
        <v>2542</v>
      </c>
      <c r="N7" s="175" t="s">
        <v>2549</v>
      </c>
      <c r="O7" s="142" t="s">
        <v>2550</v>
      </c>
      <c r="P7" s="143">
        <v>1</v>
      </c>
      <c r="Q7" s="163" t="s">
        <v>140</v>
      </c>
      <c r="R7" s="145" t="s">
        <v>2549</v>
      </c>
      <c r="S7" s="144">
        <v>5</v>
      </c>
      <c r="T7" s="121"/>
      <c r="U7" s="144">
        <v>5</v>
      </c>
      <c r="V7" s="186"/>
      <c r="W7" s="171"/>
      <c r="X7" s="165" t="s">
        <v>2540</v>
      </c>
      <c r="Y7" s="166" t="s">
        <v>2541</v>
      </c>
      <c r="Z7" s="166" t="s">
        <v>2542</v>
      </c>
    </row>
    <row r="8" spans="1:30">
      <c r="A8" s="175" t="s">
        <v>2551</v>
      </c>
      <c r="B8" s="142" t="s">
        <v>2552</v>
      </c>
      <c r="C8" s="143">
        <v>1</v>
      </c>
      <c r="D8" s="163" t="s">
        <v>140</v>
      </c>
      <c r="E8" s="145" t="s">
        <v>2551</v>
      </c>
      <c r="F8" s="144">
        <v>8</v>
      </c>
      <c r="G8" s="121"/>
      <c r="H8" s="144">
        <f t="shared" si="0"/>
        <v>8</v>
      </c>
      <c r="I8" s="186"/>
      <c r="J8" s="171"/>
      <c r="K8" s="165" t="s">
        <v>2540</v>
      </c>
      <c r="L8" s="166" t="s">
        <v>2541</v>
      </c>
      <c r="M8" s="166" t="s">
        <v>2542</v>
      </c>
      <c r="N8" s="175" t="s">
        <v>2551</v>
      </c>
      <c r="O8" s="142" t="s">
        <v>2552</v>
      </c>
      <c r="P8" s="143">
        <v>1</v>
      </c>
      <c r="Q8" s="163" t="s">
        <v>140</v>
      </c>
      <c r="R8" s="145" t="s">
        <v>2551</v>
      </c>
      <c r="S8" s="144">
        <v>8</v>
      </c>
      <c r="T8" s="121"/>
      <c r="U8" s="144">
        <v>8</v>
      </c>
      <c r="V8" s="186"/>
      <c r="W8" s="171"/>
      <c r="X8" s="165" t="s">
        <v>2540</v>
      </c>
      <c r="Y8" s="166" t="s">
        <v>2541</v>
      </c>
      <c r="Z8" s="166" t="s">
        <v>2542</v>
      </c>
    </row>
    <row r="9" spans="1:30">
      <c r="A9" s="175" t="s">
        <v>2553</v>
      </c>
      <c r="B9" s="142" t="s">
        <v>2554</v>
      </c>
      <c r="C9" s="143">
        <v>1</v>
      </c>
      <c r="D9" s="144" t="s">
        <v>140</v>
      </c>
      <c r="E9" s="174" t="s">
        <v>2553</v>
      </c>
      <c r="F9" s="144">
        <v>8</v>
      </c>
      <c r="G9" s="121"/>
      <c r="H9" s="144">
        <f t="shared" si="0"/>
        <v>8</v>
      </c>
      <c r="I9" s="186"/>
      <c r="J9" s="171"/>
      <c r="K9" s="165" t="s">
        <v>2540</v>
      </c>
      <c r="L9" s="166" t="s">
        <v>2541</v>
      </c>
      <c r="M9" s="166" t="s">
        <v>2542</v>
      </c>
      <c r="N9" s="175" t="s">
        <v>2553</v>
      </c>
      <c r="O9" s="142" t="s">
        <v>2554</v>
      </c>
      <c r="P9" s="143">
        <v>1</v>
      </c>
      <c r="Q9" s="144" t="s">
        <v>140</v>
      </c>
      <c r="R9" s="174" t="s">
        <v>2553</v>
      </c>
      <c r="S9" s="144">
        <v>8</v>
      </c>
      <c r="T9" s="121"/>
      <c r="U9" s="144">
        <v>8</v>
      </c>
      <c r="V9" s="186"/>
      <c r="W9" s="171"/>
      <c r="X9" s="165" t="s">
        <v>2540</v>
      </c>
      <c r="Y9" s="166" t="s">
        <v>2541</v>
      </c>
      <c r="Z9" s="166" t="s">
        <v>2542</v>
      </c>
    </row>
    <row r="10" spans="1:30">
      <c r="A10" s="175" t="s">
        <v>2555</v>
      </c>
      <c r="B10" s="142" t="s">
        <v>2556</v>
      </c>
      <c r="C10" s="143">
        <v>1</v>
      </c>
      <c r="D10" s="144" t="s">
        <v>140</v>
      </c>
      <c r="E10" s="174" t="s">
        <v>2555</v>
      </c>
      <c r="F10" s="144">
        <v>8</v>
      </c>
      <c r="G10" s="121"/>
      <c r="H10" s="144">
        <f t="shared" si="0"/>
        <v>8</v>
      </c>
      <c r="I10" s="186"/>
      <c r="J10" s="171"/>
      <c r="K10" s="165" t="s">
        <v>2540</v>
      </c>
      <c r="L10" s="166" t="s">
        <v>2541</v>
      </c>
      <c r="M10" s="166" t="s">
        <v>2542</v>
      </c>
      <c r="N10" s="175" t="s">
        <v>2555</v>
      </c>
      <c r="O10" s="142" t="s">
        <v>2556</v>
      </c>
      <c r="P10" s="143">
        <v>1</v>
      </c>
      <c r="Q10" s="144" t="s">
        <v>140</v>
      </c>
      <c r="R10" s="174" t="s">
        <v>2555</v>
      </c>
      <c r="S10" s="144">
        <v>8</v>
      </c>
      <c r="T10" s="121"/>
      <c r="U10" s="144">
        <v>8</v>
      </c>
      <c r="V10" s="186"/>
      <c r="W10" s="171"/>
      <c r="X10" s="165" t="s">
        <v>2540</v>
      </c>
      <c r="Y10" s="166" t="s">
        <v>2541</v>
      </c>
      <c r="Z10" s="166" t="s">
        <v>2542</v>
      </c>
    </row>
    <row r="11" spans="1:30">
      <c r="A11" s="175" t="s">
        <v>2557</v>
      </c>
      <c r="B11" s="142" t="s">
        <v>2558</v>
      </c>
      <c r="C11" s="143">
        <v>1</v>
      </c>
      <c r="D11" s="144" t="s">
        <v>140</v>
      </c>
      <c r="E11" s="174" t="s">
        <v>2557</v>
      </c>
      <c r="F11" s="144">
        <v>15</v>
      </c>
      <c r="G11" s="121"/>
      <c r="H11" s="144">
        <f t="shared" si="0"/>
        <v>15</v>
      </c>
      <c r="I11" s="186"/>
      <c r="J11" s="171"/>
      <c r="K11" s="165" t="s">
        <v>2540</v>
      </c>
      <c r="L11" s="166" t="s">
        <v>2541</v>
      </c>
      <c r="M11" s="166" t="s">
        <v>2542</v>
      </c>
      <c r="N11" s="175" t="s">
        <v>2557</v>
      </c>
      <c r="O11" s="142" t="s">
        <v>2558</v>
      </c>
      <c r="P11" s="143">
        <v>1</v>
      </c>
      <c r="Q11" s="144" t="s">
        <v>140</v>
      </c>
      <c r="R11" s="174" t="s">
        <v>2557</v>
      </c>
      <c r="S11" s="144">
        <v>15</v>
      </c>
      <c r="T11" s="121"/>
      <c r="U11" s="144">
        <v>15</v>
      </c>
      <c r="V11" s="186"/>
      <c r="W11" s="171"/>
      <c r="X11" s="165" t="s">
        <v>2540</v>
      </c>
      <c r="Y11" s="166" t="s">
        <v>2541</v>
      </c>
      <c r="Z11" s="166" t="s">
        <v>2542</v>
      </c>
    </row>
    <row r="12" spans="1:30">
      <c r="A12" s="175" t="s">
        <v>2559</v>
      </c>
      <c r="B12" s="142" t="s">
        <v>2560</v>
      </c>
      <c r="C12" s="143">
        <v>1</v>
      </c>
      <c r="D12" s="144" t="s">
        <v>140</v>
      </c>
      <c r="E12" s="174" t="s">
        <v>2559</v>
      </c>
      <c r="F12" s="144">
        <v>5</v>
      </c>
      <c r="G12" s="121"/>
      <c r="H12" s="144">
        <f t="shared" si="0"/>
        <v>5</v>
      </c>
      <c r="I12" s="186"/>
      <c r="J12" s="171"/>
      <c r="K12" s="165" t="s">
        <v>2540</v>
      </c>
      <c r="L12" s="166" t="s">
        <v>2541</v>
      </c>
      <c r="M12" s="166" t="s">
        <v>2542</v>
      </c>
      <c r="N12" s="175" t="s">
        <v>2559</v>
      </c>
      <c r="O12" s="142" t="s">
        <v>2560</v>
      </c>
      <c r="P12" s="143">
        <v>1</v>
      </c>
      <c r="Q12" s="144" t="s">
        <v>140</v>
      </c>
      <c r="R12" s="174" t="s">
        <v>2559</v>
      </c>
      <c r="S12" s="144">
        <v>5</v>
      </c>
      <c r="T12" s="121"/>
      <c r="U12" s="144">
        <v>5</v>
      </c>
      <c r="V12" s="186"/>
      <c r="W12" s="171"/>
      <c r="X12" s="165" t="s">
        <v>2540</v>
      </c>
      <c r="Y12" s="166" t="s">
        <v>2541</v>
      </c>
      <c r="Z12" s="166" t="s">
        <v>2542</v>
      </c>
    </row>
    <row r="13" spans="1:30">
      <c r="A13" s="196" t="s">
        <v>2561</v>
      </c>
      <c r="B13" s="142" t="s">
        <v>2562</v>
      </c>
      <c r="C13" s="143">
        <v>1</v>
      </c>
      <c r="D13" s="144" t="s">
        <v>2563</v>
      </c>
      <c r="E13" s="174" t="s">
        <v>2561</v>
      </c>
      <c r="F13" s="144">
        <v>16</v>
      </c>
      <c r="G13" s="121"/>
      <c r="H13" s="144">
        <f t="shared" si="0"/>
        <v>16</v>
      </c>
      <c r="I13" s="186"/>
      <c r="J13" s="171"/>
      <c r="K13" s="165" t="s">
        <v>2540</v>
      </c>
      <c r="L13" s="166" t="s">
        <v>2541</v>
      </c>
      <c r="M13" s="166" t="s">
        <v>2542</v>
      </c>
      <c r="N13" s="196" t="s">
        <v>2561</v>
      </c>
      <c r="O13" s="142" t="s">
        <v>2562</v>
      </c>
      <c r="P13" s="143">
        <v>1</v>
      </c>
      <c r="Q13" s="144" t="s">
        <v>2563</v>
      </c>
      <c r="R13" s="174" t="s">
        <v>2561</v>
      </c>
      <c r="S13" s="144">
        <v>16</v>
      </c>
      <c r="T13" s="121"/>
      <c r="U13" s="144">
        <v>16</v>
      </c>
      <c r="V13" s="186"/>
      <c r="W13" s="171"/>
      <c r="X13" s="165" t="s">
        <v>2540</v>
      </c>
      <c r="Y13" s="166" t="s">
        <v>2541</v>
      </c>
      <c r="Z13" s="166" t="s">
        <v>2542</v>
      </c>
    </row>
    <row r="14" spans="1:30">
      <c r="A14" s="175" t="s">
        <v>2782</v>
      </c>
      <c r="B14" s="142" t="s">
        <v>2783</v>
      </c>
      <c r="C14" s="143">
        <v>1</v>
      </c>
      <c r="D14" s="144" t="s">
        <v>2784</v>
      </c>
      <c r="E14" s="174" t="s">
        <v>2782</v>
      </c>
      <c r="F14" s="144">
        <v>125</v>
      </c>
      <c r="G14" s="121"/>
      <c r="H14" s="144">
        <f t="shared" si="0"/>
        <v>125</v>
      </c>
      <c r="I14" s="186"/>
      <c r="J14" s="171"/>
      <c r="K14" s="165" t="s">
        <v>2540</v>
      </c>
      <c r="L14" s="166" t="s">
        <v>2541</v>
      </c>
      <c r="M14" s="166" t="s">
        <v>2542</v>
      </c>
      <c r="N14" s="175" t="s">
        <v>2782</v>
      </c>
      <c r="O14" s="142" t="s">
        <v>2783</v>
      </c>
      <c r="P14" s="143">
        <v>1</v>
      </c>
      <c r="Q14" s="144" t="s">
        <v>2784</v>
      </c>
      <c r="R14" s="174" t="s">
        <v>2782</v>
      </c>
      <c r="S14" s="144">
        <v>125</v>
      </c>
      <c r="T14" s="121"/>
      <c r="U14" s="144">
        <v>125</v>
      </c>
      <c r="V14" s="186"/>
      <c r="W14" s="171"/>
      <c r="X14" s="165" t="s">
        <v>2540</v>
      </c>
      <c r="Y14" s="166" t="s">
        <v>2541</v>
      </c>
      <c r="Z14" s="166" t="s">
        <v>2542</v>
      </c>
    </row>
    <row r="15" spans="1:30">
      <c r="A15" s="175" t="s">
        <v>2785</v>
      </c>
      <c r="B15" s="142" t="s">
        <v>2786</v>
      </c>
      <c r="C15" s="143">
        <v>1</v>
      </c>
      <c r="D15" s="144" t="s">
        <v>2784</v>
      </c>
      <c r="E15" s="174" t="s">
        <v>2785</v>
      </c>
      <c r="F15" s="144">
        <v>265</v>
      </c>
      <c r="G15" s="121"/>
      <c r="H15" s="144">
        <f t="shared" si="0"/>
        <v>265</v>
      </c>
      <c r="I15" s="186"/>
      <c r="J15" s="171"/>
      <c r="K15" s="165" t="s">
        <v>2540</v>
      </c>
      <c r="L15" s="166" t="s">
        <v>2541</v>
      </c>
      <c r="M15" s="166" t="s">
        <v>2542</v>
      </c>
      <c r="N15" s="175" t="s">
        <v>2785</v>
      </c>
      <c r="O15" s="142" t="s">
        <v>2786</v>
      </c>
      <c r="P15" s="143">
        <v>1</v>
      </c>
      <c r="Q15" s="144" t="s">
        <v>2784</v>
      </c>
      <c r="R15" s="174" t="s">
        <v>2785</v>
      </c>
      <c r="S15" s="144">
        <v>265</v>
      </c>
      <c r="T15" s="121"/>
      <c r="U15" s="144">
        <v>265</v>
      </c>
      <c r="V15" s="186"/>
      <c r="W15" s="171"/>
      <c r="X15" s="165" t="s">
        <v>2540</v>
      </c>
      <c r="Y15" s="166" t="s">
        <v>2541</v>
      </c>
      <c r="Z15" s="166" t="s">
        <v>2542</v>
      </c>
    </row>
    <row r="16" spans="1:30">
      <c r="A16" s="175" t="s">
        <v>2787</v>
      </c>
      <c r="B16" s="142" t="s">
        <v>2788</v>
      </c>
      <c r="C16" s="143">
        <v>1</v>
      </c>
      <c r="D16" s="144" t="s">
        <v>2784</v>
      </c>
      <c r="E16" s="174" t="s">
        <v>2787</v>
      </c>
      <c r="F16" s="144">
        <v>565</v>
      </c>
      <c r="G16" s="121"/>
      <c r="H16" s="144">
        <f t="shared" si="0"/>
        <v>565</v>
      </c>
      <c r="I16" s="186"/>
      <c r="J16" s="171"/>
      <c r="K16" s="165" t="s">
        <v>2540</v>
      </c>
      <c r="L16" s="166" t="s">
        <v>2541</v>
      </c>
      <c r="M16" s="166" t="s">
        <v>2542</v>
      </c>
      <c r="N16" s="175" t="s">
        <v>2787</v>
      </c>
      <c r="O16" s="142" t="s">
        <v>2788</v>
      </c>
      <c r="P16" s="143">
        <v>1</v>
      </c>
      <c r="Q16" s="144" t="s">
        <v>2784</v>
      </c>
      <c r="R16" s="174" t="s">
        <v>2787</v>
      </c>
      <c r="S16" s="144">
        <v>565</v>
      </c>
      <c r="T16" s="121"/>
      <c r="U16" s="144">
        <v>565</v>
      </c>
      <c r="V16" s="186"/>
      <c r="W16" s="171"/>
      <c r="X16" s="165" t="s">
        <v>2540</v>
      </c>
      <c r="Y16" s="166" t="s">
        <v>2541</v>
      </c>
      <c r="Z16" s="166" t="s">
        <v>2542</v>
      </c>
    </row>
    <row r="17" spans="1:26">
      <c r="A17" s="175" t="s">
        <v>2789</v>
      </c>
      <c r="B17" s="142" t="s">
        <v>2790</v>
      </c>
      <c r="C17" s="143">
        <v>1</v>
      </c>
      <c r="D17" s="144" t="s">
        <v>2784</v>
      </c>
      <c r="E17" s="174" t="s">
        <v>2791</v>
      </c>
      <c r="F17" s="144">
        <v>655</v>
      </c>
      <c r="G17" s="121"/>
      <c r="H17" s="144">
        <f t="shared" si="0"/>
        <v>655</v>
      </c>
      <c r="I17" s="186"/>
      <c r="J17" s="171"/>
      <c r="K17" s="165" t="s">
        <v>2540</v>
      </c>
      <c r="L17" s="166" t="s">
        <v>2541</v>
      </c>
      <c r="M17" s="166" t="s">
        <v>2542</v>
      </c>
      <c r="N17" s="175" t="s">
        <v>2789</v>
      </c>
      <c r="O17" s="142" t="s">
        <v>2790</v>
      </c>
      <c r="P17" s="143">
        <v>1</v>
      </c>
      <c r="Q17" s="144" t="s">
        <v>2784</v>
      </c>
      <c r="R17" s="174" t="s">
        <v>2791</v>
      </c>
      <c r="S17" s="144">
        <v>655</v>
      </c>
      <c r="T17" s="121"/>
      <c r="U17" s="144">
        <v>655</v>
      </c>
      <c r="V17" s="186"/>
      <c r="W17" s="171"/>
      <c r="X17" s="165" t="s">
        <v>2540</v>
      </c>
      <c r="Y17" s="166" t="s">
        <v>2541</v>
      </c>
      <c r="Z17" s="166" t="s">
        <v>2542</v>
      </c>
    </row>
    <row r="18" spans="1:26">
      <c r="A18" s="175" t="s">
        <v>2792</v>
      </c>
      <c r="B18" s="142" t="s">
        <v>2793</v>
      </c>
      <c r="C18" s="143">
        <v>1</v>
      </c>
      <c r="D18" s="144" t="s">
        <v>2784</v>
      </c>
      <c r="E18" s="174" t="s">
        <v>2792</v>
      </c>
      <c r="F18" s="144">
        <v>150</v>
      </c>
      <c r="G18" s="121"/>
      <c r="H18" s="144">
        <f t="shared" si="0"/>
        <v>150</v>
      </c>
      <c r="I18" s="186"/>
      <c r="J18" s="171"/>
      <c r="K18" s="165" t="s">
        <v>2540</v>
      </c>
      <c r="L18" s="166" t="s">
        <v>2541</v>
      </c>
      <c r="M18" s="166" t="s">
        <v>2542</v>
      </c>
      <c r="N18" s="175" t="s">
        <v>2792</v>
      </c>
      <c r="O18" s="142" t="s">
        <v>2793</v>
      </c>
      <c r="P18" s="143">
        <v>1</v>
      </c>
      <c r="Q18" s="144" t="s">
        <v>2784</v>
      </c>
      <c r="R18" s="174" t="s">
        <v>2792</v>
      </c>
      <c r="S18" s="144">
        <v>150</v>
      </c>
      <c r="T18" s="121"/>
      <c r="U18" s="144">
        <v>150</v>
      </c>
      <c r="V18" s="186"/>
      <c r="W18" s="171"/>
      <c r="X18" s="165" t="s">
        <v>2540</v>
      </c>
      <c r="Y18" s="166" t="s">
        <v>2541</v>
      </c>
      <c r="Z18" s="166" t="s">
        <v>2542</v>
      </c>
    </row>
    <row r="19" spans="1:26">
      <c r="A19" s="175" t="s">
        <v>2794</v>
      </c>
      <c r="B19" s="142" t="s">
        <v>2795</v>
      </c>
      <c r="C19" s="143">
        <v>1</v>
      </c>
      <c r="D19" s="144" t="s">
        <v>2784</v>
      </c>
      <c r="E19" s="174" t="s">
        <v>2794</v>
      </c>
      <c r="F19" s="144">
        <v>520</v>
      </c>
      <c r="G19" s="121"/>
      <c r="H19" s="144">
        <f t="shared" si="0"/>
        <v>520</v>
      </c>
      <c r="I19" s="186"/>
      <c r="J19" s="171"/>
      <c r="K19" s="165" t="s">
        <v>2540</v>
      </c>
      <c r="L19" s="166" t="s">
        <v>2541</v>
      </c>
      <c r="M19" s="166" t="s">
        <v>2542</v>
      </c>
      <c r="N19" s="175" t="s">
        <v>2794</v>
      </c>
      <c r="O19" s="142" t="s">
        <v>2795</v>
      </c>
      <c r="P19" s="143">
        <v>1</v>
      </c>
      <c r="Q19" s="144" t="s">
        <v>2784</v>
      </c>
      <c r="R19" s="174" t="s">
        <v>2794</v>
      </c>
      <c r="S19" s="144">
        <v>520</v>
      </c>
      <c r="T19" s="121"/>
      <c r="U19" s="144">
        <v>520</v>
      </c>
      <c r="V19" s="186"/>
      <c r="W19" s="171"/>
      <c r="X19" s="165" t="s">
        <v>2540</v>
      </c>
      <c r="Y19" s="166" t="s">
        <v>2541</v>
      </c>
      <c r="Z19" s="166" t="s">
        <v>2542</v>
      </c>
    </row>
    <row r="20" spans="1:26">
      <c r="A20" s="175" t="s">
        <v>2796</v>
      </c>
      <c r="B20" s="142" t="s">
        <v>2797</v>
      </c>
      <c r="C20" s="143">
        <v>1</v>
      </c>
      <c r="D20" s="144" t="s">
        <v>2784</v>
      </c>
      <c r="E20" s="174" t="s">
        <v>2796</v>
      </c>
      <c r="F20" s="144">
        <v>1170</v>
      </c>
      <c r="G20" s="121"/>
      <c r="H20" s="144">
        <f t="shared" si="0"/>
        <v>1170</v>
      </c>
      <c r="I20" s="186"/>
      <c r="J20" s="171"/>
      <c r="K20" s="165" t="s">
        <v>2540</v>
      </c>
      <c r="L20" s="166" t="s">
        <v>2541</v>
      </c>
      <c r="M20" s="166" t="s">
        <v>2542</v>
      </c>
      <c r="N20" s="175" t="s">
        <v>2796</v>
      </c>
      <c r="O20" s="142" t="s">
        <v>2797</v>
      </c>
      <c r="P20" s="143">
        <v>1</v>
      </c>
      <c r="Q20" s="144" t="s">
        <v>2784</v>
      </c>
      <c r="R20" s="174" t="s">
        <v>2796</v>
      </c>
      <c r="S20" s="144">
        <v>1170</v>
      </c>
      <c r="T20" s="121"/>
      <c r="U20" s="144">
        <v>1170</v>
      </c>
      <c r="V20" s="186"/>
      <c r="W20" s="171"/>
      <c r="X20" s="165" t="s">
        <v>2540</v>
      </c>
      <c r="Y20" s="166" t="s">
        <v>2541</v>
      </c>
      <c r="Z20" s="166" t="s">
        <v>2542</v>
      </c>
    </row>
    <row r="21" spans="1:26">
      <c r="A21" s="175" t="s">
        <v>2798</v>
      </c>
      <c r="B21" s="142" t="s">
        <v>2799</v>
      </c>
      <c r="C21" s="143">
        <v>1</v>
      </c>
      <c r="D21" s="144" t="s">
        <v>2784</v>
      </c>
      <c r="E21" s="174" t="s">
        <v>2798</v>
      </c>
      <c r="F21" s="144">
        <v>1350</v>
      </c>
      <c r="G21" s="121"/>
      <c r="H21" s="144">
        <v>1350</v>
      </c>
      <c r="I21" s="186"/>
      <c r="J21" s="171"/>
      <c r="K21" s="165" t="s">
        <v>2540</v>
      </c>
      <c r="L21" s="166" t="s">
        <v>2541</v>
      </c>
      <c r="M21" s="166" t="s">
        <v>2542</v>
      </c>
      <c r="N21" s="175" t="s">
        <v>2798</v>
      </c>
      <c r="O21" s="142" t="s">
        <v>2799</v>
      </c>
      <c r="P21" s="143">
        <v>1</v>
      </c>
      <c r="Q21" s="144" t="s">
        <v>2784</v>
      </c>
      <c r="R21" s="174" t="s">
        <v>2798</v>
      </c>
      <c r="S21" s="144">
        <v>1350</v>
      </c>
      <c r="T21" s="121"/>
      <c r="U21" s="144">
        <v>1350</v>
      </c>
      <c r="V21" s="186"/>
      <c r="W21" s="171"/>
      <c r="X21" s="165" t="s">
        <v>2540</v>
      </c>
      <c r="Y21" s="166" t="s">
        <v>2541</v>
      </c>
      <c r="Z21" s="166" t="s">
        <v>2542</v>
      </c>
    </row>
    <row r="22" spans="1:26">
      <c r="A22" s="175" t="s">
        <v>2800</v>
      </c>
      <c r="B22" s="142" t="s">
        <v>2801</v>
      </c>
      <c r="C22" s="143">
        <v>1</v>
      </c>
      <c r="D22" s="144" t="s">
        <v>2784</v>
      </c>
      <c r="E22" s="174" t="s">
        <v>2800</v>
      </c>
      <c r="F22" s="144">
        <v>65</v>
      </c>
      <c r="G22" s="121"/>
      <c r="H22" s="144">
        <v>65</v>
      </c>
      <c r="I22" s="186"/>
      <c r="J22" s="171"/>
      <c r="K22" s="165" t="s">
        <v>2540</v>
      </c>
      <c r="L22" s="166" t="s">
        <v>2541</v>
      </c>
      <c r="M22" s="166" t="s">
        <v>2542</v>
      </c>
      <c r="N22" s="175" t="s">
        <v>2800</v>
      </c>
      <c r="O22" s="142" t="s">
        <v>2801</v>
      </c>
      <c r="P22" s="143">
        <v>1</v>
      </c>
      <c r="Q22" s="144" t="s">
        <v>2784</v>
      </c>
      <c r="R22" s="174" t="s">
        <v>2800</v>
      </c>
      <c r="S22" s="144">
        <v>65</v>
      </c>
      <c r="T22" s="121"/>
      <c r="U22" s="144">
        <v>65</v>
      </c>
      <c r="V22" s="186"/>
      <c r="W22" s="171"/>
      <c r="X22" s="165" t="s">
        <v>2540</v>
      </c>
      <c r="Y22" s="166" t="s">
        <v>2541</v>
      </c>
      <c r="Z22" s="166" t="s">
        <v>2542</v>
      </c>
    </row>
    <row r="23" spans="1:26">
      <c r="A23" s="175" t="s">
        <v>2802</v>
      </c>
      <c r="B23" s="142" t="s">
        <v>2803</v>
      </c>
      <c r="C23" s="143">
        <v>1</v>
      </c>
      <c r="D23" s="144" t="s">
        <v>2784</v>
      </c>
      <c r="E23" s="174" t="s">
        <v>2802</v>
      </c>
      <c r="F23" s="144">
        <v>150</v>
      </c>
      <c r="G23" s="121"/>
      <c r="H23" s="144">
        <v>150</v>
      </c>
      <c r="I23" s="186"/>
      <c r="J23" s="171"/>
      <c r="K23" s="165" t="s">
        <v>2540</v>
      </c>
      <c r="L23" s="166" t="s">
        <v>2541</v>
      </c>
      <c r="M23" s="166" t="s">
        <v>2542</v>
      </c>
      <c r="N23" s="175" t="s">
        <v>2802</v>
      </c>
      <c r="O23" s="142" t="s">
        <v>2803</v>
      </c>
      <c r="P23" s="143">
        <v>1</v>
      </c>
      <c r="Q23" s="144" t="s">
        <v>2784</v>
      </c>
      <c r="R23" s="174" t="s">
        <v>2802</v>
      </c>
      <c r="S23" s="144">
        <v>150</v>
      </c>
      <c r="T23" s="121"/>
      <c r="U23" s="144">
        <v>150</v>
      </c>
      <c r="V23" s="186"/>
      <c r="W23" s="171"/>
      <c r="X23" s="165" t="s">
        <v>2540</v>
      </c>
      <c r="Y23" s="166" t="s">
        <v>2541</v>
      </c>
      <c r="Z23" s="166" t="s">
        <v>2542</v>
      </c>
    </row>
    <row r="24" spans="1:26">
      <c r="A24" s="175" t="s">
        <v>2804</v>
      </c>
      <c r="B24" s="142" t="s">
        <v>2805</v>
      </c>
      <c r="C24" s="143">
        <v>1</v>
      </c>
      <c r="D24" s="144" t="s">
        <v>2784</v>
      </c>
      <c r="E24" s="174" t="s">
        <v>2804</v>
      </c>
      <c r="F24" s="144">
        <v>310</v>
      </c>
      <c r="G24" s="121"/>
      <c r="H24" s="144">
        <v>310</v>
      </c>
      <c r="I24" s="186"/>
      <c r="J24" s="171"/>
      <c r="K24" s="165" t="s">
        <v>2540</v>
      </c>
      <c r="L24" s="166" t="s">
        <v>2541</v>
      </c>
      <c r="M24" s="166" t="s">
        <v>2542</v>
      </c>
      <c r="N24" s="175" t="s">
        <v>2804</v>
      </c>
      <c r="O24" s="142" t="s">
        <v>2805</v>
      </c>
      <c r="P24" s="143">
        <v>1</v>
      </c>
      <c r="Q24" s="144" t="s">
        <v>2784</v>
      </c>
      <c r="R24" s="174" t="s">
        <v>2804</v>
      </c>
      <c r="S24" s="144">
        <v>310</v>
      </c>
      <c r="T24" s="121"/>
      <c r="U24" s="144">
        <v>310</v>
      </c>
      <c r="V24" s="186"/>
      <c r="W24" s="171"/>
      <c r="X24" s="165" t="s">
        <v>2540</v>
      </c>
      <c r="Y24" s="166" t="s">
        <v>2541</v>
      </c>
      <c r="Z24" s="166" t="s">
        <v>2542</v>
      </c>
    </row>
    <row r="25" spans="1:26">
      <c r="A25" s="175" t="s">
        <v>2806</v>
      </c>
      <c r="B25" s="142" t="s">
        <v>2807</v>
      </c>
      <c r="C25" s="143">
        <v>1</v>
      </c>
      <c r="D25" s="144" t="s">
        <v>2784</v>
      </c>
      <c r="E25" s="174" t="s">
        <v>2806</v>
      </c>
      <c r="F25" s="144">
        <v>380</v>
      </c>
      <c r="G25" s="121"/>
      <c r="H25" s="144">
        <v>380</v>
      </c>
      <c r="I25" s="186"/>
      <c r="J25" s="171"/>
      <c r="K25" s="165" t="s">
        <v>2540</v>
      </c>
      <c r="L25" s="166" t="s">
        <v>2541</v>
      </c>
      <c r="M25" s="166" t="s">
        <v>2542</v>
      </c>
      <c r="N25" s="175" t="s">
        <v>2806</v>
      </c>
      <c r="O25" s="142" t="s">
        <v>2807</v>
      </c>
      <c r="P25" s="143">
        <v>1</v>
      </c>
      <c r="Q25" s="144" t="s">
        <v>2784</v>
      </c>
      <c r="R25" s="174" t="s">
        <v>2806</v>
      </c>
      <c r="S25" s="144">
        <v>380</v>
      </c>
      <c r="T25" s="121"/>
      <c r="U25" s="144">
        <v>380</v>
      </c>
      <c r="V25" s="186"/>
      <c r="W25" s="171"/>
      <c r="X25" s="165" t="s">
        <v>2540</v>
      </c>
      <c r="Y25" s="166" t="s">
        <v>2541</v>
      </c>
      <c r="Z25" s="166" t="s">
        <v>2542</v>
      </c>
    </row>
    <row r="26" spans="1:26">
      <c r="A26" s="175" t="s">
        <v>2808</v>
      </c>
      <c r="B26" s="142" t="s">
        <v>2809</v>
      </c>
      <c r="C26" s="143">
        <v>1</v>
      </c>
      <c r="D26" s="144" t="s">
        <v>2784</v>
      </c>
      <c r="E26" s="174" t="s">
        <v>2808</v>
      </c>
      <c r="F26" s="144">
        <v>95</v>
      </c>
      <c r="G26" s="121"/>
      <c r="H26" s="144">
        <v>95</v>
      </c>
      <c r="I26" s="186"/>
      <c r="J26" s="171"/>
      <c r="K26" s="165" t="s">
        <v>2540</v>
      </c>
      <c r="L26" s="166" t="s">
        <v>2541</v>
      </c>
      <c r="M26" s="166" t="s">
        <v>2542</v>
      </c>
      <c r="N26" s="175" t="s">
        <v>2808</v>
      </c>
      <c r="O26" s="142" t="s">
        <v>2809</v>
      </c>
      <c r="P26" s="143">
        <v>1</v>
      </c>
      <c r="Q26" s="144" t="s">
        <v>2784</v>
      </c>
      <c r="R26" s="174" t="s">
        <v>2808</v>
      </c>
      <c r="S26" s="144">
        <v>95</v>
      </c>
      <c r="T26" s="121"/>
      <c r="U26" s="144">
        <v>95</v>
      </c>
      <c r="V26" s="186"/>
      <c r="W26" s="171"/>
      <c r="X26" s="165" t="s">
        <v>2540</v>
      </c>
      <c r="Y26" s="166" t="s">
        <v>2541</v>
      </c>
      <c r="Z26" s="166" t="s">
        <v>2542</v>
      </c>
    </row>
    <row r="27" spans="1:26">
      <c r="A27" s="175" t="s">
        <v>2810</v>
      </c>
      <c r="B27" s="142" t="s">
        <v>2811</v>
      </c>
      <c r="C27" s="143">
        <v>1</v>
      </c>
      <c r="D27" s="144" t="s">
        <v>2784</v>
      </c>
      <c r="E27" s="174" t="s">
        <v>2810</v>
      </c>
      <c r="F27" s="144">
        <v>345</v>
      </c>
      <c r="G27" s="121"/>
      <c r="H27" s="144">
        <v>345</v>
      </c>
      <c r="I27" s="186"/>
      <c r="J27" s="171"/>
      <c r="K27" s="165" t="s">
        <v>2540</v>
      </c>
      <c r="L27" s="166" t="s">
        <v>2541</v>
      </c>
      <c r="M27" s="166" t="s">
        <v>2542</v>
      </c>
      <c r="N27" s="175" t="s">
        <v>2810</v>
      </c>
      <c r="O27" s="142" t="s">
        <v>2811</v>
      </c>
      <c r="P27" s="143">
        <v>1</v>
      </c>
      <c r="Q27" s="144" t="s">
        <v>2784</v>
      </c>
      <c r="R27" s="174" t="s">
        <v>2810</v>
      </c>
      <c r="S27" s="144">
        <v>345</v>
      </c>
      <c r="T27" s="121"/>
      <c r="U27" s="144">
        <v>345</v>
      </c>
      <c r="V27" s="186"/>
      <c r="W27" s="171"/>
      <c r="X27" s="165" t="s">
        <v>2540</v>
      </c>
      <c r="Y27" s="166" t="s">
        <v>2541</v>
      </c>
      <c r="Z27" s="166" t="s">
        <v>2542</v>
      </c>
    </row>
    <row r="28" spans="1:26">
      <c r="A28" s="175" t="s">
        <v>2812</v>
      </c>
      <c r="B28" s="142" t="s">
        <v>2813</v>
      </c>
      <c r="C28" s="143">
        <v>1</v>
      </c>
      <c r="D28" s="144" t="s">
        <v>2784</v>
      </c>
      <c r="E28" s="174" t="s">
        <v>2812</v>
      </c>
      <c r="F28" s="144">
        <v>750</v>
      </c>
      <c r="G28" s="121"/>
      <c r="H28" s="144">
        <v>750</v>
      </c>
      <c r="I28" s="186"/>
      <c r="J28" s="171"/>
      <c r="K28" s="165" t="s">
        <v>2540</v>
      </c>
      <c r="L28" s="166" t="s">
        <v>2541</v>
      </c>
      <c r="M28" s="166" t="s">
        <v>2542</v>
      </c>
      <c r="N28" s="175" t="s">
        <v>2812</v>
      </c>
      <c r="O28" s="142" t="s">
        <v>2813</v>
      </c>
      <c r="P28" s="143">
        <v>1</v>
      </c>
      <c r="Q28" s="144" t="s">
        <v>2784</v>
      </c>
      <c r="R28" s="174" t="s">
        <v>2812</v>
      </c>
      <c r="S28" s="144">
        <v>750</v>
      </c>
      <c r="T28" s="121"/>
      <c r="U28" s="144">
        <v>750</v>
      </c>
      <c r="V28" s="186"/>
      <c r="W28" s="171"/>
      <c r="X28" s="165" t="s">
        <v>2540</v>
      </c>
      <c r="Y28" s="166" t="s">
        <v>2541</v>
      </c>
      <c r="Z28" s="166" t="s">
        <v>2542</v>
      </c>
    </row>
    <row r="29" spans="1:26">
      <c r="A29" s="175" t="s">
        <v>2814</v>
      </c>
      <c r="B29" s="142" t="s">
        <v>2815</v>
      </c>
      <c r="C29" s="143">
        <v>1</v>
      </c>
      <c r="D29" s="144" t="s">
        <v>2784</v>
      </c>
      <c r="E29" s="174" t="s">
        <v>2814</v>
      </c>
      <c r="F29" s="144">
        <v>880</v>
      </c>
      <c r="G29" s="121"/>
      <c r="H29" s="144">
        <v>880</v>
      </c>
      <c r="I29" s="186"/>
      <c r="J29" s="171"/>
      <c r="K29" s="165" t="s">
        <v>2540</v>
      </c>
      <c r="L29" s="166" t="s">
        <v>2541</v>
      </c>
      <c r="M29" s="166" t="s">
        <v>2542</v>
      </c>
      <c r="N29" s="175" t="s">
        <v>2814</v>
      </c>
      <c r="O29" s="142" t="s">
        <v>2815</v>
      </c>
      <c r="P29" s="143">
        <v>1</v>
      </c>
      <c r="Q29" s="144" t="s">
        <v>2784</v>
      </c>
      <c r="R29" s="174" t="s">
        <v>2814</v>
      </c>
      <c r="S29" s="144">
        <v>880</v>
      </c>
      <c r="T29" s="121"/>
      <c r="U29" s="144">
        <v>880</v>
      </c>
      <c r="V29" s="186"/>
      <c r="W29" s="171"/>
      <c r="X29" s="165" t="s">
        <v>2540</v>
      </c>
      <c r="Y29" s="166" t="s">
        <v>2541</v>
      </c>
      <c r="Z29" s="166" t="s">
        <v>2542</v>
      </c>
    </row>
    <row r="30" spans="1:26">
      <c r="A30" s="175" t="s">
        <v>2816</v>
      </c>
      <c r="B30" s="142" t="s">
        <v>2817</v>
      </c>
      <c r="C30" s="143">
        <v>1</v>
      </c>
      <c r="D30" s="144" t="s">
        <v>2784</v>
      </c>
      <c r="E30" s="174" t="s">
        <v>2816</v>
      </c>
      <c r="F30" s="144">
        <v>65</v>
      </c>
      <c r="G30" s="121"/>
      <c r="H30" s="144">
        <v>65</v>
      </c>
      <c r="I30" s="186"/>
      <c r="J30" s="171"/>
      <c r="K30" s="165" t="s">
        <v>2540</v>
      </c>
      <c r="L30" s="166" t="s">
        <v>2541</v>
      </c>
      <c r="M30" s="166" t="s">
        <v>2542</v>
      </c>
      <c r="N30" s="175" t="s">
        <v>2816</v>
      </c>
      <c r="O30" s="142" t="s">
        <v>2817</v>
      </c>
      <c r="P30" s="143">
        <v>1</v>
      </c>
      <c r="Q30" s="144" t="s">
        <v>2784</v>
      </c>
      <c r="R30" s="174" t="s">
        <v>2816</v>
      </c>
      <c r="S30" s="144">
        <v>65</v>
      </c>
      <c r="T30" s="121"/>
      <c r="U30" s="144">
        <v>65</v>
      </c>
      <c r="V30" s="186"/>
      <c r="W30" s="171"/>
      <c r="X30" s="165" t="s">
        <v>2540</v>
      </c>
      <c r="Y30" s="166" t="s">
        <v>2541</v>
      </c>
      <c r="Z30" s="166" t="s">
        <v>2542</v>
      </c>
    </row>
    <row r="31" spans="1:26">
      <c r="A31" s="175" t="s">
        <v>2818</v>
      </c>
      <c r="B31" s="142" t="s">
        <v>2819</v>
      </c>
      <c r="C31" s="143">
        <v>1</v>
      </c>
      <c r="D31" s="144" t="s">
        <v>2784</v>
      </c>
      <c r="E31" s="174" t="s">
        <v>2818</v>
      </c>
      <c r="F31" s="144">
        <v>50</v>
      </c>
      <c r="G31" s="121"/>
      <c r="H31" s="144">
        <f>F31-(F31*G31)</f>
        <v>50</v>
      </c>
      <c r="I31" s="186"/>
      <c r="J31" s="171"/>
      <c r="K31" s="165" t="s">
        <v>2540</v>
      </c>
      <c r="L31" s="166" t="s">
        <v>2541</v>
      </c>
      <c r="M31" s="166" t="s">
        <v>2542</v>
      </c>
      <c r="N31" s="175" t="s">
        <v>2818</v>
      </c>
      <c r="O31" s="142" t="s">
        <v>2819</v>
      </c>
      <c r="P31" s="143">
        <v>1</v>
      </c>
      <c r="Q31" s="144" t="s">
        <v>2784</v>
      </c>
      <c r="R31" s="174" t="s">
        <v>2818</v>
      </c>
      <c r="S31" s="144">
        <v>50</v>
      </c>
      <c r="T31" s="121"/>
      <c r="U31" s="144">
        <v>50</v>
      </c>
      <c r="V31" s="186"/>
      <c r="W31" s="171"/>
      <c r="X31" s="165" t="s">
        <v>2540</v>
      </c>
      <c r="Y31" s="166" t="s">
        <v>2541</v>
      </c>
      <c r="Z31" s="166" t="s">
        <v>2542</v>
      </c>
    </row>
    <row r="32" spans="1:26">
      <c r="A32" s="175" t="s">
        <v>2820</v>
      </c>
      <c r="B32" s="142" t="s">
        <v>2821</v>
      </c>
      <c r="C32" s="143">
        <v>1</v>
      </c>
      <c r="D32" s="144" t="s">
        <v>2784</v>
      </c>
      <c r="E32" s="174" t="s">
        <v>2820</v>
      </c>
      <c r="F32" s="144">
        <v>50</v>
      </c>
      <c r="G32" s="121"/>
      <c r="H32" s="144">
        <f>F32-(F32*G32)</f>
        <v>50</v>
      </c>
      <c r="I32" s="186"/>
      <c r="J32" s="171"/>
      <c r="K32" s="165" t="s">
        <v>2540</v>
      </c>
      <c r="L32" s="166" t="s">
        <v>2541</v>
      </c>
      <c r="M32" s="166" t="s">
        <v>2542</v>
      </c>
      <c r="N32" s="175" t="s">
        <v>2820</v>
      </c>
      <c r="O32" s="142" t="s">
        <v>2821</v>
      </c>
      <c r="P32" s="143">
        <v>1</v>
      </c>
      <c r="Q32" s="144" t="s">
        <v>2784</v>
      </c>
      <c r="R32" s="174" t="s">
        <v>2820</v>
      </c>
      <c r="S32" s="144">
        <v>50</v>
      </c>
      <c r="T32" s="121"/>
      <c r="U32" s="144">
        <v>50</v>
      </c>
      <c r="V32" s="186"/>
      <c r="W32" s="171"/>
      <c r="X32" s="165" t="s">
        <v>2540</v>
      </c>
      <c r="Y32" s="166" t="s">
        <v>2541</v>
      </c>
      <c r="Z32" s="166" t="s">
        <v>2542</v>
      </c>
    </row>
    <row r="33" spans="1:26">
      <c r="A33" s="175" t="s">
        <v>2822</v>
      </c>
      <c r="B33" s="142" t="s">
        <v>2823</v>
      </c>
      <c r="C33" s="143">
        <v>1</v>
      </c>
      <c r="D33" s="144" t="s">
        <v>2784</v>
      </c>
      <c r="E33" s="174" t="s">
        <v>2822</v>
      </c>
      <c r="F33" s="144">
        <v>78</v>
      </c>
      <c r="G33" s="121"/>
      <c r="H33" s="144">
        <v>78</v>
      </c>
      <c r="I33" s="186"/>
      <c r="J33" s="171"/>
      <c r="K33" s="165" t="s">
        <v>2540</v>
      </c>
      <c r="L33" s="166" t="s">
        <v>2541</v>
      </c>
      <c r="M33" s="166" t="s">
        <v>2542</v>
      </c>
      <c r="N33" s="175" t="s">
        <v>2822</v>
      </c>
      <c r="O33" s="142" t="s">
        <v>2823</v>
      </c>
      <c r="P33" s="143">
        <v>1</v>
      </c>
      <c r="Q33" s="144" t="s">
        <v>2784</v>
      </c>
      <c r="R33" s="174" t="s">
        <v>2822</v>
      </c>
      <c r="S33" s="144">
        <v>78</v>
      </c>
      <c r="T33" s="121"/>
      <c r="U33" s="144">
        <v>78</v>
      </c>
      <c r="V33" s="186"/>
      <c r="W33" s="171"/>
      <c r="X33" s="165" t="s">
        <v>2540</v>
      </c>
      <c r="Y33" s="166" t="s">
        <v>2541</v>
      </c>
      <c r="Z33" s="166" t="s">
        <v>2542</v>
      </c>
    </row>
    <row r="34" spans="1:26">
      <c r="A34" s="175" t="s">
        <v>2824</v>
      </c>
      <c r="B34" s="142" t="s">
        <v>2825</v>
      </c>
      <c r="C34" s="143">
        <v>1</v>
      </c>
      <c r="D34" s="144" t="s">
        <v>2784</v>
      </c>
      <c r="E34" s="174" t="s">
        <v>2824</v>
      </c>
      <c r="F34" s="144">
        <v>115</v>
      </c>
      <c r="G34" s="121"/>
      <c r="H34" s="144">
        <f>F34-(F34*G34)</f>
        <v>115</v>
      </c>
      <c r="I34" s="186"/>
      <c r="J34" s="171"/>
      <c r="K34" s="165" t="s">
        <v>2540</v>
      </c>
      <c r="L34" s="166" t="s">
        <v>2541</v>
      </c>
      <c r="M34" s="166" t="s">
        <v>2542</v>
      </c>
      <c r="N34" s="175" t="s">
        <v>2824</v>
      </c>
      <c r="O34" s="142" t="s">
        <v>2825</v>
      </c>
      <c r="P34" s="143">
        <v>1</v>
      </c>
      <c r="Q34" s="144" t="s">
        <v>2784</v>
      </c>
      <c r="R34" s="174" t="s">
        <v>2824</v>
      </c>
      <c r="S34" s="144">
        <v>115</v>
      </c>
      <c r="T34" s="121"/>
      <c r="U34" s="144">
        <v>115</v>
      </c>
      <c r="V34" s="186"/>
      <c r="W34" s="171"/>
      <c r="X34" s="165" t="s">
        <v>2540</v>
      </c>
      <c r="Y34" s="166" t="s">
        <v>2541</v>
      </c>
      <c r="Z34" s="166" t="s">
        <v>2542</v>
      </c>
    </row>
    <row r="35" spans="1:26">
      <c r="A35" s="175" t="s">
        <v>2826</v>
      </c>
      <c r="B35" s="142" t="s">
        <v>2827</v>
      </c>
      <c r="C35" s="143">
        <v>1</v>
      </c>
      <c r="D35" s="144" t="s">
        <v>2784</v>
      </c>
      <c r="E35" s="174" t="s">
        <v>2826</v>
      </c>
      <c r="F35" s="144">
        <v>150</v>
      </c>
      <c r="G35" s="121"/>
      <c r="H35" s="144">
        <v>150</v>
      </c>
      <c r="I35" s="186"/>
      <c r="J35" s="171"/>
      <c r="K35" s="165" t="s">
        <v>2540</v>
      </c>
      <c r="L35" s="166" t="s">
        <v>2541</v>
      </c>
      <c r="M35" s="166" t="s">
        <v>2542</v>
      </c>
      <c r="N35" s="175" t="s">
        <v>2826</v>
      </c>
      <c r="O35" s="142" t="s">
        <v>2827</v>
      </c>
      <c r="P35" s="143">
        <v>1</v>
      </c>
      <c r="Q35" s="144" t="s">
        <v>2784</v>
      </c>
      <c r="R35" s="174" t="s">
        <v>2826</v>
      </c>
      <c r="S35" s="144">
        <v>150</v>
      </c>
      <c r="T35" s="121"/>
      <c r="U35" s="144">
        <v>150</v>
      </c>
      <c r="V35" s="186"/>
      <c r="W35" s="171"/>
      <c r="X35" s="165" t="s">
        <v>2540</v>
      </c>
      <c r="Y35" s="166" t="s">
        <v>2541</v>
      </c>
      <c r="Z35" s="166" t="s">
        <v>2542</v>
      </c>
    </row>
    <row r="36" spans="1:26">
      <c r="A36" s="175" t="s">
        <v>2828</v>
      </c>
      <c r="B36" s="142" t="s">
        <v>2829</v>
      </c>
      <c r="C36" s="143">
        <v>1</v>
      </c>
      <c r="D36" s="144" t="s">
        <v>2784</v>
      </c>
      <c r="E36" s="174" t="s">
        <v>2828</v>
      </c>
      <c r="F36" s="144">
        <v>215</v>
      </c>
      <c r="G36" s="121"/>
      <c r="H36" s="144">
        <f t="shared" ref="H36:H69" si="1">F36-(F36*G36)</f>
        <v>215</v>
      </c>
      <c r="I36" s="186"/>
      <c r="J36" s="171"/>
      <c r="K36" s="165" t="s">
        <v>2540</v>
      </c>
      <c r="L36" s="166" t="s">
        <v>2541</v>
      </c>
      <c r="M36" s="166" t="s">
        <v>2542</v>
      </c>
      <c r="N36" s="175" t="s">
        <v>2828</v>
      </c>
      <c r="O36" s="142" t="s">
        <v>2829</v>
      </c>
      <c r="P36" s="143">
        <v>1</v>
      </c>
      <c r="Q36" s="144" t="s">
        <v>2784</v>
      </c>
      <c r="R36" s="174" t="s">
        <v>2828</v>
      </c>
      <c r="S36" s="144">
        <v>215</v>
      </c>
      <c r="T36" s="121"/>
      <c r="U36" s="144">
        <v>215</v>
      </c>
      <c r="V36" s="186"/>
      <c r="W36" s="171"/>
      <c r="X36" s="165" t="s">
        <v>2540</v>
      </c>
      <c r="Y36" s="166" t="s">
        <v>2541</v>
      </c>
      <c r="Z36" s="166" t="s">
        <v>2542</v>
      </c>
    </row>
    <row r="37" spans="1:26">
      <c r="A37" s="175" t="s">
        <v>2830</v>
      </c>
      <c r="B37" s="142" t="s">
        <v>2831</v>
      </c>
      <c r="C37" s="143">
        <v>1</v>
      </c>
      <c r="D37" s="144" t="s">
        <v>2784</v>
      </c>
      <c r="E37" s="174" t="s">
        <v>2830</v>
      </c>
      <c r="F37" s="144">
        <v>85</v>
      </c>
      <c r="G37" s="121"/>
      <c r="H37" s="144">
        <f t="shared" si="1"/>
        <v>85</v>
      </c>
      <c r="I37" s="186"/>
      <c r="J37" s="171"/>
      <c r="K37" s="165" t="s">
        <v>2540</v>
      </c>
      <c r="L37" s="166" t="s">
        <v>2541</v>
      </c>
      <c r="M37" s="166" t="s">
        <v>2542</v>
      </c>
      <c r="N37" s="175" t="s">
        <v>2830</v>
      </c>
      <c r="O37" s="142" t="s">
        <v>2831</v>
      </c>
      <c r="P37" s="143">
        <v>1</v>
      </c>
      <c r="Q37" s="144" t="s">
        <v>2784</v>
      </c>
      <c r="R37" s="174" t="s">
        <v>2830</v>
      </c>
      <c r="S37" s="144">
        <v>85</v>
      </c>
      <c r="T37" s="121"/>
      <c r="U37" s="144">
        <v>85</v>
      </c>
      <c r="V37" s="186"/>
      <c r="W37" s="171"/>
      <c r="X37" s="165" t="s">
        <v>2540</v>
      </c>
      <c r="Y37" s="166" t="s">
        <v>2541</v>
      </c>
      <c r="Z37" s="166" t="s">
        <v>2542</v>
      </c>
    </row>
    <row r="38" spans="1:26">
      <c r="A38" s="175" t="s">
        <v>2832</v>
      </c>
      <c r="B38" s="142" t="s">
        <v>2833</v>
      </c>
      <c r="C38" s="143">
        <v>1</v>
      </c>
      <c r="D38" s="144" t="s">
        <v>2784</v>
      </c>
      <c r="E38" s="174" t="s">
        <v>2832</v>
      </c>
      <c r="F38" s="144">
        <v>95</v>
      </c>
      <c r="G38" s="121"/>
      <c r="H38" s="144">
        <f t="shared" si="1"/>
        <v>95</v>
      </c>
      <c r="I38" s="186"/>
      <c r="J38" s="171"/>
      <c r="K38" s="165" t="s">
        <v>2540</v>
      </c>
      <c r="L38" s="166" t="s">
        <v>2541</v>
      </c>
      <c r="M38" s="166" t="s">
        <v>2542</v>
      </c>
      <c r="N38" s="175" t="s">
        <v>2832</v>
      </c>
      <c r="O38" s="142" t="s">
        <v>2833</v>
      </c>
      <c r="P38" s="143">
        <v>1</v>
      </c>
      <c r="Q38" s="144" t="s">
        <v>2784</v>
      </c>
      <c r="R38" s="174" t="s">
        <v>2832</v>
      </c>
      <c r="S38" s="144">
        <v>95</v>
      </c>
      <c r="T38" s="121"/>
      <c r="U38" s="144">
        <v>95</v>
      </c>
      <c r="V38" s="186"/>
      <c r="W38" s="171"/>
      <c r="X38" s="165" t="s">
        <v>2540</v>
      </c>
      <c r="Y38" s="166" t="s">
        <v>2541</v>
      </c>
      <c r="Z38" s="166" t="s">
        <v>2542</v>
      </c>
    </row>
    <row r="39" spans="1:26">
      <c r="A39" s="199" t="s">
        <v>2834</v>
      </c>
      <c r="B39" s="195" t="s">
        <v>2835</v>
      </c>
      <c r="C39" s="143">
        <v>1</v>
      </c>
      <c r="D39" s="144" t="s">
        <v>2784</v>
      </c>
      <c r="E39" s="201" t="s">
        <v>2834</v>
      </c>
      <c r="F39" s="144">
        <v>0</v>
      </c>
      <c r="G39" s="121"/>
      <c r="H39" s="144">
        <f t="shared" si="1"/>
        <v>0</v>
      </c>
      <c r="I39" s="186"/>
      <c r="J39" s="171"/>
      <c r="K39" s="165" t="s">
        <v>2540</v>
      </c>
      <c r="L39" s="166" t="s">
        <v>2541</v>
      </c>
      <c r="M39" s="166" t="s">
        <v>2542</v>
      </c>
      <c r="N39" s="199" t="s">
        <v>2834</v>
      </c>
      <c r="O39" s="195" t="s">
        <v>2835</v>
      </c>
      <c r="P39" s="143">
        <v>1</v>
      </c>
      <c r="Q39" s="144" t="s">
        <v>2784</v>
      </c>
      <c r="R39" s="201" t="s">
        <v>2834</v>
      </c>
      <c r="S39" s="144">
        <v>0</v>
      </c>
      <c r="T39" s="121"/>
      <c r="U39" s="144">
        <v>0</v>
      </c>
      <c r="V39" s="186"/>
      <c r="W39" s="171"/>
      <c r="X39" s="165" t="s">
        <v>2540</v>
      </c>
      <c r="Y39" s="166" t="s">
        <v>2541</v>
      </c>
      <c r="Z39" s="166" t="s">
        <v>2542</v>
      </c>
    </row>
    <row r="40" spans="1:26">
      <c r="A40" s="175" t="s">
        <v>2836</v>
      </c>
      <c r="B40" s="142" t="s">
        <v>2837</v>
      </c>
      <c r="C40" s="143">
        <v>1</v>
      </c>
      <c r="D40" s="144" t="s">
        <v>2784</v>
      </c>
      <c r="E40" s="174" t="s">
        <v>2836</v>
      </c>
      <c r="F40" s="144">
        <v>210</v>
      </c>
      <c r="G40" s="121"/>
      <c r="H40" s="144">
        <f t="shared" si="1"/>
        <v>210</v>
      </c>
      <c r="I40" s="186"/>
      <c r="J40" s="171"/>
      <c r="K40" s="165" t="s">
        <v>2540</v>
      </c>
      <c r="L40" s="166" t="s">
        <v>2541</v>
      </c>
      <c r="M40" s="166" t="s">
        <v>2542</v>
      </c>
      <c r="N40" s="175" t="s">
        <v>2836</v>
      </c>
      <c r="O40" s="142" t="s">
        <v>2837</v>
      </c>
      <c r="P40" s="143">
        <v>1</v>
      </c>
      <c r="Q40" s="144" t="s">
        <v>2784</v>
      </c>
      <c r="R40" s="174" t="s">
        <v>2836</v>
      </c>
      <c r="S40" s="144">
        <v>210</v>
      </c>
      <c r="T40" s="121"/>
      <c r="U40" s="144">
        <v>210</v>
      </c>
      <c r="V40" s="186"/>
      <c r="W40" s="171"/>
      <c r="X40" s="165" t="s">
        <v>2540</v>
      </c>
      <c r="Y40" s="166" t="s">
        <v>2541</v>
      </c>
      <c r="Z40" s="166" t="s">
        <v>2542</v>
      </c>
    </row>
    <row r="41" spans="1:26">
      <c r="A41" s="175" t="s">
        <v>2838</v>
      </c>
      <c r="B41" s="142" t="s">
        <v>2839</v>
      </c>
      <c r="C41" s="143">
        <v>1</v>
      </c>
      <c r="D41" s="144" t="s">
        <v>2784</v>
      </c>
      <c r="E41" s="174" t="s">
        <v>2838</v>
      </c>
      <c r="F41" s="144">
        <v>420</v>
      </c>
      <c r="G41" s="121"/>
      <c r="H41" s="144">
        <f t="shared" si="1"/>
        <v>420</v>
      </c>
      <c r="I41" s="186"/>
      <c r="J41" s="171"/>
      <c r="K41" s="165" t="s">
        <v>2540</v>
      </c>
      <c r="L41" s="166" t="s">
        <v>2541</v>
      </c>
      <c r="M41" s="166" t="s">
        <v>2542</v>
      </c>
      <c r="N41" s="175" t="s">
        <v>2838</v>
      </c>
      <c r="O41" s="142" t="s">
        <v>2839</v>
      </c>
      <c r="P41" s="143">
        <v>1</v>
      </c>
      <c r="Q41" s="144" t="s">
        <v>2784</v>
      </c>
      <c r="R41" s="174" t="s">
        <v>2838</v>
      </c>
      <c r="S41" s="144">
        <v>420</v>
      </c>
      <c r="T41" s="121"/>
      <c r="U41" s="144">
        <v>420</v>
      </c>
      <c r="V41" s="186"/>
      <c r="W41" s="171"/>
      <c r="X41" s="165" t="s">
        <v>2540</v>
      </c>
      <c r="Y41" s="166" t="s">
        <v>2541</v>
      </c>
      <c r="Z41" s="166" t="s">
        <v>2542</v>
      </c>
    </row>
    <row r="42" spans="1:26">
      <c r="A42" s="175" t="s">
        <v>2840</v>
      </c>
      <c r="B42" s="142" t="s">
        <v>2841</v>
      </c>
      <c r="C42" s="143">
        <v>1</v>
      </c>
      <c r="D42" s="144" t="s">
        <v>2784</v>
      </c>
      <c r="E42" s="174" t="s">
        <v>2840</v>
      </c>
      <c r="F42" s="144">
        <v>735</v>
      </c>
      <c r="G42" s="121"/>
      <c r="H42" s="144">
        <f t="shared" si="1"/>
        <v>735</v>
      </c>
      <c r="I42" s="186"/>
      <c r="J42" s="171"/>
      <c r="K42" s="165" t="s">
        <v>2540</v>
      </c>
      <c r="L42" s="166" t="s">
        <v>2541</v>
      </c>
      <c r="M42" s="166" t="s">
        <v>2542</v>
      </c>
      <c r="N42" s="175" t="s">
        <v>2840</v>
      </c>
      <c r="O42" s="142" t="s">
        <v>2841</v>
      </c>
      <c r="P42" s="143">
        <v>1</v>
      </c>
      <c r="Q42" s="144" t="s">
        <v>2784</v>
      </c>
      <c r="R42" s="174" t="s">
        <v>2840</v>
      </c>
      <c r="S42" s="144">
        <v>735</v>
      </c>
      <c r="T42" s="121"/>
      <c r="U42" s="144">
        <v>735</v>
      </c>
      <c r="V42" s="186"/>
      <c r="W42" s="171"/>
      <c r="X42" s="165" t="s">
        <v>2540</v>
      </c>
      <c r="Y42" s="166" t="s">
        <v>2541</v>
      </c>
      <c r="Z42" s="166" t="s">
        <v>2542</v>
      </c>
    </row>
    <row r="43" spans="1:26">
      <c r="A43" s="175" t="s">
        <v>2842</v>
      </c>
      <c r="B43" s="142" t="s">
        <v>2843</v>
      </c>
      <c r="C43" s="143">
        <v>1</v>
      </c>
      <c r="D43" s="144" t="s">
        <v>2784</v>
      </c>
      <c r="E43" s="174" t="s">
        <v>2842</v>
      </c>
      <c r="F43" s="144">
        <v>210</v>
      </c>
      <c r="G43" s="121"/>
      <c r="H43" s="144">
        <f t="shared" si="1"/>
        <v>210</v>
      </c>
      <c r="I43" s="186"/>
      <c r="J43" s="171"/>
      <c r="K43" s="165" t="s">
        <v>2540</v>
      </c>
      <c r="L43" s="166" t="s">
        <v>2541</v>
      </c>
      <c r="M43" s="166" t="s">
        <v>2542</v>
      </c>
      <c r="N43" s="175" t="s">
        <v>2842</v>
      </c>
      <c r="O43" s="142" t="s">
        <v>2843</v>
      </c>
      <c r="P43" s="143">
        <v>1</v>
      </c>
      <c r="Q43" s="144" t="s">
        <v>2784</v>
      </c>
      <c r="R43" s="174" t="s">
        <v>2842</v>
      </c>
      <c r="S43" s="144">
        <v>210</v>
      </c>
      <c r="T43" s="121"/>
      <c r="U43" s="144">
        <v>210</v>
      </c>
      <c r="V43" s="186"/>
      <c r="W43" s="171"/>
      <c r="X43" s="165" t="s">
        <v>2540</v>
      </c>
      <c r="Y43" s="166" t="s">
        <v>2541</v>
      </c>
      <c r="Z43" s="166" t="s">
        <v>2542</v>
      </c>
    </row>
    <row r="44" spans="1:26">
      <c r="A44" s="175" t="s">
        <v>2844</v>
      </c>
      <c r="B44" s="142" t="s">
        <v>2845</v>
      </c>
      <c r="C44" s="143">
        <v>1</v>
      </c>
      <c r="D44" s="144" t="s">
        <v>2784</v>
      </c>
      <c r="E44" s="174" t="s">
        <v>2844</v>
      </c>
      <c r="F44" s="144">
        <v>420</v>
      </c>
      <c r="G44" s="121"/>
      <c r="H44" s="144">
        <f t="shared" si="1"/>
        <v>420</v>
      </c>
      <c r="I44" s="186"/>
      <c r="J44" s="171"/>
      <c r="K44" s="165" t="s">
        <v>2540</v>
      </c>
      <c r="L44" s="166" t="s">
        <v>2541</v>
      </c>
      <c r="M44" s="166" t="s">
        <v>2542</v>
      </c>
      <c r="N44" s="175" t="s">
        <v>2844</v>
      </c>
      <c r="O44" s="142" t="s">
        <v>2845</v>
      </c>
      <c r="P44" s="143">
        <v>1</v>
      </c>
      <c r="Q44" s="144" t="s">
        <v>2784</v>
      </c>
      <c r="R44" s="174" t="s">
        <v>2844</v>
      </c>
      <c r="S44" s="144">
        <v>420</v>
      </c>
      <c r="T44" s="121"/>
      <c r="U44" s="144">
        <v>420</v>
      </c>
      <c r="V44" s="186"/>
      <c r="W44" s="171"/>
      <c r="X44" s="165" t="s">
        <v>2540</v>
      </c>
      <c r="Y44" s="166" t="s">
        <v>2541</v>
      </c>
      <c r="Z44" s="166" t="s">
        <v>2542</v>
      </c>
    </row>
    <row r="45" spans="1:26">
      <c r="A45" s="175" t="s">
        <v>2846</v>
      </c>
      <c r="B45" s="142" t="s">
        <v>2847</v>
      </c>
      <c r="C45" s="143">
        <v>1</v>
      </c>
      <c r="D45" s="144" t="s">
        <v>2784</v>
      </c>
      <c r="E45" s="174" t="s">
        <v>2846</v>
      </c>
      <c r="F45" s="144">
        <v>735</v>
      </c>
      <c r="G45" s="121"/>
      <c r="H45" s="144">
        <f t="shared" si="1"/>
        <v>735</v>
      </c>
      <c r="I45" s="186"/>
      <c r="J45" s="171"/>
      <c r="K45" s="165" t="s">
        <v>2540</v>
      </c>
      <c r="L45" s="166" t="s">
        <v>2541</v>
      </c>
      <c r="M45" s="166" t="s">
        <v>2542</v>
      </c>
      <c r="N45" s="175" t="s">
        <v>2846</v>
      </c>
      <c r="O45" s="142" t="s">
        <v>2847</v>
      </c>
      <c r="P45" s="143">
        <v>1</v>
      </c>
      <c r="Q45" s="144" t="s">
        <v>2784</v>
      </c>
      <c r="R45" s="174" t="s">
        <v>2846</v>
      </c>
      <c r="S45" s="144">
        <v>735</v>
      </c>
      <c r="T45" s="121"/>
      <c r="U45" s="144">
        <v>735</v>
      </c>
      <c r="V45" s="186"/>
      <c r="W45" s="171"/>
      <c r="X45" s="165" t="s">
        <v>2540</v>
      </c>
      <c r="Y45" s="166" t="s">
        <v>2541</v>
      </c>
      <c r="Z45" s="166" t="s">
        <v>2542</v>
      </c>
    </row>
    <row r="46" spans="1:26">
      <c r="A46" s="175" t="s">
        <v>2848</v>
      </c>
      <c r="B46" s="142" t="s">
        <v>2849</v>
      </c>
      <c r="C46" s="143">
        <v>1</v>
      </c>
      <c r="D46" s="144" t="s">
        <v>2784</v>
      </c>
      <c r="E46" s="174" t="s">
        <v>2848</v>
      </c>
      <c r="F46" s="144">
        <v>210</v>
      </c>
      <c r="G46" s="121"/>
      <c r="H46" s="144">
        <f t="shared" si="1"/>
        <v>210</v>
      </c>
      <c r="I46" s="186"/>
      <c r="J46" s="171"/>
      <c r="K46" s="165" t="s">
        <v>2540</v>
      </c>
      <c r="L46" s="166" t="s">
        <v>2541</v>
      </c>
      <c r="M46" s="166" t="s">
        <v>2542</v>
      </c>
      <c r="N46" s="175" t="s">
        <v>2848</v>
      </c>
      <c r="O46" s="142" t="s">
        <v>2849</v>
      </c>
      <c r="P46" s="143">
        <v>1</v>
      </c>
      <c r="Q46" s="144" t="s">
        <v>2784</v>
      </c>
      <c r="R46" s="174" t="s">
        <v>2848</v>
      </c>
      <c r="S46" s="144">
        <v>210</v>
      </c>
      <c r="T46" s="121"/>
      <c r="U46" s="144">
        <v>210</v>
      </c>
      <c r="V46" s="186"/>
      <c r="W46" s="171"/>
      <c r="X46" s="165" t="s">
        <v>2540</v>
      </c>
      <c r="Y46" s="166" t="s">
        <v>2541</v>
      </c>
      <c r="Z46" s="166" t="s">
        <v>2542</v>
      </c>
    </row>
    <row r="47" spans="1:26">
      <c r="A47" s="175" t="s">
        <v>2850</v>
      </c>
      <c r="B47" s="142" t="s">
        <v>2851</v>
      </c>
      <c r="C47" s="143">
        <v>1</v>
      </c>
      <c r="D47" s="144" t="s">
        <v>2784</v>
      </c>
      <c r="E47" s="174" t="s">
        <v>2850</v>
      </c>
      <c r="F47" s="144">
        <v>420</v>
      </c>
      <c r="G47" s="121"/>
      <c r="H47" s="144">
        <f t="shared" si="1"/>
        <v>420</v>
      </c>
      <c r="I47" s="186"/>
      <c r="J47" s="171"/>
      <c r="K47" s="165" t="s">
        <v>2540</v>
      </c>
      <c r="L47" s="166" t="s">
        <v>2541</v>
      </c>
      <c r="M47" s="166" t="s">
        <v>2542</v>
      </c>
      <c r="N47" s="175" t="s">
        <v>2850</v>
      </c>
      <c r="O47" s="142" t="s">
        <v>2851</v>
      </c>
      <c r="P47" s="143">
        <v>1</v>
      </c>
      <c r="Q47" s="144" t="s">
        <v>2784</v>
      </c>
      <c r="R47" s="174" t="s">
        <v>2850</v>
      </c>
      <c r="S47" s="144">
        <v>420</v>
      </c>
      <c r="T47" s="121"/>
      <c r="U47" s="144">
        <v>420</v>
      </c>
      <c r="V47" s="186"/>
      <c r="W47" s="171"/>
      <c r="X47" s="165" t="s">
        <v>2540</v>
      </c>
      <c r="Y47" s="166" t="s">
        <v>2541</v>
      </c>
      <c r="Z47" s="166" t="s">
        <v>2542</v>
      </c>
    </row>
    <row r="48" spans="1:26">
      <c r="A48" s="175" t="s">
        <v>2852</v>
      </c>
      <c r="B48" s="142" t="s">
        <v>2853</v>
      </c>
      <c r="C48" s="143">
        <v>1</v>
      </c>
      <c r="D48" s="144" t="s">
        <v>2784</v>
      </c>
      <c r="E48" s="174" t="s">
        <v>2852</v>
      </c>
      <c r="F48" s="144">
        <v>735</v>
      </c>
      <c r="G48" s="121"/>
      <c r="H48" s="144">
        <f t="shared" si="1"/>
        <v>735</v>
      </c>
      <c r="I48" s="186"/>
      <c r="J48" s="171"/>
      <c r="K48" s="165" t="s">
        <v>2540</v>
      </c>
      <c r="L48" s="166" t="s">
        <v>2541</v>
      </c>
      <c r="M48" s="166" t="s">
        <v>2542</v>
      </c>
      <c r="N48" s="175" t="s">
        <v>2852</v>
      </c>
      <c r="O48" s="142" t="s">
        <v>2853</v>
      </c>
      <c r="P48" s="143">
        <v>1</v>
      </c>
      <c r="Q48" s="144" t="s">
        <v>2784</v>
      </c>
      <c r="R48" s="174" t="s">
        <v>2852</v>
      </c>
      <c r="S48" s="144">
        <v>735</v>
      </c>
      <c r="T48" s="121"/>
      <c r="U48" s="144">
        <v>735</v>
      </c>
      <c r="V48" s="186"/>
      <c r="W48" s="171"/>
      <c r="X48" s="165" t="s">
        <v>2540</v>
      </c>
      <c r="Y48" s="166" t="s">
        <v>2541</v>
      </c>
      <c r="Z48" s="166" t="s">
        <v>2542</v>
      </c>
    </row>
    <row r="49" spans="1:26">
      <c r="A49" s="173" t="s">
        <v>2618</v>
      </c>
      <c r="B49" s="172" t="s">
        <v>2619</v>
      </c>
      <c r="C49" s="170">
        <v>1</v>
      </c>
      <c r="D49" s="169" t="s">
        <v>140</v>
      </c>
      <c r="E49" s="177" t="s">
        <v>2618</v>
      </c>
      <c r="F49" s="176">
        <v>782.67</v>
      </c>
      <c r="G49" s="194"/>
      <c r="H49" s="176">
        <f t="shared" si="1"/>
        <v>782.67</v>
      </c>
      <c r="I49" s="186"/>
      <c r="J49" s="171"/>
      <c r="K49" s="165" t="s">
        <v>2540</v>
      </c>
      <c r="L49" s="166" t="s">
        <v>2541</v>
      </c>
      <c r="M49" s="166" t="s">
        <v>2542</v>
      </c>
      <c r="N49" s="173" t="s">
        <v>2618</v>
      </c>
      <c r="O49" s="172" t="s">
        <v>2619</v>
      </c>
      <c r="P49" s="170">
        <v>1</v>
      </c>
      <c r="Q49" s="169" t="s">
        <v>140</v>
      </c>
      <c r="R49" s="177" t="s">
        <v>2618</v>
      </c>
      <c r="S49" s="176">
        <v>782.67</v>
      </c>
      <c r="T49" s="194"/>
      <c r="U49" s="176">
        <v>782.67</v>
      </c>
      <c r="V49" s="186"/>
      <c r="W49" s="171"/>
      <c r="X49" s="165" t="s">
        <v>2540</v>
      </c>
      <c r="Y49" s="166" t="s">
        <v>2541</v>
      </c>
      <c r="Z49" s="166" t="s">
        <v>2542</v>
      </c>
    </row>
    <row r="50" spans="1:26">
      <c r="A50" s="173" t="s">
        <v>2854</v>
      </c>
      <c r="B50" s="172" t="s">
        <v>2623</v>
      </c>
      <c r="C50" s="170">
        <v>1</v>
      </c>
      <c r="D50" s="169" t="s">
        <v>140</v>
      </c>
      <c r="E50" s="177" t="s">
        <v>2854</v>
      </c>
      <c r="F50" s="176">
        <v>86.67</v>
      </c>
      <c r="G50" s="194"/>
      <c r="H50" s="176">
        <f t="shared" si="1"/>
        <v>86.67</v>
      </c>
      <c r="I50" s="186"/>
      <c r="J50" s="171"/>
      <c r="K50" s="165" t="s">
        <v>2540</v>
      </c>
      <c r="L50" s="166" t="s">
        <v>2541</v>
      </c>
      <c r="M50" s="166" t="s">
        <v>2542</v>
      </c>
      <c r="N50" s="173" t="s">
        <v>2854</v>
      </c>
      <c r="O50" s="172" t="s">
        <v>2623</v>
      </c>
      <c r="P50" s="170">
        <v>1</v>
      </c>
      <c r="Q50" s="169" t="s">
        <v>140</v>
      </c>
      <c r="R50" s="177" t="s">
        <v>2854</v>
      </c>
      <c r="S50" s="176">
        <v>86.67</v>
      </c>
      <c r="T50" s="194"/>
      <c r="U50" s="176">
        <v>86.67</v>
      </c>
      <c r="V50" s="186"/>
      <c r="W50" s="171"/>
      <c r="X50" s="165" t="s">
        <v>2540</v>
      </c>
      <c r="Y50" s="166" t="s">
        <v>2541</v>
      </c>
      <c r="Z50" s="166" t="s">
        <v>2542</v>
      </c>
    </row>
    <row r="51" spans="1:26">
      <c r="A51" s="173" t="s">
        <v>2624</v>
      </c>
      <c r="B51" s="172" t="s">
        <v>2625</v>
      </c>
      <c r="C51" s="170">
        <v>1</v>
      </c>
      <c r="D51" s="169" t="s">
        <v>140</v>
      </c>
      <c r="E51" s="177" t="s">
        <v>2624</v>
      </c>
      <c r="F51" s="176">
        <v>326.67</v>
      </c>
      <c r="G51" s="194"/>
      <c r="H51" s="176">
        <f t="shared" si="1"/>
        <v>326.67</v>
      </c>
      <c r="I51" s="186"/>
      <c r="J51" s="171"/>
      <c r="K51" s="165" t="s">
        <v>2540</v>
      </c>
      <c r="L51" s="166" t="s">
        <v>2541</v>
      </c>
      <c r="M51" s="166" t="s">
        <v>2542</v>
      </c>
      <c r="N51" s="173" t="s">
        <v>2624</v>
      </c>
      <c r="O51" s="172" t="s">
        <v>2625</v>
      </c>
      <c r="P51" s="170">
        <v>1</v>
      </c>
      <c r="Q51" s="169" t="s">
        <v>140</v>
      </c>
      <c r="R51" s="177" t="s">
        <v>2624</v>
      </c>
      <c r="S51" s="176">
        <v>326.67</v>
      </c>
      <c r="T51" s="194"/>
      <c r="U51" s="176">
        <v>326.67</v>
      </c>
      <c r="V51" s="186"/>
      <c r="W51" s="171"/>
      <c r="X51" s="165" t="s">
        <v>2540</v>
      </c>
      <c r="Y51" s="166" t="s">
        <v>2541</v>
      </c>
      <c r="Z51" s="166" t="s">
        <v>2542</v>
      </c>
    </row>
    <row r="52" spans="1:26">
      <c r="A52" s="173" t="s">
        <v>2626</v>
      </c>
      <c r="B52" s="172" t="s">
        <v>2627</v>
      </c>
      <c r="C52" s="170">
        <v>1</v>
      </c>
      <c r="D52" s="169" t="s">
        <v>140</v>
      </c>
      <c r="E52" s="168" t="s">
        <v>2626</v>
      </c>
      <c r="F52" s="167">
        <v>649.33000000000004</v>
      </c>
      <c r="G52" s="194"/>
      <c r="H52" s="176">
        <f t="shared" si="1"/>
        <v>649.33000000000004</v>
      </c>
      <c r="I52" s="186"/>
      <c r="J52" s="171"/>
      <c r="K52" s="165" t="s">
        <v>2540</v>
      </c>
      <c r="L52" s="166" t="s">
        <v>2541</v>
      </c>
      <c r="M52" s="166" t="s">
        <v>2542</v>
      </c>
      <c r="N52" s="173" t="s">
        <v>2626</v>
      </c>
      <c r="O52" s="172" t="s">
        <v>2627</v>
      </c>
      <c r="P52" s="170">
        <v>1</v>
      </c>
      <c r="Q52" s="169" t="s">
        <v>140</v>
      </c>
      <c r="R52" s="168" t="s">
        <v>2626</v>
      </c>
      <c r="S52" s="167">
        <v>649.33000000000004</v>
      </c>
      <c r="T52" s="194"/>
      <c r="U52" s="176">
        <v>649.33000000000004</v>
      </c>
      <c r="V52" s="186"/>
      <c r="W52" s="171"/>
      <c r="X52" s="165" t="s">
        <v>2540</v>
      </c>
      <c r="Y52" s="166" t="s">
        <v>2541</v>
      </c>
      <c r="Z52" s="166" t="s">
        <v>2542</v>
      </c>
    </row>
    <row r="53" spans="1:26">
      <c r="A53" s="173" t="s">
        <v>2628</v>
      </c>
      <c r="B53" s="172" t="s">
        <v>2629</v>
      </c>
      <c r="C53" s="170">
        <v>1</v>
      </c>
      <c r="D53" s="169" t="s">
        <v>140</v>
      </c>
      <c r="E53" s="177" t="s">
        <v>2628</v>
      </c>
      <c r="F53" s="176">
        <v>173.33</v>
      </c>
      <c r="G53" s="194"/>
      <c r="H53" s="176">
        <f t="shared" si="1"/>
        <v>173.33</v>
      </c>
      <c r="I53" s="186"/>
      <c r="J53" s="171"/>
      <c r="K53" s="165" t="s">
        <v>2540</v>
      </c>
      <c r="L53" s="166" t="s">
        <v>2541</v>
      </c>
      <c r="M53" s="166" t="s">
        <v>2542</v>
      </c>
      <c r="N53" s="173" t="s">
        <v>2628</v>
      </c>
      <c r="O53" s="172" t="s">
        <v>2629</v>
      </c>
      <c r="P53" s="170">
        <v>1</v>
      </c>
      <c r="Q53" s="169" t="s">
        <v>140</v>
      </c>
      <c r="R53" s="177" t="s">
        <v>2628</v>
      </c>
      <c r="S53" s="176">
        <v>173.33</v>
      </c>
      <c r="T53" s="194"/>
      <c r="U53" s="176">
        <v>173.33</v>
      </c>
      <c r="V53" s="186"/>
      <c r="W53" s="171"/>
      <c r="X53" s="165" t="s">
        <v>2540</v>
      </c>
      <c r="Y53" s="166" t="s">
        <v>2541</v>
      </c>
      <c r="Z53" s="166" t="s">
        <v>2542</v>
      </c>
    </row>
    <row r="54" spans="1:26" ht="14.25">
      <c r="A54" s="173" t="s">
        <v>2620</v>
      </c>
      <c r="B54" s="193" t="s">
        <v>2621</v>
      </c>
      <c r="C54" s="192">
        <v>1</v>
      </c>
      <c r="D54" s="191" t="s">
        <v>140</v>
      </c>
      <c r="E54" s="191" t="s">
        <v>2620</v>
      </c>
      <c r="F54" s="176">
        <v>391.3</v>
      </c>
      <c r="G54" s="190"/>
      <c r="H54" s="167">
        <f t="shared" si="1"/>
        <v>391.3</v>
      </c>
      <c r="I54" s="186"/>
      <c r="J54" s="171"/>
      <c r="K54" s="165" t="s">
        <v>2540</v>
      </c>
      <c r="L54" s="166" t="s">
        <v>2541</v>
      </c>
      <c r="M54" s="166" t="s">
        <v>2542</v>
      </c>
      <c r="N54" s="173" t="s">
        <v>2620</v>
      </c>
      <c r="O54" s="193" t="s">
        <v>2621</v>
      </c>
      <c r="P54" s="192">
        <v>1</v>
      </c>
      <c r="Q54" s="191" t="s">
        <v>140</v>
      </c>
      <c r="R54" s="191" t="s">
        <v>2620</v>
      </c>
      <c r="S54" s="176">
        <v>391.3</v>
      </c>
      <c r="T54" s="190"/>
      <c r="U54" s="167">
        <v>391.3</v>
      </c>
      <c r="V54" s="186"/>
      <c r="W54" s="171"/>
      <c r="X54" s="165" t="s">
        <v>2540</v>
      </c>
      <c r="Y54" s="166" t="s">
        <v>2541</v>
      </c>
      <c r="Z54" s="166" t="s">
        <v>2542</v>
      </c>
    </row>
    <row r="55" spans="1:26">
      <c r="A55" s="175" t="s">
        <v>2855</v>
      </c>
      <c r="B55" s="142" t="s">
        <v>2856</v>
      </c>
      <c r="C55" s="143">
        <v>1</v>
      </c>
      <c r="D55" s="144" t="s">
        <v>2784</v>
      </c>
      <c r="E55" s="174" t="s">
        <v>2855</v>
      </c>
      <c r="F55" s="144">
        <v>1035</v>
      </c>
      <c r="G55" s="121"/>
      <c r="H55" s="144">
        <f t="shared" si="1"/>
        <v>1035</v>
      </c>
      <c r="I55" s="186"/>
      <c r="J55" s="171"/>
      <c r="K55" s="165" t="s">
        <v>2540</v>
      </c>
      <c r="L55" s="166" t="s">
        <v>2541</v>
      </c>
      <c r="M55" s="166" t="s">
        <v>2542</v>
      </c>
      <c r="N55" s="175" t="s">
        <v>2855</v>
      </c>
      <c r="O55" s="142" t="s">
        <v>2856</v>
      </c>
      <c r="P55" s="143">
        <v>1</v>
      </c>
      <c r="Q55" s="144" t="s">
        <v>2784</v>
      </c>
      <c r="R55" s="174" t="s">
        <v>2855</v>
      </c>
      <c r="S55" s="144">
        <v>1035</v>
      </c>
      <c r="T55" s="121"/>
      <c r="U55" s="144">
        <v>1035</v>
      </c>
      <c r="V55" s="186"/>
      <c r="W55" s="171"/>
      <c r="X55" s="165" t="s">
        <v>2540</v>
      </c>
      <c r="Y55" s="166" t="s">
        <v>2541</v>
      </c>
      <c r="Z55" s="166" t="s">
        <v>2542</v>
      </c>
    </row>
    <row r="56" spans="1:26">
      <c r="A56" s="175" t="s">
        <v>2857</v>
      </c>
      <c r="B56" s="142" t="s">
        <v>2858</v>
      </c>
      <c r="C56" s="143">
        <v>1</v>
      </c>
      <c r="D56" s="144" t="s">
        <v>2784</v>
      </c>
      <c r="E56" s="174" t="s">
        <v>2857</v>
      </c>
      <c r="F56" s="144">
        <v>1075</v>
      </c>
      <c r="G56" s="121"/>
      <c r="H56" s="144">
        <f t="shared" si="1"/>
        <v>1075</v>
      </c>
      <c r="I56" s="186"/>
      <c r="J56" s="171"/>
      <c r="K56" s="165" t="s">
        <v>2540</v>
      </c>
      <c r="L56" s="166" t="s">
        <v>2541</v>
      </c>
      <c r="M56" s="166" t="s">
        <v>2542</v>
      </c>
      <c r="N56" s="175" t="s">
        <v>2857</v>
      </c>
      <c r="O56" s="142" t="s">
        <v>2858</v>
      </c>
      <c r="P56" s="143">
        <v>1</v>
      </c>
      <c r="Q56" s="144" t="s">
        <v>2784</v>
      </c>
      <c r="R56" s="174" t="s">
        <v>2857</v>
      </c>
      <c r="S56" s="144">
        <v>1075</v>
      </c>
      <c r="T56" s="121"/>
      <c r="U56" s="144">
        <v>1075</v>
      </c>
      <c r="V56" s="186"/>
      <c r="W56" s="171"/>
      <c r="X56" s="165" t="s">
        <v>2540</v>
      </c>
      <c r="Y56" s="166" t="s">
        <v>2541</v>
      </c>
      <c r="Z56" s="166" t="s">
        <v>2542</v>
      </c>
    </row>
    <row r="57" spans="1:26">
      <c r="A57" s="175" t="s">
        <v>2632</v>
      </c>
      <c r="B57" s="142" t="s">
        <v>2633</v>
      </c>
      <c r="C57" s="143">
        <v>1</v>
      </c>
      <c r="D57" s="144" t="s">
        <v>2784</v>
      </c>
      <c r="E57" s="174" t="s">
        <v>2632</v>
      </c>
      <c r="F57" s="144">
        <v>10</v>
      </c>
      <c r="G57" s="121"/>
      <c r="H57" s="144">
        <f t="shared" si="1"/>
        <v>10</v>
      </c>
      <c r="I57" s="186"/>
      <c r="J57" s="171"/>
      <c r="K57" s="165" t="s">
        <v>2540</v>
      </c>
      <c r="L57" s="166" t="s">
        <v>2541</v>
      </c>
      <c r="M57" s="166" t="s">
        <v>2542</v>
      </c>
      <c r="N57" s="175" t="s">
        <v>2632</v>
      </c>
      <c r="O57" s="142" t="s">
        <v>2633</v>
      </c>
      <c r="P57" s="143">
        <v>1</v>
      </c>
      <c r="Q57" s="144" t="s">
        <v>2784</v>
      </c>
      <c r="R57" s="174" t="s">
        <v>2632</v>
      </c>
      <c r="S57" s="144">
        <v>10</v>
      </c>
      <c r="T57" s="121"/>
      <c r="U57" s="144">
        <v>10</v>
      </c>
      <c r="V57" s="186"/>
      <c r="W57" s="171"/>
      <c r="X57" s="165" t="s">
        <v>2540</v>
      </c>
      <c r="Y57" s="166" t="s">
        <v>2541</v>
      </c>
      <c r="Z57" s="166" t="s">
        <v>2542</v>
      </c>
    </row>
    <row r="58" spans="1:26">
      <c r="A58" s="175" t="s">
        <v>2635</v>
      </c>
      <c r="B58" s="142" t="s">
        <v>2636</v>
      </c>
      <c r="C58" s="143">
        <v>1</v>
      </c>
      <c r="D58" s="144" t="s">
        <v>2784</v>
      </c>
      <c r="E58" s="174" t="s">
        <v>2635</v>
      </c>
      <c r="F58" s="144">
        <v>440</v>
      </c>
      <c r="G58" s="121"/>
      <c r="H58" s="144">
        <f t="shared" si="1"/>
        <v>440</v>
      </c>
      <c r="I58" s="186"/>
      <c r="J58" s="171"/>
      <c r="K58" s="165" t="s">
        <v>2540</v>
      </c>
      <c r="L58" s="166" t="s">
        <v>2541</v>
      </c>
      <c r="M58" s="166" t="s">
        <v>2542</v>
      </c>
      <c r="N58" s="175" t="s">
        <v>2635</v>
      </c>
      <c r="O58" s="142" t="s">
        <v>2636</v>
      </c>
      <c r="P58" s="143">
        <v>1</v>
      </c>
      <c r="Q58" s="144" t="s">
        <v>2784</v>
      </c>
      <c r="R58" s="174" t="s">
        <v>2635</v>
      </c>
      <c r="S58" s="144">
        <v>440</v>
      </c>
      <c r="T58" s="121"/>
      <c r="U58" s="144">
        <v>440</v>
      </c>
      <c r="V58" s="186"/>
      <c r="W58" s="171"/>
      <c r="X58" s="165" t="s">
        <v>2540</v>
      </c>
      <c r="Y58" s="166" t="s">
        <v>2541</v>
      </c>
      <c r="Z58" s="166" t="s">
        <v>2542</v>
      </c>
    </row>
    <row r="59" spans="1:26">
      <c r="A59" s="175" t="s">
        <v>2637</v>
      </c>
      <c r="B59" s="142" t="s">
        <v>2638</v>
      </c>
      <c r="C59" s="143">
        <v>1</v>
      </c>
      <c r="D59" s="144" t="s">
        <v>2784</v>
      </c>
      <c r="E59" s="174" t="s">
        <v>2637</v>
      </c>
      <c r="F59" s="144">
        <v>600</v>
      </c>
      <c r="G59" s="121"/>
      <c r="H59" s="144">
        <f t="shared" si="1"/>
        <v>600</v>
      </c>
      <c r="I59" s="186"/>
      <c r="J59" s="171"/>
      <c r="K59" s="165" t="s">
        <v>2540</v>
      </c>
      <c r="L59" s="166" t="s">
        <v>2541</v>
      </c>
      <c r="M59" s="166" t="s">
        <v>2542</v>
      </c>
      <c r="N59" s="175" t="s">
        <v>2637</v>
      </c>
      <c r="O59" s="142" t="s">
        <v>2638</v>
      </c>
      <c r="P59" s="143">
        <v>1</v>
      </c>
      <c r="Q59" s="144" t="s">
        <v>2784</v>
      </c>
      <c r="R59" s="174" t="s">
        <v>2637</v>
      </c>
      <c r="S59" s="144">
        <v>600</v>
      </c>
      <c r="T59" s="121"/>
      <c r="U59" s="144">
        <v>600</v>
      </c>
      <c r="V59" s="186"/>
      <c r="W59" s="171"/>
      <c r="X59" s="165" t="s">
        <v>2540</v>
      </c>
      <c r="Y59" s="166" t="s">
        <v>2541</v>
      </c>
      <c r="Z59" s="166" t="s">
        <v>2542</v>
      </c>
    </row>
    <row r="60" spans="1:26">
      <c r="A60" s="175" t="s">
        <v>2639</v>
      </c>
      <c r="B60" s="142" t="s">
        <v>2640</v>
      </c>
      <c r="C60" s="143">
        <v>1</v>
      </c>
      <c r="D60" s="144" t="s">
        <v>2784</v>
      </c>
      <c r="E60" s="174" t="s">
        <v>2639</v>
      </c>
      <c r="F60" s="144">
        <v>520</v>
      </c>
      <c r="G60" s="121"/>
      <c r="H60" s="144">
        <f t="shared" si="1"/>
        <v>520</v>
      </c>
      <c r="I60" s="186"/>
      <c r="J60" s="171"/>
      <c r="K60" s="165" t="s">
        <v>2540</v>
      </c>
      <c r="L60" s="166" t="s">
        <v>2541</v>
      </c>
      <c r="M60" s="166" t="s">
        <v>2542</v>
      </c>
      <c r="N60" s="175" t="s">
        <v>2639</v>
      </c>
      <c r="O60" s="142" t="s">
        <v>2640</v>
      </c>
      <c r="P60" s="143">
        <v>1</v>
      </c>
      <c r="Q60" s="144" t="s">
        <v>2784</v>
      </c>
      <c r="R60" s="174" t="s">
        <v>2639</v>
      </c>
      <c r="S60" s="144">
        <v>520</v>
      </c>
      <c r="T60" s="121"/>
      <c r="U60" s="144">
        <v>520</v>
      </c>
      <c r="V60" s="186"/>
      <c r="W60" s="171"/>
      <c r="X60" s="165" t="s">
        <v>2540</v>
      </c>
      <c r="Y60" s="166" t="s">
        <v>2541</v>
      </c>
      <c r="Z60" s="166" t="s">
        <v>2542</v>
      </c>
    </row>
    <row r="61" spans="1:26">
      <c r="A61" s="175" t="s">
        <v>2641</v>
      </c>
      <c r="B61" s="142" t="s">
        <v>2642</v>
      </c>
      <c r="C61" s="143">
        <v>1</v>
      </c>
      <c r="D61" s="144" t="s">
        <v>2784</v>
      </c>
      <c r="E61" s="174" t="s">
        <v>2641</v>
      </c>
      <c r="F61" s="144">
        <v>1106.67</v>
      </c>
      <c r="G61" s="121"/>
      <c r="H61" s="144">
        <f t="shared" si="1"/>
        <v>1106.67</v>
      </c>
      <c r="I61" s="186"/>
      <c r="J61" s="171"/>
      <c r="K61" s="165" t="s">
        <v>2540</v>
      </c>
      <c r="L61" s="166" t="s">
        <v>2541</v>
      </c>
      <c r="M61" s="166" t="s">
        <v>2542</v>
      </c>
      <c r="N61" s="175" t="s">
        <v>2641</v>
      </c>
      <c r="O61" s="142" t="s">
        <v>2642</v>
      </c>
      <c r="P61" s="143">
        <v>1</v>
      </c>
      <c r="Q61" s="144" t="s">
        <v>2784</v>
      </c>
      <c r="R61" s="174" t="s">
        <v>2641</v>
      </c>
      <c r="S61" s="144">
        <v>1106.67</v>
      </c>
      <c r="T61" s="121"/>
      <c r="U61" s="144">
        <v>1106.67</v>
      </c>
      <c r="V61" s="186"/>
      <c r="W61" s="171"/>
      <c r="X61" s="165" t="s">
        <v>2540</v>
      </c>
      <c r="Y61" s="166" t="s">
        <v>2541</v>
      </c>
      <c r="Z61" s="166" t="s">
        <v>2542</v>
      </c>
    </row>
    <row r="62" spans="1:26">
      <c r="A62" s="199" t="s">
        <v>2643</v>
      </c>
      <c r="B62" s="195" t="s">
        <v>2859</v>
      </c>
      <c r="C62" s="143">
        <v>1</v>
      </c>
      <c r="D62" s="144" t="s">
        <v>2784</v>
      </c>
      <c r="E62" s="174" t="s">
        <v>2643</v>
      </c>
      <c r="F62" s="144"/>
      <c r="G62" s="121"/>
      <c r="H62" s="144" t="s">
        <v>2539</v>
      </c>
      <c r="I62" s="186"/>
      <c r="J62" s="171"/>
      <c r="K62" s="165" t="s">
        <v>2540</v>
      </c>
      <c r="L62" s="166" t="s">
        <v>2541</v>
      </c>
      <c r="M62" s="166" t="s">
        <v>2542</v>
      </c>
      <c r="N62" s="199" t="s">
        <v>2643</v>
      </c>
      <c r="O62" s="195" t="s">
        <v>2859</v>
      </c>
      <c r="P62" s="143">
        <v>1</v>
      </c>
      <c r="Q62" s="144" t="s">
        <v>2784</v>
      </c>
      <c r="R62" s="174" t="s">
        <v>2643</v>
      </c>
      <c r="S62" s="144"/>
      <c r="T62" s="121"/>
      <c r="U62" s="144" t="s">
        <v>2539</v>
      </c>
      <c r="V62" s="186"/>
      <c r="W62" s="171"/>
      <c r="X62" s="165" t="s">
        <v>2540</v>
      </c>
      <c r="Y62" s="166" t="s">
        <v>2541</v>
      </c>
      <c r="Z62" s="166" t="s">
        <v>2542</v>
      </c>
    </row>
    <row r="63" spans="1:26">
      <c r="A63" s="175" t="s">
        <v>2663</v>
      </c>
      <c r="B63" s="142" t="s">
        <v>2664</v>
      </c>
      <c r="C63" s="143">
        <v>1</v>
      </c>
      <c r="D63" s="144" t="s">
        <v>140</v>
      </c>
      <c r="E63" s="174" t="s">
        <v>2663</v>
      </c>
      <c r="F63" s="144">
        <v>6666.67</v>
      </c>
      <c r="G63" s="121"/>
      <c r="H63" s="144">
        <f t="shared" si="1"/>
        <v>6666.67</v>
      </c>
      <c r="I63" s="186"/>
      <c r="J63" s="171"/>
      <c r="K63" s="165" t="s">
        <v>2540</v>
      </c>
      <c r="L63" s="166" t="s">
        <v>2541</v>
      </c>
      <c r="M63" s="166" t="s">
        <v>2542</v>
      </c>
      <c r="N63" s="175" t="s">
        <v>2663</v>
      </c>
      <c r="O63" s="142" t="s">
        <v>2664</v>
      </c>
      <c r="P63" s="143">
        <v>1</v>
      </c>
      <c r="Q63" s="144" t="s">
        <v>140</v>
      </c>
      <c r="R63" s="174" t="s">
        <v>2663</v>
      </c>
      <c r="S63" s="144">
        <v>6666.67</v>
      </c>
      <c r="T63" s="121"/>
      <c r="U63" s="144">
        <v>6666.67</v>
      </c>
      <c r="V63" s="186"/>
      <c r="W63" s="171"/>
      <c r="X63" s="165" t="s">
        <v>2540</v>
      </c>
      <c r="Y63" s="166" t="s">
        <v>2541</v>
      </c>
      <c r="Z63" s="166" t="s">
        <v>2542</v>
      </c>
    </row>
    <row r="64" spans="1:26">
      <c r="A64" s="175" t="s">
        <v>2665</v>
      </c>
      <c r="B64" s="142" t="s">
        <v>2666</v>
      </c>
      <c r="C64" s="143">
        <v>1</v>
      </c>
      <c r="D64" s="144" t="s">
        <v>140</v>
      </c>
      <c r="E64" s="174" t="s">
        <v>2665</v>
      </c>
      <c r="F64" s="144">
        <v>10666.67</v>
      </c>
      <c r="G64" s="121"/>
      <c r="H64" s="144">
        <f t="shared" si="1"/>
        <v>10666.67</v>
      </c>
      <c r="I64" s="186"/>
      <c r="J64" s="171"/>
      <c r="K64" s="165" t="s">
        <v>2540</v>
      </c>
      <c r="L64" s="166" t="s">
        <v>2541</v>
      </c>
      <c r="M64" s="166" t="s">
        <v>2542</v>
      </c>
      <c r="N64" s="175" t="s">
        <v>2665</v>
      </c>
      <c r="O64" s="142" t="s">
        <v>2666</v>
      </c>
      <c r="P64" s="143">
        <v>1</v>
      </c>
      <c r="Q64" s="144" t="s">
        <v>140</v>
      </c>
      <c r="R64" s="174" t="s">
        <v>2665</v>
      </c>
      <c r="S64" s="144">
        <v>10666.67</v>
      </c>
      <c r="T64" s="121"/>
      <c r="U64" s="144">
        <v>10666.67</v>
      </c>
      <c r="V64" s="186"/>
      <c r="W64" s="171"/>
      <c r="X64" s="165" t="s">
        <v>2540</v>
      </c>
      <c r="Y64" s="166" t="s">
        <v>2541</v>
      </c>
      <c r="Z64" s="166" t="s">
        <v>2542</v>
      </c>
    </row>
    <row r="65" spans="1:26">
      <c r="A65" s="175" t="s">
        <v>2667</v>
      </c>
      <c r="B65" s="142" t="s">
        <v>2668</v>
      </c>
      <c r="C65" s="143">
        <v>1</v>
      </c>
      <c r="D65" s="144" t="s">
        <v>140</v>
      </c>
      <c r="E65" s="174" t="s">
        <v>2667</v>
      </c>
      <c r="F65" s="144">
        <v>16000</v>
      </c>
      <c r="G65" s="121"/>
      <c r="H65" s="144">
        <f t="shared" si="1"/>
        <v>16000</v>
      </c>
      <c r="I65" s="186"/>
      <c r="J65" s="171"/>
      <c r="K65" s="165" t="s">
        <v>2540</v>
      </c>
      <c r="L65" s="166" t="s">
        <v>2541</v>
      </c>
      <c r="M65" s="166" t="s">
        <v>2542</v>
      </c>
      <c r="N65" s="175" t="s">
        <v>2667</v>
      </c>
      <c r="O65" s="142" t="s">
        <v>2668</v>
      </c>
      <c r="P65" s="143">
        <v>1</v>
      </c>
      <c r="Q65" s="144" t="s">
        <v>140</v>
      </c>
      <c r="R65" s="174" t="s">
        <v>2667</v>
      </c>
      <c r="S65" s="144">
        <v>16000</v>
      </c>
      <c r="T65" s="121"/>
      <c r="U65" s="144">
        <v>16000</v>
      </c>
      <c r="V65" s="186"/>
      <c r="W65" s="171"/>
      <c r="X65" s="165" t="s">
        <v>2540</v>
      </c>
      <c r="Y65" s="166" t="s">
        <v>2541</v>
      </c>
      <c r="Z65" s="166" t="s">
        <v>2542</v>
      </c>
    </row>
    <row r="66" spans="1:26">
      <c r="A66" s="175" t="s">
        <v>2669</v>
      </c>
      <c r="B66" s="142" t="s">
        <v>2670</v>
      </c>
      <c r="C66" s="143">
        <v>1</v>
      </c>
      <c r="D66" s="144" t="s">
        <v>140</v>
      </c>
      <c r="E66" s="174" t="s">
        <v>2669</v>
      </c>
      <c r="F66" s="144">
        <v>20000</v>
      </c>
      <c r="G66" s="121"/>
      <c r="H66" s="144">
        <f t="shared" si="1"/>
        <v>20000</v>
      </c>
      <c r="I66" s="186"/>
      <c r="J66" s="171"/>
      <c r="K66" s="165" t="s">
        <v>2540</v>
      </c>
      <c r="L66" s="166" t="s">
        <v>2541</v>
      </c>
      <c r="M66" s="166" t="s">
        <v>2542</v>
      </c>
      <c r="N66" s="175" t="s">
        <v>2669</v>
      </c>
      <c r="O66" s="142" t="s">
        <v>2670</v>
      </c>
      <c r="P66" s="143">
        <v>1</v>
      </c>
      <c r="Q66" s="144" t="s">
        <v>140</v>
      </c>
      <c r="R66" s="174" t="s">
        <v>2669</v>
      </c>
      <c r="S66" s="144">
        <v>20000</v>
      </c>
      <c r="T66" s="121"/>
      <c r="U66" s="144">
        <v>20000</v>
      </c>
      <c r="V66" s="186"/>
      <c r="W66" s="171"/>
      <c r="X66" s="165" t="s">
        <v>2540</v>
      </c>
      <c r="Y66" s="166" t="s">
        <v>2541</v>
      </c>
      <c r="Z66" s="166" t="s">
        <v>2542</v>
      </c>
    </row>
    <row r="67" spans="1:26">
      <c r="A67" s="175" t="s">
        <v>2671</v>
      </c>
      <c r="B67" s="142" t="s">
        <v>2672</v>
      </c>
      <c r="C67" s="143">
        <v>1</v>
      </c>
      <c r="D67" s="144" t="s">
        <v>140</v>
      </c>
      <c r="E67" s="174" t="s">
        <v>2671</v>
      </c>
      <c r="F67" s="144">
        <v>26666.67</v>
      </c>
      <c r="G67" s="121"/>
      <c r="H67" s="144">
        <f t="shared" si="1"/>
        <v>26666.67</v>
      </c>
      <c r="I67" s="186"/>
      <c r="J67" s="171"/>
      <c r="K67" s="165" t="s">
        <v>2540</v>
      </c>
      <c r="L67" s="166" t="s">
        <v>2541</v>
      </c>
      <c r="M67" s="166" t="s">
        <v>2542</v>
      </c>
      <c r="N67" s="175" t="s">
        <v>2671</v>
      </c>
      <c r="O67" s="142" t="s">
        <v>2672</v>
      </c>
      <c r="P67" s="143">
        <v>1</v>
      </c>
      <c r="Q67" s="144" t="s">
        <v>140</v>
      </c>
      <c r="R67" s="174" t="s">
        <v>2671</v>
      </c>
      <c r="S67" s="144">
        <v>26666.67</v>
      </c>
      <c r="T67" s="121"/>
      <c r="U67" s="144">
        <v>26666.67</v>
      </c>
      <c r="V67" s="186"/>
      <c r="W67" s="171"/>
      <c r="X67" s="165" t="s">
        <v>2540</v>
      </c>
      <c r="Y67" s="166" t="s">
        <v>2541</v>
      </c>
      <c r="Z67" s="166" t="s">
        <v>2542</v>
      </c>
    </row>
    <row r="68" spans="1:26">
      <c r="A68" s="175" t="s">
        <v>2673</v>
      </c>
      <c r="B68" s="142" t="s">
        <v>2674</v>
      </c>
      <c r="C68" s="143">
        <v>1</v>
      </c>
      <c r="D68" s="144" t="s">
        <v>140</v>
      </c>
      <c r="E68" s="174" t="s">
        <v>2673</v>
      </c>
      <c r="F68" s="144">
        <v>1600</v>
      </c>
      <c r="G68" s="121"/>
      <c r="H68" s="144">
        <f t="shared" si="1"/>
        <v>1600</v>
      </c>
      <c r="I68" s="186"/>
      <c r="J68" s="171"/>
      <c r="K68" s="165" t="s">
        <v>2540</v>
      </c>
      <c r="L68" s="166" t="s">
        <v>2541</v>
      </c>
      <c r="M68" s="166" t="s">
        <v>2542</v>
      </c>
      <c r="N68" s="175" t="s">
        <v>2673</v>
      </c>
      <c r="O68" s="142" t="s">
        <v>2674</v>
      </c>
      <c r="P68" s="143">
        <v>1</v>
      </c>
      <c r="Q68" s="144" t="s">
        <v>140</v>
      </c>
      <c r="R68" s="174" t="s">
        <v>2673</v>
      </c>
      <c r="S68" s="144">
        <v>1600</v>
      </c>
      <c r="T68" s="121"/>
      <c r="U68" s="144">
        <v>1600</v>
      </c>
      <c r="V68" s="186"/>
      <c r="W68" s="171"/>
      <c r="X68" s="165" t="s">
        <v>2540</v>
      </c>
      <c r="Y68" s="166" t="s">
        <v>2541</v>
      </c>
      <c r="Z68" s="166" t="s">
        <v>2542</v>
      </c>
    </row>
    <row r="69" spans="1:26">
      <c r="A69" s="175" t="s">
        <v>2675</v>
      </c>
      <c r="B69" s="142" t="s">
        <v>2676</v>
      </c>
      <c r="C69" s="143">
        <v>1</v>
      </c>
      <c r="D69" s="144" t="s">
        <v>140</v>
      </c>
      <c r="E69" s="174" t="s">
        <v>2675</v>
      </c>
      <c r="F69" s="144">
        <v>3866.67</v>
      </c>
      <c r="G69" s="121"/>
      <c r="H69" s="144">
        <f t="shared" si="1"/>
        <v>3866.67</v>
      </c>
      <c r="I69" s="186"/>
      <c r="J69" s="171"/>
      <c r="K69" s="165" t="s">
        <v>2540</v>
      </c>
      <c r="L69" s="166" t="s">
        <v>2541</v>
      </c>
      <c r="M69" s="166" t="s">
        <v>2542</v>
      </c>
      <c r="N69" s="175" t="s">
        <v>2675</v>
      </c>
      <c r="O69" s="142" t="s">
        <v>2676</v>
      </c>
      <c r="P69" s="143">
        <v>1</v>
      </c>
      <c r="Q69" s="144" t="s">
        <v>140</v>
      </c>
      <c r="R69" s="174" t="s">
        <v>2675</v>
      </c>
      <c r="S69" s="144">
        <v>3866.67</v>
      </c>
      <c r="T69" s="121"/>
      <c r="U69" s="144">
        <v>3866.67</v>
      </c>
      <c r="V69" s="186"/>
      <c r="W69" s="171"/>
      <c r="X69" s="165" t="s">
        <v>2540</v>
      </c>
      <c r="Y69" s="166" t="s">
        <v>2541</v>
      </c>
      <c r="Z69" s="166" t="s">
        <v>2542</v>
      </c>
    </row>
    <row r="70" spans="1:26">
      <c r="A70" s="187" t="s">
        <v>2677</v>
      </c>
      <c r="B70" s="117"/>
      <c r="C70" s="143"/>
      <c r="D70" s="144"/>
      <c r="E70" s="120"/>
      <c r="F70" s="120"/>
      <c r="G70" s="121"/>
      <c r="H70" s="120"/>
      <c r="I70" s="186"/>
      <c r="J70" s="171"/>
      <c r="K70" s="119"/>
      <c r="L70" s="166"/>
      <c r="M70" s="220"/>
      <c r="N70" s="187" t="s">
        <v>2677</v>
      </c>
      <c r="O70" s="117"/>
      <c r="P70" s="143"/>
      <c r="Q70" s="144"/>
      <c r="R70" s="120"/>
      <c r="S70" s="120"/>
      <c r="T70" s="121"/>
      <c r="U70" s="120"/>
      <c r="V70" s="186"/>
      <c r="W70" s="171"/>
      <c r="X70" s="119"/>
      <c r="Y70" s="166"/>
      <c r="Z70" s="220"/>
    </row>
    <row r="71" spans="1:26">
      <c r="A71" s="175" t="s">
        <v>2678</v>
      </c>
      <c r="B71" s="142" t="s">
        <v>2679</v>
      </c>
      <c r="C71" s="143">
        <v>1</v>
      </c>
      <c r="D71" s="144" t="s">
        <v>118</v>
      </c>
      <c r="E71" s="174" t="s">
        <v>2678</v>
      </c>
      <c r="F71" s="146">
        <v>17665.830000000002</v>
      </c>
      <c r="G71" s="147" cm="1">
        <f t="array" ref="G71">rv_30</f>
        <v>0.3</v>
      </c>
      <c r="H71" s="146">
        <f t="shared" ref="H71:H82" si="2">F71-(F71*G71)</f>
        <v>12366.081000000002</v>
      </c>
      <c r="I71" s="186"/>
      <c r="J71" s="118">
        <v>0</v>
      </c>
      <c r="K71" s="165" t="s">
        <v>2680</v>
      </c>
      <c r="L71" s="166" t="s">
        <v>2541</v>
      </c>
      <c r="M71" s="166" t="s">
        <v>2542</v>
      </c>
      <c r="N71" s="175" t="s">
        <v>2678</v>
      </c>
      <c r="O71" s="142" t="s">
        <v>2679</v>
      </c>
      <c r="P71" s="143">
        <v>1</v>
      </c>
      <c r="Q71" s="144" t="s">
        <v>118</v>
      </c>
      <c r="R71" s="174" t="s">
        <v>2678</v>
      </c>
      <c r="S71" s="146">
        <v>17665.830000000002</v>
      </c>
      <c r="T71" s="147">
        <v>0.3</v>
      </c>
      <c r="U71" s="146">
        <v>12366.081000000002</v>
      </c>
      <c r="V71" s="186"/>
      <c r="W71" s="118">
        <v>0</v>
      </c>
      <c r="X71" s="165" t="s">
        <v>2680</v>
      </c>
      <c r="Y71" s="166" t="s">
        <v>2541</v>
      </c>
      <c r="Z71" s="166" t="s">
        <v>2542</v>
      </c>
    </row>
    <row r="72" spans="1:26">
      <c r="A72" s="175" t="s">
        <v>2681</v>
      </c>
      <c r="B72" s="142" t="s">
        <v>2682</v>
      </c>
      <c r="C72" s="143">
        <v>1</v>
      </c>
      <c r="D72" s="144" t="s">
        <v>118</v>
      </c>
      <c r="E72" s="174" t="s">
        <v>2681</v>
      </c>
      <c r="F72" s="146">
        <v>35331.67</v>
      </c>
      <c r="G72" s="147" cm="1">
        <f t="array" ref="G72">rv_30</f>
        <v>0.3</v>
      </c>
      <c r="H72" s="146">
        <f t="shared" si="2"/>
        <v>24732.169000000002</v>
      </c>
      <c r="I72" s="186"/>
      <c r="J72" s="118">
        <v>0</v>
      </c>
      <c r="K72" s="165" t="s">
        <v>1099</v>
      </c>
      <c r="L72" s="166" t="s">
        <v>2541</v>
      </c>
      <c r="M72" s="166" t="s">
        <v>2542</v>
      </c>
      <c r="N72" s="175" t="s">
        <v>2681</v>
      </c>
      <c r="O72" s="142" t="s">
        <v>2682</v>
      </c>
      <c r="P72" s="143">
        <v>1</v>
      </c>
      <c r="Q72" s="144" t="s">
        <v>118</v>
      </c>
      <c r="R72" s="174" t="s">
        <v>2681</v>
      </c>
      <c r="S72" s="146">
        <v>35331.67</v>
      </c>
      <c r="T72" s="147">
        <v>0.3</v>
      </c>
      <c r="U72" s="146">
        <v>24732.169000000002</v>
      </c>
      <c r="V72" s="186"/>
      <c r="W72" s="118">
        <v>0</v>
      </c>
      <c r="X72" s="165" t="s">
        <v>1099</v>
      </c>
      <c r="Y72" s="166" t="s">
        <v>2541</v>
      </c>
      <c r="Z72" s="166" t="s">
        <v>2542</v>
      </c>
    </row>
    <row r="73" spans="1:26">
      <c r="A73" s="175" t="s">
        <v>2683</v>
      </c>
      <c r="B73" s="142" t="s">
        <v>2684</v>
      </c>
      <c r="C73" s="143">
        <v>1</v>
      </c>
      <c r="D73" s="144" t="s">
        <v>118</v>
      </c>
      <c r="E73" s="174" t="s">
        <v>2683</v>
      </c>
      <c r="F73" s="146">
        <v>52997.5</v>
      </c>
      <c r="G73" s="147" cm="1">
        <f t="array" ref="G73">rv_30</f>
        <v>0.3</v>
      </c>
      <c r="H73" s="146">
        <f t="shared" si="2"/>
        <v>37098.25</v>
      </c>
      <c r="I73" s="186"/>
      <c r="J73" s="118">
        <v>0</v>
      </c>
      <c r="K73" s="165" t="s">
        <v>1099</v>
      </c>
      <c r="L73" s="166" t="s">
        <v>2541</v>
      </c>
      <c r="M73" s="166" t="s">
        <v>2542</v>
      </c>
      <c r="N73" s="175" t="s">
        <v>2683</v>
      </c>
      <c r="O73" s="142" t="s">
        <v>2684</v>
      </c>
      <c r="P73" s="143">
        <v>1</v>
      </c>
      <c r="Q73" s="144" t="s">
        <v>118</v>
      </c>
      <c r="R73" s="174" t="s">
        <v>2683</v>
      </c>
      <c r="S73" s="146">
        <v>52997.5</v>
      </c>
      <c r="T73" s="147">
        <v>0.3</v>
      </c>
      <c r="U73" s="146">
        <v>37098.25</v>
      </c>
      <c r="V73" s="186"/>
      <c r="W73" s="118">
        <v>0</v>
      </c>
      <c r="X73" s="165" t="s">
        <v>1099</v>
      </c>
      <c r="Y73" s="166" t="s">
        <v>2541</v>
      </c>
      <c r="Z73" s="166" t="s">
        <v>2542</v>
      </c>
    </row>
    <row r="74" spans="1:26">
      <c r="A74" s="175" t="s">
        <v>2685</v>
      </c>
      <c r="B74" s="142" t="s">
        <v>2686</v>
      </c>
      <c r="C74" s="143">
        <v>1</v>
      </c>
      <c r="D74" s="144" t="s">
        <v>118</v>
      </c>
      <c r="E74" s="174" t="s">
        <v>2685</v>
      </c>
      <c r="F74" s="146">
        <v>5332.5</v>
      </c>
      <c r="G74" s="147" cm="1">
        <f t="array" ref="G74">rv_30</f>
        <v>0.3</v>
      </c>
      <c r="H74" s="146">
        <f t="shared" si="2"/>
        <v>3732.75</v>
      </c>
      <c r="I74" s="186"/>
      <c r="J74" s="118">
        <v>0</v>
      </c>
      <c r="K74" s="165" t="s">
        <v>1099</v>
      </c>
      <c r="L74" s="166" t="s">
        <v>2541</v>
      </c>
      <c r="M74" s="166" t="s">
        <v>2542</v>
      </c>
      <c r="N74" s="175" t="s">
        <v>2685</v>
      </c>
      <c r="O74" s="142" t="s">
        <v>2686</v>
      </c>
      <c r="P74" s="143">
        <v>1</v>
      </c>
      <c r="Q74" s="144" t="s">
        <v>118</v>
      </c>
      <c r="R74" s="174" t="s">
        <v>2685</v>
      </c>
      <c r="S74" s="146">
        <v>5332.5</v>
      </c>
      <c r="T74" s="147">
        <v>0.3</v>
      </c>
      <c r="U74" s="146">
        <v>3732.75</v>
      </c>
      <c r="V74" s="186"/>
      <c r="W74" s="118">
        <v>0</v>
      </c>
      <c r="X74" s="165" t="s">
        <v>1099</v>
      </c>
      <c r="Y74" s="166" t="s">
        <v>2541</v>
      </c>
      <c r="Z74" s="166" t="s">
        <v>2542</v>
      </c>
    </row>
    <row r="75" spans="1:26">
      <c r="A75" s="175" t="s">
        <v>2687</v>
      </c>
      <c r="B75" s="142" t="s">
        <v>2688</v>
      </c>
      <c r="C75" s="143">
        <v>1</v>
      </c>
      <c r="D75" s="144" t="s">
        <v>118</v>
      </c>
      <c r="E75" s="174" t="s">
        <v>2687</v>
      </c>
      <c r="F75" s="146">
        <v>10665</v>
      </c>
      <c r="G75" s="147" cm="1">
        <f t="array" ref="G75">rv_30</f>
        <v>0.3</v>
      </c>
      <c r="H75" s="146">
        <f t="shared" si="2"/>
        <v>7465.5</v>
      </c>
      <c r="I75" s="186"/>
      <c r="J75" s="118">
        <v>0</v>
      </c>
      <c r="K75" s="165" t="s">
        <v>1099</v>
      </c>
      <c r="L75" s="166" t="s">
        <v>2541</v>
      </c>
      <c r="M75" s="166" t="s">
        <v>2542</v>
      </c>
      <c r="N75" s="175" t="s">
        <v>2687</v>
      </c>
      <c r="O75" s="142" t="s">
        <v>2688</v>
      </c>
      <c r="P75" s="143">
        <v>1</v>
      </c>
      <c r="Q75" s="144" t="s">
        <v>118</v>
      </c>
      <c r="R75" s="174" t="s">
        <v>2687</v>
      </c>
      <c r="S75" s="146">
        <v>10665</v>
      </c>
      <c r="T75" s="147">
        <v>0.3</v>
      </c>
      <c r="U75" s="146">
        <v>7465.5</v>
      </c>
      <c r="V75" s="186"/>
      <c r="W75" s="118">
        <v>0</v>
      </c>
      <c r="X75" s="165" t="s">
        <v>1099</v>
      </c>
      <c r="Y75" s="166" t="s">
        <v>2541</v>
      </c>
      <c r="Z75" s="166" t="s">
        <v>2542</v>
      </c>
    </row>
    <row r="76" spans="1:26">
      <c r="A76" s="175" t="s">
        <v>2689</v>
      </c>
      <c r="B76" s="142" t="s">
        <v>2690</v>
      </c>
      <c r="C76" s="143">
        <v>1</v>
      </c>
      <c r="D76" s="144" t="s">
        <v>118</v>
      </c>
      <c r="E76" s="174" t="s">
        <v>2689</v>
      </c>
      <c r="F76" s="146">
        <v>15997.5</v>
      </c>
      <c r="G76" s="147" cm="1">
        <f t="array" ref="G76">rv_30</f>
        <v>0.3</v>
      </c>
      <c r="H76" s="146">
        <f t="shared" si="2"/>
        <v>11198.25</v>
      </c>
      <c r="I76" s="186"/>
      <c r="J76" s="118">
        <v>0</v>
      </c>
      <c r="K76" s="165" t="s">
        <v>1099</v>
      </c>
      <c r="L76" s="166" t="s">
        <v>2541</v>
      </c>
      <c r="M76" s="166" t="s">
        <v>2542</v>
      </c>
      <c r="N76" s="175" t="s">
        <v>2689</v>
      </c>
      <c r="O76" s="142" t="s">
        <v>2690</v>
      </c>
      <c r="P76" s="143">
        <v>1</v>
      </c>
      <c r="Q76" s="144" t="s">
        <v>118</v>
      </c>
      <c r="R76" s="174" t="s">
        <v>2689</v>
      </c>
      <c r="S76" s="146">
        <v>15997.5</v>
      </c>
      <c r="T76" s="147">
        <v>0.3</v>
      </c>
      <c r="U76" s="146">
        <v>11198.25</v>
      </c>
      <c r="V76" s="186"/>
      <c r="W76" s="118">
        <v>0</v>
      </c>
      <c r="X76" s="165" t="s">
        <v>1099</v>
      </c>
      <c r="Y76" s="166" t="s">
        <v>2541</v>
      </c>
      <c r="Z76" s="166" t="s">
        <v>2542</v>
      </c>
    </row>
    <row r="77" spans="1:26">
      <c r="A77" s="175" t="s">
        <v>2691</v>
      </c>
      <c r="B77" s="142" t="s">
        <v>2692</v>
      </c>
      <c r="C77" s="143">
        <v>1</v>
      </c>
      <c r="D77" s="144" t="s">
        <v>118</v>
      </c>
      <c r="E77" s="174" t="s">
        <v>2691</v>
      </c>
      <c r="F77" s="146">
        <v>44165.83</v>
      </c>
      <c r="G77" s="147" cm="1">
        <f t="array" ref="G77">rv_30</f>
        <v>0.3</v>
      </c>
      <c r="H77" s="146">
        <f t="shared" si="2"/>
        <v>30916.081000000002</v>
      </c>
      <c r="I77" s="186"/>
      <c r="J77" s="118">
        <v>0</v>
      </c>
      <c r="K77" s="165" t="s">
        <v>1099</v>
      </c>
      <c r="L77" s="166" t="s">
        <v>2541</v>
      </c>
      <c r="M77" s="166" t="s">
        <v>2542</v>
      </c>
      <c r="N77" s="175" t="s">
        <v>2691</v>
      </c>
      <c r="O77" s="142" t="s">
        <v>2692</v>
      </c>
      <c r="P77" s="143">
        <v>1</v>
      </c>
      <c r="Q77" s="144" t="s">
        <v>118</v>
      </c>
      <c r="R77" s="174" t="s">
        <v>2691</v>
      </c>
      <c r="S77" s="146">
        <v>44165.83</v>
      </c>
      <c r="T77" s="147">
        <v>0.3</v>
      </c>
      <c r="U77" s="146">
        <v>30916.081000000002</v>
      </c>
      <c r="V77" s="186"/>
      <c r="W77" s="118">
        <v>0</v>
      </c>
      <c r="X77" s="165" t="s">
        <v>1099</v>
      </c>
      <c r="Y77" s="166" t="s">
        <v>2541</v>
      </c>
      <c r="Z77" s="166" t="s">
        <v>2542</v>
      </c>
    </row>
    <row r="78" spans="1:26">
      <c r="A78" s="175" t="s">
        <v>2693</v>
      </c>
      <c r="B78" s="142" t="s">
        <v>2694</v>
      </c>
      <c r="C78" s="143">
        <v>1</v>
      </c>
      <c r="D78" s="144" t="s">
        <v>118</v>
      </c>
      <c r="E78" s="174" t="s">
        <v>2693</v>
      </c>
      <c r="F78" s="146">
        <v>88331.67</v>
      </c>
      <c r="G78" s="147" cm="1">
        <f t="array" ref="G78">rv_30</f>
        <v>0.3</v>
      </c>
      <c r="H78" s="146">
        <f t="shared" si="2"/>
        <v>61832.168999999994</v>
      </c>
      <c r="I78" s="186"/>
      <c r="J78" s="118">
        <v>0</v>
      </c>
      <c r="K78" s="165" t="s">
        <v>1099</v>
      </c>
      <c r="L78" s="166" t="s">
        <v>2541</v>
      </c>
      <c r="M78" s="166" t="s">
        <v>2542</v>
      </c>
      <c r="N78" s="175" t="s">
        <v>2693</v>
      </c>
      <c r="O78" s="142" t="s">
        <v>2694</v>
      </c>
      <c r="P78" s="143">
        <v>1</v>
      </c>
      <c r="Q78" s="144" t="s">
        <v>118</v>
      </c>
      <c r="R78" s="174" t="s">
        <v>2693</v>
      </c>
      <c r="S78" s="146">
        <v>88331.67</v>
      </c>
      <c r="T78" s="147">
        <v>0.3</v>
      </c>
      <c r="U78" s="146">
        <v>61832.168999999994</v>
      </c>
      <c r="V78" s="186"/>
      <c r="W78" s="118">
        <v>0</v>
      </c>
      <c r="X78" s="165" t="s">
        <v>1099</v>
      </c>
      <c r="Y78" s="166" t="s">
        <v>2541</v>
      </c>
      <c r="Z78" s="166" t="s">
        <v>2542</v>
      </c>
    </row>
    <row r="79" spans="1:26">
      <c r="A79" s="175" t="s">
        <v>2695</v>
      </c>
      <c r="B79" s="142" t="s">
        <v>2696</v>
      </c>
      <c r="C79" s="143">
        <v>1</v>
      </c>
      <c r="D79" s="144" t="s">
        <v>118</v>
      </c>
      <c r="E79" s="174" t="s">
        <v>2695</v>
      </c>
      <c r="F79" s="146">
        <v>132497.5</v>
      </c>
      <c r="G79" s="147" cm="1">
        <f t="array" ref="G79">rv_30</f>
        <v>0.3</v>
      </c>
      <c r="H79" s="146">
        <f t="shared" si="2"/>
        <v>92748.25</v>
      </c>
      <c r="I79" s="186"/>
      <c r="J79" s="118">
        <v>0</v>
      </c>
      <c r="K79" s="165" t="s">
        <v>1099</v>
      </c>
      <c r="L79" s="166" t="s">
        <v>2541</v>
      </c>
      <c r="M79" s="166" t="s">
        <v>2542</v>
      </c>
      <c r="N79" s="175" t="s">
        <v>2695</v>
      </c>
      <c r="O79" s="142" t="s">
        <v>2696</v>
      </c>
      <c r="P79" s="143">
        <v>1</v>
      </c>
      <c r="Q79" s="144" t="s">
        <v>118</v>
      </c>
      <c r="R79" s="174" t="s">
        <v>2695</v>
      </c>
      <c r="S79" s="146">
        <v>132497.5</v>
      </c>
      <c r="T79" s="147">
        <v>0.3</v>
      </c>
      <c r="U79" s="146">
        <v>92748.25</v>
      </c>
      <c r="V79" s="186"/>
      <c r="W79" s="118">
        <v>0</v>
      </c>
      <c r="X79" s="165" t="s">
        <v>1099</v>
      </c>
      <c r="Y79" s="166" t="s">
        <v>2541</v>
      </c>
      <c r="Z79" s="166" t="s">
        <v>2542</v>
      </c>
    </row>
    <row r="80" spans="1:26">
      <c r="A80" s="175" t="s">
        <v>2697</v>
      </c>
      <c r="B80" s="142" t="s">
        <v>2698</v>
      </c>
      <c r="C80" s="143">
        <v>1</v>
      </c>
      <c r="D80" s="144" t="s">
        <v>118</v>
      </c>
      <c r="E80" s="174" t="s">
        <v>2697</v>
      </c>
      <c r="F80" s="146">
        <v>440.83</v>
      </c>
      <c r="G80" s="147" cm="1">
        <f t="array" ref="G80">rv_30</f>
        <v>0.3</v>
      </c>
      <c r="H80" s="146">
        <f t="shared" si="2"/>
        <v>308.58100000000002</v>
      </c>
      <c r="I80" s="186"/>
      <c r="J80" s="118">
        <v>0</v>
      </c>
      <c r="K80" s="165" t="s">
        <v>1099</v>
      </c>
      <c r="L80" s="166" t="s">
        <v>2541</v>
      </c>
      <c r="M80" s="166" t="s">
        <v>2542</v>
      </c>
      <c r="N80" s="175" t="s">
        <v>2697</v>
      </c>
      <c r="O80" s="142" t="s">
        <v>2698</v>
      </c>
      <c r="P80" s="143">
        <v>1</v>
      </c>
      <c r="Q80" s="144" t="s">
        <v>118</v>
      </c>
      <c r="R80" s="174" t="s">
        <v>2697</v>
      </c>
      <c r="S80" s="146">
        <v>440.83</v>
      </c>
      <c r="T80" s="147">
        <v>0.3</v>
      </c>
      <c r="U80" s="146">
        <v>308.58100000000002</v>
      </c>
      <c r="V80" s="186"/>
      <c r="W80" s="118">
        <v>0</v>
      </c>
      <c r="X80" s="165" t="s">
        <v>1099</v>
      </c>
      <c r="Y80" s="166" t="s">
        <v>2541</v>
      </c>
      <c r="Z80" s="166" t="s">
        <v>2542</v>
      </c>
    </row>
    <row r="81" spans="1:26">
      <c r="A81" s="175" t="s">
        <v>2699</v>
      </c>
      <c r="B81" s="142" t="s">
        <v>2700</v>
      </c>
      <c r="C81" s="143">
        <v>1</v>
      </c>
      <c r="D81" s="144" t="s">
        <v>118</v>
      </c>
      <c r="E81" s="174" t="s">
        <v>2699</v>
      </c>
      <c r="F81" s="146">
        <v>881.67</v>
      </c>
      <c r="G81" s="147" cm="1">
        <f t="array" ref="G81">rv_30</f>
        <v>0.3</v>
      </c>
      <c r="H81" s="146">
        <f t="shared" si="2"/>
        <v>617.16899999999998</v>
      </c>
      <c r="I81" s="186"/>
      <c r="J81" s="118">
        <v>0</v>
      </c>
      <c r="K81" s="165" t="s">
        <v>1099</v>
      </c>
      <c r="L81" s="166" t="s">
        <v>2541</v>
      </c>
      <c r="M81" s="166" t="s">
        <v>2542</v>
      </c>
      <c r="N81" s="175" t="s">
        <v>2699</v>
      </c>
      <c r="O81" s="142" t="s">
        <v>2700</v>
      </c>
      <c r="P81" s="143">
        <v>1</v>
      </c>
      <c r="Q81" s="144" t="s">
        <v>118</v>
      </c>
      <c r="R81" s="174" t="s">
        <v>2699</v>
      </c>
      <c r="S81" s="146">
        <v>881.67</v>
      </c>
      <c r="T81" s="147">
        <v>0.3</v>
      </c>
      <c r="U81" s="146">
        <v>617.16899999999998</v>
      </c>
      <c r="V81" s="186"/>
      <c r="W81" s="118">
        <v>0</v>
      </c>
      <c r="X81" s="165" t="s">
        <v>1099</v>
      </c>
      <c r="Y81" s="166" t="s">
        <v>2541</v>
      </c>
      <c r="Z81" s="166" t="s">
        <v>2542</v>
      </c>
    </row>
    <row r="82" spans="1:26">
      <c r="A82" s="175" t="s">
        <v>2701</v>
      </c>
      <c r="B82" s="142" t="s">
        <v>2702</v>
      </c>
      <c r="C82" s="143">
        <v>1</v>
      </c>
      <c r="D82" s="144" t="s">
        <v>118</v>
      </c>
      <c r="E82" s="174" t="s">
        <v>2701</v>
      </c>
      <c r="F82" s="146">
        <v>1322.5</v>
      </c>
      <c r="G82" s="147" cm="1">
        <f t="array" ref="G82">rv_30</f>
        <v>0.3</v>
      </c>
      <c r="H82" s="146">
        <f t="shared" si="2"/>
        <v>925.75</v>
      </c>
      <c r="I82" s="186"/>
      <c r="J82" s="118">
        <v>0</v>
      </c>
      <c r="K82" s="165" t="s">
        <v>1099</v>
      </c>
      <c r="L82" s="166" t="s">
        <v>2541</v>
      </c>
      <c r="M82" s="166" t="s">
        <v>2542</v>
      </c>
      <c r="N82" s="175" t="s">
        <v>2701</v>
      </c>
      <c r="O82" s="142" t="s">
        <v>2702</v>
      </c>
      <c r="P82" s="143">
        <v>1</v>
      </c>
      <c r="Q82" s="144" t="s">
        <v>118</v>
      </c>
      <c r="R82" s="174" t="s">
        <v>2701</v>
      </c>
      <c r="S82" s="146">
        <v>1322.5</v>
      </c>
      <c r="T82" s="147">
        <v>0.3</v>
      </c>
      <c r="U82" s="146">
        <v>925.75</v>
      </c>
      <c r="V82" s="186"/>
      <c r="W82" s="118">
        <v>0</v>
      </c>
      <c r="X82" s="165" t="s">
        <v>1099</v>
      </c>
      <c r="Y82" s="166" t="s">
        <v>2541</v>
      </c>
      <c r="Z82" s="166" t="s">
        <v>2542</v>
      </c>
    </row>
  </sheetData>
  <mergeCells count="6">
    <mergeCell ref="Y3:Y4"/>
    <mergeCell ref="Z3:Z4"/>
    <mergeCell ref="L3:L4"/>
    <mergeCell ref="M3:M4"/>
    <mergeCell ref="A3:J3"/>
    <mergeCell ref="N3:W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81"/>
  <sheetViews>
    <sheetView showRuler="0" zoomScaleNormal="100" zoomScalePageLayoutView="115" workbookViewId="0">
      <selection activeCell="A2" sqref="A2"/>
    </sheetView>
  </sheetViews>
  <sheetFormatPr baseColWidth="10" defaultColWidth="10.7109375" defaultRowHeight="12.75"/>
  <cols>
    <col min="1" max="1" width="51.85546875" style="1" bestFit="1" customWidth="1"/>
    <col min="2" max="2" width="50" style="1" bestFit="1" customWidth="1"/>
    <col min="3" max="3" width="54.5703125" style="1" customWidth="1"/>
    <col min="4" max="4" width="51.85546875" style="1" bestFit="1" customWidth="1"/>
    <col min="5" max="6" width="35" style="1" customWidth="1"/>
    <col min="7" max="16384" width="10.7109375" style="1"/>
  </cols>
  <sheetData>
    <row r="2" spans="1:6" ht="31.5">
      <c r="A2" s="16" t="s">
        <v>2860</v>
      </c>
      <c r="B2" s="2"/>
      <c r="C2" s="2"/>
      <c r="D2" s="2"/>
    </row>
    <row r="3" spans="1:6" ht="8.1" customHeight="1">
      <c r="A3" s="15"/>
    </row>
    <row r="4" spans="1:6" ht="28.5">
      <c r="A4" s="17" t="s">
        <v>2861</v>
      </c>
      <c r="B4" s="9"/>
      <c r="C4" s="9"/>
      <c r="D4" s="9"/>
      <c r="E4" s="18"/>
      <c r="F4" s="18"/>
    </row>
    <row r="5" spans="1:6" ht="20.100000000000001" customHeight="1">
      <c r="A5" s="7"/>
      <c r="B5" s="39" t="s">
        <v>2862</v>
      </c>
      <c r="C5" s="39" t="s">
        <v>2863</v>
      </c>
      <c r="D5" s="213" t="s">
        <v>2864</v>
      </c>
    </row>
    <row r="6" spans="1:6" ht="18.95" customHeight="1">
      <c r="A6" s="8"/>
      <c r="B6" s="29">
        <v>0.17599999999999999</v>
      </c>
      <c r="C6" s="29">
        <v>0.17599999999999999</v>
      </c>
      <c r="D6" s="29">
        <v>0.17599999999999999</v>
      </c>
    </row>
    <row r="7" spans="1:6" ht="18" customHeight="1">
      <c r="A7" s="4"/>
    </row>
    <row r="8" spans="1:6" ht="20.100000000000001" customHeight="1">
      <c r="A8" s="7"/>
      <c r="B8" s="39" t="s">
        <v>2865</v>
      </c>
      <c r="C8" s="39" t="s">
        <v>2866</v>
      </c>
    </row>
    <row r="9" spans="1:6" ht="18.75">
      <c r="A9" s="8"/>
      <c r="B9" s="29">
        <v>0.17599999999999999</v>
      </c>
      <c r="C9" s="29">
        <v>0.17599999999999999</v>
      </c>
    </row>
    <row r="10" spans="1:6" ht="18" customHeight="1">
      <c r="A10" s="4"/>
      <c r="B10" s="4"/>
      <c r="C10" s="4"/>
    </row>
    <row r="11" spans="1:6" ht="20.100000000000001" customHeight="1">
      <c r="A11" s="51" t="s">
        <v>2867</v>
      </c>
      <c r="B11" s="51" t="s">
        <v>2868</v>
      </c>
      <c r="C11" s="51" t="s">
        <v>2869</v>
      </c>
      <c r="D11" s="51" t="s">
        <v>2870</v>
      </c>
      <c r="E11" s="214" t="s">
        <v>2871</v>
      </c>
    </row>
    <row r="12" spans="1:6" ht="18.75">
      <c r="A12" s="29">
        <v>0.17599999999999999</v>
      </c>
      <c r="B12" s="29">
        <v>0.17599999999999999</v>
      </c>
      <c r="C12" s="29">
        <v>0.17599999999999999</v>
      </c>
      <c r="D12" s="29">
        <v>0.17599999999999999</v>
      </c>
      <c r="E12" s="29">
        <v>0.17599999999999999</v>
      </c>
    </row>
    <row r="13" spans="1:6" ht="9" customHeight="1">
      <c r="A13" s="4"/>
      <c r="B13" s="4"/>
      <c r="C13" s="4"/>
      <c r="D13" s="4"/>
    </row>
    <row r="14" spans="1:6" ht="20.100000000000001" customHeight="1">
      <c r="A14" s="51" t="s">
        <v>2872</v>
      </c>
      <c r="B14" s="51" t="s">
        <v>2873</v>
      </c>
      <c r="C14" s="51" t="s">
        <v>2874</v>
      </c>
      <c r="D14" s="51" t="s">
        <v>2875</v>
      </c>
    </row>
    <row r="15" spans="1:6" ht="18.75">
      <c r="A15" s="29">
        <v>0.17599999999999999</v>
      </c>
      <c r="B15" s="29">
        <v>0.17599999999999999</v>
      </c>
      <c r="C15" s="29">
        <v>0.17599999999999999</v>
      </c>
      <c r="D15" s="29">
        <v>0.17599999999999999</v>
      </c>
    </row>
    <row r="16" spans="1:6" ht="15.95" customHeight="1">
      <c r="A16" s="4"/>
      <c r="B16" s="4"/>
      <c r="C16" s="4"/>
    </row>
    <row r="17" spans="1:5" ht="23.1" customHeight="1">
      <c r="A17" s="148" t="s">
        <v>2876</v>
      </c>
      <c r="B17" s="148" t="s">
        <v>2877</v>
      </c>
      <c r="C17" s="148" t="s">
        <v>2878</v>
      </c>
      <c r="D17" s="148" t="s">
        <v>2879</v>
      </c>
      <c r="E17" s="215" t="s">
        <v>2880</v>
      </c>
    </row>
    <row r="18" spans="1:5" ht="18.95" customHeight="1">
      <c r="A18" s="32">
        <v>0.17599999999999999</v>
      </c>
      <c r="B18" s="32">
        <v>0.17599999999999999</v>
      </c>
      <c r="C18" s="150">
        <v>0.17599999999999999</v>
      </c>
      <c r="D18" s="150">
        <v>0.17599999999999999</v>
      </c>
      <c r="E18" s="150">
        <v>0.17599999999999999</v>
      </c>
    </row>
    <row r="19" spans="1:5" ht="15.95" customHeight="1">
      <c r="A19" s="4"/>
      <c r="B19" s="4"/>
      <c r="C19" s="4"/>
    </row>
    <row r="20" spans="1:5" ht="20.100000000000001" customHeight="1">
      <c r="A20" s="40" t="s">
        <v>2881</v>
      </c>
      <c r="B20" s="40" t="s">
        <v>2882</v>
      </c>
      <c r="C20" s="42" t="s">
        <v>2883</v>
      </c>
      <c r="D20" s="42" t="s">
        <v>2884</v>
      </c>
      <c r="E20" s="216" t="s">
        <v>2885</v>
      </c>
    </row>
    <row r="21" spans="1:5" ht="18" customHeight="1">
      <c r="A21" s="29">
        <v>0.17599999999999999</v>
      </c>
      <c r="B21" s="29">
        <v>0.17599999999999999</v>
      </c>
      <c r="C21" s="29">
        <v>0.16500000000000001</v>
      </c>
      <c r="D21" s="29">
        <v>0.16500000000000001</v>
      </c>
      <c r="E21" s="29">
        <v>0.16500000000000001</v>
      </c>
    </row>
    <row r="22" spans="1:5" ht="18.95" customHeight="1">
      <c r="A22" s="4"/>
      <c r="B22" s="4"/>
      <c r="C22" s="4"/>
    </row>
    <row r="23" spans="1:5" ht="20.100000000000001" customHeight="1">
      <c r="A23" s="40" t="s">
        <v>2886</v>
      </c>
      <c r="B23" s="40" t="s">
        <v>2887</v>
      </c>
      <c r="C23" s="42" t="s">
        <v>2888</v>
      </c>
      <c r="D23" s="42" t="s">
        <v>2889</v>
      </c>
    </row>
    <row r="24" spans="1:5" ht="18.75">
      <c r="A24" s="29">
        <v>0.17599999999999999</v>
      </c>
      <c r="B24" s="29">
        <v>0.17599999999999999</v>
      </c>
      <c r="C24" s="29">
        <v>0.16500000000000001</v>
      </c>
      <c r="D24" s="29">
        <v>0.16500000000000001</v>
      </c>
    </row>
    <row r="25" spans="1:5" ht="18.75">
      <c r="A25" s="29"/>
      <c r="B25" s="29"/>
      <c r="C25" s="29"/>
      <c r="D25" s="29"/>
    </row>
    <row r="26" spans="1:5" ht="18.75">
      <c r="A26" s="40" t="s">
        <v>2890</v>
      </c>
      <c r="B26" s="40" t="s">
        <v>2891</v>
      </c>
      <c r="C26" s="29"/>
      <c r="D26" s="29"/>
    </row>
    <row r="27" spans="1:5" ht="18.75">
      <c r="A27" s="29">
        <v>0.17599999999999999</v>
      </c>
      <c r="B27" s="29">
        <v>0.17599999999999999</v>
      </c>
      <c r="C27" s="29"/>
      <c r="D27" s="29"/>
    </row>
    <row r="28" spans="1:5" ht="18.75">
      <c r="A28" s="29"/>
      <c r="B28" s="29"/>
      <c r="C28" s="29"/>
      <c r="D28" s="29"/>
    </row>
    <row r="29" spans="1:5" ht="18.75">
      <c r="A29" s="40" t="s">
        <v>2890</v>
      </c>
      <c r="B29" s="29"/>
      <c r="C29" s="29"/>
      <c r="D29" s="29"/>
    </row>
    <row r="30" spans="1:5" ht="18.75">
      <c r="A30" s="29">
        <v>0.17599999999999999</v>
      </c>
      <c r="B30" s="29"/>
      <c r="C30" s="29"/>
      <c r="D30" s="29"/>
    </row>
    <row r="31" spans="1:5" ht="18" customHeight="1">
      <c r="A31" s="4"/>
      <c r="B31" s="4"/>
      <c r="C31" s="4"/>
    </row>
    <row r="32" spans="1:5" ht="20.100000000000001" customHeight="1">
      <c r="A32" s="41" t="s">
        <v>2892</v>
      </c>
      <c r="B32" s="41" t="s">
        <v>2893</v>
      </c>
      <c r="C32" s="41" t="s">
        <v>2894</v>
      </c>
      <c r="D32" s="41" t="s">
        <v>2895</v>
      </c>
      <c r="E32" s="217" t="s">
        <v>2896</v>
      </c>
    </row>
    <row r="33" spans="1:5" ht="18.75">
      <c r="A33" s="29">
        <v>0.17199999999999999</v>
      </c>
      <c r="B33" s="29">
        <v>0.17199999999999999</v>
      </c>
      <c r="C33" s="29">
        <v>0.17199999999999999</v>
      </c>
      <c r="D33" s="29">
        <v>0.17199999999999999</v>
      </c>
      <c r="E33" s="29">
        <v>0.17199999999999999</v>
      </c>
    </row>
    <row r="34" spans="1:5" ht="20.100000000000001" customHeight="1">
      <c r="A34" s="4"/>
      <c r="B34" s="4"/>
    </row>
    <row r="35" spans="1:5" ht="20.100000000000001" customHeight="1">
      <c r="A35" s="41" t="s">
        <v>2897</v>
      </c>
      <c r="B35" s="41" t="s">
        <v>2898</v>
      </c>
      <c r="C35" s="41" t="s">
        <v>2899</v>
      </c>
      <c r="D35" s="41" t="s">
        <v>2900</v>
      </c>
    </row>
    <row r="36" spans="1:5" ht="18.75">
      <c r="A36" s="29">
        <v>0.17199999999999999</v>
      </c>
      <c r="B36" s="29">
        <v>0.17199999999999999</v>
      </c>
      <c r="C36" s="29">
        <v>0.17199999999999999</v>
      </c>
      <c r="D36" s="29">
        <v>0.17199999999999999</v>
      </c>
    </row>
    <row r="37" spans="1:5" ht="15.95" customHeight="1">
      <c r="B37" s="4"/>
      <c r="C37" s="7"/>
      <c r="D37" s="7"/>
    </row>
    <row r="38" spans="1:5" ht="20.100000000000001" customHeight="1">
      <c r="A38" s="43" t="s">
        <v>2901</v>
      </c>
      <c r="B38" s="43" t="s">
        <v>2902</v>
      </c>
      <c r="C38" s="154" t="s">
        <v>2903</v>
      </c>
      <c r="D38" s="154" t="s">
        <v>2904</v>
      </c>
      <c r="E38" s="218" t="s">
        <v>2905</v>
      </c>
    </row>
    <row r="39" spans="1:5" ht="20.100000000000001" customHeight="1">
      <c r="A39" s="29">
        <v>0.17199999999999999</v>
      </c>
      <c r="B39" s="29">
        <v>0.17199999999999999</v>
      </c>
      <c r="C39" s="32">
        <v>0.17199999999999999</v>
      </c>
      <c r="D39" s="32">
        <v>0.17199999999999999</v>
      </c>
      <c r="E39" s="32">
        <v>0.17199999999999999</v>
      </c>
    </row>
    <row r="40" spans="1:5" ht="18.95" customHeight="1">
      <c r="A40" s="4"/>
      <c r="B40" s="4"/>
    </row>
    <row r="41" spans="1:5" ht="20.100000000000001" customHeight="1">
      <c r="A41" s="43" t="s">
        <v>2906</v>
      </c>
      <c r="B41" s="43" t="s">
        <v>2907</v>
      </c>
      <c r="C41" s="154" t="s">
        <v>2908</v>
      </c>
      <c r="D41" s="154" t="s">
        <v>2909</v>
      </c>
      <c r="E41" s="43" t="s">
        <v>2910</v>
      </c>
    </row>
    <row r="42" spans="1:5" ht="20.100000000000001" customHeight="1">
      <c r="A42" s="29">
        <v>0.17199999999999999</v>
      </c>
      <c r="B42" s="29">
        <v>0.17199999999999999</v>
      </c>
      <c r="C42" s="29">
        <v>0.17199999999999999</v>
      </c>
      <c r="D42" s="29">
        <v>0.17199999999999999</v>
      </c>
      <c r="E42" s="29">
        <v>0.17199999999999999</v>
      </c>
    </row>
    <row r="43" spans="1:5" ht="18" customHeight="1">
      <c r="B43" s="4"/>
      <c r="C43" s="4"/>
    </row>
    <row r="44" spans="1:5" ht="20.100000000000001" customHeight="1">
      <c r="A44" s="49" t="s">
        <v>2911</v>
      </c>
      <c r="B44" s="46" t="s">
        <v>2912</v>
      </c>
      <c r="C44" s="46" t="s">
        <v>2913</v>
      </c>
      <c r="D44" s="219" t="s">
        <v>2914</v>
      </c>
    </row>
    <row r="45" spans="1:5" ht="20.100000000000001" customHeight="1">
      <c r="A45" s="29">
        <v>0.1065</v>
      </c>
      <c r="B45" s="29">
        <v>0.1065</v>
      </c>
      <c r="C45" s="29">
        <v>0.1065</v>
      </c>
      <c r="D45" s="29">
        <v>0.1065</v>
      </c>
    </row>
    <row r="46" spans="1:5" ht="17.100000000000001" customHeight="1">
      <c r="B46" s="4"/>
      <c r="C46" s="4"/>
    </row>
    <row r="47" spans="1:5" ht="20.100000000000001" customHeight="1">
      <c r="A47" s="50" t="s">
        <v>2915</v>
      </c>
      <c r="B47" s="47" t="s">
        <v>2916</v>
      </c>
      <c r="C47" s="47" t="s">
        <v>2917</v>
      </c>
    </row>
    <row r="48" spans="1:5" ht="20.100000000000001" customHeight="1">
      <c r="A48" s="29">
        <v>0.1065</v>
      </c>
      <c r="B48" s="29">
        <v>0.1065</v>
      </c>
      <c r="C48" s="29">
        <v>0.1065</v>
      </c>
    </row>
    <row r="49" spans="1:6" ht="17.100000000000001" customHeight="1">
      <c r="B49" s="4"/>
      <c r="C49" s="4"/>
    </row>
    <row r="50" spans="1:6" ht="20.100000000000001" customHeight="1">
      <c r="A50" s="44" t="s">
        <v>2918</v>
      </c>
      <c r="B50" s="45" t="s">
        <v>2919</v>
      </c>
      <c r="C50" s="7" t="s">
        <v>2920</v>
      </c>
      <c r="D50" s="7" t="s">
        <v>2921</v>
      </c>
    </row>
    <row r="51" spans="1:6" ht="18.75">
      <c r="A51" s="8">
        <v>0.09</v>
      </c>
      <c r="B51" s="8">
        <v>0.15</v>
      </c>
      <c r="C51" s="8">
        <v>0</v>
      </c>
      <c r="D51" s="8">
        <v>0.05</v>
      </c>
    </row>
    <row r="52" spans="1:6" ht="18.75">
      <c r="A52" s="8"/>
      <c r="B52" s="8"/>
      <c r="C52" s="8"/>
      <c r="D52" s="8"/>
    </row>
    <row r="53" spans="1:6" ht="18.75">
      <c r="A53" s="8"/>
      <c r="B53" s="45" t="s">
        <v>2919</v>
      </c>
      <c r="C53" s="48" t="s">
        <v>2922</v>
      </c>
      <c r="D53" s="48" t="s">
        <v>2923</v>
      </c>
    </row>
    <row r="54" spans="1:6" ht="18.75">
      <c r="A54" s="8"/>
      <c r="B54" s="8">
        <v>0.11</v>
      </c>
      <c r="C54" s="8">
        <v>0.02</v>
      </c>
      <c r="D54" s="8">
        <v>0.02</v>
      </c>
    </row>
    <row r="55" spans="1:6" ht="18.75">
      <c r="A55" s="4"/>
      <c r="B55" s="8"/>
      <c r="C55" s="8"/>
      <c r="D55" s="8"/>
    </row>
    <row r="56" spans="1:6" ht="21.95" customHeight="1">
      <c r="A56" s="3" t="s">
        <v>2924</v>
      </c>
      <c r="B56" s="4"/>
      <c r="C56" s="4"/>
    </row>
    <row r="57" spans="1:6" ht="20.100000000000001" customHeight="1">
      <c r="A57" s="8">
        <v>0.1</v>
      </c>
      <c r="B57" s="3" t="s">
        <v>2925</v>
      </c>
      <c r="C57" s="7" t="s">
        <v>2926</v>
      </c>
      <c r="D57" s="7" t="s">
        <v>2927</v>
      </c>
    </row>
    <row r="58" spans="1:6" ht="18.75">
      <c r="A58" s="4"/>
      <c r="B58" s="8">
        <v>0.1</v>
      </c>
      <c r="C58" s="8">
        <v>0.02</v>
      </c>
      <c r="D58" s="8">
        <v>0.1</v>
      </c>
    </row>
    <row r="59" spans="1:6" ht="24.95" customHeight="1">
      <c r="A59" s="17" t="s">
        <v>2928</v>
      </c>
      <c r="B59" s="79"/>
      <c r="C59" s="79"/>
      <c r="D59" s="80"/>
      <c r="E59" s="80"/>
    </row>
    <row r="60" spans="1:6" ht="26.1" customHeight="1">
      <c r="A60" s="7" t="s">
        <v>2929</v>
      </c>
      <c r="B60" s="18"/>
      <c r="C60" s="18"/>
      <c r="D60" s="18"/>
      <c r="E60" s="18"/>
      <c r="F60" s="18"/>
    </row>
    <row r="61" spans="1:6" ht="20.100000000000001" customHeight="1">
      <c r="A61" s="4">
        <v>0.2</v>
      </c>
      <c r="B61" s="6" t="s">
        <v>2930</v>
      </c>
      <c r="C61" s="6" t="s">
        <v>2931</v>
      </c>
      <c r="D61" s="7" t="s">
        <v>2932</v>
      </c>
      <c r="E61" s="7"/>
    </row>
    <row r="62" spans="1:6" ht="18.75">
      <c r="A62" s="4"/>
      <c r="B62" s="4">
        <v>0.1</v>
      </c>
      <c r="C62" s="4">
        <v>0.3</v>
      </c>
      <c r="D62" s="4">
        <v>0.32</v>
      </c>
      <c r="E62" s="4"/>
    </row>
    <row r="63" spans="1:6" ht="17.100000000000001" customHeight="1">
      <c r="A63" s="7" t="s">
        <v>2933</v>
      </c>
      <c r="B63" s="4"/>
      <c r="C63" s="4"/>
    </row>
    <row r="64" spans="1:6" ht="20.100000000000001" customHeight="1">
      <c r="A64" s="4">
        <v>0.2</v>
      </c>
      <c r="B64" s="6" t="s">
        <v>2934</v>
      </c>
      <c r="C64" s="7" t="s">
        <v>2935</v>
      </c>
      <c r="D64" s="7" t="s">
        <v>2936</v>
      </c>
      <c r="E64" s="7" t="s">
        <v>2937</v>
      </c>
    </row>
    <row r="65" spans="1:5" ht="18.75">
      <c r="A65" s="4"/>
      <c r="B65" s="4">
        <f>rv_30</f>
        <v>0.3</v>
      </c>
      <c r="C65" s="4">
        <v>0.2</v>
      </c>
      <c r="D65" s="4">
        <v>0.2</v>
      </c>
      <c r="E65" s="8">
        <v>0.1</v>
      </c>
    </row>
    <row r="66" spans="1:5" ht="18.95" customHeight="1">
      <c r="A66" s="6" t="s">
        <v>2938</v>
      </c>
      <c r="B66" s="4"/>
      <c r="C66" s="4"/>
    </row>
    <row r="67" spans="1:5" ht="20.100000000000001" customHeight="1">
      <c r="A67" s="4">
        <v>0.03</v>
      </c>
      <c r="B67" s="6" t="s">
        <v>2939</v>
      </c>
      <c r="C67" s="6" t="s">
        <v>2940</v>
      </c>
      <c r="D67" s="7" t="s">
        <v>2941</v>
      </c>
      <c r="E67" s="7" t="s">
        <v>2942</v>
      </c>
    </row>
    <row r="68" spans="1:5" ht="18.75">
      <c r="A68" s="4"/>
      <c r="B68" s="4">
        <v>7.0000000000000007E-2</v>
      </c>
      <c r="C68" s="4">
        <v>0.2</v>
      </c>
      <c r="D68" s="32">
        <v>0.11600000000000001</v>
      </c>
      <c r="E68" s="4">
        <v>0.2</v>
      </c>
    </row>
    <row r="69" spans="1:5" ht="18.95" customHeight="1">
      <c r="A69" s="7"/>
      <c r="B69" s="4"/>
      <c r="C69" s="4"/>
    </row>
    <row r="70" spans="1:5" ht="18.75">
      <c r="A70" s="32"/>
    </row>
    <row r="81" spans="2:3" ht="15.75">
      <c r="B81" s="5"/>
      <c r="C81" s="5"/>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2.xml><?xml version="1.0" encoding="utf-8"?>
<ds:datastoreItem xmlns:ds="http://schemas.openxmlformats.org/officeDocument/2006/customXml" ds:itemID="{3FC082FA-0222-4AB4-905C-A7DC1EEBD5F7}">
  <ds:schemaRefs>
    <ds:schemaRef ds:uri="8e90354a-00cd-4c2c-933c-cac8cad32b0a"/>
    <ds:schemaRef ds:uri="http://schemas.openxmlformats.org/package/2006/metadata/core-properties"/>
    <ds:schemaRef ds:uri="210df9dd-0b4e-4ef9-b5fb-77d5280d969d"/>
    <ds:schemaRef ds:uri="http://purl.org/dc/term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357D2E83-938F-4821-9626-4BFEE90A92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93</vt:i4>
      </vt:variant>
    </vt:vector>
  </HeadingPairs>
  <TitlesOfParts>
    <vt:vector size="100" baseType="lpstr">
      <vt:lpstr>1 - Page de garde</vt:lpstr>
      <vt:lpstr>2 - Tarif normalisé n°10 Lot 5</vt:lpstr>
      <vt:lpstr>3 - Accessoires et logiciels</vt:lpstr>
      <vt:lpstr>4 - Services</vt:lpstr>
      <vt:lpstr>5 - Location</vt:lpstr>
      <vt:lpstr>6 - Services DROM-COM</vt:lpstr>
      <vt:lpstr>Récapitulatif remises</vt:lpstr>
      <vt:lpstr>im24_5pl</vt:lpstr>
      <vt:lpstr>ip_5pl</vt:lpstr>
      <vt:lpstr>ipa_5pl</vt:lpstr>
      <vt:lpstr>ipm_5pl</vt:lpstr>
      <vt:lpstr>mba_5pl</vt:lpstr>
      <vt:lpstr>mba13_5pl</vt:lpstr>
      <vt:lpstr>mbp13_5pl</vt:lpstr>
      <vt:lpstr>mbp14_5pl</vt:lpstr>
      <vt:lpstr>mm_5pl</vt:lpstr>
      <vt:lpstr>mp_5pl</vt:lpstr>
      <vt:lpstr>ms_5pl</vt:lpstr>
      <vt:lpstr>rv_10</vt:lpstr>
      <vt:lpstr>rv_20</vt:lpstr>
      <vt:lpstr>rv_3</vt:lpstr>
      <vt:lpstr>rv_30</vt:lpstr>
      <vt:lpstr>rv_32</vt:lpstr>
      <vt:lpstr>rv_7</vt:lpstr>
      <vt:lpstr>rv_app</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DEMAZY Odile</cp:lastModifiedBy>
  <cp:revision/>
  <dcterms:created xsi:type="dcterms:W3CDTF">1999-02-15T11:54:48Z</dcterms:created>
  <dcterms:modified xsi:type="dcterms:W3CDTF">2023-11-17T17:54:18Z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